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結果比較" sheetId="1" r:id="rId1"/>
    <sheet name="設定與說明" sheetId="2" r:id="rId2"/>
    <sheet name="必要對照" sheetId="3" r:id="rId3"/>
  </sheets>
  <definedNames>
    <definedName name="_xlnm.Print_Area" localSheetId="2">必要對照!$A$1:$H$32</definedName>
    <definedName name="_xlnm.Print_Area" localSheetId="0">結果比較!$A$1:$H$74</definedName>
    <definedName name="_xlnm.Print_Area" localSheetId="1">設定與說明!$A$1:$H$29</definedName>
    <definedName name="_xlnm.Print_Titles" localSheetId="2">必要對照!$1:$3</definedName>
    <definedName name="_xlnm.Print_Titles" localSheetId="0">結果比較!$1:$3</definedName>
    <definedName name="_xlnm.Print_Titles" localSheetId="1">設定與說明!$1:$3</definedName>
  </definedNames>
  <calcPr calcId="124519" fullCalcOnLoad="1"/>
</workbook>
</file>

<file path=xl/sharedStrings.xml><?xml version="1.0" encoding="utf-8"?>
<sst xmlns="http://schemas.openxmlformats.org/spreadsheetml/2006/main" count="220" uniqueCount="114">
  <si>
    <t>第6次｜結構驗證與最終比較</t>
  </si>
  <si>
    <t>成功門檻：e_R&lt;2°且e_t&lt;0.5m。e_p為Eq8全來源點變換誤差；finite mean包含可計算失敗，無變換仍算失敗、誤差不填0。</t>
  </si>
  <si>
    <t>GT不參與當次配準輸出選擇；開發期間曾以GT評分選設定。相同掃描站換seed只測隨機敏感度，不是未見森林。</t>
  </si>
  <si>
    <t>修改前＝第5次：多初值v2＋舊驗證；修改後＝第6次：多初值v2＋v3驗證</t>
  </si>
  <si>
    <t>每次均列原論文、本地5cm參考、前一次、本次</t>
  </si>
  <si>
    <t>場景</t>
  </si>
  <si>
    <t>論文成功率
分母待補</t>
  </si>
  <si>
    <t>本地5cm/SVD</t>
  </si>
  <si>
    <t>前一次成功／總數</t>
  </si>
  <si>
    <t>本次成功／總數</t>
  </si>
  <si>
    <t>差：後−前 pp</t>
  </si>
  <si>
    <t>案例組成</t>
  </si>
  <si>
    <t>批次</t>
  </si>
  <si>
    <t>Tongji／Plot1</t>
  </si>
  <si>
    <t>100/100</t>
  </si>
  <si>
    <t>待補</t>
  </si>
  <si>
    <t>10對×10seed</t>
  </si>
  <si>
    <t>seed31–40</t>
  </si>
  <si>
    <t>Tongji／Plot2</t>
  </si>
  <si>
    <t>33/100</t>
  </si>
  <si>
    <t>Tongji／Plot3</t>
  </si>
  <si>
    <t>Tongji／Plot4</t>
  </si>
  <si>
    <t>76/100</t>
  </si>
  <si>
    <t>78/100</t>
  </si>
  <si>
    <t>ETH-tree</t>
  </si>
  <si>
    <t>114/150</t>
  </si>
  <si>
    <t>150/150</t>
  </si>
  <si>
    <t>15對×10seed</t>
  </si>
  <si>
    <t>Tongji四Plot屬同一dataset，ETH屬另一dataset；兩者不混算誤差平均。前後均同配對與seed，失敗與缺輸出都保留。原論文門檻與分母未確認一致，100%只能作報告值參考。</t>
  </si>
  <si>
    <t>全來源點Eq8後再跨有限案例mean；單位cm</t>
  </si>
  <si>
    <t>論文e_p</t>
  </si>
  <si>
    <t>本地5cm e_p</t>
  </si>
  <si>
    <t>前一次e_p</t>
  </si>
  <si>
    <t>本次e_p</t>
  </si>
  <si>
    <t>vs前一次下降率</t>
  </si>
  <si>
    <t>vs論文下降率</t>
  </si>
  <si>
    <t>finite N：參考／前／後</t>
  </si>
  <si>
    <t>100／100／100（總N100）</t>
  </si>
  <si>
    <t>83／100／100（總N100）</t>
  </si>
  <si>
    <t>127／150／150（總N150）</t>
  </si>
  <si>
    <t>下降率=(基準−本次)/基準。有限案例集合不同不算vs前下降率；本次仍缺變換不算完整vs論文下降率。這是不可比的統計，不能靠補跑把缺輸出填0；共同成功另列。</t>
  </si>
  <si>
    <t>圖表使用相同場景的前後值</t>
  </si>
  <si>
    <t>前成功率</t>
  </si>
  <si>
    <t>後成功率</t>
  </si>
  <si>
    <t>前finite mean cm</t>
  </si>
  <si>
    <t>後finite mean cm</t>
  </si>
  <si>
    <t>當週重要變數與組合，不列全部內部常數</t>
  </si>
  <si>
    <t>項目</t>
  </si>
  <si>
    <t>前一次／修改前</t>
  </si>
  <si>
    <t>本次／修改後</t>
  </si>
  <si>
    <t>作用與歸因限制</t>
  </si>
  <si>
    <t>多候選引擎</t>
  </si>
  <si>
    <t>v2</t>
  </si>
  <si>
    <t>相同v2引擎</t>
  </si>
  <si>
    <t>候選產生規則固定</t>
  </si>
  <si>
    <t>驗證表面</t>
  </si>
  <si>
    <t>全方向</t>
  </si>
  <si>
    <t>優先|normal.z|&lt;0.30</t>
  </si>
  <si>
    <t>兩站各至少30點，不足退回全方向</t>
  </si>
  <si>
    <t>驗證NN gate</t>
  </si>
  <si>
    <t>3h：1.50/0.60/0.30m</t>
  </si>
  <si>
    <t>min(h,0.20)：0.20/0.20/0.10m</t>
  </si>
  <si>
    <t>與表面篩選一起改；缺單項消融</t>
  </si>
  <si>
    <t>optimizer與使用位置</t>
  </si>
  <si>
    <t>全方向6DOF point-to-plane</t>
  </si>
  <si>
    <t>optimizer相同；新分數用於排序、接受與最終選擇</t>
  </si>
  <si>
    <t>不是只換最後sort；地面仍可參與優化</t>
  </si>
  <si>
    <t>原DTM與提取verticality</t>
  </si>
  <si>
    <t>原DTM；verticality&gt;0.9</t>
  </si>
  <si>
    <t>相同</t>
  </si>
  <si>
    <t>不是把提取0.9改成驗證0.3</t>
  </si>
  <si>
    <t>主表比較的是上一週方法與本次方法。第3週分開列定位與完整重提取；第4週明列回復DTM＋加refinement兩項變更，另有相同DTM的精化控制；第5週另保留v1→v2負面結果。</t>
  </si>
  <si>
    <t>原論文時間只作範圍參考；不計跨硬體速度提升</t>
  </si>
  <si>
    <t>論文matching ms</t>
  </si>
  <si>
    <t>論文total s</t>
  </si>
  <si>
    <t>硬體／範圍限制</t>
  </si>
  <si>
    <t>i7-9700F 3GHz；thread數待補。本地online不含提取/cache/GT，範圍不同。</t>
  </si>
  <si>
    <t>數據來源與比較限制</t>
  </si>
  <si>
    <t>U：results/professor_reports_20261026/evidence/U_registration_rows.csv；SHA256 e111ef1216ceff2ca3a11b16f38fcfa56c2d16fc599cc8570340c6ba6c1304a0</t>
  </si>
  <si>
    <t>C：results/six_week_reports_20261028/evidence/C_eth_coarse_rows.csv；SHA256 7d650dccaae06db5a5425d39e9b7844210caaca64422f3b7240e5adb18e8a876</t>
  </si>
  <si>
    <t>T：results/six_week_reports_20261028/evidence/T_registration_rows.csv；SHA256 be80ea133faf080bae060279ab9401346bb3263f319589450ec998822f1913a1</t>
  </si>
  <si>
    <t>論文：Sun等，DOI 10.1109/LGRS.2025.3650098。PDF p2方法、p3 Algorithm1、p4 TableI/II與Eq8、p5 TableIII。作者程式同環境重跑、論文成功門檻與逐場景分母待補；本地5cm參考不是作者可執行baseline。</t>
  </si>
  <si>
    <t>相同配對與seed：新增成功、退步與共同成功精度</t>
  </si>
  <si>
    <t>比較</t>
  </si>
  <si>
    <t>新增成功</t>
  </si>
  <si>
    <t>退步失敗</t>
  </si>
  <si>
    <t>共同成功N</t>
  </si>
  <si>
    <t>前e_p cm</t>
  </si>
  <si>
    <t>後e_p cm</t>
  </si>
  <si>
    <t>下降率</t>
  </si>
  <si>
    <t>限制</t>
  </si>
  <si>
    <t>僅共同成功；不取代全體成功率</t>
  </si>
  <si>
    <t>旋轉、平移與本地逐配對時間</t>
  </si>
  <si>
    <t>前e_R °</t>
  </si>
  <si>
    <t>後e_R °</t>
  </si>
  <si>
    <t>前e_t cm</t>
  </si>
  <si>
    <t>後e_t cm</t>
  </si>
  <si>
    <t>前online ms</t>
  </si>
  <si>
    <t>後online ms</t>
  </si>
  <si>
    <t>計時限制</t>
  </si>
  <si>
    <t>跨批次／epoch或範圍差；不算速度下降率</t>
  </si>
  <si>
    <t>公平控制：三者使用同一v3 backend</t>
  </si>
  <si>
    <t>5cm/SVD＋v3</t>
  </si>
  <si>
    <t>10cm/recovery＋v3</t>
  </si>
  <si>
    <t>完整multi_v3</t>
  </si>
  <si>
    <t>5cm e_p cm</t>
  </si>
  <si>
    <t>10cm e_p cm</t>
  </si>
  <si>
    <t>multi e_p cm</t>
  </si>
  <si>
    <t>不把全部增益歸給multistart</t>
  </si>
  <si>
    <t>99/100</t>
  </si>
  <si>
    <t>81/100</t>
  </si>
  <si>
    <t>96/100</t>
  </si>
  <si>
    <t>127/150</t>
  </si>
  <si>
    <t>全體成功數507/550、546/550、550/550，只累計成功數、不混算兩來源誤差。完整候選相對同backend的10cm方法額外救4次，均Plot4。Plot3較v2誤差增加約0.127mm；Plot4共同成功78例增加約0.733mm。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</si>
</sst>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0.0&quot; pp&quot;"/>
    <numFmt numFmtId="166" formatCode="0.000"/>
  </numFmts>
  <fonts count="5">
    <font>
      <sz val="11"/>
      <color theme="1"/>
      <name val="Calibri"/>
      <family val="2"/>
      <scheme val="minor"/>
    </font>
    <font>
      <b/>
      <sz val="18"/>
      <color rgb="FF243E52"/>
      <name val="Microsoft JhengHei"/>
      <family val="2"/>
    </font>
    <font>
      <sz val="10"/>
      <color rgb="FF444444"/>
      <name val="Microsoft JhengHei"/>
      <family val="2"/>
    </font>
    <font>
      <b/>
      <sz val="13"/>
      <color theme="1"/>
      <name val="Microsoft JhengHei"/>
      <family val="2"/>
    </font>
    <font>
      <sz val="13"/>
      <color theme="1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rgb="FFE8ED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6" fontId="4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成功率：前一次與本次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結果比較!$B$29</c:f>
              <c:strCache>
                <c:ptCount val="1"/>
                <c:pt idx="0">
                  <c:v>前成功率</c:v>
                </c:pt>
              </c:strCache>
            </c:strRef>
          </c:tx>
          <c:spPr>
            <a:solidFill>
              <a:srgbClr val="9BA7B0"/>
            </a:solidFill>
          </c:spPr>
          <c:dLbls>
            <c:numFmt formatCode="0%" sourceLinked="0"/>
            <c:showVal val="1"/>
          </c:dLbls>
          <c:cat>
            <c:strRef>
              <c:f>結果比較!$A$30:$A$34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結果比較!$B$30:$B$34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0.78</c:v>
                </c:pt>
                <c:pt idx="4">
                  <c:v>1</c:v>
                </c:pt>
              </c:numCache>
            </c:numRef>
          </c:val>
        </c:ser>
        <c:ser>
          <c:idx val="1"/>
          <c:order val="1"/>
          <c:tx>
            <c:strRef>
              <c:f>結果比較!$C$29</c:f>
              <c:strCache>
                <c:ptCount val="1"/>
                <c:pt idx="0">
                  <c:v>後成功率</c:v>
                </c:pt>
              </c:strCache>
            </c:strRef>
          </c:tx>
          <c:spPr>
            <a:solidFill>
              <a:srgbClr val="5B7790"/>
            </a:solidFill>
          </c:spPr>
          <c:dLbls>
            <c:numFmt formatCode="0%" sourceLinked="0"/>
            <c:showVal val="1"/>
          </c:dLbls>
          <c:cat>
            <c:strRef>
              <c:f>結果比較!$A$30:$A$34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結果比較!$C$30:$C$34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成功率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有限mean e_p：含有限失敗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結果比較!$D$29</c:f>
              <c:strCache>
                <c:ptCount val="1"/>
                <c:pt idx="0">
                  <c:v>前finite mean cm</c:v>
                </c:pt>
              </c:strCache>
            </c:strRef>
          </c:tx>
          <c:spPr>
            <a:solidFill>
              <a:srgbClr val="9BA7B0"/>
            </a:solidFill>
          </c:spPr>
          <c:dLbls>
            <c:numFmt formatCode="0.00" sourceLinked="0"/>
            <c:showVal val="1"/>
          </c:dLbls>
          <c:cat>
            <c:strRef>
              <c:f>結果比較!$A$30:$A$34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結果比較!$D$30:$D$34</c:f>
              <c:numCache>
                <c:formatCode>General</c:formatCode>
                <c:ptCount val="5"/>
                <c:pt idx="0">
                  <c:v>2.886600508789238</c:v>
                </c:pt>
                <c:pt idx="1">
                  <c:v>1.185415858528841</c:v>
                </c:pt>
                <c:pt idx="2">
                  <c:v>1.105659358968494</c:v>
                </c:pt>
                <c:pt idx="3">
                  <c:v>864.7622010386872</c:v>
                </c:pt>
                <c:pt idx="4">
                  <c:v>0.6038135171016774</c:v>
                </c:pt>
              </c:numCache>
            </c:numRef>
          </c:val>
        </c:ser>
        <c:ser>
          <c:idx val="1"/>
          <c:order val="1"/>
          <c:tx>
            <c:strRef>
              <c:f>結果比較!$E$29</c:f>
              <c:strCache>
                <c:ptCount val="1"/>
                <c:pt idx="0">
                  <c:v>後finite mean cm</c:v>
                </c:pt>
              </c:strCache>
            </c:strRef>
          </c:tx>
          <c:spPr>
            <a:solidFill>
              <a:srgbClr val="5B7790"/>
            </a:solidFill>
          </c:spPr>
          <c:dLbls>
            <c:numFmt formatCode="0.00" sourceLinked="0"/>
            <c:showVal val="1"/>
          </c:dLbls>
          <c:cat>
            <c:strRef>
              <c:f>結果比較!$A$30:$A$34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結果比較!$E$30:$E$34</c:f>
              <c:numCache>
                <c:formatCode>General</c:formatCode>
                <c:ptCount val="5"/>
                <c:pt idx="0">
                  <c:v>2.886600508789238</c:v>
                </c:pt>
                <c:pt idx="1">
                  <c:v>1.185415858528841</c:v>
                </c:pt>
                <c:pt idx="2">
                  <c:v>1.118315828811571</c:v>
                </c:pt>
                <c:pt idx="3">
                  <c:v>3.392022720762585</c:v>
                </c:pt>
                <c:pt idx="4">
                  <c:v>0.6038135170910868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cm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3</xdr:col>
      <xdr:colOff>752475</xdr:colOff>
      <xdr:row>49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53</xdr:row>
      <xdr:rowOff>0</xdr:rowOff>
    </xdr:from>
    <xdr:to>
      <xdr:col>3</xdr:col>
      <xdr:colOff>752475</xdr:colOff>
      <xdr:row>68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4"/>
  <sheetViews>
    <sheetView showGridLines="0" tabSelected="1" zoomScale="95" zoomScaleNormal="9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7.7109375" customWidth="1"/>
    <col min="2" max="2" width="21.7109375" customWidth="1"/>
    <col min="3" max="4" width="20.7109375" customWidth="1"/>
    <col min="5" max="5" width="18.7109375" customWidth="1"/>
    <col min="6" max="7" width="20.7109375" customWidth="1"/>
    <col min="8" max="8" width="30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38" customHeight="1">
      <c r="A3" s="2" t="s">
        <v>2</v>
      </c>
      <c r="B3" s="2"/>
      <c r="C3" s="2"/>
      <c r="D3" s="2"/>
      <c r="E3" s="2"/>
      <c r="F3" s="2"/>
      <c r="G3" s="2"/>
      <c r="H3" s="2"/>
    </row>
    <row r="4" spans="1:8" ht="42" customHeight="1">
      <c r="A4" s="2" t="s">
        <v>3</v>
      </c>
      <c r="B4" s="2"/>
      <c r="C4" s="2"/>
      <c r="D4" s="2"/>
      <c r="E4" s="2"/>
      <c r="F4" s="2"/>
      <c r="G4" s="2"/>
      <c r="H4" s="2"/>
    </row>
    <row r="6" spans="1:8" ht="28" customHeight="1">
      <c r="A6" s="3" t="s">
        <v>4</v>
      </c>
      <c r="B6" s="3"/>
      <c r="C6" s="3"/>
      <c r="D6" s="3"/>
      <c r="E6" s="3"/>
      <c r="F6" s="3"/>
      <c r="G6" s="3"/>
      <c r="H6" s="3"/>
    </row>
    <row r="7" spans="1:8" ht="40" customHeight="1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</row>
    <row r="8" spans="1:8" ht="45" customHeight="1">
      <c r="A8" s="4" t="s">
        <v>13</v>
      </c>
      <c r="B8" s="5">
        <v>1</v>
      </c>
      <c r="C8" s="4" t="s">
        <v>14</v>
      </c>
      <c r="D8" s="4" t="s">
        <v>14</v>
      </c>
      <c r="E8" s="4" t="s">
        <v>14</v>
      </c>
      <c r="F8" s="6">
        <f>(100/100-100/100)*100</f>
        <v>0.0</v>
      </c>
      <c r="G8" s="4" t="s">
        <v>16</v>
      </c>
      <c r="H8" s="4" t="s">
        <v>17</v>
      </c>
    </row>
    <row r="9" spans="1:8" ht="45" customHeight="1">
      <c r="A9" s="4" t="s">
        <v>18</v>
      </c>
      <c r="B9" s="5">
        <v>1</v>
      </c>
      <c r="C9" s="4" t="s">
        <v>19</v>
      </c>
      <c r="D9" s="4" t="s">
        <v>14</v>
      </c>
      <c r="E9" s="4" t="s">
        <v>14</v>
      </c>
      <c r="F9" s="6">
        <f>(100/100-100/100)*100</f>
        <v>0.0</v>
      </c>
      <c r="G9" s="4" t="s">
        <v>16</v>
      </c>
      <c r="H9" s="4" t="s">
        <v>17</v>
      </c>
    </row>
    <row r="10" spans="1:8" ht="45" customHeight="1">
      <c r="A10" s="4" t="s">
        <v>20</v>
      </c>
      <c r="B10" s="5">
        <v>1</v>
      </c>
      <c r="C10" s="4" t="s">
        <v>14</v>
      </c>
      <c r="D10" s="4" t="s">
        <v>14</v>
      </c>
      <c r="E10" s="4" t="s">
        <v>14</v>
      </c>
      <c r="F10" s="6">
        <f>(100/100-100/100)*100</f>
        <v>0.0</v>
      </c>
      <c r="G10" s="4" t="s">
        <v>16</v>
      </c>
      <c r="H10" s="4" t="s">
        <v>17</v>
      </c>
    </row>
    <row r="11" spans="1:8" ht="45" customHeight="1">
      <c r="A11" s="4" t="s">
        <v>21</v>
      </c>
      <c r="B11" s="5">
        <v>1</v>
      </c>
      <c r="C11" s="4" t="s">
        <v>22</v>
      </c>
      <c r="D11" s="4" t="s">
        <v>23</v>
      </c>
      <c r="E11" s="4" t="s">
        <v>14</v>
      </c>
      <c r="F11" s="6">
        <f>(100/100-78/100)*100</f>
        <v>21.999999999999996</v>
      </c>
      <c r="G11" s="4" t="s">
        <v>16</v>
      </c>
      <c r="H11" s="4" t="s">
        <v>17</v>
      </c>
    </row>
    <row r="12" spans="1:8" ht="45" customHeight="1">
      <c r="A12" s="4" t="s">
        <v>24</v>
      </c>
      <c r="B12" s="5">
        <v>1</v>
      </c>
      <c r="C12" s="4" t="s">
        <v>25</v>
      </c>
      <c r="D12" s="4" t="s">
        <v>26</v>
      </c>
      <c r="E12" s="4" t="s">
        <v>26</v>
      </c>
      <c r="F12" s="6">
        <f>(150/150-150/150)*100</f>
        <v>0.0</v>
      </c>
      <c r="G12" s="4" t="s">
        <v>27</v>
      </c>
      <c r="H12" s="4" t="s">
        <v>17</v>
      </c>
    </row>
    <row r="15" spans="1:8" ht="44" customHeight="1">
      <c r="A15" s="2" t="s">
        <v>28</v>
      </c>
      <c r="B15" s="2"/>
      <c r="C15" s="2"/>
      <c r="D15" s="2"/>
      <c r="E15" s="2"/>
      <c r="F15" s="2"/>
      <c r="G15" s="2"/>
      <c r="H15" s="2"/>
    </row>
    <row r="17" spans="1:8" ht="28" customHeight="1">
      <c r="A17" s="3" t="s">
        <v>29</v>
      </c>
      <c r="B17" s="3"/>
      <c r="C17" s="3"/>
      <c r="D17" s="3"/>
      <c r="E17" s="3"/>
      <c r="F17" s="3"/>
      <c r="G17" s="3"/>
      <c r="H17" s="3"/>
    </row>
    <row r="18" spans="1:8" ht="40" customHeight="1">
      <c r="A18" s="3" t="s">
        <v>5</v>
      </c>
      <c r="B18" s="3" t="s">
        <v>30</v>
      </c>
      <c r="C18" s="3" t="s">
        <v>31</v>
      </c>
      <c r="D18" s="3" t="s">
        <v>32</v>
      </c>
      <c r="E18" s="3" t="s">
        <v>33</v>
      </c>
      <c r="F18" s="3" t="s">
        <v>34</v>
      </c>
      <c r="G18" s="3" t="s">
        <v>35</v>
      </c>
      <c r="H18" s="3" t="s">
        <v>36</v>
      </c>
    </row>
    <row r="19" spans="1:8" ht="45" customHeight="1">
      <c r="A19" s="4" t="s">
        <v>13</v>
      </c>
      <c r="B19" s="7">
        <v>5.2558</v>
      </c>
      <c r="C19" s="7">
        <v>16.81264811104687</v>
      </c>
      <c r="D19" s="7">
        <v>2.886600508789238</v>
      </c>
      <c r="E19" s="7">
        <v>2.886600508789238</v>
      </c>
      <c r="F19" s="5">
        <f>IF(AND(ISNUMBER(D19),ISNUMBER(E19),D19&lt;&gt;0),(D19-E19)/D19,"待補")</f>
        <v>0.0</v>
      </c>
      <c r="G19" s="5">
        <f>IF(AND(ISNUMBER(B19),ISNUMBER(E19),B19&lt;&gt;0),(B19-E19)/B19,"待補")</f>
        <v>0.45077809110140454</v>
      </c>
      <c r="H19" s="4" t="s">
        <v>37</v>
      </c>
    </row>
    <row r="20" spans="1:8" ht="45" customHeight="1">
      <c r="A20" s="4" t="s">
        <v>18</v>
      </c>
      <c r="B20" s="7">
        <v>11.4808</v>
      </c>
      <c r="C20" s="7">
        <v>54.50497163856171</v>
      </c>
      <c r="D20" s="7">
        <v>1.185415858528841</v>
      </c>
      <c r="E20" s="7">
        <v>1.185415858528841</v>
      </c>
      <c r="F20" s="5">
        <f>IF(AND(ISNUMBER(D20),ISNUMBER(E20),D20&lt;&gt;0),(D20-E20)/D20,"待補")</f>
        <v>0.0</v>
      </c>
      <c r="G20" s="5">
        <f>IF(AND(ISNUMBER(B20),ISNUMBER(E20),B20&lt;&gt;0),(B20-E20)/B20,"待補")</f>
        <v>0.8967479741369208</v>
      </c>
      <c r="H20" s="4" t="s">
        <v>37</v>
      </c>
    </row>
    <row r="21" spans="1:8" ht="45" customHeight="1">
      <c r="A21" s="4" t="s">
        <v>20</v>
      </c>
      <c r="B21" s="7">
        <v>4.8756</v>
      </c>
      <c r="C21" s="7">
        <v>5.376450884068796</v>
      </c>
      <c r="D21" s="7">
        <v>1.105659358968494</v>
      </c>
      <c r="E21" s="7">
        <v>1.118315828811571</v>
      </c>
      <c r="F21" s="5">
        <f>IF(AND(ISNUMBER(D21),ISNUMBER(E21),D21&lt;&gt;0),(D21-E21)/D21,"待補")</f>
        <v>-0.011446988387891759</v>
      </c>
      <c r="G21" s="5">
        <f>IF(AND(ISNUMBER(B21),ISNUMBER(E21),B21&lt;&gt;0),(B21-E21)/B21,"待補")</f>
        <v>0.7706301114095557</v>
      </c>
      <c r="H21" s="4" t="s">
        <v>37</v>
      </c>
    </row>
    <row r="22" spans="1:8" ht="45" customHeight="1">
      <c r="A22" s="4" t="s">
        <v>21</v>
      </c>
      <c r="B22" s="7">
        <v>4.356</v>
      </c>
      <c r="C22" s="7">
        <v>123.234678935483</v>
      </c>
      <c r="D22" s="7">
        <v>864.7622010386872</v>
      </c>
      <c r="E22" s="7">
        <v>3.392022720762585</v>
      </c>
      <c r="F22" s="5">
        <f>IF(AND(ISNUMBER(D22),ISNUMBER(E22),D22&lt;&gt;0),(D22-E22)/D22,"待補")</f>
        <v>0.9960775081095262</v>
      </c>
      <c r="G22" s="5">
        <f>IF(AND(ISNUMBER(B22),ISNUMBER(E22),B22&lt;&gt;0),(B22-E22)/B22,"待補")</f>
        <v>0.2212987326073037</v>
      </c>
      <c r="H22" s="4" t="s">
        <v>38</v>
      </c>
    </row>
    <row r="23" spans="1:8" ht="45" customHeight="1">
      <c r="A23" s="4" t="s">
        <v>24</v>
      </c>
      <c r="B23" s="7">
        <v>15.3427</v>
      </c>
      <c r="C23" s="7">
        <v>12.62093021050369</v>
      </c>
      <c r="D23" s="7">
        <v>0.6038135171016774</v>
      </c>
      <c r="E23" s="7">
        <v>0.6038135170910868</v>
      </c>
      <c r="F23" s="5">
        <f>IF(AND(ISNUMBER(D23),ISNUMBER(E23),D23&lt;&gt;0),(D23-E23)/D23,"待補")</f>
        <v>1.7539477433110922e-11</v>
      </c>
      <c r="G23" s="5">
        <f>IF(AND(ISNUMBER(B23),ISNUMBER(E23),B23&lt;&gt;0),(B23-E23)/B23,"待補")</f>
        <v>0.9606448984148105</v>
      </c>
      <c r="H23" s="4" t="s">
        <v>39</v>
      </c>
    </row>
    <row r="26" spans="1:8" ht="44" customHeight="1">
      <c r="A26" s="2" t="s">
        <v>40</v>
      </c>
      <c r="B26" s="2"/>
      <c r="C26" s="2"/>
      <c r="D26" s="2"/>
      <c r="E26" s="2"/>
      <c r="F26" s="2"/>
      <c r="G26" s="2"/>
      <c r="H26" s="2"/>
    </row>
    <row r="28" spans="1:8" ht="28" customHeight="1">
      <c r="A28" s="3" t="s">
        <v>41</v>
      </c>
      <c r="B28" s="3"/>
      <c r="C28" s="3"/>
      <c r="D28" s="3"/>
      <c r="E28" s="3"/>
      <c r="F28" s="3"/>
      <c r="G28" s="3"/>
      <c r="H28" s="3"/>
    </row>
    <row r="29" spans="1:8" ht="40" customHeight="1">
      <c r="A29" s="3" t="s">
        <v>5</v>
      </c>
      <c r="B29" s="3" t="s">
        <v>42</v>
      </c>
      <c r="C29" s="3" t="s">
        <v>43</v>
      </c>
      <c r="D29" s="3" t="s">
        <v>44</v>
      </c>
      <c r="E29" s="3" t="s">
        <v>45</v>
      </c>
    </row>
    <row r="30" spans="1:8" ht="45" customHeight="1">
      <c r="A30" s="4" t="s">
        <v>13</v>
      </c>
      <c r="B30" s="5">
        <v>1</v>
      </c>
      <c r="C30" s="5">
        <v>1</v>
      </c>
      <c r="D30" s="7">
        <v>2.886600508789238</v>
      </c>
      <c r="E30" s="7">
        <v>2.886600508789238</v>
      </c>
    </row>
    <row r="31" spans="1:8" ht="45" customHeight="1">
      <c r="A31" s="4" t="s">
        <v>18</v>
      </c>
      <c r="B31" s="5">
        <v>1</v>
      </c>
      <c r="C31" s="5">
        <v>1</v>
      </c>
      <c r="D31" s="7">
        <v>1.185415858528841</v>
      </c>
      <c r="E31" s="7">
        <v>1.185415858528841</v>
      </c>
    </row>
    <row r="32" spans="1:8" ht="45" customHeight="1">
      <c r="A32" s="4" t="s">
        <v>20</v>
      </c>
      <c r="B32" s="5">
        <v>1</v>
      </c>
      <c r="C32" s="5">
        <v>1</v>
      </c>
      <c r="D32" s="7">
        <v>1.105659358968494</v>
      </c>
      <c r="E32" s="7">
        <v>1.118315828811571</v>
      </c>
    </row>
    <row r="33" spans="1:5" ht="45" customHeight="1">
      <c r="A33" s="4" t="s">
        <v>21</v>
      </c>
      <c r="B33" s="5">
        <v>0.78</v>
      </c>
      <c r="C33" s="5">
        <v>1</v>
      </c>
      <c r="D33" s="7">
        <v>864.7622010386872</v>
      </c>
      <c r="E33" s="7">
        <v>3.392022720762585</v>
      </c>
    </row>
    <row r="34" spans="1:5" ht="45" customHeight="1">
      <c r="A34" s="4" t="s">
        <v>24</v>
      </c>
      <c r="B34" s="5">
        <v>1</v>
      </c>
      <c r="C34" s="5">
        <v>1</v>
      </c>
      <c r="D34" s="7">
        <v>0.6038135171016774</v>
      </c>
      <c r="E34" s="7">
        <v>0.6038135170910868</v>
      </c>
    </row>
  </sheetData>
  <mergeCells count="9">
    <mergeCell ref="A1:H1"/>
    <mergeCell ref="A2:H2"/>
    <mergeCell ref="A3:H3"/>
    <mergeCell ref="A4:H4"/>
    <mergeCell ref="A6:H6"/>
    <mergeCell ref="A15:H15"/>
    <mergeCell ref="A17:H17"/>
    <mergeCell ref="A26:H26"/>
    <mergeCell ref="A28:H28"/>
  </mergeCells>
  <pageMargins left="0.25" right="0.25" top="0.4" bottom="0.4" header="0.3" footer="0.3"/>
  <pageSetup paperSize="8" fitToHeight="0" orientation="landscape"/>
  <headerFooter>
    <oddHeader>&amp;C第6次｜結構驗證與最終比較</oddHeader>
    <oddFooter>&amp;L單位依欄名；pp為百分點&amp;R&amp;P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9"/>
  <sheetViews>
    <sheetView showGridLines="0" zoomScale="95" zoomScaleNormal="9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6.7109375" customWidth="1"/>
    <col min="2" max="2" width="28.7109375" customWidth="1"/>
    <col min="3" max="3" width="35.7109375" customWidth="1"/>
    <col min="4" max="4" width="72.7109375" customWidth="1"/>
    <col min="5" max="8" width="5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38" customHeight="1">
      <c r="A3" s="2" t="s">
        <v>2</v>
      </c>
      <c r="B3" s="2"/>
      <c r="C3" s="2"/>
      <c r="D3" s="2"/>
      <c r="E3" s="2"/>
      <c r="F3" s="2"/>
      <c r="G3" s="2"/>
      <c r="H3" s="2"/>
    </row>
    <row r="5" spans="1:8" ht="28" customHeight="1">
      <c r="A5" s="3" t="s">
        <v>46</v>
      </c>
      <c r="B5" s="3"/>
      <c r="C5" s="3"/>
      <c r="D5" s="3"/>
      <c r="E5" s="3"/>
      <c r="F5" s="3"/>
      <c r="G5" s="3"/>
      <c r="H5" s="3"/>
    </row>
    <row r="6" spans="1:8" ht="40" customHeight="1">
      <c r="A6" s="3" t="s">
        <v>47</v>
      </c>
      <c r="B6" s="3" t="s">
        <v>48</v>
      </c>
      <c r="C6" s="3" t="s">
        <v>49</v>
      </c>
      <c r="D6" s="3" t="s">
        <v>50</v>
      </c>
    </row>
    <row r="7" spans="1:8" ht="45" customHeight="1">
      <c r="A7" s="4" t="s">
        <v>51</v>
      </c>
      <c r="B7" s="4" t="s">
        <v>52</v>
      </c>
      <c r="C7" s="4" t="s">
        <v>53</v>
      </c>
      <c r="D7" s="4" t="s">
        <v>54</v>
      </c>
    </row>
    <row r="8" spans="1:8" ht="45" customHeight="1">
      <c r="A8" s="4" t="s">
        <v>55</v>
      </c>
      <c r="B8" s="4" t="s">
        <v>56</v>
      </c>
      <c r="C8" s="4" t="s">
        <v>57</v>
      </c>
      <c r="D8" s="4" t="s">
        <v>58</v>
      </c>
    </row>
    <row r="9" spans="1:8" ht="45" customHeight="1">
      <c r="A9" s="4" t="s">
        <v>59</v>
      </c>
      <c r="B9" s="4" t="s">
        <v>60</v>
      </c>
      <c r="C9" s="4" t="s">
        <v>61</v>
      </c>
      <c r="D9" s="4" t="s">
        <v>62</v>
      </c>
    </row>
    <row r="10" spans="1:8" ht="45" customHeight="1">
      <c r="A10" s="4" t="s">
        <v>63</v>
      </c>
      <c r="B10" s="4" t="s">
        <v>64</v>
      </c>
      <c r="C10" s="4" t="s">
        <v>65</v>
      </c>
      <c r="D10" s="4" t="s">
        <v>66</v>
      </c>
    </row>
    <row r="11" spans="1:8" ht="45" customHeight="1">
      <c r="A11" s="4" t="s">
        <v>67</v>
      </c>
      <c r="B11" s="4" t="s">
        <v>68</v>
      </c>
      <c r="C11" s="4" t="s">
        <v>69</v>
      </c>
      <c r="D11" s="4" t="s">
        <v>70</v>
      </c>
    </row>
    <row r="14" spans="1:8" ht="46" customHeight="1">
      <c r="A14" s="2" t="s">
        <v>71</v>
      </c>
      <c r="B14" s="2"/>
      <c r="C14" s="2"/>
      <c r="D14" s="2"/>
      <c r="E14" s="2"/>
      <c r="F14" s="2"/>
      <c r="G14" s="2"/>
      <c r="H14" s="2"/>
    </row>
    <row r="16" spans="1:8" ht="28" customHeight="1">
      <c r="A16" s="3" t="s">
        <v>72</v>
      </c>
      <c r="B16" s="3"/>
      <c r="C16" s="3"/>
      <c r="D16" s="3"/>
      <c r="E16" s="3"/>
      <c r="F16" s="3"/>
      <c r="G16" s="3"/>
      <c r="H16" s="3"/>
    </row>
    <row r="17" spans="1:8" ht="40" customHeight="1">
      <c r="A17" s="3" t="s">
        <v>5</v>
      </c>
      <c r="B17" s="3" t="s">
        <v>73</v>
      </c>
      <c r="C17" s="3" t="s">
        <v>74</v>
      </c>
      <c r="D17" s="3" t="s">
        <v>75</v>
      </c>
    </row>
    <row r="18" spans="1:8" ht="45" customHeight="1">
      <c r="A18" s="4" t="s">
        <v>13</v>
      </c>
      <c r="B18" s="7">
        <v>20.718</v>
      </c>
      <c r="C18" s="7">
        <v>11.657</v>
      </c>
      <c r="D18" s="4" t="s">
        <v>76</v>
      </c>
    </row>
    <row r="19" spans="1:8" ht="45" customHeight="1">
      <c r="A19" s="4" t="s">
        <v>18</v>
      </c>
      <c r="B19" s="7">
        <v>30.699</v>
      </c>
      <c r="C19" s="7">
        <v>16.712</v>
      </c>
      <c r="D19" s="4" t="s">
        <v>76</v>
      </c>
    </row>
    <row r="20" spans="1:8" ht="45" customHeight="1">
      <c r="A20" s="4" t="s">
        <v>20</v>
      </c>
      <c r="B20" s="7">
        <v>4.5596</v>
      </c>
      <c r="C20" s="7">
        <v>8.3584</v>
      </c>
      <c r="D20" s="4" t="s">
        <v>76</v>
      </c>
    </row>
    <row r="21" spans="1:8" ht="45" customHeight="1">
      <c r="A21" s="4" t="s">
        <v>21</v>
      </c>
      <c r="B21" s="7">
        <v>19.522</v>
      </c>
      <c r="C21" s="7">
        <v>9.451599999999999</v>
      </c>
      <c r="D21" s="4" t="s">
        <v>76</v>
      </c>
    </row>
    <row r="22" spans="1:8" ht="45" customHeight="1">
      <c r="A22" s="4" t="s">
        <v>24</v>
      </c>
      <c r="B22" s="7">
        <v>3.0405</v>
      </c>
      <c r="C22" s="7">
        <v>8.699199999999999</v>
      </c>
      <c r="D22" s="4" t="s">
        <v>76</v>
      </c>
    </row>
    <row r="25" spans="1:8" ht="28" customHeight="1">
      <c r="A25" s="3" t="s">
        <v>77</v>
      </c>
      <c r="B25" s="3"/>
      <c r="C25" s="3"/>
      <c r="D25" s="3"/>
      <c r="E25" s="3"/>
      <c r="F25" s="3"/>
      <c r="G25" s="3"/>
      <c r="H25" s="3"/>
    </row>
    <row r="26" spans="1:8" ht="38" customHeight="1">
      <c r="A26" s="2" t="s">
        <v>78</v>
      </c>
      <c r="B26" s="2"/>
      <c r="C26" s="2"/>
      <c r="D26" s="2"/>
      <c r="E26" s="2"/>
      <c r="F26" s="2"/>
      <c r="G26" s="2"/>
      <c r="H26" s="2"/>
    </row>
    <row r="27" spans="1:8" ht="38" customHeight="1">
      <c r="A27" s="2" t="s">
        <v>79</v>
      </c>
      <c r="B27" s="2"/>
      <c r="C27" s="2"/>
      <c r="D27" s="2"/>
      <c r="E27" s="2"/>
      <c r="F27" s="2"/>
      <c r="G27" s="2"/>
      <c r="H27" s="2"/>
    </row>
    <row r="28" spans="1:8" ht="38" customHeight="1">
      <c r="A28" s="2" t="s">
        <v>80</v>
      </c>
      <c r="B28" s="2"/>
      <c r="C28" s="2"/>
      <c r="D28" s="2"/>
      <c r="E28" s="2"/>
      <c r="F28" s="2"/>
      <c r="G28" s="2"/>
      <c r="H28" s="2"/>
    </row>
    <row r="29" spans="1:8" ht="52" customHeight="1">
      <c r="A29" s="2" t="s">
        <v>81</v>
      </c>
      <c r="B29" s="2"/>
      <c r="C29" s="2"/>
      <c r="D29" s="2"/>
      <c r="E29" s="2"/>
      <c r="F29" s="2"/>
      <c r="G29" s="2"/>
      <c r="H29" s="2"/>
    </row>
  </sheetData>
  <mergeCells count="11">
    <mergeCell ref="A1:H1"/>
    <mergeCell ref="A2:H2"/>
    <mergeCell ref="A3:H3"/>
    <mergeCell ref="A5:H5"/>
    <mergeCell ref="A14:H14"/>
    <mergeCell ref="A16:H16"/>
    <mergeCell ref="A25:H25"/>
    <mergeCell ref="A26:H26"/>
    <mergeCell ref="A27:H27"/>
    <mergeCell ref="A28:H28"/>
    <mergeCell ref="A29:H29"/>
  </mergeCells>
  <pageMargins left="0.25" right="0.25" top="0.4" bottom="0.4" header="0.3" footer="0.3"/>
  <pageSetup paperSize="8" fitToHeight="0" orientation="landscape"/>
  <headerFooter>
    <oddHeader>&amp;C第6次｜結構驗證與最終比較</oddHeader>
    <oddFooter>&amp;L單位依欄名；pp為百分點&amp;R&amp;P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2"/>
  <sheetViews>
    <sheetView showGridLines="0" zoomScale="95" zoomScaleNormal="9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7.7109375" customWidth="1"/>
    <col min="2" max="2" width="21.7109375" customWidth="1"/>
    <col min="3" max="4" width="20.7109375" customWidth="1"/>
    <col min="5" max="5" width="18.7109375" customWidth="1"/>
    <col min="6" max="7" width="20.7109375" customWidth="1"/>
    <col min="8" max="8" width="30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38" customHeight="1">
      <c r="A3" s="2" t="s">
        <v>2</v>
      </c>
      <c r="B3" s="2"/>
      <c r="C3" s="2"/>
      <c r="D3" s="2"/>
      <c r="E3" s="2"/>
      <c r="F3" s="2"/>
      <c r="G3" s="2"/>
      <c r="H3" s="2"/>
    </row>
    <row r="5" spans="1:8" ht="28" customHeight="1">
      <c r="A5" s="3" t="s">
        <v>82</v>
      </c>
      <c r="B5" s="3"/>
      <c r="C5" s="3"/>
      <c r="D5" s="3"/>
      <c r="E5" s="3"/>
      <c r="F5" s="3"/>
      <c r="G5" s="3"/>
      <c r="H5" s="3"/>
    </row>
    <row r="6" spans="1:8" ht="40" customHeight="1">
      <c r="A6" s="3" t="s">
        <v>83</v>
      </c>
      <c r="B6" s="3" t="s">
        <v>84</v>
      </c>
      <c r="C6" s="3" t="s">
        <v>85</v>
      </c>
      <c r="D6" s="3" t="s">
        <v>86</v>
      </c>
      <c r="E6" s="3" t="s">
        <v>87</v>
      </c>
      <c r="F6" s="3" t="s">
        <v>88</v>
      </c>
      <c r="G6" s="3" t="s">
        <v>89</v>
      </c>
      <c r="H6" s="3" t="s">
        <v>90</v>
      </c>
    </row>
    <row r="7" spans="1:8" ht="45" customHeight="1">
      <c r="A7" s="4" t="s">
        <v>13</v>
      </c>
      <c r="B7" s="4">
        <v>0</v>
      </c>
      <c r="C7" s="4">
        <v>0</v>
      </c>
      <c r="D7" s="4">
        <v>100</v>
      </c>
      <c r="E7" s="7">
        <v>2.886600508789238</v>
      </c>
      <c r="F7" s="7">
        <v>2.886600508789238</v>
      </c>
      <c r="G7" s="5">
        <f>IF(AND(ISNUMBER(E7),ISNUMBER(F7),E7&lt;&gt;0),(E7-F7)/E7,"待補")</f>
        <v>0.0</v>
      </c>
      <c r="H7" s="4" t="s">
        <v>91</v>
      </c>
    </row>
    <row r="8" spans="1:8" ht="45" customHeight="1">
      <c r="A8" s="4" t="s">
        <v>18</v>
      </c>
      <c r="B8" s="4">
        <v>0</v>
      </c>
      <c r="C8" s="4">
        <v>0</v>
      </c>
      <c r="D8" s="4">
        <v>100</v>
      </c>
      <c r="E8" s="7">
        <v>1.185415858528841</v>
      </c>
      <c r="F8" s="7">
        <v>1.185415858528841</v>
      </c>
      <c r="G8" s="5">
        <f>IF(AND(ISNUMBER(E8),ISNUMBER(F8),E8&lt;&gt;0),(E8-F8)/E8,"待補")</f>
        <v>0.0</v>
      </c>
      <c r="H8" s="4" t="s">
        <v>91</v>
      </c>
    </row>
    <row r="9" spans="1:8" ht="45" customHeight="1">
      <c r="A9" s="4" t="s">
        <v>20</v>
      </c>
      <c r="B9" s="4">
        <v>0</v>
      </c>
      <c r="C9" s="4">
        <v>0</v>
      </c>
      <c r="D9" s="4">
        <v>100</v>
      </c>
      <c r="E9" s="7">
        <v>1.105659358968494</v>
      </c>
      <c r="F9" s="7">
        <v>1.118315828811571</v>
      </c>
      <c r="G9" s="5">
        <f>IF(AND(ISNUMBER(E9),ISNUMBER(F9),E9&lt;&gt;0),(E9-F9)/E9,"待補")</f>
        <v>-0.011446988387891759</v>
      </c>
      <c r="H9" s="4" t="s">
        <v>91</v>
      </c>
    </row>
    <row r="10" spans="1:8" ht="45" customHeight="1">
      <c r="A10" s="4" t="s">
        <v>21</v>
      </c>
      <c r="B10" s="4">
        <v>22</v>
      </c>
      <c r="C10" s="4">
        <v>0</v>
      </c>
      <c r="D10" s="4">
        <v>78</v>
      </c>
      <c r="E10" s="7">
        <v>2.185295580106831</v>
      </c>
      <c r="F10" s="7">
        <v>2.258594574140534</v>
      </c>
      <c r="G10" s="5">
        <f>IF(AND(ISNUMBER(E10),ISNUMBER(F10),E10&lt;&gt;0),(E10-F10)/E10,"待補")</f>
        <v>-0.03354191291144178</v>
      </c>
      <c r="H10" s="4" t="s">
        <v>91</v>
      </c>
    </row>
    <row r="11" spans="1:8" ht="45" customHeight="1">
      <c r="A11" s="4" t="s">
        <v>24</v>
      </c>
      <c r="B11" s="4">
        <v>0</v>
      </c>
      <c r="C11" s="4">
        <v>0</v>
      </c>
      <c r="D11" s="4">
        <v>150</v>
      </c>
      <c r="E11" s="7">
        <v>0.6038135171016774</v>
      </c>
      <c r="F11" s="7">
        <v>0.6038135170910868</v>
      </c>
      <c r="G11" s="5">
        <f>IF(AND(ISNUMBER(E11),ISNUMBER(F11),E11&lt;&gt;0),(E11-F11)/E11,"待補")</f>
        <v>1.7539477433110922e-11</v>
      </c>
      <c r="H11" s="4" t="s">
        <v>91</v>
      </c>
    </row>
    <row r="14" spans="1:8" ht="28" customHeight="1">
      <c r="A14" s="3" t="s">
        <v>92</v>
      </c>
      <c r="B14" s="3"/>
      <c r="C14" s="3"/>
      <c r="D14" s="3"/>
      <c r="E14" s="3"/>
      <c r="F14" s="3"/>
      <c r="G14" s="3"/>
      <c r="H14" s="3"/>
    </row>
    <row r="15" spans="1:8" ht="40" customHeight="1">
      <c r="A15" s="3" t="s">
        <v>5</v>
      </c>
      <c r="B15" s="3" t="s">
        <v>93</v>
      </c>
      <c r="C15" s="3" t="s">
        <v>94</v>
      </c>
      <c r="D15" s="3" t="s">
        <v>95</v>
      </c>
      <c r="E15" s="3" t="s">
        <v>96</v>
      </c>
      <c r="F15" s="3" t="s">
        <v>97</v>
      </c>
      <c r="G15" s="3" t="s">
        <v>98</v>
      </c>
      <c r="H15" s="3" t="s">
        <v>99</v>
      </c>
    </row>
    <row r="16" spans="1:8" ht="45" customHeight="1">
      <c r="A16" s="4" t="s">
        <v>13</v>
      </c>
      <c r="B16" s="7">
        <v>0.0356799496337756</v>
      </c>
      <c r="C16" s="7">
        <v>0.0356799496337756</v>
      </c>
      <c r="D16" s="7">
        <v>2.919916286083178</v>
      </c>
      <c r="E16" s="7">
        <v>2.919916286083178</v>
      </c>
      <c r="F16" s="7">
        <v>801.3975566300001</v>
      </c>
      <c r="G16" s="7">
        <v>2348.06727557</v>
      </c>
      <c r="H16" s="4" t="s">
        <v>100</v>
      </c>
    </row>
    <row r="17" spans="1:8" ht="45" customHeight="1">
      <c r="A17" s="4" t="s">
        <v>18</v>
      </c>
      <c r="B17" s="7">
        <v>0.055756468034214</v>
      </c>
      <c r="C17" s="7">
        <v>0.055756468034214</v>
      </c>
      <c r="D17" s="7">
        <v>1.035235466820431</v>
      </c>
      <c r="E17" s="7">
        <v>1.035235466820431</v>
      </c>
      <c r="F17" s="7">
        <v>942.32916675</v>
      </c>
      <c r="G17" s="7">
        <v>4005.95130984</v>
      </c>
      <c r="H17" s="4" t="s">
        <v>100</v>
      </c>
    </row>
    <row r="18" spans="1:8" ht="45" customHeight="1">
      <c r="A18" s="4" t="s">
        <v>20</v>
      </c>
      <c r="B18" s="7">
        <v>0.01954336228675064</v>
      </c>
      <c r="C18" s="7">
        <v>0.02032866491363596</v>
      </c>
      <c r="D18" s="7">
        <v>1.096707992766773</v>
      </c>
      <c r="E18" s="7">
        <v>1.107310874057868</v>
      </c>
      <c r="F18" s="7">
        <v>570.34143955</v>
      </c>
      <c r="G18" s="7">
        <v>2741.96727989</v>
      </c>
      <c r="H18" s="4" t="s">
        <v>100</v>
      </c>
    </row>
    <row r="19" spans="1:8" ht="45" customHeight="1">
      <c r="A19" s="4" t="s">
        <v>21</v>
      </c>
      <c r="B19" s="7">
        <v>28.79554128389449</v>
      </c>
      <c r="C19" s="7">
        <v>0.02902219205984687</v>
      </c>
      <c r="D19" s="7">
        <v>874.4183854103326</v>
      </c>
      <c r="E19" s="7">
        <v>3.39372362588537</v>
      </c>
      <c r="F19" s="7">
        <v>2294.81875456</v>
      </c>
      <c r="G19" s="7">
        <v>6423.18030219</v>
      </c>
      <c r="H19" s="4" t="s">
        <v>100</v>
      </c>
    </row>
    <row r="20" spans="1:8" ht="45" customHeight="1">
      <c r="A20" s="4" t="s">
        <v>24</v>
      </c>
      <c r="B20" s="7">
        <v>0.05416013956593288</v>
      </c>
      <c r="C20" s="7">
        <v>0.05416013956404717</v>
      </c>
      <c r="D20" s="7">
        <v>0.4025727637267302</v>
      </c>
      <c r="E20" s="7">
        <v>0.4025727637157485</v>
      </c>
      <c r="F20" s="7">
        <v>1440.75008394</v>
      </c>
      <c r="G20" s="7">
        <v>7082.222933306666</v>
      </c>
      <c r="H20" s="4" t="s">
        <v>100</v>
      </c>
    </row>
    <row r="23" spans="1:8" ht="28" customHeight="1">
      <c r="A23" s="3" t="s">
        <v>101</v>
      </c>
      <c r="B23" s="3"/>
      <c r="C23" s="3"/>
      <c r="D23" s="3"/>
      <c r="E23" s="3"/>
      <c r="F23" s="3"/>
      <c r="G23" s="3"/>
      <c r="H23" s="3"/>
    </row>
    <row r="24" spans="1:8" ht="40" customHeight="1">
      <c r="A24" s="3" t="s">
        <v>5</v>
      </c>
      <c r="B24" s="3" t="s">
        <v>102</v>
      </c>
      <c r="C24" s="3" t="s">
        <v>103</v>
      </c>
      <c r="D24" s="3" t="s">
        <v>104</v>
      </c>
      <c r="E24" s="3" t="s">
        <v>105</v>
      </c>
      <c r="F24" s="3" t="s">
        <v>106</v>
      </c>
      <c r="G24" s="3" t="s">
        <v>107</v>
      </c>
      <c r="H24" s="3" t="s">
        <v>90</v>
      </c>
    </row>
    <row r="25" spans="1:8" ht="45" customHeight="1">
      <c r="A25" s="4" t="s">
        <v>13</v>
      </c>
      <c r="B25" s="4" t="s">
        <v>14</v>
      </c>
      <c r="C25" s="4" t="s">
        <v>14</v>
      </c>
      <c r="D25" s="4" t="s">
        <v>14</v>
      </c>
      <c r="E25" s="7">
        <v>2.886600508815139</v>
      </c>
      <c r="F25" s="7">
        <v>2.886600508789238</v>
      </c>
      <c r="G25" s="7">
        <v>2.886600508789238</v>
      </c>
      <c r="H25" s="4" t="s">
        <v>108</v>
      </c>
    </row>
    <row r="26" spans="1:8" ht="45" customHeight="1">
      <c r="A26" s="4" t="s">
        <v>18</v>
      </c>
      <c r="B26" s="4" t="s">
        <v>109</v>
      </c>
      <c r="C26" s="4" t="s">
        <v>14</v>
      </c>
      <c r="D26" s="4" t="s">
        <v>14</v>
      </c>
      <c r="E26" s="7">
        <v>5.495887109547524</v>
      </c>
      <c r="F26" s="7">
        <v>1.185415858528841</v>
      </c>
      <c r="G26" s="7">
        <v>1.185415858528841</v>
      </c>
      <c r="H26" s="4" t="s">
        <v>108</v>
      </c>
    </row>
    <row r="27" spans="1:8" ht="45" customHeight="1">
      <c r="A27" s="4" t="s">
        <v>20</v>
      </c>
      <c r="B27" s="4" t="s">
        <v>14</v>
      </c>
      <c r="C27" s="4" t="s">
        <v>14</v>
      </c>
      <c r="D27" s="4" t="s">
        <v>14</v>
      </c>
      <c r="E27" s="7">
        <v>1.118306809353784</v>
      </c>
      <c r="F27" s="7">
        <v>1.118315828811571</v>
      </c>
      <c r="G27" s="7">
        <v>1.118315828811571</v>
      </c>
      <c r="H27" s="4" t="s">
        <v>108</v>
      </c>
    </row>
    <row r="28" spans="1:8" ht="45" customHeight="1">
      <c r="A28" s="4" t="s">
        <v>21</v>
      </c>
      <c r="B28" s="4" t="s">
        <v>110</v>
      </c>
      <c r="C28" s="4" t="s">
        <v>111</v>
      </c>
      <c r="D28" s="4" t="s">
        <v>14</v>
      </c>
      <c r="E28" s="7">
        <v>113.2921948004322</v>
      </c>
      <c r="F28" s="7">
        <v>103.2321322575001</v>
      </c>
      <c r="G28" s="7">
        <v>3.392022720762585</v>
      </c>
      <c r="H28" s="4" t="s">
        <v>108</v>
      </c>
    </row>
    <row r="29" spans="1:8" ht="45" customHeight="1">
      <c r="A29" s="4" t="s">
        <v>24</v>
      </c>
      <c r="B29" s="4" t="s">
        <v>112</v>
      </c>
      <c r="C29" s="4" t="s">
        <v>26</v>
      </c>
      <c r="D29" s="4" t="s">
        <v>26</v>
      </c>
      <c r="E29" s="7">
        <v>0.5918335658071731</v>
      </c>
      <c r="F29" s="7">
        <v>0.6038135170910868</v>
      </c>
      <c r="G29" s="7">
        <v>0.6038135170910868</v>
      </c>
      <c r="H29" s="4" t="s">
        <v>108</v>
      </c>
    </row>
    <row r="32" spans="1:8" ht="48" customHeight="1">
      <c r="A32" s="2" t="s">
        <v>113</v>
      </c>
      <c r="B32" s="2"/>
      <c r="C32" s="2"/>
      <c r="D32" s="2"/>
      <c r="E32" s="2"/>
      <c r="F32" s="2"/>
      <c r="G32" s="2"/>
      <c r="H32" s="2"/>
    </row>
  </sheetData>
  <mergeCells count="7">
    <mergeCell ref="A1:H1"/>
    <mergeCell ref="A2:H2"/>
    <mergeCell ref="A3:H3"/>
    <mergeCell ref="A5:H5"/>
    <mergeCell ref="A14:H14"/>
    <mergeCell ref="A23:H23"/>
    <mergeCell ref="A32:H32"/>
  </mergeCells>
  <pageMargins left="0.25" right="0.25" top="0.4" bottom="0.4" header="0.3" footer="0.3"/>
  <pageSetup paperSize="8" fitToHeight="0" orientation="landscape"/>
  <headerFooter>
    <oddHeader>&amp;C第6次｜結構驗證與最終比較</oddHeader>
    <oddFooter>&amp;L單位依欄名；pp為百分點&amp;R&amp;P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結果比較</vt:lpstr>
      <vt:lpstr>設定與說明</vt:lpstr>
      <vt:lpstr>必要對照</vt:lpstr>
      <vt:lpstr>必要對照!Print_Area</vt:lpstr>
      <vt:lpstr>結果比較!Print_Area</vt:lpstr>
      <vt:lpstr>設定與說明!Print_Area</vt:lpstr>
      <vt:lpstr>必要對照!Print_Titles</vt:lpstr>
      <vt:lpstr>結果比較!Print_Titles</vt:lpstr>
      <vt:lpstr>設定與說明!Print_Titles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2026-10-27T20:33:42Z</dcterms:created>
  <dcterms:modified xsi:type="dcterms:W3CDTF">2026-10-27T20:33:42Z</dcterms:modified>
</cp:coreProperties>
</file>