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四組結果比較" sheetId="1" r:id="rId1"/>
    <sheet name="設定與說明" sheetId="2" r:id="rId2"/>
  </sheets>
  <definedNames>
    <definedName name="_xlnm.Print_Area" localSheetId="0">四組結果比較!$A$1:$H$45</definedName>
    <definedName name="_xlnm.Print_Area" localSheetId="1">設定與說明!$A$1:$H$29</definedName>
    <definedName name="_xlnm.Print_Titles" localSheetId="0">四組結果比較!$1:$3</definedName>
    <definedName name="_xlnm.Print_Titles" localSheetId="1">設定與說明!$1:$3</definedName>
  </definedNames>
  <calcPr calcId="124519" fullCalcOnLoad="1"/>
</workbook>
</file>

<file path=xl/sharedStrings.xml><?xml version="1.0" encoding="utf-8"?>
<sst xmlns="http://schemas.openxmlformats.org/spreadsheetml/2006/main" count="102" uniqueCount="78">
  <si>
    <t>第1次｜CN距離容差與Solver</t>
  </si>
  <si>
    <t>成功門檻：e_R&lt;2°且e_t&lt;0.5m。e_p為Eq8全來源點變換誤差；finite mean包含可計算失敗，無變換仍算失敗、誤差不填0。</t>
  </si>
  <si>
    <t>GT不參與當次配準輸出選擇；開發期間曾以GT評分選設定。相同掃描站換seed只測隨機敏感度，不是未見森林。</t>
  </si>
  <si>
    <t>只改CN距離容差與Solver；四組補救均關閉</t>
  </si>
  <si>
    <t>CN／Solver</t>
  </si>
  <si>
    <t>成功／總數</t>
  </si>
  <si>
    <t>成功率</t>
  </si>
  <si>
    <t>有限mean e_p cm</t>
  </si>
  <si>
    <t>有限N</t>
  </si>
  <si>
    <t>mean e_R °</t>
  </si>
  <si>
    <t>mean e_t cm</t>
  </si>
  <si>
    <t>平均time_ms</t>
  </si>
  <si>
    <t>5cm／SVD</t>
  </si>
  <si>
    <t>118/150</t>
  </si>
  <si>
    <t>5cm／RANSAC</t>
  </si>
  <si>
    <t>123/150</t>
  </si>
  <si>
    <t>10cm／SVD</t>
  </si>
  <si>
    <t>135/150</t>
  </si>
  <si>
    <t>10cm／RANSAC</t>
  </si>
  <si>
    <t>142/150</t>
  </si>
  <si>
    <t>ETH-tree六站、15個固定兩站配對×seed11–20，各150次；四組使用相同提取樹位。有限N為130／130／143／143，故5→10cm的有限mean不直接計下降率。e_R/e_t亦僅平均可計算值。</t>
  </si>
  <si>
    <t>一次只改一項：讀懂四組組合</t>
  </si>
  <si>
    <t>固定條件</t>
  </si>
  <si>
    <t>唯一改動</t>
  </si>
  <si>
    <t>前成功數</t>
  </si>
  <si>
    <t>後成功數</t>
  </si>
  <si>
    <t>前成功率</t>
  </si>
  <si>
    <t>後成功率</t>
  </si>
  <si>
    <t>差：後−前 pp</t>
  </si>
  <si>
    <t>成功數淨增加</t>
  </si>
  <si>
    <t>SVD固定</t>
  </si>
  <si>
    <t>5→10cm</t>
  </si>
  <si>
    <t>待補</t>
  </si>
  <si>
    <t>RANSAC固定</t>
  </si>
  <si>
    <t>5cm固定</t>
  </si>
  <si>
    <t>SVD→RANSAC</t>
  </si>
  <si>
    <t>10cm固定</t>
  </si>
  <si>
    <t>成功數淨增加不是「新增成功且完全無退步」；精確新增／退步與共同成功比較見第二頁。整體5cm/SVD→10cm/RANSAC為118→142，但不可把24次全歸給單一變數。</t>
  </si>
  <si>
    <t>本週只看兩個變數</t>
  </si>
  <si>
    <t>項目</t>
  </si>
  <si>
    <t>前／設定A</t>
  </si>
  <si>
    <t>後／設定B</t>
  </si>
  <si>
    <t>作用與固定條件</t>
  </si>
  <si>
    <t>CN距離容差</t>
  </si>
  <si>
    <t>0.05m</t>
  </si>
  <si>
    <t>0.10m</t>
  </si>
  <si>
    <t>允許descriptor距離差更大；也可能增加錯配</t>
  </si>
  <si>
    <t>Solver</t>
  </si>
  <si>
    <t>Kabsch／SVD</t>
  </si>
  <si>
    <t>Kabsch＋RANSAC</t>
  </si>
  <si>
    <t>先尋找3D一致群，再估剛體變換</t>
  </si>
  <si>
    <t>弱配對補救</t>
  </si>
  <si>
    <t>關閉</t>
  </si>
  <si>
    <t>第一週固定，不介紹或歸因此模組</t>
  </si>
  <si>
    <t>提取與descriptor</t>
  </si>
  <si>
    <t>同一批樹位</t>
  </si>
  <si>
    <t>同前</t>
  </si>
  <si>
    <t>step、分群0.20m、verticality&gt;0.9；N183/w10/Thscore40固定</t>
  </si>
  <si>
    <t>相同配對與seed：新增成功、退步與共同成功精度</t>
  </si>
  <si>
    <t>比較</t>
  </si>
  <si>
    <t>新增成功</t>
  </si>
  <si>
    <t>退步失敗</t>
  </si>
  <si>
    <t>共同成功N</t>
  </si>
  <si>
    <t>前e_p cm</t>
  </si>
  <si>
    <t>後e_p cm</t>
  </si>
  <si>
    <t>下降率</t>
  </si>
  <si>
    <t>限制</t>
  </si>
  <si>
    <t>SVD固定：5→10cm</t>
  </si>
  <si>
    <t>僅共同成功；不取代全體成功率</t>
  </si>
  <si>
    <t>RANSAC固定：5→10cm</t>
  </si>
  <si>
    <t>5cm固定：SVD→RANSAC</t>
  </si>
  <si>
    <t>10cm固定：SVD→RANSAC</t>
  </si>
  <si>
    <t>RANSAC固定設定為最多1000次抽樣嘗試、3D inlier&lt;0.30m、seed1；它們是solver定義，這週沒有各常數消融。GT正確matching欄只檢查XY&lt;0.30m，因此XY正確也可能存在z不一致。</t>
  </si>
  <si>
    <t>時間為descriptor＋matching＋solver，不含樹位提取、原始點雲讀取及GT誤差評估。舊批次OpenMP4，CPU型號與並行干擾未完整控制，只作本批描述性代價；不能與論文matching／total時間直接算速度提升。</t>
  </si>
  <si>
    <t>論文TableI的ETH e_p=15.3427cm、成功率100%，分母與成功門檻待補。四組本地結果是控制實驗，不是原作者程式重跑；本週尚不宣稱跨Tongji有效或嚴格超越原作。</t>
  </si>
  <si>
    <t>數據來源與比較限制</t>
  </si>
  <si>
    <t>F：results/professor_reports_20261026/evidence/F_fresh_rows.csv；SHA256 b73cafe4af6c29e65881e8fa481474ab1c304aaa273ba2c7185fbddbf90098bb</t>
  </si>
  <si>
    <t>論文：Sun等，DOI 10.1109/LGRS.2025.3650098。PDF p2方法、p3 Algorithm1、p4 TableI/II與Eq8、p5 TableIII。作者程式同環境重跑、論文成功門檻與逐場景分母待補；本地5cm參考不是作者可執行baseline。</t>
  </si>
</sst>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0.0&quot; pp&quot;"/>
  </numFmts>
  <fonts count="5">
    <font>
      <sz val="11"/>
      <color theme="1"/>
      <name val="Calibri"/>
      <family val="2"/>
      <scheme val="minor"/>
    </font>
    <font>
      <b/>
      <sz val="18"/>
      <color rgb="FF243E52"/>
      <name val="Microsoft JhengHei"/>
      <family val="2"/>
    </font>
    <font>
      <sz val="10"/>
      <color rgb="FF444444"/>
      <name val="Microsoft JhengHei"/>
      <family val="2"/>
    </font>
    <font>
      <b/>
      <sz val="13"/>
      <color theme="1"/>
      <name val="Microsoft JhengHei"/>
      <family val="2"/>
    </font>
    <font>
      <sz val="13"/>
      <color theme="1"/>
      <name val="Microsoft JhengHei"/>
      <family val="2"/>
    </font>
  </fonts>
  <fills count="3">
    <fill>
      <patternFill patternType="none"/>
    </fill>
    <fill>
      <patternFill patternType="gray125"/>
    </fill>
    <fill>
      <patternFill patternType="solid">
        <fgColor rgb="FFE8EDF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164" fontId="4" fillId="0" borderId="0" xfId="0" applyNumberFormat="1" applyFont="1" applyAlignment="1">
      <alignment vertical="center" wrapText="1"/>
    </xf>
    <xf numFmtId="165" fontId="4" fillId="0" borderId="0" xfId="0" applyNumberFormat="1" applyFont="1" applyAlignment="1">
      <alignment vertical="center" wrapText="1"/>
    </xf>
    <xf numFmtId="1" fontId="4" fillId="0" borderId="0" xfId="0" applyNumberFormat="1" applyFont="1" applyAlignment="1">
      <alignment vertical="center" wrapText="1"/>
    </xf>
    <xf numFmtId="166" fontId="4" fillId="0" borderId="0" xfId="0" applyNumberFormat="1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四組成功率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四組結果比較!$C$6</c:f>
              <c:strCache>
                <c:ptCount val="1"/>
                <c:pt idx="0">
                  <c:v>成功率</c:v>
                </c:pt>
              </c:strCache>
            </c:strRef>
          </c:tx>
          <c:spPr>
            <a:solidFill>
              <a:srgbClr val="7E8D98"/>
            </a:solidFill>
          </c:spPr>
          <c:dLbls>
            <c:numFmt formatCode="0%" sourceLinked="0"/>
            <c:showVal val="1"/>
          </c:dLbls>
          <c:cat>
            <c:strRef>
              <c:f>四組結果比較!$A$7:$A$10</c:f>
              <c:strCache>
                <c:ptCount val="4"/>
                <c:pt idx="0">
                  <c:v>5cm／SVD</c:v>
                </c:pt>
                <c:pt idx="1">
                  <c:v>5cm／RANSAC</c:v>
                </c:pt>
                <c:pt idx="2">
                  <c:v>10cm／SVD</c:v>
                </c:pt>
                <c:pt idx="3">
                  <c:v>10cm／RANSAC</c:v>
                </c:pt>
              </c:strCache>
            </c:strRef>
          </c:cat>
          <c:val>
            <c:numRef>
              <c:f>四組結果比較!$C$7:$C$10</c:f>
              <c:numCache>
                <c:formatCode>General</c:formatCode>
                <c:ptCount val="4"/>
                <c:pt idx="0">
                  <c:v>0.7866666666666666</c:v>
                </c:pt>
                <c:pt idx="1">
                  <c:v>0.82</c:v>
                </c:pt>
                <c:pt idx="2">
                  <c:v>0.9</c:v>
                </c:pt>
                <c:pt idx="3">
                  <c:v>0.9466666666666667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成功率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四組有限mean e_p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四組結果比較!$D$6</c:f>
              <c:strCache>
                <c:ptCount val="1"/>
                <c:pt idx="0">
                  <c:v>有限mean e_p cm</c:v>
                </c:pt>
              </c:strCache>
            </c:strRef>
          </c:tx>
          <c:spPr>
            <a:solidFill>
              <a:srgbClr val="7E8D98"/>
            </a:solidFill>
          </c:spPr>
          <c:dLbls>
            <c:numFmt formatCode="0.00" sourceLinked="0"/>
            <c:showVal val="1"/>
          </c:dLbls>
          <c:cat>
            <c:strRef>
              <c:f>四組結果比較!$A$7:$A$10</c:f>
              <c:strCache>
                <c:ptCount val="4"/>
                <c:pt idx="0">
                  <c:v>5cm／SVD</c:v>
                </c:pt>
                <c:pt idx="1">
                  <c:v>5cm／RANSAC</c:v>
                </c:pt>
                <c:pt idx="2">
                  <c:v>10cm／SVD</c:v>
                </c:pt>
                <c:pt idx="3">
                  <c:v>10cm／RANSAC</c:v>
                </c:pt>
              </c:strCache>
            </c:strRef>
          </c:cat>
          <c:val>
            <c:numRef>
              <c:f>四組結果比較!$D$7:$D$10</c:f>
              <c:numCache>
                <c:formatCode>General</c:formatCode>
                <c:ptCount val="4"/>
                <c:pt idx="0">
                  <c:v>15.01120221933077</c:v>
                </c:pt>
                <c:pt idx="1">
                  <c:v>15.06397582643077</c:v>
                </c:pt>
                <c:pt idx="2">
                  <c:v>11.22310207536364</c:v>
                </c:pt>
                <c:pt idx="3">
                  <c:v>9.774054196055944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cm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0</xdr:rowOff>
    </xdr:from>
    <xdr:to>
      <xdr:col>3</xdr:col>
      <xdr:colOff>752475</xdr:colOff>
      <xdr:row>38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23</xdr:row>
      <xdr:rowOff>0</xdr:rowOff>
    </xdr:from>
    <xdr:to>
      <xdr:col>7</xdr:col>
      <xdr:colOff>1419225</xdr:colOff>
      <xdr:row>38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23"/>
  <sheetViews>
    <sheetView showGridLines="0" tabSelected="1" zoomScale="95" zoomScaleNormal="95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27.7109375" customWidth="1"/>
    <col min="2" max="2" width="21.7109375" customWidth="1"/>
    <col min="3" max="4" width="20.7109375" customWidth="1"/>
    <col min="5" max="5" width="18.7109375" customWidth="1"/>
    <col min="6" max="7" width="20.7109375" customWidth="1"/>
    <col min="8" max="8" width="30.7109375" customWidth="1"/>
  </cols>
  <sheetData>
    <row r="1" spans="1:8" ht="34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40" customHeight="1">
      <c r="A2" s="2" t="s">
        <v>1</v>
      </c>
      <c r="B2" s="2"/>
      <c r="C2" s="2"/>
      <c r="D2" s="2"/>
      <c r="E2" s="2"/>
      <c r="F2" s="2"/>
      <c r="G2" s="2"/>
      <c r="H2" s="2"/>
    </row>
    <row r="3" spans="1:8" ht="38" customHeight="1">
      <c r="A3" s="2" t="s">
        <v>2</v>
      </c>
      <c r="B3" s="2"/>
      <c r="C3" s="2"/>
      <c r="D3" s="2"/>
      <c r="E3" s="2"/>
      <c r="F3" s="2"/>
      <c r="G3" s="2"/>
      <c r="H3" s="2"/>
    </row>
    <row r="5" spans="1:8" ht="28" customHeight="1">
      <c r="A5" s="3" t="s">
        <v>3</v>
      </c>
      <c r="B5" s="3"/>
      <c r="C5" s="3"/>
      <c r="D5" s="3"/>
      <c r="E5" s="3"/>
      <c r="F5" s="3"/>
      <c r="G5" s="3"/>
      <c r="H5" s="3"/>
    </row>
    <row r="6" spans="1:8" ht="40" customHeight="1">
      <c r="A6" s="3" t="s">
        <v>4</v>
      </c>
      <c r="B6" s="3" t="s">
        <v>5</v>
      </c>
      <c r="C6" s="3" t="s">
        <v>6</v>
      </c>
      <c r="D6" s="3" t="s">
        <v>7</v>
      </c>
      <c r="E6" s="3" t="s">
        <v>8</v>
      </c>
      <c r="F6" s="3" t="s">
        <v>9</v>
      </c>
      <c r="G6" s="3" t="s">
        <v>10</v>
      </c>
      <c r="H6" s="3" t="s">
        <v>11</v>
      </c>
    </row>
    <row r="7" spans="1:8" ht="45" customHeight="1">
      <c r="A7" s="4" t="s">
        <v>12</v>
      </c>
      <c r="B7" s="4" t="s">
        <v>13</v>
      </c>
      <c r="C7" s="5">
        <v>0.7866666666666666</v>
      </c>
      <c r="D7" s="6">
        <v>15.01120221933077</v>
      </c>
      <c r="E7" s="7">
        <v>130</v>
      </c>
      <c r="F7" s="6">
        <v>0.8333489008797692</v>
      </c>
      <c r="G7" s="6">
        <v>13.54911137796461</v>
      </c>
      <c r="H7" s="6">
        <v>4.097461013333334</v>
      </c>
    </row>
    <row r="8" spans="1:8" ht="45" customHeight="1">
      <c r="A8" s="4" t="s">
        <v>14</v>
      </c>
      <c r="B8" s="4" t="s">
        <v>15</v>
      </c>
      <c r="C8" s="5">
        <v>0.82</v>
      </c>
      <c r="D8" s="6">
        <v>15.06397582643077</v>
      </c>
      <c r="E8" s="7">
        <v>130</v>
      </c>
      <c r="F8" s="6">
        <v>0.8415891027882307</v>
      </c>
      <c r="G8" s="6">
        <v>13.67159712948</v>
      </c>
      <c r="H8" s="6">
        <v>5.245315986666666</v>
      </c>
    </row>
    <row r="9" spans="1:8" ht="45" customHeight="1">
      <c r="A9" s="4" t="s">
        <v>16</v>
      </c>
      <c r="B9" s="4" t="s">
        <v>17</v>
      </c>
      <c r="C9" s="5">
        <v>0.9</v>
      </c>
      <c r="D9" s="6">
        <v>11.22310207536364</v>
      </c>
      <c r="E9" s="7">
        <v>143</v>
      </c>
      <c r="F9" s="6">
        <v>0.7024714967154545</v>
      </c>
      <c r="G9" s="6">
        <v>9.952239008971327</v>
      </c>
      <c r="H9" s="6">
        <v>5.115265313333333</v>
      </c>
    </row>
    <row r="10" spans="1:8" ht="45" customHeight="1">
      <c r="A10" s="4" t="s">
        <v>18</v>
      </c>
      <c r="B10" s="4" t="s">
        <v>19</v>
      </c>
      <c r="C10" s="5">
        <v>0.9466666666666667</v>
      </c>
      <c r="D10" s="6">
        <v>9.774054196055944</v>
      </c>
      <c r="E10" s="7">
        <v>143</v>
      </c>
      <c r="F10" s="6">
        <v>0.558572264859021</v>
      </c>
      <c r="G10" s="6">
        <v>8.81331026267063</v>
      </c>
      <c r="H10" s="6">
        <v>6.842217106666666</v>
      </c>
    </row>
    <row r="13" spans="1:8" ht="46" customHeight="1">
      <c r="A13" s="2" t="s">
        <v>20</v>
      </c>
      <c r="B13" s="2"/>
      <c r="C13" s="2"/>
      <c r="D13" s="2"/>
      <c r="E13" s="2"/>
      <c r="F13" s="2"/>
      <c r="G13" s="2"/>
      <c r="H13" s="2"/>
    </row>
    <row r="15" spans="1:8" ht="28" customHeight="1">
      <c r="A15" s="3" t="s">
        <v>21</v>
      </c>
      <c r="B15" s="3"/>
      <c r="C15" s="3"/>
      <c r="D15" s="3"/>
      <c r="E15" s="3"/>
      <c r="F15" s="3"/>
      <c r="G15" s="3"/>
      <c r="H15" s="3"/>
    </row>
    <row r="16" spans="1:8" ht="40" customHeight="1">
      <c r="A16" s="3" t="s">
        <v>22</v>
      </c>
      <c r="B16" s="3" t="s">
        <v>23</v>
      </c>
      <c r="C16" s="3" t="s">
        <v>24</v>
      </c>
      <c r="D16" s="3" t="s">
        <v>25</v>
      </c>
      <c r="E16" s="3" t="s">
        <v>26</v>
      </c>
      <c r="F16" s="3" t="s">
        <v>27</v>
      </c>
      <c r="G16" s="3" t="s">
        <v>28</v>
      </c>
      <c r="H16" s="3" t="s">
        <v>29</v>
      </c>
    </row>
    <row r="17" spans="1:8" ht="45" customHeight="1">
      <c r="A17" s="4" t="s">
        <v>30</v>
      </c>
      <c r="B17" s="4" t="s">
        <v>31</v>
      </c>
      <c r="C17" s="4" t="s">
        <v>13</v>
      </c>
      <c r="D17" s="4" t="s">
        <v>17</v>
      </c>
      <c r="E17" s="5">
        <v>0.7866666666666666</v>
      </c>
      <c r="F17" s="5">
        <v>0.9</v>
      </c>
      <c r="G17" s="8">
        <f>(F17-E17)*100</f>
        <v>11.33333333333334</v>
      </c>
      <c r="H17" s="7">
        <v>17</v>
      </c>
    </row>
    <row r="18" spans="1:8" ht="45" customHeight="1">
      <c r="A18" s="4" t="s">
        <v>33</v>
      </c>
      <c r="B18" s="4" t="s">
        <v>31</v>
      </c>
      <c r="C18" s="4" t="s">
        <v>15</v>
      </c>
      <c r="D18" s="4" t="s">
        <v>19</v>
      </c>
      <c r="E18" s="5">
        <v>0.82</v>
      </c>
      <c r="F18" s="5">
        <v>0.9466666666666667</v>
      </c>
      <c r="G18" s="8">
        <f>(F18-E18)*100</f>
        <v>12.666666666666671</v>
      </c>
      <c r="H18" s="7">
        <v>19</v>
      </c>
    </row>
    <row r="19" spans="1:8" ht="45" customHeight="1">
      <c r="A19" s="4" t="s">
        <v>34</v>
      </c>
      <c r="B19" s="4" t="s">
        <v>35</v>
      </c>
      <c r="C19" s="4" t="s">
        <v>13</v>
      </c>
      <c r="D19" s="4" t="s">
        <v>15</v>
      </c>
      <c r="E19" s="5">
        <v>0.7866666666666666</v>
      </c>
      <c r="F19" s="5">
        <v>0.82</v>
      </c>
      <c r="G19" s="8">
        <f>(F19-E19)*100</f>
        <v>3.3333333333333326</v>
      </c>
      <c r="H19" s="7">
        <v>5</v>
      </c>
    </row>
    <row r="20" spans="1:8" ht="45" customHeight="1">
      <c r="A20" s="4" t="s">
        <v>36</v>
      </c>
      <c r="B20" s="4" t="s">
        <v>35</v>
      </c>
      <c r="C20" s="4" t="s">
        <v>17</v>
      </c>
      <c r="D20" s="4" t="s">
        <v>19</v>
      </c>
      <c r="E20" s="5">
        <v>0.9</v>
      </c>
      <c r="F20" s="5">
        <v>0.9466666666666667</v>
      </c>
      <c r="G20" s="8">
        <f>(F20-E20)*100</f>
        <v>4.666666666666663</v>
      </c>
      <c r="H20" s="7">
        <v>7</v>
      </c>
    </row>
    <row r="23" spans="1:8" ht="44" customHeight="1">
      <c r="A23" s="2" t="s">
        <v>37</v>
      </c>
      <c r="B23" s="2"/>
      <c r="C23" s="2"/>
      <c r="D23" s="2"/>
      <c r="E23" s="2"/>
      <c r="F23" s="2"/>
      <c r="G23" s="2"/>
      <c r="H23" s="2"/>
    </row>
  </sheetData>
  <mergeCells count="7">
    <mergeCell ref="A1:H1"/>
    <mergeCell ref="A2:H2"/>
    <mergeCell ref="A3:H3"/>
    <mergeCell ref="A5:H5"/>
    <mergeCell ref="A13:H13"/>
    <mergeCell ref="A15:H15"/>
    <mergeCell ref="A23:H23"/>
  </mergeCells>
  <pageMargins left="0.25" right="0.25" top="0.4" bottom="0.4" header="0.3" footer="0.3"/>
  <pageSetup paperSize="8" fitToHeight="0" orientation="landscape"/>
  <headerFooter>
    <oddHeader>&amp;C第1次｜CN距離容差與Solver</oddHeader>
    <oddFooter>&amp;L單位依欄名；pp為百分點&amp;R&amp;P /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29"/>
  <sheetViews>
    <sheetView showGridLines="0" zoomScale="95" zoomScaleNormal="95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27.7109375" customWidth="1"/>
    <col min="2" max="2" width="21.7109375" customWidth="1"/>
    <col min="3" max="4" width="20.7109375" customWidth="1"/>
    <col min="5" max="5" width="18.7109375" customWidth="1"/>
    <col min="6" max="7" width="20.7109375" customWidth="1"/>
    <col min="8" max="8" width="30.7109375" customWidth="1"/>
  </cols>
  <sheetData>
    <row r="1" spans="1:8" ht="34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40" customHeight="1">
      <c r="A2" s="2" t="s">
        <v>1</v>
      </c>
      <c r="B2" s="2"/>
      <c r="C2" s="2"/>
      <c r="D2" s="2"/>
      <c r="E2" s="2"/>
      <c r="F2" s="2"/>
      <c r="G2" s="2"/>
      <c r="H2" s="2"/>
    </row>
    <row r="3" spans="1:8" ht="38" customHeight="1">
      <c r="A3" s="2" t="s">
        <v>2</v>
      </c>
      <c r="B3" s="2"/>
      <c r="C3" s="2"/>
      <c r="D3" s="2"/>
      <c r="E3" s="2"/>
      <c r="F3" s="2"/>
      <c r="G3" s="2"/>
      <c r="H3" s="2"/>
    </row>
    <row r="5" spans="1:8" ht="28" customHeight="1">
      <c r="A5" s="3" t="s">
        <v>38</v>
      </c>
      <c r="B5" s="3"/>
      <c r="C5" s="3"/>
      <c r="D5" s="3"/>
      <c r="E5" s="3"/>
      <c r="F5" s="3"/>
      <c r="G5" s="3"/>
      <c r="H5" s="3"/>
    </row>
    <row r="6" spans="1:8" ht="40" customHeight="1">
      <c r="A6" s="3" t="s">
        <v>39</v>
      </c>
      <c r="B6" s="3" t="s">
        <v>40</v>
      </c>
      <c r="C6" s="3" t="s">
        <v>41</v>
      </c>
      <c r="D6" s="3" t="s">
        <v>42</v>
      </c>
    </row>
    <row r="7" spans="1:8" ht="45" customHeight="1">
      <c r="A7" s="4" t="s">
        <v>43</v>
      </c>
      <c r="B7" s="4" t="s">
        <v>44</v>
      </c>
      <c r="C7" s="4" t="s">
        <v>45</v>
      </c>
      <c r="D7" s="4" t="s">
        <v>46</v>
      </c>
    </row>
    <row r="8" spans="1:8" ht="45" customHeight="1">
      <c r="A8" s="4" t="s">
        <v>47</v>
      </c>
      <c r="B8" s="4" t="s">
        <v>48</v>
      </c>
      <c r="C8" s="4" t="s">
        <v>49</v>
      </c>
      <c r="D8" s="4" t="s">
        <v>50</v>
      </c>
    </row>
    <row r="9" spans="1:8" ht="45" customHeight="1">
      <c r="A9" s="4" t="s">
        <v>51</v>
      </c>
      <c r="B9" s="4" t="s">
        <v>52</v>
      </c>
      <c r="C9" s="4" t="s">
        <v>52</v>
      </c>
      <c r="D9" s="4" t="s">
        <v>53</v>
      </c>
    </row>
    <row r="10" spans="1:8" ht="45" customHeight="1">
      <c r="A10" s="4" t="s">
        <v>54</v>
      </c>
      <c r="B10" s="4" t="s">
        <v>55</v>
      </c>
      <c r="C10" s="4" t="s">
        <v>56</v>
      </c>
      <c r="D10" s="4" t="s">
        <v>57</v>
      </c>
    </row>
    <row r="13" spans="1:8" ht="28" customHeight="1">
      <c r="A13" s="3" t="s">
        <v>58</v>
      </c>
      <c r="B13" s="3"/>
      <c r="C13" s="3"/>
      <c r="D13" s="3"/>
      <c r="E13" s="3"/>
      <c r="F13" s="3"/>
      <c r="G13" s="3"/>
      <c r="H13" s="3"/>
    </row>
    <row r="14" spans="1:8" ht="40" customHeight="1">
      <c r="A14" s="3" t="s">
        <v>59</v>
      </c>
      <c r="B14" s="3" t="s">
        <v>60</v>
      </c>
      <c r="C14" s="3" t="s">
        <v>61</v>
      </c>
      <c r="D14" s="3" t="s">
        <v>62</v>
      </c>
      <c r="E14" s="3" t="s">
        <v>63</v>
      </c>
      <c r="F14" s="3" t="s">
        <v>64</v>
      </c>
      <c r="G14" s="3" t="s">
        <v>65</v>
      </c>
      <c r="H14" s="3" t="s">
        <v>66</v>
      </c>
    </row>
    <row r="15" spans="1:8" ht="45" customHeight="1">
      <c r="A15" s="4" t="s">
        <v>67</v>
      </c>
      <c r="B15" s="4">
        <v>25</v>
      </c>
      <c r="C15" s="4">
        <v>8</v>
      </c>
      <c r="D15" s="4">
        <v>110</v>
      </c>
      <c r="E15" s="6">
        <v>9.236036107445454</v>
      </c>
      <c r="F15" s="6">
        <v>9.154550424772728</v>
      </c>
      <c r="G15" s="5">
        <f>IF(AND(ISNUMBER(E15),ISNUMBER(F15),E15&lt;&gt;0),(E15-F15)/E15,"待補")</f>
        <v>0.008822581649181637</v>
      </c>
      <c r="H15" s="4" t="s">
        <v>68</v>
      </c>
    </row>
    <row r="16" spans="1:8" ht="45" customHeight="1">
      <c r="A16" s="4" t="s">
        <v>69</v>
      </c>
      <c r="B16" s="4">
        <v>26</v>
      </c>
      <c r="C16" s="4">
        <v>7</v>
      </c>
      <c r="D16" s="4">
        <v>116</v>
      </c>
      <c r="E16" s="6">
        <v>9.375305286482758</v>
      </c>
      <c r="F16" s="6">
        <v>8.491122205905171</v>
      </c>
      <c r="G16" s="5">
        <f>IF(AND(ISNUMBER(E16),ISNUMBER(F16),E16&lt;&gt;0),(E16-F16)/E16,"待補")</f>
        <v>0.09430979083448038</v>
      </c>
      <c r="H16" s="4" t="s">
        <v>68</v>
      </c>
    </row>
    <row r="17" spans="1:8" ht="45" customHeight="1">
      <c r="A17" s="4" t="s">
        <v>70</v>
      </c>
      <c r="B17" s="4">
        <v>5</v>
      </c>
      <c r="C17" s="4">
        <v>0</v>
      </c>
      <c r="D17" s="4">
        <v>118</v>
      </c>
      <c r="E17" s="6">
        <v>9.806986151381356</v>
      </c>
      <c r="F17" s="6">
        <v>9.638276207067795</v>
      </c>
      <c r="G17" s="5">
        <f>IF(AND(ISNUMBER(E17),ISNUMBER(F17),E17&lt;&gt;0),(E17-F17)/E17,"待補")</f>
        <v>0.017203036866713227</v>
      </c>
      <c r="H17" s="4" t="s">
        <v>68</v>
      </c>
    </row>
    <row r="18" spans="1:8" ht="45" customHeight="1">
      <c r="A18" s="4" t="s">
        <v>71</v>
      </c>
      <c r="B18" s="4">
        <v>7</v>
      </c>
      <c r="C18" s="4">
        <v>0</v>
      </c>
      <c r="D18" s="4">
        <v>135</v>
      </c>
      <c r="E18" s="6">
        <v>9.859923063903704</v>
      </c>
      <c r="F18" s="6">
        <v>9.151532390274074</v>
      </c>
      <c r="G18" s="5">
        <f>IF(AND(ISNUMBER(E18),ISNUMBER(F18),E18&lt;&gt;0),(E18-F18)/E18,"待補")</f>
        <v>0.07184545650492803</v>
      </c>
      <c r="H18" s="4" t="s">
        <v>68</v>
      </c>
    </row>
    <row r="21" spans="1:8" ht="46" customHeight="1">
      <c r="A21" s="2" t="s">
        <v>72</v>
      </c>
      <c r="B21" s="2"/>
      <c r="C21" s="2"/>
      <c r="D21" s="2"/>
      <c r="E21" s="2"/>
      <c r="F21" s="2"/>
      <c r="G21" s="2"/>
      <c r="H21" s="2"/>
    </row>
    <row r="23" spans="1:8" ht="46" customHeight="1">
      <c r="A23" s="2" t="s">
        <v>73</v>
      </c>
      <c r="B23" s="2"/>
      <c r="C23" s="2"/>
      <c r="D23" s="2"/>
      <c r="E23" s="2"/>
      <c r="F23" s="2"/>
      <c r="G23" s="2"/>
      <c r="H23" s="2"/>
    </row>
    <row r="25" spans="1:8" ht="42" customHeight="1">
      <c r="A25" s="2" t="s">
        <v>74</v>
      </c>
      <c r="B25" s="2"/>
      <c r="C25" s="2"/>
      <c r="D25" s="2"/>
      <c r="E25" s="2"/>
      <c r="F25" s="2"/>
      <c r="G25" s="2"/>
      <c r="H25" s="2"/>
    </row>
    <row r="27" spans="1:8" ht="28" customHeight="1">
      <c r="A27" s="3" t="s">
        <v>75</v>
      </c>
      <c r="B27" s="3"/>
      <c r="C27" s="3"/>
      <c r="D27" s="3"/>
      <c r="E27" s="3"/>
      <c r="F27" s="3"/>
      <c r="G27" s="3"/>
      <c r="H27" s="3"/>
    </row>
    <row r="28" spans="1:8" ht="38" customHeight="1">
      <c r="A28" s="2" t="s">
        <v>76</v>
      </c>
      <c r="B28" s="2"/>
      <c r="C28" s="2"/>
      <c r="D28" s="2"/>
      <c r="E28" s="2"/>
      <c r="F28" s="2"/>
      <c r="G28" s="2"/>
      <c r="H28" s="2"/>
    </row>
    <row r="29" spans="1:8" ht="52" customHeight="1">
      <c r="A29" s="2" t="s">
        <v>77</v>
      </c>
      <c r="B29" s="2"/>
      <c r="C29" s="2"/>
      <c r="D29" s="2"/>
      <c r="E29" s="2"/>
      <c r="F29" s="2"/>
      <c r="G29" s="2"/>
      <c r="H29" s="2"/>
    </row>
  </sheetData>
  <mergeCells count="11">
    <mergeCell ref="A1:H1"/>
    <mergeCell ref="A2:H2"/>
    <mergeCell ref="A3:H3"/>
    <mergeCell ref="A5:H5"/>
    <mergeCell ref="A13:H13"/>
    <mergeCell ref="A21:H21"/>
    <mergeCell ref="A23:H23"/>
    <mergeCell ref="A25:H25"/>
    <mergeCell ref="A27:H27"/>
    <mergeCell ref="A28:H28"/>
    <mergeCell ref="A29:H29"/>
  </mergeCells>
  <pageMargins left="0.25" right="0.25" top="0.4" bottom="0.4" header="0.3" footer="0.3"/>
  <pageSetup paperSize="8" fitToHeight="0" orientation="landscape"/>
  <headerFooter>
    <oddHeader>&amp;C第1次｜CN距離容差與Solver</oddHeader>
    <oddFooter>&amp;L單位依欄名；pp為百分點&amp;R&amp;P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四組結果比較</vt:lpstr>
      <vt:lpstr>設定與說明</vt:lpstr>
      <vt:lpstr>四組結果比較!Print_Area</vt:lpstr>
      <vt:lpstr>設定與說明!Print_Area</vt:lpstr>
      <vt:lpstr>四組結果比較!Print_Titles</vt:lpstr>
      <vt:lpstr>設定與說明!Print_Titles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2026-10-27T20:16:08Z</dcterms:created>
  <dcterms:modified xsi:type="dcterms:W3CDTF">2026-10-27T20:16:08Z</dcterms:modified>
</cp:coreProperties>
</file>