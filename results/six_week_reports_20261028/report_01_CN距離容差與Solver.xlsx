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四組結果比較" sheetId="1" r:id="rId1"/>
    <sheet name="設定與說明" sheetId="2" r:id="rId2"/>
    <sheet name="精度時間與成對比較" sheetId="3" r:id="rId3"/>
  </sheets>
  <definedNames>
    <definedName name="_xlnm.Print_Area" localSheetId="0">四組結果比較!$A$1:$H$76</definedName>
    <definedName name="_xlnm.Print_Area" localSheetId="2">精度時間與成對比較!$A$1:$H$79</definedName>
    <definedName name="_xlnm.Print_Area" localSheetId="1">設定與說明!$A$1:$H$63</definedName>
    <definedName name="_xlnm.Print_Titles" localSheetId="0">四組結果比較!$1:$3</definedName>
    <definedName name="_xlnm.Print_Titles" localSheetId="2">精度時間與成對比較!$1:$3</definedName>
    <definedName name="_xlnm.Print_Titles" localSheetId="1">設定與說明!$1:$3</definedName>
  </definedNames>
  <calcPr calcId="124519" fullCalcOnLoad="1"/>
</workbook>
</file>

<file path=xl/sharedStrings.xml><?xml version="1.0" encoding="utf-8"?>
<sst xmlns="http://schemas.openxmlformats.org/spreadsheetml/2006/main" count="564" uniqueCount="150">
  <si>
    <t>第1次｜CN距離容差與Solver</t>
  </si>
  <si>
    <t>成功門檻：e_R&lt;2°且e_t&lt;0.5m。e_p為Eq8全來源點變換誤差；finite mean包含可計算失敗，無變換仍算失敗、誤差不填0。</t>
  </si>
  <si>
    <t>GT不參與當次配準輸出選擇；開發期間曾以GT評分選設定。相同掃描站換seed只測隨機敏感度，不是未見森林。</t>
  </si>
  <si>
    <t>兩組dataset；每個場景都比較相同四組，補救全部關閉</t>
  </si>
  <si>
    <t>dataset／場景</t>
  </si>
  <si>
    <t>案例組成</t>
  </si>
  <si>
    <t>5cm／SVD</t>
  </si>
  <si>
    <t>5cm／RANSAC</t>
  </si>
  <si>
    <t>10cm／SVD</t>
  </si>
  <si>
    <t>10cm／RANSAC</t>
  </si>
  <si>
    <t>論文成功率
分母待補</t>
  </si>
  <si>
    <t>論文e_p cm</t>
  </si>
  <si>
    <t>Tongji／Plot1</t>
  </si>
  <si>
    <t>10配對×10seed</t>
  </si>
  <si>
    <t>Tongji／Plot2</t>
  </si>
  <si>
    <t>Tongji／Plot3</t>
  </si>
  <si>
    <t>Tongji／Plot4</t>
  </si>
  <si>
    <t>ETH-tree</t>
  </si>
  <si>
    <t>15配對×10seed</t>
  </si>
  <si>
    <t>統一seed31–40：Tongji每Plot五站、10對×10seed；ETH六站、15對×10seed。ETH四組為本次補跑，先前118/123/135/142屬seed11–20，保留為歷史資料。Tongji四Plot是同一dataset。</t>
  </si>
  <si>
    <t>有限mean e_p（cm），包含可計算失敗；樣本數另列</t>
  </si>
  <si>
    <t>有限誤差樣本數：缺變換是失敗，e_p不填0</t>
  </si>
  <si>
    <t>ETH改善不能直接外推Tongji。Plot2部分改善、Plot4退步；有限案例集合不同時不直接算誤差下降率。完整e_R/e_t、時間及共同成功見第三頁。</t>
  </si>
  <si>
    <t>本週只看兩個變數</t>
  </si>
  <si>
    <t>項目</t>
  </si>
  <si>
    <t>前／設定A</t>
  </si>
  <si>
    <t>後／設定B</t>
  </si>
  <si>
    <t>作用與固定條件</t>
  </si>
  <si>
    <t>CN距離容差</t>
  </si>
  <si>
    <t>0.05m</t>
  </si>
  <si>
    <t>0.10m</t>
  </si>
  <si>
    <t>允許descriptor距離差更大；也可能增加錯配</t>
  </si>
  <si>
    <t>Solver</t>
  </si>
  <si>
    <t>Kabsch／SVD</t>
  </si>
  <si>
    <t>Kabsch＋RANSAC</t>
  </si>
  <si>
    <t>先尋找3D一致群，再估剛體變換</t>
  </si>
  <si>
    <t>弱配對補救</t>
  </si>
  <si>
    <t>關閉</t>
  </si>
  <si>
    <t>第一週固定，不介紹或歸因此模組</t>
  </si>
  <si>
    <t>提取與descriptor</t>
  </si>
  <si>
    <t>同一批樹位</t>
  </si>
  <si>
    <t>同前</t>
  </si>
  <si>
    <t>step、分群0.20m、verticality&gt;0.9；N183/w10/Thscore40固定</t>
  </si>
  <si>
    <t>固定另一項，逐場景看單項改動</t>
  </si>
  <si>
    <t>場景</t>
  </si>
  <si>
    <t>固定條件</t>
  </si>
  <si>
    <t>唯一改動</t>
  </si>
  <si>
    <t>前成功數</t>
  </si>
  <si>
    <t>後成功數</t>
  </si>
  <si>
    <t>後−前 pp</t>
  </si>
  <si>
    <t>成功數淨增加</t>
  </si>
  <si>
    <t>比較限制</t>
  </si>
  <si>
    <t>SVD固定</t>
  </si>
  <si>
    <t>5→10cm</t>
  </si>
  <si>
    <t>100/100</t>
  </si>
  <si>
    <t>待補</t>
  </si>
  <si>
    <t>只在同場景、同seed內比較</t>
  </si>
  <si>
    <t>RANSAC固定</t>
  </si>
  <si>
    <t>5cm固定</t>
  </si>
  <si>
    <t>SVD→RANSAC</t>
  </si>
  <si>
    <t>10cm固定</t>
  </si>
  <si>
    <t>33/100</t>
  </si>
  <si>
    <t>37/100</t>
  </si>
  <si>
    <t>28/100</t>
  </si>
  <si>
    <t>34/100</t>
  </si>
  <si>
    <t>76/100</t>
  </si>
  <si>
    <t>69/100</t>
  </si>
  <si>
    <t>70/100</t>
  </si>
  <si>
    <t>114/150</t>
  </si>
  <si>
    <t>138/150</t>
  </si>
  <si>
    <t>121/150</t>
  </si>
  <si>
    <t>144/150</t>
  </si>
  <si>
    <t>RANSAC固定設定為最多1000次抽樣嘗試、3D inlier&lt;0.30m、seed1；它們是solver定義，這週沒有各常數消融。GT正確matching欄只檢查XY&lt;0.30m，因此XY正確也可能存在z不一致。</t>
  </si>
  <si>
    <t>時間為descriptor＋matching＋solver，不含樹位提取、原始點雲讀取及GT誤差評估。舊批次OpenMP4，CPU型號與並行干擾未完整控制，只作本批描述性代價；不能與論文matching／total時間直接算速度提升。</t>
  </si>
  <si>
    <t>論文TableI的ETH e_p=15.3427cm，Tongji Plot1～4=5.2558/11.4808/4.8756/4.3560cm，各報100%；分母與成功門檻待補。四組本地控制實驗不是作者程式重跑；目前結果不支持「這兩項改動在所有場景都改善」。</t>
  </si>
  <si>
    <t>原論文與本地四組：只列本週重要設定</t>
  </si>
  <si>
    <t>原論文</t>
  </si>
  <si>
    <t>本地修改前</t>
  </si>
  <si>
    <t>本地修改後</t>
  </si>
  <si>
    <t>不是成功門檻或voxel尺寸</t>
  </si>
  <si>
    <t>剛體Solver</t>
  </si>
  <si>
    <t>Euclidean transform；細節未交代</t>
  </si>
  <si>
    <t>論文未說明，不把SVD稱作作者原始實作</t>
  </si>
  <si>
    <t>新增弱配對補救</t>
  </si>
  <si>
    <t>未描述本地evidence recovery</t>
  </si>
  <si>
    <t>論文本身的triangle fallback仍在；與新增補救不同</t>
  </si>
  <si>
    <t>N／w／Thscore</t>
  </si>
  <si>
    <t>183／10／40</t>
  </si>
  <si>
    <t>三項固定；沒有新增第三個實驗變數</t>
  </si>
  <si>
    <t>論文時間與缺值原因：只作報告值參考</t>
  </si>
  <si>
    <t>論文matching ms</t>
  </si>
  <si>
    <t>論文total s</t>
  </si>
  <si>
    <t>論文e_R／e_t</t>
  </si>
  <si>
    <t>論文成功分母／門檻</t>
  </si>
  <si>
    <t>時間可比性</t>
  </si>
  <si>
    <t>未單獨報告；Table I用e_p</t>
  </si>
  <si>
    <t>待補：本文未明確交代</t>
  </si>
  <si>
    <t>i7-9700F 3GHz；實際threads未交代；本地計時範圍不同，不算加速比</t>
  </si>
  <si>
    <t>數據來源與比較限制</t>
  </si>
  <si>
    <t>F：results/six_week_reports_20261028/evidence/F_eth_coarse_rows.csv；SHA256 7d650dccaae06db5a5425d39e9b7844210caaca64422f3b7240e5adb18e8a876</t>
  </si>
  <si>
    <t>T：results/six_week_reports_20261028/evidence/T_registration_rows.csv；SHA256 be80ea133faf080bae060279ab9401346bb3263f319589450ec998822f1913a1</t>
  </si>
  <si>
    <t>論文：Sun等，DOI 10.1109/LGRS.2025.3650098。PDF p2方法、p3 Algorithm1、p4 TableI/II與Eq8、p5 TableIII。作者程式同環境重跑、論文成功門檻與逐場景分母待補；本地5cm參考不是作者可執行baseline。</t>
  </si>
  <si>
    <t>四組×五場景：精度與時間，未混算兩來源平均</t>
  </si>
  <si>
    <t>組合</t>
  </si>
  <si>
    <t>finite mean e_p cm</t>
  </si>
  <si>
    <t>有限N</t>
  </si>
  <si>
    <t>mean e_R °</t>
  </si>
  <si>
    <t>mean e_t cm</t>
  </si>
  <si>
    <t>平均time_ms</t>
  </si>
  <si>
    <t>成功／總數</t>
  </si>
  <si>
    <t>e_R/e_t亦平均可計算值、包含有限失敗。time_ms只含descriptor＋matching＋solver；不同來源批次不作跨dataset速度排名。沒有變換的案例仍算成功率失敗。</t>
  </si>
  <si>
    <t>相同配對與seed：新增成功、退步與共同成功精度</t>
  </si>
  <si>
    <t>比較</t>
  </si>
  <si>
    <t>新增成功</t>
  </si>
  <si>
    <t>退步失敗</t>
  </si>
  <si>
    <t>共同成功N</t>
  </si>
  <si>
    <t>前e_p cm</t>
  </si>
  <si>
    <t>後e_p cm</t>
  </si>
  <si>
    <t>下降率</t>
  </si>
  <si>
    <t>限制</t>
  </si>
  <si>
    <t>Tongji／Plot1；SVD固定；5→10cm</t>
  </si>
  <si>
    <t>僅共同成功；不取代全體成功率</t>
  </si>
  <si>
    <t>Tongji／Plot1；RANSAC固定；5→10cm</t>
  </si>
  <si>
    <t>Tongji／Plot1；5cm固定；SVD→RANSAC</t>
  </si>
  <si>
    <t>Tongji／Plot1；10cm固定；SVD→RANSAC</t>
  </si>
  <si>
    <t>Tongji／Plot2；SVD固定；5→10cm</t>
  </si>
  <si>
    <t>Tongji／Plot2；RANSAC固定；5→10cm</t>
  </si>
  <si>
    <t>Tongji／Plot2；5cm固定；SVD→RANSAC</t>
  </si>
  <si>
    <t>Tongji／Plot2；10cm固定；SVD→RANSAC</t>
  </si>
  <si>
    <t>Tongji／Plot3；SVD固定；5→10cm</t>
  </si>
  <si>
    <t>Tongji／Plot3；RANSAC固定；5→10cm</t>
  </si>
  <si>
    <t>Tongji／Plot3；5cm固定；SVD→RANSAC</t>
  </si>
  <si>
    <t>Tongji／Plot3；10cm固定；SVD→RANSAC</t>
  </si>
  <si>
    <t>Tongji／Plot4；SVD固定；5→10cm</t>
  </si>
  <si>
    <t>Tongji／Plot4；RANSAC固定；5→10cm</t>
  </si>
  <si>
    <t>Tongji／Plot4；5cm固定；SVD→RANSAC</t>
  </si>
  <si>
    <t>Tongji／Plot4；10cm固定；SVD→RANSAC</t>
  </si>
  <si>
    <t>ETH-tree；SVD固定；5→10cm</t>
  </si>
  <si>
    <t>ETH-tree；RANSAC固定；5→10cm</t>
  </si>
  <si>
    <t>ETH-tree；5cm固定；SVD→RANSAC</t>
  </si>
  <si>
    <t>ETH-tree；10cm固定；SVD→RANSAC</t>
  </si>
  <si>
    <t>四組直接對照論文與修改前5cm/SVD；誤差下降率正值為降低、負值為變大</t>
  </si>
  <si>
    <t>本地e_p cm</t>
  </si>
  <si>
    <t>vs論文誤差下降率</t>
  </si>
  <si>
    <t>vs修改前誤差下降率</t>
  </si>
  <si>
    <t>vs論文成功率 pp</t>
  </si>
  <si>
    <t>vs修改前成功率 pp</t>
  </si>
  <si>
    <t>不可比：本地缺變換；有限N見前表</t>
  </si>
  <si>
    <t>不可比：前後有限案例集合不同</t>
  </si>
  <si>
    <t>vs論文是報告值的算術差異，並非同門檻／同配對的公平重跑。論文e_R/e_t未單獨報告、成功分母與門檻待補；不能由e_p推算。缺變換不是漏做實驗，也不能填0；前後有限集合不同請看共同成功對照。時間範圍不同不列下降率。</t>
  </si>
</sst>
</file>

<file path=xl/styles.xml><?xml version="1.0" encoding="utf-8"?>
<styleSheet xmlns="http://schemas.openxmlformats.org/spreadsheetml/2006/main">
  <numFmts count="15">
    <numFmt numFmtId="164" formatCode="&quot;100/100 (&quot;0.0%&quot;)&quot;"/>
    <numFmt numFmtId="165" formatCode="0.0%"/>
    <numFmt numFmtId="166" formatCode="0.000"/>
    <numFmt numFmtId="167" formatCode="&quot;33/100 (&quot;0.0%&quot;)&quot;"/>
    <numFmt numFmtId="168" formatCode="&quot;28/100 (&quot;0.0%&quot;)&quot;"/>
    <numFmt numFmtId="169" formatCode="&quot;37/100 (&quot;0.0%&quot;)&quot;"/>
    <numFmt numFmtId="170" formatCode="&quot;34/100 (&quot;0.0%&quot;)&quot;"/>
    <numFmt numFmtId="171" formatCode="&quot;76/100 (&quot;0.0%&quot;)&quot;"/>
    <numFmt numFmtId="172" formatCode="&quot;69/100 (&quot;0.0%&quot;)&quot;"/>
    <numFmt numFmtId="173" formatCode="&quot;70/100 (&quot;0.0%&quot;)&quot;"/>
    <numFmt numFmtId="174" formatCode="&quot;114/150 (&quot;0.0%&quot;)&quot;"/>
    <numFmt numFmtId="175" formatCode="&quot;121/150 (&quot;0.0%&quot;)&quot;"/>
    <numFmt numFmtId="176" formatCode="&quot;138/150 (&quot;0.0%&quot;)&quot;"/>
    <numFmt numFmtId="177" formatCode="&quot;144/150 (&quot;0.0%&quot;)&quot;"/>
    <numFmt numFmtId="178" formatCode="0.0&quot; pp&quot;"/>
  </numFmts>
  <fonts count="5">
    <font>
      <sz val="11"/>
      <color theme="1"/>
      <name val="Calibri"/>
      <family val="2"/>
      <scheme val="minor"/>
    </font>
    <font>
      <b/>
      <sz val="18"/>
      <color rgb="FF243E52"/>
      <name val="Microsoft JhengHei"/>
      <family val="2"/>
    </font>
    <font>
      <sz val="10"/>
      <color rgb="FF444444"/>
      <name val="Microsoft JhengHei"/>
      <family val="2"/>
    </font>
    <font>
      <b/>
      <sz val="13"/>
      <color theme="1"/>
      <name val="Microsoft JhengHei"/>
      <family val="2"/>
    </font>
    <font>
      <sz val="13"/>
      <color theme="1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E8ED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center" vertical="center" shrinkToFit="1"/>
    </xf>
    <xf numFmtId="165" fontId="4" fillId="0" borderId="0" xfId="0" applyNumberFormat="1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167" fontId="4" fillId="0" borderId="0" xfId="0" applyNumberFormat="1" applyFont="1" applyAlignment="1">
      <alignment horizontal="center" vertical="center" shrinkToFit="1"/>
    </xf>
    <xf numFmtId="168" fontId="4" fillId="0" borderId="0" xfId="0" applyNumberFormat="1" applyFont="1" applyAlignment="1">
      <alignment horizontal="center" vertical="center" shrinkToFit="1"/>
    </xf>
    <xf numFmtId="169" fontId="4" fillId="0" borderId="0" xfId="0" applyNumberFormat="1" applyFont="1" applyAlignment="1">
      <alignment horizontal="center" vertical="center" shrinkToFit="1"/>
    </xf>
    <xf numFmtId="170" fontId="4" fillId="0" borderId="0" xfId="0" applyNumberFormat="1" applyFont="1" applyAlignment="1">
      <alignment horizontal="center" vertical="center" shrinkToFit="1"/>
    </xf>
    <xf numFmtId="171" fontId="4" fillId="0" borderId="0" xfId="0" applyNumberFormat="1" applyFont="1" applyAlignment="1">
      <alignment horizontal="center" vertical="center" shrinkToFit="1"/>
    </xf>
    <xf numFmtId="172" fontId="4" fillId="0" borderId="0" xfId="0" applyNumberFormat="1" applyFont="1" applyAlignment="1">
      <alignment horizontal="center" vertical="center" shrinkToFit="1"/>
    </xf>
    <xf numFmtId="173" fontId="4" fillId="0" borderId="0" xfId="0" applyNumberFormat="1" applyFont="1" applyAlignment="1">
      <alignment horizontal="center" vertical="center" shrinkToFit="1"/>
    </xf>
    <xf numFmtId="174" fontId="4" fillId="0" borderId="0" xfId="0" applyNumberFormat="1" applyFont="1" applyAlignment="1">
      <alignment horizontal="center" vertical="center" shrinkToFit="1"/>
    </xf>
    <xf numFmtId="175" fontId="4" fillId="0" borderId="0" xfId="0" applyNumberFormat="1" applyFont="1" applyAlignment="1">
      <alignment horizontal="center" vertical="center" shrinkToFit="1"/>
    </xf>
    <xf numFmtId="176" fontId="4" fillId="0" borderId="0" xfId="0" applyNumberFormat="1" applyFont="1" applyAlignment="1">
      <alignment horizontal="center" vertical="center" shrinkToFit="1"/>
    </xf>
    <xf numFmtId="177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四組成功率：各場景分開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四組結果比較!$C$6</c:f>
              <c:strCache>
                <c:ptCount val="1"/>
                <c:pt idx="0">
                  <c:v>5cm／SVD</c:v>
                </c:pt>
              </c:strCache>
            </c:strRef>
          </c:tx>
          <c:spPr>
            <a:solidFill>
              <a:srgbClr val="9BA7B0"/>
            </a:solidFill>
          </c:spPr>
          <c:dLbls>
            <c:numFmt formatCode="0%" sourceLinked="0"/>
            <c:showVal val="1"/>
          </c:dLbls>
          <c:cat>
            <c:strRef>
              <c:f>四組結果比較!$A$7:$A$11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四組結果比較!$C$7:$C$11</c:f>
              <c:numCache>
                <c:formatCode>General</c:formatCode>
                <c:ptCount val="5"/>
                <c:pt idx="0">
                  <c:v>1.0</c:v>
                </c:pt>
                <c:pt idx="1">
                  <c:v>0.33</c:v>
                </c:pt>
                <c:pt idx="2">
                  <c:v>1.0</c:v>
                </c:pt>
                <c:pt idx="3">
                  <c:v>0.76</c:v>
                </c:pt>
                <c:pt idx="4">
                  <c:v>0.76</c:v>
                </c:pt>
              </c:numCache>
            </c:numRef>
          </c:val>
        </c:ser>
        <c:ser>
          <c:idx val="1"/>
          <c:order val="1"/>
          <c:tx>
            <c:strRef>
              <c:f>四組結果比較!$D$6</c:f>
              <c:strCache>
                <c:ptCount val="1"/>
                <c:pt idx="0">
                  <c:v>5cm／RANSAC</c:v>
                </c:pt>
              </c:strCache>
            </c:strRef>
          </c:tx>
          <c:spPr>
            <a:solidFill>
              <a:srgbClr val="5B7790"/>
            </a:solidFill>
          </c:spPr>
          <c:dLbls>
            <c:numFmt formatCode="0%" sourceLinked="0"/>
            <c:showVal val="1"/>
          </c:dLbls>
          <c:cat>
            <c:strRef>
              <c:f>四組結果比較!$A$7:$A$11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四組結果比較!$D$7:$D$11</c:f>
              <c:numCache>
                <c:formatCode>General</c:formatCode>
                <c:ptCount val="5"/>
                <c:pt idx="0">
                  <c:v>1.0</c:v>
                </c:pt>
                <c:pt idx="1">
                  <c:v>0.28</c:v>
                </c:pt>
                <c:pt idx="2">
                  <c:v>1.0</c:v>
                </c:pt>
                <c:pt idx="3">
                  <c:v>0.76</c:v>
                </c:pt>
                <c:pt idx="4">
                  <c:v>0.8066666666666666</c:v>
                </c:pt>
              </c:numCache>
            </c:numRef>
          </c:val>
        </c:ser>
        <c:ser>
          <c:idx val="2"/>
          <c:order val="2"/>
          <c:tx>
            <c:strRef>
              <c:f>四組結果比較!$E$6</c:f>
              <c:strCache>
                <c:ptCount val="1"/>
                <c:pt idx="0">
                  <c:v>10cm／SVD</c:v>
                </c:pt>
              </c:strCache>
            </c:strRef>
          </c:tx>
          <c:spPr>
            <a:solidFill>
              <a:srgbClr val="708FA3"/>
            </a:solidFill>
          </c:spPr>
          <c:dLbls>
            <c:numFmt formatCode="0%" sourceLinked="0"/>
            <c:showVal val="1"/>
          </c:dLbls>
          <c:cat>
            <c:strRef>
              <c:f>四組結果比較!$A$7:$A$11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四組結果比較!$E$7:$E$11</c:f>
              <c:numCache>
                <c:formatCode>General</c:formatCode>
                <c:ptCount val="5"/>
                <c:pt idx="0">
                  <c:v>1.0</c:v>
                </c:pt>
                <c:pt idx="1">
                  <c:v>0.37</c:v>
                </c:pt>
                <c:pt idx="2">
                  <c:v>1.0</c:v>
                </c:pt>
                <c:pt idx="3">
                  <c:v>0.69</c:v>
                </c:pt>
                <c:pt idx="4">
                  <c:v>0.92</c:v>
                </c:pt>
              </c:numCache>
            </c:numRef>
          </c:val>
        </c:ser>
        <c:ser>
          <c:idx val="3"/>
          <c:order val="3"/>
          <c:tx>
            <c:strRef>
              <c:f>四組結果比較!$F$6</c:f>
              <c:strCache>
                <c:ptCount val="1"/>
                <c:pt idx="0">
                  <c:v>10cm／RANSAC</c:v>
                </c:pt>
              </c:strCache>
            </c:strRef>
          </c:tx>
          <c:spPr>
            <a:solidFill>
              <a:srgbClr val="254E70"/>
            </a:solidFill>
          </c:spPr>
          <c:dLbls>
            <c:numFmt formatCode="0%" sourceLinked="0"/>
            <c:showVal val="1"/>
          </c:dLbls>
          <c:cat>
            <c:strRef>
              <c:f>四組結果比較!$A$7:$A$11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四組結果比較!$F$7:$F$11</c:f>
              <c:numCache>
                <c:formatCode>General</c:formatCode>
                <c:ptCount val="5"/>
                <c:pt idx="0">
                  <c:v>1.0</c:v>
                </c:pt>
                <c:pt idx="1">
                  <c:v>0.34</c:v>
                </c:pt>
                <c:pt idx="2">
                  <c:v>1.0</c:v>
                </c:pt>
                <c:pt idx="3">
                  <c:v>0.7</c:v>
                </c:pt>
                <c:pt idx="4">
                  <c:v>0.96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成功率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四組有限mean e_p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四組結果比較!$B$17</c:f>
              <c:strCache>
                <c:ptCount val="1"/>
                <c:pt idx="0">
                  <c:v>5cm／SVD</c:v>
                </c:pt>
              </c:strCache>
            </c:strRef>
          </c:tx>
          <c:spPr>
            <a:solidFill>
              <a:srgbClr val="9BA7B0"/>
            </a:solidFill>
          </c:spPr>
          <c:dLbls>
            <c:numFmt formatCode="0.00" sourceLinked="0"/>
            <c:showVal val="1"/>
          </c:dLbls>
          <c:cat>
            <c:strRef>
              <c:f>四組結果比較!$A$18:$A$22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四組結果比較!$B$18:$B$22</c:f>
              <c:numCache>
                <c:formatCode>General</c:formatCode>
                <c:ptCount val="5"/>
                <c:pt idx="0">
                  <c:v>16.81264811113</c:v>
                </c:pt>
                <c:pt idx="1">
                  <c:v>54.50497163930999</c:v>
                </c:pt>
                <c:pt idx="2">
                  <c:v>5.376450884124</c:v>
                </c:pt>
                <c:pt idx="3">
                  <c:v>123.2346789297831</c:v>
                </c:pt>
                <c:pt idx="4">
                  <c:v>12.62093021071654</c:v>
                </c:pt>
              </c:numCache>
            </c:numRef>
          </c:val>
        </c:ser>
        <c:ser>
          <c:idx val="1"/>
          <c:order val="1"/>
          <c:tx>
            <c:strRef>
              <c:f>四組結果比較!$C$17</c:f>
              <c:strCache>
                <c:ptCount val="1"/>
                <c:pt idx="0">
                  <c:v>5cm／RANSAC</c:v>
                </c:pt>
              </c:strCache>
            </c:strRef>
          </c:tx>
          <c:spPr>
            <a:solidFill>
              <a:srgbClr val="5B7790"/>
            </a:solidFill>
          </c:spPr>
          <c:dLbls>
            <c:numFmt formatCode="0.00" sourceLinked="0"/>
            <c:showVal val="1"/>
          </c:dLbls>
          <c:cat>
            <c:strRef>
              <c:f>四組結果比較!$A$18:$A$22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四組結果比較!$C$18:$C$22</c:f>
              <c:numCache>
                <c:formatCode>General</c:formatCode>
                <c:ptCount val="5"/>
                <c:pt idx="0">
                  <c:v>17.2083674392</c:v>
                </c:pt>
                <c:pt idx="1">
                  <c:v>58.201283144</c:v>
                </c:pt>
                <c:pt idx="2">
                  <c:v>5.291779501674</c:v>
                </c:pt>
                <c:pt idx="3">
                  <c:v>123.2346789297831</c:v>
                </c:pt>
                <c:pt idx="4">
                  <c:v>10.97050868271654</c:v>
                </c:pt>
              </c:numCache>
            </c:numRef>
          </c:val>
        </c:ser>
        <c:ser>
          <c:idx val="2"/>
          <c:order val="2"/>
          <c:tx>
            <c:strRef>
              <c:f>四組結果比較!$D$17</c:f>
              <c:strCache>
                <c:ptCount val="1"/>
                <c:pt idx="0">
                  <c:v>10cm／SVD</c:v>
                </c:pt>
              </c:strCache>
            </c:strRef>
          </c:tx>
          <c:spPr>
            <a:solidFill>
              <a:srgbClr val="708FA3"/>
            </a:solidFill>
          </c:spPr>
          <c:dLbls>
            <c:numFmt formatCode="0.00" sourceLinked="0"/>
            <c:showVal val="1"/>
          </c:dLbls>
          <c:cat>
            <c:strRef>
              <c:f>四組結果比較!$A$18:$A$22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四組結果比較!$D$18:$D$22</c:f>
              <c:numCache>
                <c:formatCode>General</c:formatCode>
                <c:ptCount val="5"/>
                <c:pt idx="0">
                  <c:v>17.66683273383</c:v>
                </c:pt>
                <c:pt idx="1">
                  <c:v>47.25469538884</c:v>
                </c:pt>
                <c:pt idx="2">
                  <c:v>4.993702343056</c:v>
                </c:pt>
                <c:pt idx="3">
                  <c:v>299.4917599032963</c:v>
                </c:pt>
                <c:pt idx="4">
                  <c:v>10.72940896452414</c:v>
                </c:pt>
              </c:numCache>
            </c:numRef>
          </c:val>
        </c:ser>
        <c:ser>
          <c:idx val="3"/>
          <c:order val="3"/>
          <c:tx>
            <c:strRef>
              <c:f>四組結果比較!$E$17</c:f>
              <c:strCache>
                <c:ptCount val="1"/>
                <c:pt idx="0">
                  <c:v>10cm／RANSAC</c:v>
                </c:pt>
              </c:strCache>
            </c:strRef>
          </c:tx>
          <c:spPr>
            <a:solidFill>
              <a:srgbClr val="254E70"/>
            </a:solidFill>
          </c:spPr>
          <c:dLbls>
            <c:numFmt formatCode="0.00" sourceLinked="0"/>
            <c:showVal val="1"/>
          </c:dLbls>
          <c:cat>
            <c:strRef>
              <c:f>四組結果比較!$A$18:$A$22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四組結果比較!$E$18:$E$22</c:f>
              <c:numCache>
                <c:formatCode>General</c:formatCode>
                <c:ptCount val="5"/>
                <c:pt idx="0">
                  <c:v>17.4235311056</c:v>
                </c:pt>
                <c:pt idx="1">
                  <c:v>50.90068114483</c:v>
                </c:pt>
                <c:pt idx="2">
                  <c:v>4.901756139286</c:v>
                </c:pt>
                <c:pt idx="3">
                  <c:v>252.1680517323086</c:v>
                </c:pt>
                <c:pt idx="4">
                  <c:v>9.095719413689656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cm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0</xdr:rowOff>
    </xdr:from>
    <xdr:to>
      <xdr:col>3</xdr:col>
      <xdr:colOff>419100</xdr:colOff>
      <xdr:row>50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3</xdr:col>
      <xdr:colOff>419100</xdr:colOff>
      <xdr:row>69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4"/>
  <sheetViews>
    <sheetView showGridLines="0" tabSelected="1" zoomScale="95" zoomScaleNormal="9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7.7109375" customWidth="1"/>
    <col min="2" max="2" width="22.7109375" customWidth="1"/>
    <col min="3" max="8" width="24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38" customHeight="1">
      <c r="A3" s="2" t="s">
        <v>2</v>
      </c>
      <c r="B3" s="2"/>
      <c r="C3" s="2"/>
      <c r="D3" s="2"/>
      <c r="E3" s="2"/>
      <c r="F3" s="2"/>
      <c r="G3" s="2"/>
      <c r="H3" s="2"/>
    </row>
    <row r="5" spans="1:8" ht="28" customHeight="1">
      <c r="A5" s="3" t="s">
        <v>3</v>
      </c>
      <c r="B5" s="3"/>
      <c r="C5" s="3"/>
      <c r="D5" s="3"/>
      <c r="E5" s="3"/>
      <c r="F5" s="3"/>
      <c r="G5" s="3"/>
      <c r="H5" s="3"/>
    </row>
    <row r="6" spans="1:8" ht="40" customHeight="1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</row>
    <row r="7" spans="1:8" ht="45" customHeight="1">
      <c r="A7" s="4" t="s">
        <v>12</v>
      </c>
      <c r="B7" s="4" t="s">
        <v>13</v>
      </c>
      <c r="C7" s="5">
        <f>100/100</f>
        <v>1.0</v>
      </c>
      <c r="D7" s="5">
        <f>100/100</f>
        <v>1.0</v>
      </c>
      <c r="E7" s="5">
        <f>100/100</f>
        <v>1.0</v>
      </c>
      <c r="F7" s="5">
        <f>100/100</f>
        <v>1.0</v>
      </c>
      <c r="G7" s="6">
        <v>1</v>
      </c>
      <c r="H7" s="7">
        <v>5.2558</v>
      </c>
    </row>
    <row r="8" spans="1:8" ht="45" customHeight="1">
      <c r="A8" s="4" t="s">
        <v>14</v>
      </c>
      <c r="B8" s="4" t="s">
        <v>13</v>
      </c>
      <c r="C8" s="8">
        <f>33/100</f>
        <v>0.33</v>
      </c>
      <c r="D8" s="9">
        <f>28/100</f>
        <v>0.28</v>
      </c>
      <c r="E8" s="10">
        <f>37/100</f>
        <v>0.37</v>
      </c>
      <c r="F8" s="11">
        <f>34/100</f>
        <v>0.34</v>
      </c>
      <c r="G8" s="6">
        <v>1</v>
      </c>
      <c r="H8" s="7">
        <v>11.4808</v>
      </c>
    </row>
    <row r="9" spans="1:8" ht="45" customHeight="1">
      <c r="A9" s="4" t="s">
        <v>15</v>
      </c>
      <c r="B9" s="4" t="s">
        <v>13</v>
      </c>
      <c r="C9" s="5">
        <f>100/100</f>
        <v>1.0</v>
      </c>
      <c r="D9" s="5">
        <f>100/100</f>
        <v>1.0</v>
      </c>
      <c r="E9" s="5">
        <f>100/100</f>
        <v>1.0</v>
      </c>
      <c r="F9" s="5">
        <f>100/100</f>
        <v>1.0</v>
      </c>
      <c r="G9" s="6">
        <v>1</v>
      </c>
      <c r="H9" s="7">
        <v>4.8756</v>
      </c>
    </row>
    <row r="10" spans="1:8" ht="45" customHeight="1">
      <c r="A10" s="4" t="s">
        <v>16</v>
      </c>
      <c r="B10" s="4" t="s">
        <v>13</v>
      </c>
      <c r="C10" s="12">
        <f>76/100</f>
        <v>0.76</v>
      </c>
      <c r="D10" s="12">
        <f>76/100</f>
        <v>0.76</v>
      </c>
      <c r="E10" s="13">
        <f>69/100</f>
        <v>0.69</v>
      </c>
      <c r="F10" s="14">
        <f>70/100</f>
        <v>0.7</v>
      </c>
      <c r="G10" s="6">
        <v>1</v>
      </c>
      <c r="H10" s="7">
        <v>4.356</v>
      </c>
    </row>
    <row r="11" spans="1:8" ht="45" customHeight="1">
      <c r="A11" s="4" t="s">
        <v>17</v>
      </c>
      <c r="B11" s="4" t="s">
        <v>18</v>
      </c>
      <c r="C11" s="15">
        <f>114/150</f>
        <v>0.76</v>
      </c>
      <c r="D11" s="16">
        <f>121/150</f>
        <v>0.8066666666666666</v>
      </c>
      <c r="E11" s="17">
        <f>138/150</f>
        <v>0.92</v>
      </c>
      <c r="F11" s="18">
        <f>144/150</f>
        <v>0.96</v>
      </c>
      <c r="G11" s="6">
        <v>1</v>
      </c>
      <c r="H11" s="7">
        <v>15.3427</v>
      </c>
    </row>
    <row r="14" spans="1:8" ht="48" customHeight="1">
      <c r="A14" s="2" t="s">
        <v>19</v>
      </c>
      <c r="B14" s="2"/>
      <c r="C14" s="2"/>
      <c r="D14" s="2"/>
      <c r="E14" s="2"/>
      <c r="F14" s="2"/>
      <c r="G14" s="2"/>
      <c r="H14" s="2"/>
    </row>
    <row r="16" spans="1:8" ht="28" customHeight="1">
      <c r="A16" s="3" t="s">
        <v>20</v>
      </c>
      <c r="B16" s="3"/>
      <c r="C16" s="3"/>
      <c r="D16" s="3"/>
      <c r="E16" s="3"/>
      <c r="F16" s="3"/>
      <c r="G16" s="3"/>
      <c r="H16" s="3"/>
    </row>
    <row r="17" spans="1:8" ht="40" customHeight="1">
      <c r="A17" s="3" t="s">
        <v>4</v>
      </c>
      <c r="B17" s="3" t="s">
        <v>6</v>
      </c>
      <c r="C17" s="3" t="s">
        <v>7</v>
      </c>
      <c r="D17" s="3" t="s">
        <v>8</v>
      </c>
      <c r="E17" s="3" t="s">
        <v>9</v>
      </c>
      <c r="F17" s="3" t="s">
        <v>11</v>
      </c>
    </row>
    <row r="18" spans="1:8" ht="45" customHeight="1">
      <c r="A18" s="4" t="s">
        <v>12</v>
      </c>
      <c r="B18" s="7">
        <v>16.81264811113</v>
      </c>
      <c r="C18" s="7">
        <v>17.2083674392</v>
      </c>
      <c r="D18" s="7">
        <v>17.66683273383</v>
      </c>
      <c r="E18" s="7">
        <v>17.4235311056</v>
      </c>
      <c r="F18" s="7">
        <v>5.2558</v>
      </c>
    </row>
    <row r="19" spans="1:8" ht="45" customHeight="1">
      <c r="A19" s="4" t="s">
        <v>14</v>
      </c>
      <c r="B19" s="7">
        <v>54.50497163930999</v>
      </c>
      <c r="C19" s="7">
        <v>58.201283144</v>
      </c>
      <c r="D19" s="7">
        <v>47.25469538884</v>
      </c>
      <c r="E19" s="7">
        <v>50.90068114483</v>
      </c>
      <c r="F19" s="7">
        <v>11.4808</v>
      </c>
    </row>
    <row r="20" spans="1:8" ht="45" customHeight="1">
      <c r="A20" s="4" t="s">
        <v>15</v>
      </c>
      <c r="B20" s="7">
        <v>5.376450884124</v>
      </c>
      <c r="C20" s="7">
        <v>5.291779501674</v>
      </c>
      <c r="D20" s="7">
        <v>4.993702343056</v>
      </c>
      <c r="E20" s="7">
        <v>4.901756139286</v>
      </c>
      <c r="F20" s="7">
        <v>4.8756</v>
      </c>
    </row>
    <row r="21" spans="1:8" ht="45" customHeight="1">
      <c r="A21" s="4" t="s">
        <v>16</v>
      </c>
      <c r="B21" s="7">
        <v>123.2346789297831</v>
      </c>
      <c r="C21" s="7">
        <v>123.2346789297831</v>
      </c>
      <c r="D21" s="7">
        <v>299.4917599032963</v>
      </c>
      <c r="E21" s="7">
        <v>252.1680517323086</v>
      </c>
      <c r="F21" s="7">
        <v>4.356</v>
      </c>
    </row>
    <row r="22" spans="1:8" ht="45" customHeight="1">
      <c r="A22" s="4" t="s">
        <v>17</v>
      </c>
      <c r="B22" s="7">
        <v>12.62093021071654</v>
      </c>
      <c r="C22" s="7">
        <v>10.97050868271654</v>
      </c>
      <c r="D22" s="7">
        <v>10.72940896452414</v>
      </c>
      <c r="E22" s="7">
        <v>9.095719413689656</v>
      </c>
      <c r="F22" s="7">
        <v>15.3427</v>
      </c>
    </row>
    <row r="25" spans="1:8" ht="28" customHeight="1">
      <c r="A25" s="3" t="s">
        <v>21</v>
      </c>
      <c r="B25" s="3"/>
      <c r="C25" s="3"/>
      <c r="D25" s="3"/>
      <c r="E25" s="3"/>
      <c r="F25" s="3"/>
      <c r="G25" s="3"/>
      <c r="H25" s="3"/>
    </row>
    <row r="26" spans="1:8" ht="40" customHeight="1">
      <c r="A26" s="3" t="s">
        <v>4</v>
      </c>
      <c r="B26" s="3" t="s">
        <v>6</v>
      </c>
      <c r="C26" s="3" t="s">
        <v>7</v>
      </c>
      <c r="D26" s="3" t="s">
        <v>8</v>
      </c>
      <c r="E26" s="3" t="s">
        <v>9</v>
      </c>
    </row>
    <row r="27" spans="1:8" ht="45" customHeight="1">
      <c r="A27" s="4" t="s">
        <v>12</v>
      </c>
      <c r="B27" s="4">
        <v>100</v>
      </c>
      <c r="C27" s="4">
        <v>100</v>
      </c>
      <c r="D27" s="4">
        <v>100</v>
      </c>
      <c r="E27" s="4">
        <v>100</v>
      </c>
    </row>
    <row r="28" spans="1:8" ht="45" customHeight="1">
      <c r="A28" s="4" t="s">
        <v>14</v>
      </c>
      <c r="B28" s="4">
        <v>100</v>
      </c>
      <c r="C28" s="4">
        <v>100</v>
      </c>
      <c r="D28" s="4">
        <v>100</v>
      </c>
      <c r="E28" s="4">
        <v>100</v>
      </c>
    </row>
    <row r="29" spans="1:8" ht="45" customHeight="1">
      <c r="A29" s="4" t="s">
        <v>15</v>
      </c>
      <c r="B29" s="4">
        <v>100</v>
      </c>
      <c r="C29" s="4">
        <v>100</v>
      </c>
      <c r="D29" s="4">
        <v>100</v>
      </c>
      <c r="E29" s="4">
        <v>100</v>
      </c>
    </row>
    <row r="30" spans="1:8" ht="45" customHeight="1">
      <c r="A30" s="4" t="s">
        <v>16</v>
      </c>
      <c r="B30" s="4">
        <v>83</v>
      </c>
      <c r="C30" s="4">
        <v>83</v>
      </c>
      <c r="D30" s="4">
        <v>81</v>
      </c>
      <c r="E30" s="4">
        <v>81</v>
      </c>
    </row>
    <row r="31" spans="1:8" ht="45" customHeight="1">
      <c r="A31" s="4" t="s">
        <v>17</v>
      </c>
      <c r="B31" s="4">
        <v>127</v>
      </c>
      <c r="C31" s="4">
        <v>127</v>
      </c>
      <c r="D31" s="4">
        <v>145</v>
      </c>
      <c r="E31" s="4">
        <v>145</v>
      </c>
    </row>
    <row r="34" spans="1:8" ht="42" customHeight="1">
      <c r="A34" s="2" t="s">
        <v>22</v>
      </c>
      <c r="B34" s="2"/>
      <c r="C34" s="2"/>
      <c r="D34" s="2"/>
      <c r="E34" s="2"/>
      <c r="F34" s="2"/>
      <c r="G34" s="2"/>
      <c r="H34" s="2"/>
    </row>
  </sheetData>
  <mergeCells count="8">
    <mergeCell ref="A1:H1"/>
    <mergeCell ref="A2:H2"/>
    <mergeCell ref="A3:H3"/>
    <mergeCell ref="A5:H5"/>
    <mergeCell ref="A14:H14"/>
    <mergeCell ref="A16:H16"/>
    <mergeCell ref="A25:H25"/>
    <mergeCell ref="A34:H34"/>
  </mergeCells>
  <pageMargins left="0.25" right="0.25" top="0.4" bottom="0.4" header="0.3" footer="0.3"/>
  <pageSetup paperSize="8" fitToHeight="0" orientation="landscape"/>
  <headerFooter>
    <oddHeader>&amp;C第1次｜CN距離容差與Solver</oddHeader>
    <oddFooter>&amp;L單位依欄名；pp為百分點&amp;R&amp;P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63"/>
  <sheetViews>
    <sheetView showGridLines="0" zoomScale="95" zoomScaleNormal="9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7.7109375" customWidth="1"/>
    <col min="2" max="2" width="21.7109375" customWidth="1"/>
    <col min="3" max="4" width="20.7109375" customWidth="1"/>
    <col min="5" max="5" width="18.7109375" customWidth="1"/>
    <col min="6" max="7" width="20.7109375" customWidth="1"/>
    <col min="8" max="8" width="30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38" customHeight="1">
      <c r="A3" s="2" t="s">
        <v>2</v>
      </c>
      <c r="B3" s="2"/>
      <c r="C3" s="2"/>
      <c r="D3" s="2"/>
      <c r="E3" s="2"/>
      <c r="F3" s="2"/>
      <c r="G3" s="2"/>
      <c r="H3" s="2"/>
    </row>
    <row r="5" spans="1:8" ht="28" customHeight="1">
      <c r="A5" s="3" t="s">
        <v>23</v>
      </c>
      <c r="B5" s="3"/>
      <c r="C5" s="3"/>
      <c r="D5" s="3"/>
      <c r="E5" s="3"/>
      <c r="F5" s="3"/>
      <c r="G5" s="3"/>
      <c r="H5" s="3"/>
    </row>
    <row r="6" spans="1:8" ht="40" customHeight="1">
      <c r="A6" s="3" t="s">
        <v>24</v>
      </c>
      <c r="B6" s="3" t="s">
        <v>25</v>
      </c>
      <c r="C6" s="3" t="s">
        <v>26</v>
      </c>
      <c r="D6" s="3" t="s">
        <v>27</v>
      </c>
    </row>
    <row r="7" spans="1:8" ht="60" customHeight="1">
      <c r="A7" s="4" t="s">
        <v>28</v>
      </c>
      <c r="B7" s="4" t="s">
        <v>29</v>
      </c>
      <c r="C7" s="4" t="s">
        <v>30</v>
      </c>
      <c r="D7" s="4" t="s">
        <v>31</v>
      </c>
    </row>
    <row r="8" spans="1:8" ht="45" customHeight="1">
      <c r="A8" s="4" t="s">
        <v>32</v>
      </c>
      <c r="B8" s="4" t="s">
        <v>33</v>
      </c>
      <c r="C8" s="4" t="s">
        <v>34</v>
      </c>
      <c r="D8" s="4" t="s">
        <v>35</v>
      </c>
    </row>
    <row r="9" spans="1:8" ht="45" customHeight="1">
      <c r="A9" s="4" t="s">
        <v>36</v>
      </c>
      <c r="B9" s="4" t="s">
        <v>37</v>
      </c>
      <c r="C9" s="4" t="s">
        <v>37</v>
      </c>
      <c r="D9" s="4" t="s">
        <v>38</v>
      </c>
    </row>
    <row r="10" spans="1:8" ht="78" customHeight="1">
      <c r="A10" s="4" t="s">
        <v>39</v>
      </c>
      <c r="B10" s="4" t="s">
        <v>40</v>
      </c>
      <c r="C10" s="4" t="s">
        <v>41</v>
      </c>
      <c r="D10" s="4" t="s">
        <v>42</v>
      </c>
    </row>
    <row r="13" spans="1:8" ht="28" customHeight="1">
      <c r="A13" s="3" t="s">
        <v>43</v>
      </c>
      <c r="B13" s="3"/>
      <c r="C13" s="3"/>
      <c r="D13" s="3"/>
      <c r="E13" s="3"/>
      <c r="F13" s="3"/>
      <c r="G13" s="3"/>
      <c r="H13" s="3"/>
    </row>
    <row r="14" spans="1:8" ht="40" customHeight="1">
      <c r="A14" s="3" t="s">
        <v>44</v>
      </c>
      <c r="B14" s="3" t="s">
        <v>45</v>
      </c>
      <c r="C14" s="3" t="s">
        <v>46</v>
      </c>
      <c r="D14" s="3" t="s">
        <v>47</v>
      </c>
      <c r="E14" s="3" t="s">
        <v>48</v>
      </c>
      <c r="F14" s="3" t="s">
        <v>49</v>
      </c>
      <c r="G14" s="3" t="s">
        <v>50</v>
      </c>
      <c r="H14" s="3" t="s">
        <v>51</v>
      </c>
    </row>
    <row r="15" spans="1:8" ht="45" customHeight="1">
      <c r="A15" s="4" t="s">
        <v>12</v>
      </c>
      <c r="B15" s="4" t="s">
        <v>52</v>
      </c>
      <c r="C15" s="4" t="s">
        <v>53</v>
      </c>
      <c r="D15" s="19" t="s">
        <v>54</v>
      </c>
      <c r="E15" s="19" t="s">
        <v>54</v>
      </c>
      <c r="F15" s="20">
        <f>(100/100-100/100)*100</f>
        <v>0.0</v>
      </c>
      <c r="G15" s="4">
        <v>0</v>
      </c>
      <c r="H15" s="4" t="s">
        <v>56</v>
      </c>
    </row>
    <row r="16" spans="1:8" ht="45" customHeight="1">
      <c r="A16" s="4" t="s">
        <v>12</v>
      </c>
      <c r="B16" s="4" t="s">
        <v>57</v>
      </c>
      <c r="C16" s="4" t="s">
        <v>53</v>
      </c>
      <c r="D16" s="19" t="s">
        <v>54</v>
      </c>
      <c r="E16" s="19" t="s">
        <v>54</v>
      </c>
      <c r="F16" s="20">
        <f>(100/100-100/100)*100</f>
        <v>0.0</v>
      </c>
      <c r="G16" s="4">
        <v>0</v>
      </c>
      <c r="H16" s="4" t="s">
        <v>56</v>
      </c>
    </row>
    <row r="17" spans="1:8" ht="45" customHeight="1">
      <c r="A17" s="4" t="s">
        <v>12</v>
      </c>
      <c r="B17" s="4" t="s">
        <v>58</v>
      </c>
      <c r="C17" s="4" t="s">
        <v>59</v>
      </c>
      <c r="D17" s="19" t="s">
        <v>54</v>
      </c>
      <c r="E17" s="19" t="s">
        <v>54</v>
      </c>
      <c r="F17" s="20">
        <f>(100/100-100/100)*100</f>
        <v>0.0</v>
      </c>
      <c r="G17" s="4">
        <v>0</v>
      </c>
      <c r="H17" s="4" t="s">
        <v>56</v>
      </c>
    </row>
    <row r="18" spans="1:8" ht="45" customHeight="1">
      <c r="A18" s="4" t="s">
        <v>12</v>
      </c>
      <c r="B18" s="4" t="s">
        <v>60</v>
      </c>
      <c r="C18" s="4" t="s">
        <v>59</v>
      </c>
      <c r="D18" s="19" t="s">
        <v>54</v>
      </c>
      <c r="E18" s="19" t="s">
        <v>54</v>
      </c>
      <c r="F18" s="20">
        <f>(100/100-100/100)*100</f>
        <v>0.0</v>
      </c>
      <c r="G18" s="4">
        <v>0</v>
      </c>
      <c r="H18" s="4" t="s">
        <v>56</v>
      </c>
    </row>
    <row r="19" spans="1:8" ht="45" customHeight="1">
      <c r="A19" s="4" t="s">
        <v>14</v>
      </c>
      <c r="B19" s="4" t="s">
        <v>52</v>
      </c>
      <c r="C19" s="4" t="s">
        <v>53</v>
      </c>
      <c r="D19" s="19" t="s">
        <v>61</v>
      </c>
      <c r="E19" s="19" t="s">
        <v>62</v>
      </c>
      <c r="F19" s="20">
        <f>(37/100-33/100)*100</f>
        <v>3.9999999999999982</v>
      </c>
      <c r="G19" s="4">
        <v>4</v>
      </c>
      <c r="H19" s="4" t="s">
        <v>56</v>
      </c>
    </row>
    <row r="20" spans="1:8" ht="45" customHeight="1">
      <c r="A20" s="4" t="s">
        <v>14</v>
      </c>
      <c r="B20" s="4" t="s">
        <v>57</v>
      </c>
      <c r="C20" s="4" t="s">
        <v>53</v>
      </c>
      <c r="D20" s="19" t="s">
        <v>63</v>
      </c>
      <c r="E20" s="19" t="s">
        <v>64</v>
      </c>
      <c r="F20" s="20">
        <f>(34/100-28/100)*100</f>
        <v>6.0</v>
      </c>
      <c r="G20" s="4">
        <v>6</v>
      </c>
      <c r="H20" s="4" t="s">
        <v>56</v>
      </c>
    </row>
    <row r="21" spans="1:8" ht="45" customHeight="1">
      <c r="A21" s="4" t="s">
        <v>14</v>
      </c>
      <c r="B21" s="4" t="s">
        <v>58</v>
      </c>
      <c r="C21" s="4" t="s">
        <v>59</v>
      </c>
      <c r="D21" s="19" t="s">
        <v>61</v>
      </c>
      <c r="E21" s="19" t="s">
        <v>63</v>
      </c>
      <c r="F21" s="20">
        <f>(28/100-33/100)*100</f>
        <v>-4.999999999999999</v>
      </c>
      <c r="G21" s="4">
        <v>-5</v>
      </c>
      <c r="H21" s="4" t="s">
        <v>56</v>
      </c>
    </row>
    <row r="22" spans="1:8" ht="45" customHeight="1">
      <c r="A22" s="4" t="s">
        <v>14</v>
      </c>
      <c r="B22" s="4" t="s">
        <v>60</v>
      </c>
      <c r="C22" s="4" t="s">
        <v>59</v>
      </c>
      <c r="D22" s="19" t="s">
        <v>62</v>
      </c>
      <c r="E22" s="19" t="s">
        <v>64</v>
      </c>
      <c r="F22" s="20">
        <f>(34/100-37/100)*100</f>
        <v>-2.9999999999999973</v>
      </c>
      <c r="G22" s="4">
        <v>-3</v>
      </c>
      <c r="H22" s="4" t="s">
        <v>56</v>
      </c>
    </row>
    <row r="23" spans="1:8" ht="45" customHeight="1">
      <c r="A23" s="4" t="s">
        <v>15</v>
      </c>
      <c r="B23" s="4" t="s">
        <v>52</v>
      </c>
      <c r="C23" s="4" t="s">
        <v>53</v>
      </c>
      <c r="D23" s="19" t="s">
        <v>54</v>
      </c>
      <c r="E23" s="19" t="s">
        <v>54</v>
      </c>
      <c r="F23" s="20">
        <f>(100/100-100/100)*100</f>
        <v>0.0</v>
      </c>
      <c r="G23" s="4">
        <v>0</v>
      </c>
      <c r="H23" s="4" t="s">
        <v>56</v>
      </c>
    </row>
    <row r="24" spans="1:8" ht="45" customHeight="1">
      <c r="A24" s="4" t="s">
        <v>15</v>
      </c>
      <c r="B24" s="4" t="s">
        <v>57</v>
      </c>
      <c r="C24" s="4" t="s">
        <v>53</v>
      </c>
      <c r="D24" s="19" t="s">
        <v>54</v>
      </c>
      <c r="E24" s="19" t="s">
        <v>54</v>
      </c>
      <c r="F24" s="20">
        <f>(100/100-100/100)*100</f>
        <v>0.0</v>
      </c>
      <c r="G24" s="4">
        <v>0</v>
      </c>
      <c r="H24" s="4" t="s">
        <v>56</v>
      </c>
    </row>
    <row r="25" spans="1:8" ht="45" customHeight="1">
      <c r="A25" s="4" t="s">
        <v>15</v>
      </c>
      <c r="B25" s="4" t="s">
        <v>58</v>
      </c>
      <c r="C25" s="4" t="s">
        <v>59</v>
      </c>
      <c r="D25" s="19" t="s">
        <v>54</v>
      </c>
      <c r="E25" s="19" t="s">
        <v>54</v>
      </c>
      <c r="F25" s="20">
        <f>(100/100-100/100)*100</f>
        <v>0.0</v>
      </c>
      <c r="G25" s="4">
        <v>0</v>
      </c>
      <c r="H25" s="4" t="s">
        <v>56</v>
      </c>
    </row>
    <row r="26" spans="1:8" ht="45" customHeight="1">
      <c r="A26" s="4" t="s">
        <v>15</v>
      </c>
      <c r="B26" s="4" t="s">
        <v>60</v>
      </c>
      <c r="C26" s="4" t="s">
        <v>59</v>
      </c>
      <c r="D26" s="19" t="s">
        <v>54</v>
      </c>
      <c r="E26" s="19" t="s">
        <v>54</v>
      </c>
      <c r="F26" s="20">
        <f>(100/100-100/100)*100</f>
        <v>0.0</v>
      </c>
      <c r="G26" s="4">
        <v>0</v>
      </c>
      <c r="H26" s="4" t="s">
        <v>56</v>
      </c>
    </row>
    <row r="27" spans="1:8" ht="45" customHeight="1">
      <c r="A27" s="4" t="s">
        <v>16</v>
      </c>
      <c r="B27" s="4" t="s">
        <v>52</v>
      </c>
      <c r="C27" s="4" t="s">
        <v>53</v>
      </c>
      <c r="D27" s="19" t="s">
        <v>65</v>
      </c>
      <c r="E27" s="19" t="s">
        <v>66</v>
      </c>
      <c r="F27" s="20">
        <f>(69/100-76/100)*100</f>
        <v>-7.000000000000006</v>
      </c>
      <c r="G27" s="4">
        <v>-7</v>
      </c>
      <c r="H27" s="4" t="s">
        <v>56</v>
      </c>
    </row>
    <row r="28" spans="1:8" ht="45" customHeight="1">
      <c r="A28" s="4" t="s">
        <v>16</v>
      </c>
      <c r="B28" s="4" t="s">
        <v>57</v>
      </c>
      <c r="C28" s="4" t="s">
        <v>53</v>
      </c>
      <c r="D28" s="19" t="s">
        <v>65</v>
      </c>
      <c r="E28" s="19" t="s">
        <v>67</v>
      </c>
      <c r="F28" s="20">
        <f>(70/100-76/100)*100</f>
        <v>-6.000000000000005</v>
      </c>
      <c r="G28" s="4">
        <v>-6</v>
      </c>
      <c r="H28" s="4" t="s">
        <v>56</v>
      </c>
    </row>
    <row r="29" spans="1:8" ht="45" customHeight="1">
      <c r="A29" s="4" t="s">
        <v>16</v>
      </c>
      <c r="B29" s="4" t="s">
        <v>58</v>
      </c>
      <c r="C29" s="4" t="s">
        <v>59</v>
      </c>
      <c r="D29" s="19" t="s">
        <v>65</v>
      </c>
      <c r="E29" s="19" t="s">
        <v>65</v>
      </c>
      <c r="F29" s="20">
        <f>(76/100-76/100)*100</f>
        <v>0.0</v>
      </c>
      <c r="G29" s="4">
        <v>0</v>
      </c>
      <c r="H29" s="4" t="s">
        <v>56</v>
      </c>
    </row>
    <row r="30" spans="1:8" ht="45" customHeight="1">
      <c r="A30" s="4" t="s">
        <v>16</v>
      </c>
      <c r="B30" s="4" t="s">
        <v>60</v>
      </c>
      <c r="C30" s="4" t="s">
        <v>59</v>
      </c>
      <c r="D30" s="19" t="s">
        <v>66</v>
      </c>
      <c r="E30" s="19" t="s">
        <v>67</v>
      </c>
      <c r="F30" s="20">
        <f>(70/100-69/100)*100</f>
        <v>1.0000000000000009</v>
      </c>
      <c r="G30" s="4">
        <v>1</v>
      </c>
      <c r="H30" s="4" t="s">
        <v>56</v>
      </c>
    </row>
    <row r="31" spans="1:8" ht="45" customHeight="1">
      <c r="A31" s="4" t="s">
        <v>17</v>
      </c>
      <c r="B31" s="4" t="s">
        <v>52</v>
      </c>
      <c r="C31" s="4" t="s">
        <v>53</v>
      </c>
      <c r="D31" s="19" t="s">
        <v>68</v>
      </c>
      <c r="E31" s="19" t="s">
        <v>69</v>
      </c>
      <c r="F31" s="20">
        <f>(138/150-114/150)*100</f>
        <v>16.000000000000004</v>
      </c>
      <c r="G31" s="4">
        <v>24</v>
      </c>
      <c r="H31" s="4" t="s">
        <v>56</v>
      </c>
    </row>
    <row r="32" spans="1:8" ht="45" customHeight="1">
      <c r="A32" s="4" t="s">
        <v>17</v>
      </c>
      <c r="B32" s="4" t="s">
        <v>57</v>
      </c>
      <c r="C32" s="4" t="s">
        <v>53</v>
      </c>
      <c r="D32" s="19" t="s">
        <v>70</v>
      </c>
      <c r="E32" s="19" t="s">
        <v>71</v>
      </c>
      <c r="F32" s="20">
        <f>(144/150-121/150)*100</f>
        <v>15.333333333333332</v>
      </c>
      <c r="G32" s="4">
        <v>23</v>
      </c>
      <c r="H32" s="4" t="s">
        <v>56</v>
      </c>
    </row>
    <row r="33" spans="1:8" ht="45" customHeight="1">
      <c r="A33" s="4" t="s">
        <v>17</v>
      </c>
      <c r="B33" s="4" t="s">
        <v>58</v>
      </c>
      <c r="C33" s="4" t="s">
        <v>59</v>
      </c>
      <c r="D33" s="19" t="s">
        <v>68</v>
      </c>
      <c r="E33" s="19" t="s">
        <v>70</v>
      </c>
      <c r="F33" s="20">
        <f>(121/150-114/150)*100</f>
        <v>4.666666666666663</v>
      </c>
      <c r="G33" s="4">
        <v>7</v>
      </c>
      <c r="H33" s="4" t="s">
        <v>56</v>
      </c>
    </row>
    <row r="34" spans="1:8" ht="45" customHeight="1">
      <c r="A34" s="4" t="s">
        <v>17</v>
      </c>
      <c r="B34" s="4" t="s">
        <v>60</v>
      </c>
      <c r="C34" s="4" t="s">
        <v>59</v>
      </c>
      <c r="D34" s="19" t="s">
        <v>69</v>
      </c>
      <c r="E34" s="19" t="s">
        <v>71</v>
      </c>
      <c r="F34" s="20">
        <f>(144/150-138/150)*100</f>
        <v>3.9999999999999925</v>
      </c>
      <c r="G34" s="4">
        <v>6</v>
      </c>
      <c r="H34" s="4" t="s">
        <v>56</v>
      </c>
    </row>
    <row r="37" spans="1:8" ht="46" customHeight="1">
      <c r="A37" s="2" t="s">
        <v>72</v>
      </c>
      <c r="B37" s="2"/>
      <c r="C37" s="2"/>
      <c r="D37" s="2"/>
      <c r="E37" s="2"/>
      <c r="F37" s="2"/>
      <c r="G37" s="2"/>
      <c r="H37" s="2"/>
    </row>
    <row r="39" spans="1:8" ht="46" customHeight="1">
      <c r="A39" s="2" t="s">
        <v>73</v>
      </c>
      <c r="B39" s="2"/>
      <c r="C39" s="2"/>
      <c r="D39" s="2"/>
      <c r="E39" s="2"/>
      <c r="F39" s="2"/>
      <c r="G39" s="2"/>
      <c r="H39" s="2"/>
    </row>
    <row r="41" spans="1:8" ht="46" customHeight="1">
      <c r="A41" s="2" t="s">
        <v>74</v>
      </c>
      <c r="B41" s="2"/>
      <c r="C41" s="2"/>
      <c r="D41" s="2"/>
      <c r="E41" s="2"/>
      <c r="F41" s="2"/>
      <c r="G41" s="2"/>
      <c r="H41" s="2"/>
    </row>
    <row r="43" spans="1:8" ht="28" customHeight="1">
      <c r="A43" s="3" t="s">
        <v>75</v>
      </c>
      <c r="B43" s="3"/>
      <c r="C43" s="3"/>
      <c r="D43" s="3"/>
      <c r="E43" s="3"/>
      <c r="F43" s="3"/>
      <c r="G43" s="3"/>
      <c r="H43" s="3"/>
    </row>
    <row r="44" spans="1:8" ht="40" customHeight="1">
      <c r="A44" s="3" t="s">
        <v>24</v>
      </c>
      <c r="B44" s="3" t="s">
        <v>76</v>
      </c>
      <c r="C44" s="3" t="s">
        <v>77</v>
      </c>
      <c r="D44" s="3" t="s">
        <v>78</v>
      </c>
      <c r="E44" s="3" t="s">
        <v>51</v>
      </c>
    </row>
    <row r="45" spans="1:8" ht="45" customHeight="1">
      <c r="A45" s="4" t="s">
        <v>28</v>
      </c>
      <c r="B45" s="4" t="s">
        <v>29</v>
      </c>
      <c r="C45" s="4" t="s">
        <v>29</v>
      </c>
      <c r="D45" s="4" t="s">
        <v>30</v>
      </c>
      <c r="E45" s="4" t="s">
        <v>79</v>
      </c>
    </row>
    <row r="46" spans="1:8" ht="60" customHeight="1">
      <c r="A46" s="4" t="s">
        <v>80</v>
      </c>
      <c r="B46" s="4" t="s">
        <v>81</v>
      </c>
      <c r="C46" s="4" t="s">
        <v>33</v>
      </c>
      <c r="D46" s="4" t="s">
        <v>34</v>
      </c>
      <c r="E46" s="4" t="s">
        <v>82</v>
      </c>
    </row>
    <row r="47" spans="1:8" ht="78" customHeight="1">
      <c r="A47" s="4" t="s">
        <v>83</v>
      </c>
      <c r="B47" s="4" t="s">
        <v>84</v>
      </c>
      <c r="C47" s="4" t="s">
        <v>37</v>
      </c>
      <c r="D47" s="4" t="s">
        <v>37</v>
      </c>
      <c r="E47" s="4" t="s">
        <v>85</v>
      </c>
    </row>
    <row r="48" spans="1:8" ht="60" customHeight="1">
      <c r="A48" s="4" t="s">
        <v>86</v>
      </c>
      <c r="B48" s="4" t="s">
        <v>87</v>
      </c>
      <c r="C48" s="4" t="s">
        <v>87</v>
      </c>
      <c r="D48" s="4" t="s">
        <v>87</v>
      </c>
      <c r="E48" s="4" t="s">
        <v>88</v>
      </c>
    </row>
    <row r="51" spans="1:8" ht="28" customHeight="1">
      <c r="A51" s="3" t="s">
        <v>89</v>
      </c>
      <c r="B51" s="3"/>
      <c r="C51" s="3"/>
      <c r="D51" s="3"/>
      <c r="E51" s="3"/>
      <c r="F51" s="3"/>
      <c r="G51" s="3"/>
      <c r="H51" s="3"/>
    </row>
    <row r="52" spans="1:8" ht="40" customHeight="1">
      <c r="A52" s="3" t="s">
        <v>44</v>
      </c>
      <c r="B52" s="3" t="s">
        <v>90</v>
      </c>
      <c r="C52" s="3" t="s">
        <v>91</v>
      </c>
      <c r="D52" s="3" t="s">
        <v>92</v>
      </c>
      <c r="E52" s="3" t="s">
        <v>93</v>
      </c>
      <c r="F52" s="3" t="s">
        <v>94</v>
      </c>
    </row>
    <row r="53" spans="1:8" ht="96" customHeight="1">
      <c r="A53" s="4" t="s">
        <v>12</v>
      </c>
      <c r="B53" s="7">
        <v>20.718</v>
      </c>
      <c r="C53" s="7">
        <v>11.657</v>
      </c>
      <c r="D53" s="4" t="s">
        <v>95</v>
      </c>
      <c r="E53" s="4" t="s">
        <v>96</v>
      </c>
      <c r="F53" s="4" t="s">
        <v>97</v>
      </c>
    </row>
    <row r="54" spans="1:8" ht="96" customHeight="1">
      <c r="A54" s="4" t="s">
        <v>14</v>
      </c>
      <c r="B54" s="7">
        <v>30.699</v>
      </c>
      <c r="C54" s="7">
        <v>16.712</v>
      </c>
      <c r="D54" s="4" t="s">
        <v>95</v>
      </c>
      <c r="E54" s="4" t="s">
        <v>96</v>
      </c>
      <c r="F54" s="4" t="s">
        <v>97</v>
      </c>
    </row>
    <row r="55" spans="1:8" ht="96" customHeight="1">
      <c r="A55" s="4" t="s">
        <v>15</v>
      </c>
      <c r="B55" s="7">
        <v>4.5596</v>
      </c>
      <c r="C55" s="7">
        <v>8.3584</v>
      </c>
      <c r="D55" s="4" t="s">
        <v>95</v>
      </c>
      <c r="E55" s="4" t="s">
        <v>96</v>
      </c>
      <c r="F55" s="4" t="s">
        <v>97</v>
      </c>
    </row>
    <row r="56" spans="1:8" ht="96" customHeight="1">
      <c r="A56" s="4" t="s">
        <v>16</v>
      </c>
      <c r="B56" s="7">
        <v>19.522</v>
      </c>
      <c r="C56" s="7">
        <v>9.451599999999999</v>
      </c>
      <c r="D56" s="4" t="s">
        <v>95</v>
      </c>
      <c r="E56" s="4" t="s">
        <v>96</v>
      </c>
      <c r="F56" s="4" t="s">
        <v>97</v>
      </c>
    </row>
    <row r="57" spans="1:8" ht="96" customHeight="1">
      <c r="A57" s="4" t="s">
        <v>17</v>
      </c>
      <c r="B57" s="7">
        <v>3.0405</v>
      </c>
      <c r="C57" s="7">
        <v>8.699199999999999</v>
      </c>
      <c r="D57" s="4" t="s">
        <v>95</v>
      </c>
      <c r="E57" s="4" t="s">
        <v>96</v>
      </c>
      <c r="F57" s="4" t="s">
        <v>97</v>
      </c>
    </row>
    <row r="60" spans="1:8" ht="28" customHeight="1">
      <c r="A60" s="3" t="s">
        <v>98</v>
      </c>
      <c r="B60" s="3"/>
      <c r="C60" s="3"/>
      <c r="D60" s="3"/>
      <c r="E60" s="3"/>
      <c r="F60" s="3"/>
      <c r="G60" s="3"/>
      <c r="H60" s="3"/>
    </row>
    <row r="61" spans="1:8" ht="38" customHeight="1">
      <c r="A61" s="2" t="s">
        <v>99</v>
      </c>
      <c r="B61" s="2"/>
      <c r="C61" s="2"/>
      <c r="D61" s="2"/>
      <c r="E61" s="2"/>
      <c r="F61" s="2"/>
      <c r="G61" s="2"/>
      <c r="H61" s="2"/>
    </row>
    <row r="62" spans="1:8" ht="38" customHeight="1">
      <c r="A62" s="2" t="s">
        <v>100</v>
      </c>
      <c r="B62" s="2"/>
      <c r="C62" s="2"/>
      <c r="D62" s="2"/>
      <c r="E62" s="2"/>
      <c r="F62" s="2"/>
      <c r="G62" s="2"/>
      <c r="H62" s="2"/>
    </row>
    <row r="63" spans="1:8" ht="52" customHeight="1">
      <c r="A63" s="2" t="s">
        <v>101</v>
      </c>
      <c r="B63" s="2"/>
      <c r="C63" s="2"/>
      <c r="D63" s="2"/>
      <c r="E63" s="2"/>
      <c r="F63" s="2"/>
      <c r="G63" s="2"/>
      <c r="H63" s="2"/>
    </row>
  </sheetData>
  <mergeCells count="14">
    <mergeCell ref="A1:H1"/>
    <mergeCell ref="A2:H2"/>
    <mergeCell ref="A3:H3"/>
    <mergeCell ref="A5:H5"/>
    <mergeCell ref="A13:H13"/>
    <mergeCell ref="A37:H37"/>
    <mergeCell ref="A39:H39"/>
    <mergeCell ref="A41:H41"/>
    <mergeCell ref="A43:H43"/>
    <mergeCell ref="A51:H51"/>
    <mergeCell ref="A60:H60"/>
    <mergeCell ref="A61:H61"/>
    <mergeCell ref="A62:H62"/>
    <mergeCell ref="A63:H63"/>
  </mergeCells>
  <pageMargins left="0.25" right="0.25" top="0.4" bottom="0.4" header="0.3" footer="0.3"/>
  <pageSetup paperSize="8" fitToHeight="0" orientation="landscape"/>
  <headerFooter>
    <oddHeader>&amp;C第1次｜CN距離容差與Solver</oddHeader>
    <oddFooter>&amp;L單位依欄名；pp為百分點&amp;R&amp;P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79"/>
  <sheetViews>
    <sheetView showGridLines="0" zoomScale="95" zoomScaleNormal="9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7.7109375" customWidth="1"/>
    <col min="2" max="2" width="21.7109375" customWidth="1"/>
    <col min="3" max="4" width="20.7109375" customWidth="1"/>
    <col min="5" max="5" width="18.7109375" customWidth="1"/>
    <col min="6" max="7" width="20.7109375" customWidth="1"/>
    <col min="8" max="8" width="30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38" customHeight="1">
      <c r="A3" s="2" t="s">
        <v>2</v>
      </c>
      <c r="B3" s="2"/>
      <c r="C3" s="2"/>
      <c r="D3" s="2"/>
      <c r="E3" s="2"/>
      <c r="F3" s="2"/>
      <c r="G3" s="2"/>
      <c r="H3" s="2"/>
    </row>
    <row r="5" spans="1:8" ht="28" customHeight="1">
      <c r="A5" s="3" t="s">
        <v>102</v>
      </c>
      <c r="B5" s="3"/>
      <c r="C5" s="3"/>
      <c r="D5" s="3"/>
      <c r="E5" s="3"/>
      <c r="F5" s="3"/>
      <c r="G5" s="3"/>
      <c r="H5" s="3"/>
    </row>
    <row r="6" spans="1:8" ht="40" customHeight="1">
      <c r="A6" s="3" t="s">
        <v>44</v>
      </c>
      <c r="B6" s="3" t="s">
        <v>103</v>
      </c>
      <c r="C6" s="3" t="s">
        <v>104</v>
      </c>
      <c r="D6" s="3" t="s">
        <v>105</v>
      </c>
      <c r="E6" s="3" t="s">
        <v>106</v>
      </c>
      <c r="F6" s="3" t="s">
        <v>107</v>
      </c>
      <c r="G6" s="3" t="s">
        <v>108</v>
      </c>
      <c r="H6" s="3" t="s">
        <v>109</v>
      </c>
    </row>
    <row r="7" spans="1:8" ht="45" customHeight="1">
      <c r="A7" s="4" t="s">
        <v>12</v>
      </c>
      <c r="B7" s="4" t="s">
        <v>6</v>
      </c>
      <c r="C7" s="7">
        <v>16.81264811113</v>
      </c>
      <c r="D7" s="4">
        <v>100</v>
      </c>
      <c r="E7" s="7">
        <v>0.653513343284</v>
      </c>
      <c r="F7" s="7">
        <v>14.659001371934</v>
      </c>
      <c r="G7" s="7">
        <v>24.15578572</v>
      </c>
      <c r="H7" s="19" t="s">
        <v>54</v>
      </c>
    </row>
    <row r="8" spans="1:8" ht="45" customHeight="1">
      <c r="A8" s="4" t="s">
        <v>12</v>
      </c>
      <c r="B8" s="4" t="s">
        <v>7</v>
      </c>
      <c r="C8" s="7">
        <v>17.2083674392</v>
      </c>
      <c r="D8" s="4">
        <v>100</v>
      </c>
      <c r="E8" s="7">
        <v>0.675254389727</v>
      </c>
      <c r="F8" s="7">
        <v>14.98568778713</v>
      </c>
      <c r="G8" s="7">
        <v>26.64002224</v>
      </c>
      <c r="H8" s="19" t="s">
        <v>54</v>
      </c>
    </row>
    <row r="9" spans="1:8" ht="45" customHeight="1">
      <c r="A9" s="4" t="s">
        <v>12</v>
      </c>
      <c r="B9" s="4" t="s">
        <v>8</v>
      </c>
      <c r="C9" s="7">
        <v>17.66683273383</v>
      </c>
      <c r="D9" s="4">
        <v>100</v>
      </c>
      <c r="E9" s="7">
        <v>0.690407388888</v>
      </c>
      <c r="F9" s="7">
        <v>15.55320039561</v>
      </c>
      <c r="G9" s="7">
        <v>25.05820484</v>
      </c>
      <c r="H9" s="19" t="s">
        <v>54</v>
      </c>
    </row>
    <row r="10" spans="1:8" ht="45" customHeight="1">
      <c r="A10" s="4" t="s">
        <v>12</v>
      </c>
      <c r="B10" s="4" t="s">
        <v>9</v>
      </c>
      <c r="C10" s="7">
        <v>17.4235311056</v>
      </c>
      <c r="D10" s="4">
        <v>100</v>
      </c>
      <c r="E10" s="7">
        <v>0.689562769167</v>
      </c>
      <c r="F10" s="7">
        <v>15.2649956211</v>
      </c>
      <c r="G10" s="7">
        <v>27.09175617</v>
      </c>
      <c r="H10" s="19" t="s">
        <v>54</v>
      </c>
    </row>
    <row r="11" spans="1:8" ht="45" customHeight="1">
      <c r="A11" s="4" t="s">
        <v>14</v>
      </c>
      <c r="B11" s="4" t="s">
        <v>6</v>
      </c>
      <c r="C11" s="7">
        <v>54.50497163930999</v>
      </c>
      <c r="D11" s="4">
        <v>100</v>
      </c>
      <c r="E11" s="7">
        <v>3.010561498714</v>
      </c>
      <c r="F11" s="7">
        <v>34.37448410885</v>
      </c>
      <c r="G11" s="7">
        <v>66.57111264</v>
      </c>
      <c r="H11" s="19" t="s">
        <v>61</v>
      </c>
    </row>
    <row r="12" spans="1:8" ht="45" customHeight="1">
      <c r="A12" s="4" t="s">
        <v>14</v>
      </c>
      <c r="B12" s="4" t="s">
        <v>7</v>
      </c>
      <c r="C12" s="7">
        <v>58.201283144</v>
      </c>
      <c r="D12" s="4">
        <v>100</v>
      </c>
      <c r="E12" s="7">
        <v>2.996312875285</v>
      </c>
      <c r="F12" s="7">
        <v>38.43288652542</v>
      </c>
      <c r="G12" s="7">
        <v>69.86197643</v>
      </c>
      <c r="H12" s="19" t="s">
        <v>63</v>
      </c>
    </row>
    <row r="13" spans="1:8" ht="45" customHeight="1">
      <c r="A13" s="4" t="s">
        <v>14</v>
      </c>
      <c r="B13" s="4" t="s">
        <v>8</v>
      </c>
      <c r="C13" s="7">
        <v>47.25469538884</v>
      </c>
      <c r="D13" s="4">
        <v>100</v>
      </c>
      <c r="E13" s="7">
        <v>2.675081919836</v>
      </c>
      <c r="F13" s="7">
        <v>29.71202555179</v>
      </c>
      <c r="G13" s="7">
        <v>56.89672242</v>
      </c>
      <c r="H13" s="19" t="s">
        <v>62</v>
      </c>
    </row>
    <row r="14" spans="1:8" ht="45" customHeight="1">
      <c r="A14" s="4" t="s">
        <v>14</v>
      </c>
      <c r="B14" s="4" t="s">
        <v>9</v>
      </c>
      <c r="C14" s="7">
        <v>50.90068114483</v>
      </c>
      <c r="D14" s="4">
        <v>100</v>
      </c>
      <c r="E14" s="7">
        <v>2.805820850935</v>
      </c>
      <c r="F14" s="7">
        <v>31.61299917308</v>
      </c>
      <c r="G14" s="7">
        <v>61.17425436</v>
      </c>
      <c r="H14" s="19" t="s">
        <v>64</v>
      </c>
    </row>
    <row r="15" spans="1:8" ht="45" customHeight="1">
      <c r="A15" s="4" t="s">
        <v>15</v>
      </c>
      <c r="B15" s="4" t="s">
        <v>6</v>
      </c>
      <c r="C15" s="7">
        <v>5.376450884124</v>
      </c>
      <c r="D15" s="4">
        <v>100</v>
      </c>
      <c r="E15" s="7">
        <v>0.2980301282526</v>
      </c>
      <c r="F15" s="7">
        <v>4.984806000615</v>
      </c>
      <c r="G15" s="7">
        <v>6.04477203</v>
      </c>
      <c r="H15" s="19" t="s">
        <v>54</v>
      </c>
    </row>
    <row r="16" spans="1:8" ht="45" customHeight="1">
      <c r="A16" s="4" t="s">
        <v>15</v>
      </c>
      <c r="B16" s="4" t="s">
        <v>7</v>
      </c>
      <c r="C16" s="7">
        <v>5.291779501674</v>
      </c>
      <c r="D16" s="4">
        <v>100</v>
      </c>
      <c r="E16" s="7">
        <v>0.2874627067643</v>
      </c>
      <c r="F16" s="7">
        <v>4.907486991115</v>
      </c>
      <c r="G16" s="7">
        <v>7.29747341</v>
      </c>
      <c r="H16" s="19" t="s">
        <v>54</v>
      </c>
    </row>
    <row r="17" spans="1:8" ht="45" customHeight="1">
      <c r="A17" s="4" t="s">
        <v>15</v>
      </c>
      <c r="B17" s="4" t="s">
        <v>8</v>
      </c>
      <c r="C17" s="7">
        <v>4.993702343056</v>
      </c>
      <c r="D17" s="4">
        <v>100</v>
      </c>
      <c r="E17" s="7">
        <v>0.2973840962944</v>
      </c>
      <c r="F17" s="7">
        <v>4.555181305722</v>
      </c>
      <c r="G17" s="7">
        <v>6.71977696</v>
      </c>
      <c r="H17" s="19" t="s">
        <v>54</v>
      </c>
    </row>
    <row r="18" spans="1:8" ht="45" customHeight="1">
      <c r="A18" s="4" t="s">
        <v>15</v>
      </c>
      <c r="B18" s="4" t="s">
        <v>9</v>
      </c>
      <c r="C18" s="7">
        <v>4.901756139286</v>
      </c>
      <c r="D18" s="4">
        <v>100</v>
      </c>
      <c r="E18" s="7">
        <v>0.2756560181046</v>
      </c>
      <c r="F18" s="7">
        <v>4.498764577382</v>
      </c>
      <c r="G18" s="7">
        <v>8.32219845</v>
      </c>
      <c r="H18" s="19" t="s">
        <v>54</v>
      </c>
    </row>
    <row r="19" spans="1:8" ht="45" customHeight="1">
      <c r="A19" s="4" t="s">
        <v>16</v>
      </c>
      <c r="B19" s="4" t="s">
        <v>6</v>
      </c>
      <c r="C19" s="7">
        <v>123.2346789297831</v>
      </c>
      <c r="D19" s="4">
        <v>83</v>
      </c>
      <c r="E19" s="7">
        <v>2.638986240954819</v>
      </c>
      <c r="F19" s="7">
        <v>123.9392307287337</v>
      </c>
      <c r="G19" s="7">
        <v>6.01696067</v>
      </c>
      <c r="H19" s="19" t="s">
        <v>65</v>
      </c>
    </row>
    <row r="20" spans="1:8" ht="45" customHeight="1">
      <c r="A20" s="4" t="s">
        <v>16</v>
      </c>
      <c r="B20" s="4" t="s">
        <v>7</v>
      </c>
      <c r="C20" s="7">
        <v>123.2346789297831</v>
      </c>
      <c r="D20" s="4">
        <v>83</v>
      </c>
      <c r="E20" s="7">
        <v>2.638986240954819</v>
      </c>
      <c r="F20" s="7">
        <v>123.9392307287337</v>
      </c>
      <c r="G20" s="7">
        <v>6.60275653</v>
      </c>
      <c r="H20" s="19" t="s">
        <v>65</v>
      </c>
    </row>
    <row r="21" spans="1:8" ht="45" customHeight="1">
      <c r="A21" s="4" t="s">
        <v>16</v>
      </c>
      <c r="B21" s="4" t="s">
        <v>8</v>
      </c>
      <c r="C21" s="7">
        <v>299.4917599032963</v>
      </c>
      <c r="D21" s="4">
        <v>81</v>
      </c>
      <c r="E21" s="7">
        <v>11.59766951236</v>
      </c>
      <c r="F21" s="7">
        <v>303.268721948937</v>
      </c>
      <c r="G21" s="7">
        <v>6.25656317</v>
      </c>
      <c r="H21" s="19" t="s">
        <v>66</v>
      </c>
    </row>
    <row r="22" spans="1:8" ht="45" customHeight="1">
      <c r="A22" s="4" t="s">
        <v>16</v>
      </c>
      <c r="B22" s="4" t="s">
        <v>9</v>
      </c>
      <c r="C22" s="7">
        <v>252.1680517323086</v>
      </c>
      <c r="D22" s="4">
        <v>81</v>
      </c>
      <c r="E22" s="7">
        <v>9.392364444529136</v>
      </c>
      <c r="F22" s="7">
        <v>255.1452830486901</v>
      </c>
      <c r="G22" s="7">
        <v>7.46682261</v>
      </c>
      <c r="H22" s="19" t="s">
        <v>67</v>
      </c>
    </row>
    <row r="23" spans="1:8" ht="45" customHeight="1">
      <c r="A23" s="4" t="s">
        <v>17</v>
      </c>
      <c r="B23" s="4" t="s">
        <v>6</v>
      </c>
      <c r="C23" s="7">
        <v>12.62093021071654</v>
      </c>
      <c r="D23" s="4">
        <v>127</v>
      </c>
      <c r="E23" s="7">
        <v>0.8363256751958268</v>
      </c>
      <c r="F23" s="7">
        <v>11.09438364595748</v>
      </c>
      <c r="G23" s="7">
        <v>2.37528938</v>
      </c>
      <c r="H23" s="19" t="s">
        <v>68</v>
      </c>
    </row>
    <row r="24" spans="1:8" ht="45" customHeight="1">
      <c r="A24" s="4" t="s">
        <v>17</v>
      </c>
      <c r="B24" s="4" t="s">
        <v>7</v>
      </c>
      <c r="C24" s="7">
        <v>10.97050868271654</v>
      </c>
      <c r="D24" s="4">
        <v>127</v>
      </c>
      <c r="E24" s="7">
        <v>0.7161741301438582</v>
      </c>
      <c r="F24" s="7">
        <v>9.726951540952756</v>
      </c>
      <c r="G24" s="7">
        <v>2.804647686666667</v>
      </c>
      <c r="H24" s="19" t="s">
        <v>70</v>
      </c>
    </row>
    <row r="25" spans="1:8" ht="45" customHeight="1">
      <c r="A25" s="4" t="s">
        <v>17</v>
      </c>
      <c r="B25" s="4" t="s">
        <v>8</v>
      </c>
      <c r="C25" s="7">
        <v>10.72940896452414</v>
      </c>
      <c r="D25" s="4">
        <v>145</v>
      </c>
      <c r="E25" s="7">
        <v>0.6919629266255173</v>
      </c>
      <c r="F25" s="7">
        <v>9.439785611420689</v>
      </c>
      <c r="G25" s="7">
        <v>2.443533233333333</v>
      </c>
      <c r="H25" s="19" t="s">
        <v>69</v>
      </c>
    </row>
    <row r="26" spans="1:8" ht="45" customHeight="1">
      <c r="A26" s="4" t="s">
        <v>17</v>
      </c>
      <c r="B26" s="4" t="s">
        <v>9</v>
      </c>
      <c r="C26" s="7">
        <v>9.095719413689656</v>
      </c>
      <c r="D26" s="4">
        <v>145</v>
      </c>
      <c r="E26" s="7">
        <v>0.53536225928</v>
      </c>
      <c r="F26" s="7">
        <v>8.136594117781378</v>
      </c>
      <c r="G26" s="7">
        <v>3.046398766666667</v>
      </c>
      <c r="H26" s="19" t="s">
        <v>71</v>
      </c>
    </row>
    <row r="29" spans="1:8" ht="42" customHeight="1">
      <c r="A29" s="2" t="s">
        <v>110</v>
      </c>
      <c r="B29" s="2"/>
      <c r="C29" s="2"/>
      <c r="D29" s="2"/>
      <c r="E29" s="2"/>
      <c r="F29" s="2"/>
      <c r="G29" s="2"/>
      <c r="H29" s="2"/>
    </row>
    <row r="31" spans="1:8" ht="28" customHeight="1">
      <c r="A31" s="3" t="s">
        <v>111</v>
      </c>
      <c r="B31" s="3"/>
      <c r="C31" s="3"/>
      <c r="D31" s="3"/>
      <c r="E31" s="3"/>
      <c r="F31" s="3"/>
      <c r="G31" s="3"/>
      <c r="H31" s="3"/>
    </row>
    <row r="32" spans="1:8" ht="40" customHeight="1">
      <c r="A32" s="3" t="s">
        <v>112</v>
      </c>
      <c r="B32" s="3" t="s">
        <v>113</v>
      </c>
      <c r="C32" s="3" t="s">
        <v>114</v>
      </c>
      <c r="D32" s="3" t="s">
        <v>115</v>
      </c>
      <c r="E32" s="3" t="s">
        <v>116</v>
      </c>
      <c r="F32" s="3" t="s">
        <v>117</v>
      </c>
      <c r="G32" s="3" t="s">
        <v>118</v>
      </c>
      <c r="H32" s="3" t="s">
        <v>119</v>
      </c>
    </row>
    <row r="33" spans="1:8" ht="45" customHeight="1">
      <c r="A33" s="4" t="s">
        <v>120</v>
      </c>
      <c r="B33" s="4">
        <v>0</v>
      </c>
      <c r="C33" s="4">
        <v>0</v>
      </c>
      <c r="D33" s="4">
        <v>100</v>
      </c>
      <c r="E33" s="7">
        <v>16.81264811113</v>
      </c>
      <c r="F33" s="7">
        <v>17.66683273383</v>
      </c>
      <c r="G33" s="6">
        <f>IF(AND(ISNUMBER(E33),ISNUMBER(F33),E33&lt;&gt;0),(E33-F33)/E33,"待補")</f>
        <v>-0.050806072728931416</v>
      </c>
      <c r="H33" s="4" t="s">
        <v>121</v>
      </c>
    </row>
    <row r="34" spans="1:8" ht="45" customHeight="1">
      <c r="A34" s="4" t="s">
        <v>122</v>
      </c>
      <c r="B34" s="4">
        <v>0</v>
      </c>
      <c r="C34" s="4">
        <v>0</v>
      </c>
      <c r="D34" s="4">
        <v>100</v>
      </c>
      <c r="E34" s="7">
        <v>17.2083674392</v>
      </c>
      <c r="F34" s="7">
        <v>17.4235311056</v>
      </c>
      <c r="G34" s="6">
        <f>IF(AND(ISNUMBER(E34),ISNUMBER(F34),E34&lt;&gt;0),(E34-F34)/E34,"待補")</f>
        <v>-0.012503432830581362</v>
      </c>
      <c r="H34" s="4" t="s">
        <v>121</v>
      </c>
    </row>
    <row r="35" spans="1:8" ht="45" customHeight="1">
      <c r="A35" s="4" t="s">
        <v>123</v>
      </c>
      <c r="B35" s="4">
        <v>0</v>
      </c>
      <c r="C35" s="4">
        <v>0</v>
      </c>
      <c r="D35" s="4">
        <v>100</v>
      </c>
      <c r="E35" s="7">
        <v>16.81264811113</v>
      </c>
      <c r="F35" s="7">
        <v>17.2083674392</v>
      </c>
      <c r="G35" s="6">
        <f>IF(AND(ISNUMBER(E35),ISNUMBER(F35),E35&lt;&gt;0),(E35-F35)/E35,"待補")</f>
        <v>-0.02353700175334276</v>
      </c>
      <c r="H35" s="4" t="s">
        <v>121</v>
      </c>
    </row>
    <row r="36" spans="1:8" ht="45" customHeight="1">
      <c r="A36" s="4" t="s">
        <v>124</v>
      </c>
      <c r="B36" s="4">
        <v>0</v>
      </c>
      <c r="C36" s="4">
        <v>0</v>
      </c>
      <c r="D36" s="4">
        <v>100</v>
      </c>
      <c r="E36" s="7">
        <v>17.66683273383</v>
      </c>
      <c r="F36" s="7">
        <v>17.4235311056</v>
      </c>
      <c r="G36" s="6">
        <f>IF(AND(ISNUMBER(E36),ISNUMBER(F36),E36&lt;&gt;0),(E36-F36)/E36,"待補")</f>
        <v>0.013771660823170901</v>
      </c>
      <c r="H36" s="4" t="s">
        <v>121</v>
      </c>
    </row>
    <row r="37" spans="1:8" ht="45" customHeight="1">
      <c r="A37" s="4" t="s">
        <v>125</v>
      </c>
      <c r="B37" s="4">
        <v>8</v>
      </c>
      <c r="C37" s="4">
        <v>4</v>
      </c>
      <c r="D37" s="4">
        <v>29</v>
      </c>
      <c r="E37" s="7">
        <v>24.32021919555172</v>
      </c>
      <c r="F37" s="7">
        <v>23.77076075117241</v>
      </c>
      <c r="G37" s="6">
        <f>IF(AND(ISNUMBER(E37),ISNUMBER(F37),E37&lt;&gt;0),(E37-F37)/E37,"待補")</f>
        <v>0.02259266003983248</v>
      </c>
      <c r="H37" s="4" t="s">
        <v>121</v>
      </c>
    </row>
    <row r="38" spans="1:8" ht="45" customHeight="1">
      <c r="A38" s="4" t="s">
        <v>126</v>
      </c>
      <c r="B38" s="4">
        <v>9</v>
      </c>
      <c r="C38" s="4">
        <v>3</v>
      </c>
      <c r="D38" s="4">
        <v>25</v>
      </c>
      <c r="E38" s="7">
        <v>24.426966728</v>
      </c>
      <c r="F38" s="7">
        <v>24.24613362052</v>
      </c>
      <c r="G38" s="6">
        <f>IF(AND(ISNUMBER(E38),ISNUMBER(F38),E38&lt;&gt;0),(E38-F38)/E38,"待補")</f>
        <v>0.007403011167682776</v>
      </c>
      <c r="H38" s="4" t="s">
        <v>121</v>
      </c>
    </row>
    <row r="39" spans="1:8" ht="45" customHeight="1">
      <c r="A39" s="4" t="s">
        <v>127</v>
      </c>
      <c r="B39" s="4">
        <v>7</v>
      </c>
      <c r="C39" s="4">
        <v>12</v>
      </c>
      <c r="D39" s="4">
        <v>21</v>
      </c>
      <c r="E39" s="7">
        <v>21.7729943357619</v>
      </c>
      <c r="F39" s="7">
        <v>20.28276458571429</v>
      </c>
      <c r="G39" s="6">
        <f>IF(AND(ISNUMBER(E39),ISNUMBER(F39),E39&lt;&gt;0),(E39-F39)/E39,"待補")</f>
        <v>0.06844395066047179</v>
      </c>
      <c r="H39" s="4" t="s">
        <v>121</v>
      </c>
    </row>
    <row r="40" spans="1:8" ht="45" customHeight="1">
      <c r="A40" s="4" t="s">
        <v>128</v>
      </c>
      <c r="B40" s="4">
        <v>9</v>
      </c>
      <c r="C40" s="4">
        <v>12</v>
      </c>
      <c r="D40" s="4">
        <v>25</v>
      </c>
      <c r="E40" s="7">
        <v>22.59478257216</v>
      </c>
      <c r="F40" s="7">
        <v>21.56710227932</v>
      </c>
      <c r="G40" s="6">
        <f>IF(AND(ISNUMBER(E40),ISNUMBER(F40),E40&lt;&gt;0),(E40-F40)/E40,"待補")</f>
        <v>0.04548307953652312</v>
      </c>
      <c r="H40" s="4" t="s">
        <v>121</v>
      </c>
    </row>
    <row r="41" spans="1:8" ht="45" customHeight="1">
      <c r="A41" s="4" t="s">
        <v>129</v>
      </c>
      <c r="B41" s="4">
        <v>0</v>
      </c>
      <c r="C41" s="4">
        <v>0</v>
      </c>
      <c r="D41" s="4">
        <v>100</v>
      </c>
      <c r="E41" s="7">
        <v>5.376450884124</v>
      </c>
      <c r="F41" s="7">
        <v>4.993702343056</v>
      </c>
      <c r="G41" s="6">
        <f>IF(AND(ISNUMBER(E41),ISNUMBER(F41),E41&lt;&gt;0),(E41-F41)/E41,"待補")</f>
        <v>0.07118981449234645</v>
      </c>
      <c r="H41" s="4" t="s">
        <v>121</v>
      </c>
    </row>
    <row r="42" spans="1:8" ht="45" customHeight="1">
      <c r="A42" s="4" t="s">
        <v>130</v>
      </c>
      <c r="B42" s="4">
        <v>0</v>
      </c>
      <c r="C42" s="4">
        <v>0</v>
      </c>
      <c r="D42" s="4">
        <v>100</v>
      </c>
      <c r="E42" s="7">
        <v>5.291779501674</v>
      </c>
      <c r="F42" s="7">
        <v>4.901756139286</v>
      </c>
      <c r="G42" s="6">
        <f>IF(AND(ISNUMBER(E42),ISNUMBER(F42),E42&lt;&gt;0),(E42-F42)/E42,"待補")</f>
        <v>0.07370363074739225</v>
      </c>
      <c r="H42" s="4" t="s">
        <v>121</v>
      </c>
    </row>
    <row r="43" spans="1:8" ht="45" customHeight="1">
      <c r="A43" s="4" t="s">
        <v>131</v>
      </c>
      <c r="B43" s="4">
        <v>0</v>
      </c>
      <c r="C43" s="4">
        <v>0</v>
      </c>
      <c r="D43" s="4">
        <v>100</v>
      </c>
      <c r="E43" s="7">
        <v>5.376450884124</v>
      </c>
      <c r="F43" s="7">
        <v>5.291779501674</v>
      </c>
      <c r="G43" s="6">
        <f>IF(AND(ISNUMBER(E43),ISNUMBER(F43),E43&lt;&gt;0),(E43-F43)/E43,"待補")</f>
        <v>0.015748564299178053</v>
      </c>
      <c r="H43" s="4" t="s">
        <v>121</v>
      </c>
    </row>
    <row r="44" spans="1:8" ht="45" customHeight="1">
      <c r="A44" s="4" t="s">
        <v>132</v>
      </c>
      <c r="B44" s="4">
        <v>0</v>
      </c>
      <c r="C44" s="4">
        <v>0</v>
      </c>
      <c r="D44" s="4">
        <v>100</v>
      </c>
      <c r="E44" s="7">
        <v>4.993702343056</v>
      </c>
      <c r="F44" s="7">
        <v>4.901756139286</v>
      </c>
      <c r="G44" s="6">
        <f>IF(AND(ISNUMBER(E44),ISNUMBER(F44),E44&lt;&gt;0),(E44-F44)/E44,"待補")</f>
        <v>0.018412431789783346</v>
      </c>
      <c r="H44" s="4" t="s">
        <v>121</v>
      </c>
    </row>
    <row r="45" spans="1:8" ht="45" customHeight="1">
      <c r="A45" s="4" t="s">
        <v>133</v>
      </c>
      <c r="B45" s="4">
        <v>6</v>
      </c>
      <c r="C45" s="4">
        <v>13</v>
      </c>
      <c r="D45" s="4">
        <v>63</v>
      </c>
      <c r="E45" s="7">
        <v>6.914644631380952</v>
      </c>
      <c r="F45" s="7">
        <v>7.018932233142857</v>
      </c>
      <c r="G45" s="6">
        <f>IF(AND(ISNUMBER(E45),ISNUMBER(F45),E45&lt;&gt;0),(E45-F45)/E45,"待補")</f>
        <v>-0.015082134704163098</v>
      </c>
      <c r="H45" s="4" t="s">
        <v>121</v>
      </c>
    </row>
    <row r="46" spans="1:8" ht="45" customHeight="1">
      <c r="A46" s="4" t="s">
        <v>134</v>
      </c>
      <c r="B46" s="4">
        <v>6</v>
      </c>
      <c r="C46" s="4">
        <v>12</v>
      </c>
      <c r="D46" s="4">
        <v>64</v>
      </c>
      <c r="E46" s="7">
        <v>7.010373222453126</v>
      </c>
      <c r="F46" s="7">
        <v>7.11722529434375</v>
      </c>
      <c r="G46" s="6">
        <f>IF(AND(ISNUMBER(E46),ISNUMBER(F46),E46&lt;&gt;0),(E46-F46)/E46,"待補")</f>
        <v>-0.015241994755485188</v>
      </c>
      <c r="H46" s="4" t="s">
        <v>121</v>
      </c>
    </row>
    <row r="47" spans="1:8" ht="45" customHeight="1">
      <c r="A47" s="4" t="s">
        <v>135</v>
      </c>
      <c r="B47" s="4">
        <v>0</v>
      </c>
      <c r="C47" s="4">
        <v>0</v>
      </c>
      <c r="D47" s="4">
        <v>76</v>
      </c>
      <c r="E47" s="7">
        <v>8.705992042526315</v>
      </c>
      <c r="F47" s="7">
        <v>8.705992042526315</v>
      </c>
      <c r="G47" s="6">
        <f>IF(AND(ISNUMBER(E47),ISNUMBER(F47),E47&lt;&gt;0),(E47-F47)/E47,"待補")</f>
        <v>0.0</v>
      </c>
      <c r="H47" s="4" t="s">
        <v>121</v>
      </c>
    </row>
    <row r="48" spans="1:8" ht="45" customHeight="1">
      <c r="A48" s="4" t="s">
        <v>136</v>
      </c>
      <c r="B48" s="4">
        <v>1</v>
      </c>
      <c r="C48" s="4">
        <v>0</v>
      </c>
      <c r="D48" s="4">
        <v>69</v>
      </c>
      <c r="E48" s="7">
        <v>7.395330353434783</v>
      </c>
      <c r="F48" s="7">
        <v>7.395330353434783</v>
      </c>
      <c r="G48" s="6">
        <f>IF(AND(ISNUMBER(E48),ISNUMBER(F48),E48&lt;&gt;0),(E48-F48)/E48,"待補")</f>
        <v>0.0</v>
      </c>
      <c r="H48" s="4" t="s">
        <v>121</v>
      </c>
    </row>
    <row r="49" spans="1:8" ht="45" customHeight="1">
      <c r="A49" s="4" t="s">
        <v>137</v>
      </c>
      <c r="B49" s="4">
        <v>28</v>
      </c>
      <c r="C49" s="4">
        <v>4</v>
      </c>
      <c r="D49" s="4">
        <v>110</v>
      </c>
      <c r="E49" s="7">
        <v>9.489490134990909</v>
      </c>
      <c r="F49" s="7">
        <v>8.842029700663637</v>
      </c>
      <c r="G49" s="6">
        <f>IF(AND(ISNUMBER(E49),ISNUMBER(F49),E49&lt;&gt;0),(E49-F49)/E49,"待補")</f>
        <v>0.06822921201423354</v>
      </c>
      <c r="H49" s="4" t="s">
        <v>121</v>
      </c>
    </row>
    <row r="50" spans="1:8" ht="45" customHeight="1">
      <c r="A50" s="4" t="s">
        <v>138</v>
      </c>
      <c r="B50" s="4">
        <v>25</v>
      </c>
      <c r="C50" s="4">
        <v>2</v>
      </c>
      <c r="D50" s="4">
        <v>119</v>
      </c>
      <c r="E50" s="7">
        <v>9.519133282310923</v>
      </c>
      <c r="F50" s="7">
        <v>8.297936695739496</v>
      </c>
      <c r="G50" s="6">
        <f>IF(AND(ISNUMBER(E50),ISNUMBER(F50),E50&lt;&gt;0),(E50-F50)/E50,"待補")</f>
        <v>0.1282886319955973</v>
      </c>
      <c r="H50" s="4" t="s">
        <v>121</v>
      </c>
    </row>
    <row r="51" spans="1:8" ht="45" customHeight="1">
      <c r="A51" s="4" t="s">
        <v>139</v>
      </c>
      <c r="B51" s="4">
        <v>7</v>
      </c>
      <c r="C51" s="4">
        <v>0</v>
      </c>
      <c r="D51" s="4">
        <v>114</v>
      </c>
      <c r="E51" s="7">
        <v>9.559662507815789</v>
      </c>
      <c r="F51" s="7">
        <v>9.598285944078947</v>
      </c>
      <c r="G51" s="6">
        <f>IF(AND(ISNUMBER(E51),ISNUMBER(F51),E51&lt;&gt;0),(E51-F51)/E51,"待補")</f>
        <v>-0.004040251026809923</v>
      </c>
      <c r="H51" s="4" t="s">
        <v>121</v>
      </c>
    </row>
    <row r="52" spans="1:8" ht="45" customHeight="1">
      <c r="A52" s="4" t="s">
        <v>140</v>
      </c>
      <c r="B52" s="4">
        <v>6</v>
      </c>
      <c r="C52" s="4">
        <v>0</v>
      </c>
      <c r="D52" s="4">
        <v>138</v>
      </c>
      <c r="E52" s="7">
        <v>9.746082000043478</v>
      </c>
      <c r="F52" s="7">
        <v>8.96531325555797</v>
      </c>
      <c r="G52" s="6">
        <f>IF(AND(ISNUMBER(E52),ISNUMBER(F52),E52&lt;&gt;0),(E52-F52)/E52,"待補")</f>
        <v>0.08011103790036085</v>
      </c>
      <c r="H52" s="4" t="s">
        <v>121</v>
      </c>
    </row>
    <row r="55" spans="1:8" ht="28" customHeight="1">
      <c r="A55" s="3" t="s">
        <v>141</v>
      </c>
      <c r="B55" s="3"/>
      <c r="C55" s="3"/>
      <c r="D55" s="3"/>
      <c r="E55" s="3"/>
      <c r="F55" s="3"/>
      <c r="G55" s="3"/>
      <c r="H55" s="3"/>
    </row>
    <row r="56" spans="1:8" ht="40" customHeight="1">
      <c r="A56" s="3" t="s">
        <v>44</v>
      </c>
      <c r="B56" s="3" t="s">
        <v>103</v>
      </c>
      <c r="C56" s="3" t="s">
        <v>11</v>
      </c>
      <c r="D56" s="3" t="s">
        <v>142</v>
      </c>
      <c r="E56" s="3" t="s">
        <v>143</v>
      </c>
      <c r="F56" s="3" t="s">
        <v>144</v>
      </c>
      <c r="G56" s="3" t="s">
        <v>145</v>
      </c>
      <c r="H56" s="3" t="s">
        <v>146</v>
      </c>
    </row>
    <row r="57" spans="1:8" ht="45" customHeight="1">
      <c r="A57" s="4" t="s">
        <v>12</v>
      </c>
      <c r="B57" s="4" t="s">
        <v>6</v>
      </c>
      <c r="C57" s="7">
        <v>5.2558</v>
      </c>
      <c r="D57" s="7">
        <v>16.81264811113</v>
      </c>
      <c r="E57" s="6">
        <f>IF(AND(ISNUMBER(C57),ISNUMBER(D57),C57&lt;&gt;0),(C57-D57)/C57,"不可比")</f>
        <v>-2.198875168600403</v>
      </c>
      <c r="F57" s="6">
        <f>IF(AND(ISNUMBER(D57),16.81264811113&lt;&gt;0),(16.81264811113-D57)/16.81264811113,"不可比")</f>
        <v>0.0</v>
      </c>
      <c r="G57" s="20">
        <f>(100/100-1)*100</f>
        <v>0.0</v>
      </c>
      <c r="H57" s="20">
        <f>(100/100-100/100)*100</f>
        <v>0.0</v>
      </c>
    </row>
    <row r="58" spans="1:8" ht="45" customHeight="1">
      <c r="A58" s="4" t="s">
        <v>12</v>
      </c>
      <c r="B58" s="4" t="s">
        <v>7</v>
      </c>
      <c r="C58" s="7">
        <v>5.2558</v>
      </c>
      <c r="D58" s="7">
        <v>17.2083674392</v>
      </c>
      <c r="E58" s="6">
        <f>IF(AND(ISNUMBER(C58),ISNUMBER(D58),C58&lt;&gt;0),(C58-D58)/C58,"不可比")</f>
        <v>-2.274167099052476</v>
      </c>
      <c r="F58" s="6">
        <f>IF(AND(ISNUMBER(D58),16.81264811113&lt;&gt;0),(16.81264811113-D58)/16.81264811113,"不可比")</f>
        <v>-0.02353700175334276</v>
      </c>
      <c r="G58" s="20">
        <f>(100/100-1)*100</f>
        <v>0.0</v>
      </c>
      <c r="H58" s="20">
        <f>(100/100-100/100)*100</f>
        <v>0.0</v>
      </c>
    </row>
    <row r="59" spans="1:8" ht="45" customHeight="1">
      <c r="A59" s="4" t="s">
        <v>12</v>
      </c>
      <c r="B59" s="4" t="s">
        <v>8</v>
      </c>
      <c r="C59" s="7">
        <v>5.2558</v>
      </c>
      <c r="D59" s="7">
        <v>17.66683273383</v>
      </c>
      <c r="E59" s="6">
        <f>IF(AND(ISNUMBER(C59),ISNUMBER(D59),C59&lt;&gt;0),(C59-D59)/C59,"不可比")</f>
        <v>-2.361397453067088</v>
      </c>
      <c r="F59" s="6">
        <f>IF(AND(ISNUMBER(D59),16.81264811113&lt;&gt;0),(16.81264811113-D59)/16.81264811113,"不可比")</f>
        <v>-0.050806072728931416</v>
      </c>
      <c r="G59" s="20">
        <f>(100/100-1)*100</f>
        <v>0.0</v>
      </c>
      <c r="H59" s="20">
        <f>(100/100-100/100)*100</f>
        <v>0.0</v>
      </c>
    </row>
    <row r="60" spans="1:8" ht="45" customHeight="1">
      <c r="A60" s="4" t="s">
        <v>12</v>
      </c>
      <c r="B60" s="4" t="s">
        <v>9</v>
      </c>
      <c r="C60" s="7">
        <v>5.2558</v>
      </c>
      <c r="D60" s="7">
        <v>17.4235311056</v>
      </c>
      <c r="E60" s="6">
        <f>IF(AND(ISNUMBER(C60),ISNUMBER(D60),C60&lt;&gt;0),(C60-D60)/C60,"不可比")</f>
        <v>-2.3151054274515777</v>
      </c>
      <c r="F60" s="6">
        <f>IF(AND(ISNUMBER(D60),16.81264811113&lt;&gt;0),(16.81264811113-D60)/16.81264811113,"不可比")</f>
        <v>-0.03633472790438032</v>
      </c>
      <c r="G60" s="20">
        <f>(100/100-1)*100</f>
        <v>0.0</v>
      </c>
      <c r="H60" s="20">
        <f>(100/100-100/100)*100</f>
        <v>0.0</v>
      </c>
    </row>
    <row r="61" spans="1:8" ht="45" customHeight="1">
      <c r="A61" s="4" t="s">
        <v>14</v>
      </c>
      <c r="B61" s="4" t="s">
        <v>6</v>
      </c>
      <c r="C61" s="7">
        <v>11.4808</v>
      </c>
      <c r="D61" s="7">
        <v>54.50497163930999</v>
      </c>
      <c r="E61" s="6">
        <f>IF(AND(ISNUMBER(C61),ISNUMBER(D61),C61&lt;&gt;0),(C61-D61)/C61,"不可比")</f>
        <v>-3.7474889937382407</v>
      </c>
      <c r="F61" s="6">
        <f>IF(AND(ISNUMBER(D61),54.50497163930999&lt;&gt;0),(54.50497163930999-D61)/54.50497163930999,"不可比")</f>
        <v>0.0</v>
      </c>
      <c r="G61" s="20">
        <f>(33/100-1)*100</f>
        <v>-67.0</v>
      </c>
      <c r="H61" s="20">
        <f>(33/100-33/100)*100</f>
        <v>0.0</v>
      </c>
    </row>
    <row r="62" spans="1:8" ht="45" customHeight="1">
      <c r="A62" s="4" t="s">
        <v>14</v>
      </c>
      <c r="B62" s="4" t="s">
        <v>7</v>
      </c>
      <c r="C62" s="7">
        <v>11.4808</v>
      </c>
      <c r="D62" s="7">
        <v>58.201283144</v>
      </c>
      <c r="E62" s="6">
        <f>IF(AND(ISNUMBER(C62),ISNUMBER(D62),C62&lt;&gt;0),(C62-D62)/C62,"不可比")</f>
        <v>-4.069444911852833</v>
      </c>
      <c r="F62" s="6">
        <f>IF(AND(ISNUMBER(D62),54.50497163930999&lt;&gt;0),(54.50497163930999-D62)/54.50497163930999,"不可比")</f>
        <v>-0.06781604307861266</v>
      </c>
      <c r="G62" s="20">
        <f>(28/100-1)*100</f>
        <v>-72.0</v>
      </c>
      <c r="H62" s="20">
        <f>(28/100-33/100)*100</f>
        <v>-4.999999999999999</v>
      </c>
    </row>
    <row r="63" spans="1:8" ht="45" customHeight="1">
      <c r="A63" s="4" t="s">
        <v>14</v>
      </c>
      <c r="B63" s="4" t="s">
        <v>8</v>
      </c>
      <c r="C63" s="7">
        <v>11.4808</v>
      </c>
      <c r="D63" s="7">
        <v>47.25469538884</v>
      </c>
      <c r="E63" s="6">
        <f>IF(AND(ISNUMBER(C63),ISNUMBER(D63),C63&lt;&gt;0),(C63-D63)/C63,"不可比")</f>
        <v>-3.115975836948645</v>
      </c>
      <c r="F63" s="6">
        <f>IF(AND(ISNUMBER(D63),54.50497163930999&lt;&gt;0),(54.50497163930999-D63)/54.50497163930999,"不可比")</f>
        <v>0.13302045726120443</v>
      </c>
      <c r="G63" s="20">
        <f>(37/100-1)*100</f>
        <v>-63.0</v>
      </c>
      <c r="H63" s="20">
        <f>(37/100-33/100)*100</f>
        <v>3.9999999999999982</v>
      </c>
    </row>
    <row r="64" spans="1:8" ht="45" customHeight="1">
      <c r="A64" s="4" t="s">
        <v>14</v>
      </c>
      <c r="B64" s="4" t="s">
        <v>9</v>
      </c>
      <c r="C64" s="7">
        <v>11.4808</v>
      </c>
      <c r="D64" s="7">
        <v>50.90068114483</v>
      </c>
      <c r="E64" s="6">
        <f>IF(AND(ISNUMBER(C64),ISNUMBER(D64),C64&lt;&gt;0),(C64-D64)/C64,"不可比")</f>
        <v>-3.433548284512403</v>
      </c>
      <c r="F64" s="6">
        <f>IF(AND(ISNUMBER(D64),54.50497163930999&lt;&gt;0),(54.50497163930999-D64)/54.50497163930999,"不可比")</f>
        <v>0.06612773818747425</v>
      </c>
      <c r="G64" s="20">
        <f>(34/100-1)*100</f>
        <v>-65.99999999999999</v>
      </c>
      <c r="H64" s="20">
        <f>(34/100-33/100)*100</f>
        <v>1.0000000000000009</v>
      </c>
    </row>
    <row r="65" spans="1:8" ht="45" customHeight="1">
      <c r="A65" s="4" t="s">
        <v>15</v>
      </c>
      <c r="B65" s="4" t="s">
        <v>6</v>
      </c>
      <c r="C65" s="7">
        <v>4.8756</v>
      </c>
      <c r="D65" s="7">
        <v>5.376450884124</v>
      </c>
      <c r="E65" s="6">
        <f>IF(AND(ISNUMBER(C65),ISNUMBER(D65),C65&lt;&gt;0),(C65-D65)/C65,"不可比")</f>
        <v>-0.10272599969726795</v>
      </c>
      <c r="F65" s="6">
        <f>IF(AND(ISNUMBER(D65),5.376450884124&lt;&gt;0),(5.376450884124-D65)/5.376450884124,"不可比")</f>
        <v>0.0</v>
      </c>
      <c r="G65" s="20">
        <f>(100/100-1)*100</f>
        <v>0.0</v>
      </c>
      <c r="H65" s="20">
        <f>(100/100-100/100)*100</f>
        <v>0.0</v>
      </c>
    </row>
    <row r="66" spans="1:8" ht="45" customHeight="1">
      <c r="A66" s="4" t="s">
        <v>15</v>
      </c>
      <c r="B66" s="4" t="s">
        <v>7</v>
      </c>
      <c r="C66" s="7">
        <v>4.8756</v>
      </c>
      <c r="D66" s="7">
        <v>5.291779501674</v>
      </c>
      <c r="E66" s="6">
        <f>IF(AND(ISNUMBER(C66),ISNUMBER(D66),C66&lt;&gt;0),(C66-D66)/C66,"不可比")</f>
        <v>-0.08535964838666013</v>
      </c>
      <c r="F66" s="6">
        <f>IF(AND(ISNUMBER(D66),5.376450884124&lt;&gt;0),(5.376450884124-D66)/5.376450884124,"不可比")</f>
        <v>0.015748564299178053</v>
      </c>
      <c r="G66" s="20">
        <f>(100/100-1)*100</f>
        <v>0.0</v>
      </c>
      <c r="H66" s="20">
        <f>(100/100-100/100)*100</f>
        <v>0.0</v>
      </c>
    </row>
    <row r="67" spans="1:8" ht="45" customHeight="1">
      <c r="A67" s="4" t="s">
        <v>15</v>
      </c>
      <c r="B67" s="4" t="s">
        <v>8</v>
      </c>
      <c r="C67" s="7">
        <v>4.8756</v>
      </c>
      <c r="D67" s="7">
        <v>4.993702343056</v>
      </c>
      <c r="E67" s="6">
        <f>IF(AND(ISNUMBER(C67),ISNUMBER(D67),C67&lt;&gt;0),(C67-D67)/C67,"不可比")</f>
        <v>-0.024223140342932166</v>
      </c>
      <c r="F67" s="6">
        <f>IF(AND(ISNUMBER(D67),5.376450884124&lt;&gt;0),(5.376450884124-D67)/5.376450884124,"不可比")</f>
        <v>0.07118981449234645</v>
      </c>
      <c r="G67" s="20">
        <f>(100/100-1)*100</f>
        <v>0.0</v>
      </c>
      <c r="H67" s="20">
        <f>(100/100-100/100)*100</f>
        <v>0.0</v>
      </c>
    </row>
    <row r="68" spans="1:8" ht="45" customHeight="1">
      <c r="A68" s="4" t="s">
        <v>15</v>
      </c>
      <c r="B68" s="4" t="s">
        <v>9</v>
      </c>
      <c r="C68" s="7">
        <v>4.8756</v>
      </c>
      <c r="D68" s="7">
        <v>4.901756139286</v>
      </c>
      <c r="E68" s="6">
        <f>IF(AND(ISNUMBER(C68),ISNUMBER(D68),C68&lt;&gt;0),(C68-D68)/C68,"不可比")</f>
        <v>-0.005364701633850232</v>
      </c>
      <c r="F68" s="6">
        <f>IF(AND(ISNUMBER(D68),5.376450884124&lt;&gt;0),(5.376450884124-D68)/5.376450884124,"不可比")</f>
        <v>0.08829146867866212</v>
      </c>
      <c r="G68" s="20">
        <f>(100/100-1)*100</f>
        <v>0.0</v>
      </c>
      <c r="H68" s="20">
        <f>(100/100-100/100)*100</f>
        <v>0.0</v>
      </c>
    </row>
    <row r="69" spans="1:8" ht="45" customHeight="1">
      <c r="A69" s="4" t="s">
        <v>16</v>
      </c>
      <c r="B69" s="4" t="s">
        <v>6</v>
      </c>
      <c r="C69" s="7">
        <v>4.356</v>
      </c>
      <c r="D69" s="7">
        <v>123.2346789297831</v>
      </c>
      <c r="E69" s="4" t="s">
        <v>147</v>
      </c>
      <c r="F69" s="6">
        <f>IF(AND(ISNUMBER(D69),123.23467892978313&lt;&gt;0),(123.23467892978313-D69)/123.23467892978313,"不可比")</f>
        <v>0.0</v>
      </c>
      <c r="G69" s="20">
        <f>(76/100-1)*100</f>
        <v>-24.0</v>
      </c>
      <c r="H69" s="20">
        <f>(76/100-76/100)*100</f>
        <v>0.0</v>
      </c>
    </row>
    <row r="70" spans="1:8" ht="45" customHeight="1">
      <c r="A70" s="4" t="s">
        <v>16</v>
      </c>
      <c r="B70" s="4" t="s">
        <v>7</v>
      </c>
      <c r="C70" s="7">
        <v>4.356</v>
      </c>
      <c r="D70" s="7">
        <v>123.2346789297831</v>
      </c>
      <c r="E70" s="4" t="s">
        <v>147</v>
      </c>
      <c r="F70" s="6">
        <f>IF(AND(ISNUMBER(D70),123.23467892978313&lt;&gt;0),(123.23467892978313-D70)/123.23467892978313,"不可比")</f>
        <v>0.0</v>
      </c>
      <c r="G70" s="20">
        <f>(76/100-1)*100</f>
        <v>-24.0</v>
      </c>
      <c r="H70" s="20">
        <f>(76/100-76/100)*100</f>
        <v>0.0</v>
      </c>
    </row>
    <row r="71" spans="1:8" ht="45" customHeight="1">
      <c r="A71" s="4" t="s">
        <v>16</v>
      </c>
      <c r="B71" s="4" t="s">
        <v>8</v>
      </c>
      <c r="C71" s="7">
        <v>4.356</v>
      </c>
      <c r="D71" s="7">
        <v>299.4917599032963</v>
      </c>
      <c r="E71" s="4" t="s">
        <v>147</v>
      </c>
      <c r="F71" s="4" t="s">
        <v>148</v>
      </c>
      <c r="G71" s="20">
        <f>(69/100-1)*100</f>
        <v>-31.000000000000007</v>
      </c>
      <c r="H71" s="20">
        <f>(69/100-76/100)*100</f>
        <v>-7.000000000000006</v>
      </c>
    </row>
    <row r="72" spans="1:8" ht="45" customHeight="1">
      <c r="A72" s="4" t="s">
        <v>16</v>
      </c>
      <c r="B72" s="4" t="s">
        <v>9</v>
      </c>
      <c r="C72" s="7">
        <v>4.356</v>
      </c>
      <c r="D72" s="7">
        <v>252.1680517323086</v>
      </c>
      <c r="E72" s="4" t="s">
        <v>147</v>
      </c>
      <c r="F72" s="4" t="s">
        <v>148</v>
      </c>
      <c r="G72" s="20">
        <f>(70/100-1)*100</f>
        <v>-30.000000000000004</v>
      </c>
      <c r="H72" s="20">
        <f>(70/100-76/100)*100</f>
        <v>-6.000000000000005</v>
      </c>
    </row>
    <row r="73" spans="1:8" ht="45" customHeight="1">
      <c r="A73" s="4" t="s">
        <v>17</v>
      </c>
      <c r="B73" s="4" t="s">
        <v>6</v>
      </c>
      <c r="C73" s="7">
        <v>15.3427</v>
      </c>
      <c r="D73" s="7">
        <v>12.62093021071654</v>
      </c>
      <c r="E73" s="4" t="s">
        <v>147</v>
      </c>
      <c r="F73" s="6">
        <f>IF(AND(ISNUMBER(D73),12.620930210716535&lt;&gt;0),(12.620930210716535-D73)/12.620930210716535,"不可比")</f>
        <v>0.0</v>
      </c>
      <c r="G73" s="20">
        <f>(114/150-1)*100</f>
        <v>-24.0</v>
      </c>
      <c r="H73" s="20">
        <f>(114/150-114/150)*100</f>
        <v>0.0</v>
      </c>
    </row>
    <row r="74" spans="1:8" ht="45" customHeight="1">
      <c r="A74" s="4" t="s">
        <v>17</v>
      </c>
      <c r="B74" s="4" t="s">
        <v>7</v>
      </c>
      <c r="C74" s="7">
        <v>15.3427</v>
      </c>
      <c r="D74" s="7">
        <v>10.97050868271654</v>
      </c>
      <c r="E74" s="4" t="s">
        <v>147</v>
      </c>
      <c r="F74" s="6">
        <f>IF(AND(ISNUMBER(D74),12.620930210716535&lt;&gt;0),(12.620930210716535-D74)/12.620930210716535,"不可比")</f>
        <v>0.13076861217397537</v>
      </c>
      <c r="G74" s="20">
        <f>(121/150-1)*100</f>
        <v>-19.333333333333336</v>
      </c>
      <c r="H74" s="20">
        <f>(121/150-114/150)*100</f>
        <v>4.666666666666663</v>
      </c>
    </row>
    <row r="75" spans="1:8" ht="45" customHeight="1">
      <c r="A75" s="4" t="s">
        <v>17</v>
      </c>
      <c r="B75" s="4" t="s">
        <v>8</v>
      </c>
      <c r="C75" s="7">
        <v>15.3427</v>
      </c>
      <c r="D75" s="7">
        <v>10.72940896452414</v>
      </c>
      <c r="E75" s="4" t="s">
        <v>147</v>
      </c>
      <c r="F75" s="4" t="s">
        <v>148</v>
      </c>
      <c r="G75" s="20">
        <f>(138/150-1)*100</f>
        <v>-7.9999999999999964</v>
      </c>
      <c r="H75" s="20">
        <f>(138/150-114/150)*100</f>
        <v>16.000000000000004</v>
      </c>
    </row>
    <row r="76" spans="1:8" ht="45" customHeight="1">
      <c r="A76" s="4" t="s">
        <v>17</v>
      </c>
      <c r="B76" s="4" t="s">
        <v>9</v>
      </c>
      <c r="C76" s="7">
        <v>15.3427</v>
      </c>
      <c r="D76" s="7">
        <v>9.095719413689656</v>
      </c>
      <c r="E76" s="4" t="s">
        <v>147</v>
      </c>
      <c r="F76" s="4" t="s">
        <v>148</v>
      </c>
      <c r="G76" s="20">
        <f>(144/150-1)*100</f>
        <v>-4.0000000000000036</v>
      </c>
      <c r="H76" s="20">
        <f>(144/150-114/150)*100</f>
        <v>19.999999999999996</v>
      </c>
    </row>
    <row r="79" spans="1:8" ht="66" customHeight="1">
      <c r="A79" s="2" t="s">
        <v>149</v>
      </c>
      <c r="B79" s="2"/>
      <c r="C79" s="2"/>
      <c r="D79" s="2"/>
      <c r="E79" s="2"/>
      <c r="F79" s="2"/>
      <c r="G79" s="2"/>
      <c r="H79" s="2"/>
    </row>
  </sheetData>
  <mergeCells count="8">
    <mergeCell ref="A1:H1"/>
    <mergeCell ref="A2:H2"/>
    <mergeCell ref="A3:H3"/>
    <mergeCell ref="A5:H5"/>
    <mergeCell ref="A29:H29"/>
    <mergeCell ref="A31:H31"/>
    <mergeCell ref="A55:H55"/>
    <mergeCell ref="A79:H79"/>
  </mergeCells>
  <pageMargins left="0.25" right="0.25" top="0.4" bottom="0.4" header="0.3" footer="0.3"/>
  <pageSetup paperSize="8" fitToHeight="0" orientation="landscape"/>
  <headerFooter>
    <oddHeader>&amp;C第1次｜CN距離容差與Solver</oddHeader>
    <oddFooter>&amp;L單位依欄名；pp為百分點&amp;R&amp;P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四組結果比較</vt:lpstr>
      <vt:lpstr>設定與說明</vt:lpstr>
      <vt:lpstr>精度時間與成對比較</vt:lpstr>
      <vt:lpstr>四組結果比較!Print_Area</vt:lpstr>
      <vt:lpstr>精度時間與成對比較!Print_Area</vt:lpstr>
      <vt:lpstr>設定與說明!Print_Area</vt:lpstr>
      <vt:lpstr>四組結果比較!Print_Titles</vt:lpstr>
      <vt:lpstr>精度時間與成對比較!Print_Titles</vt:lpstr>
      <vt:lpstr>設定與說明!Print_Titles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2026-10-28T02:41:03Z</dcterms:created>
  <dcterms:modified xsi:type="dcterms:W3CDTF">2026-10-28T02:41:03Z</dcterms:modified>
</cp:coreProperties>
</file>