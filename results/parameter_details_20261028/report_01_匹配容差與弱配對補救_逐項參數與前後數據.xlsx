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逐項參數證據" sheetId="1" r:id="rId1"/>
    <sheet name="每項修改前後數據" sheetId="2" r:id="rId2"/>
    <sheet name="論文與場景總覽" sheetId="3" r:id="rId3"/>
  </sheets>
  <definedNames>
    <definedName name="_xlnm._FilterDatabase" localSheetId="0" hidden="1">逐項參數證據!$A$5:$J$31</definedName>
    <definedName name="_xlnm.Print_Area" localSheetId="1">每項修改前後數據!$A$1:$H$1400</definedName>
    <definedName name="_xlnm.Print_Area" localSheetId="2">論文與場景總覽!$A$1:$J$51</definedName>
    <definedName name="_xlnm.Print_Area" localSheetId="0">逐項參數證據!$A$1:$J$33</definedName>
    <definedName name="_xlnm.Print_Titles" localSheetId="1">每項修改前後數據!$1:$3</definedName>
    <definedName name="_xlnm.Print_Titles" localSheetId="0">逐項參數證據!$1:$5</definedName>
  </definedNames>
  <calcPr calcId="124519" fullCalcOnLoad="1"/>
</workbook>
</file>

<file path=xl/sharedStrings.xml><?xml version="1.0" encoding="utf-8"?>
<sst xmlns="http://schemas.openxmlformats.org/spreadsheetml/2006/main" count="5178" uniqueCount="454">
  <si>
    <t>每項改動：完整修改前／後數據</t>
  </si>
  <si>
    <t>成功：e_R&lt;2°且e_t&lt;0.5m；e_p為全來源點Eq8，finite mean保留可計算失敗；無變換仍算失敗。GT不進單次推論，但離線開發看過GT選參。</t>
  </si>
  <si>
    <t>先由第一頁的參數ID／實驗索引跳入。各block是可追溯的受控對照或整組對照；整組數字不是每個內部參數的獨立效果。誤差與時間下降率=(前−後)/前；success差為後−前的pp。</t>
  </si>
  <si>
    <t>F-TH-S｜只改CN距離容差</t>
  </si>
  <si>
    <t>ETH-tree／ETH；15配對；seed11–20；修改前=0.05m／svd；修改後=0.10m／svd；證據=單項受控</t>
  </si>
  <si>
    <t>提取樹位完全相同；無新增recovery。time_ms為descriptor+matching+solve，非提取。</t>
  </si>
  <si>
    <t>指標</t>
  </si>
  <si>
    <t>單位</t>
  </si>
  <si>
    <t>修改前</t>
  </si>
  <si>
    <t>修改後</t>
  </si>
  <si>
    <t>差：後−前</t>
  </si>
  <si>
    <t>下降率：以修改前為基準</t>
  </si>
  <si>
    <t>統計母體／N</t>
  </si>
  <si>
    <t>讀法與限制</t>
  </si>
  <si>
    <t>試驗總數</t>
  </si>
  <si>
    <t>次</t>
  </si>
  <si>
    <t>待補</t>
  </si>
  <si>
    <t>總N 150 → 150</t>
  </si>
  <si>
    <t>成功數</t>
  </si>
  <si>
    <t>成功率</t>
  </si>
  <si>
    <t>比例</t>
  </si>
  <si>
    <t>差值單位pp；不是相對百分比。</t>
  </si>
  <si>
    <t>有限e_p數</t>
  </si>
  <si>
    <t>缺變換數</t>
  </si>
  <si>
    <t>全部有限mean e_p</t>
  </si>
  <si>
    <t>cm</t>
  </si>
  <si>
    <t>finite 130/150 → 143/150</t>
  </si>
  <si>
    <t>包含有限失敗；有限集合不同不算下降率。</t>
  </si>
  <si>
    <t>有限median e_p</t>
  </si>
  <si>
    <t>成功限定mean e_p</t>
  </si>
  <si>
    <t>成功 118 → 135</t>
  </si>
  <si>
    <t>成功集合可能改變，另看共同成功。</t>
  </si>
  <si>
    <t>mean e_R（含有限失敗）</t>
  </si>
  <si>
    <t>degree</t>
  </si>
  <si>
    <t>mean e_t（含有限失敗）</t>
  </si>
  <si>
    <t>mean online／舊time_ms</t>
  </si>
  <si>
    <t>ms</t>
  </si>
  <si>
    <t>不含提取、cache及GT評估；同批次描述性比較，舊CPU型號／並行干擾未齊。</t>
  </si>
  <si>
    <t>平均matching對應數</t>
  </si>
  <si>
    <t>對</t>
  </si>
  <si>
    <t>平均GT-XY正確對應</t>
  </si>
  <si>
    <t>GT後XY&lt;0.30m；只作事後診斷，不檢查z一致性。</t>
  </si>
  <si>
    <t>新增成功</t>
  </si>
  <si>
    <t>同pair＋seed的配對比較</t>
  </si>
  <si>
    <t>退步失敗</t>
  </si>
  <si>
    <t>共同成功數</t>
  </si>
  <si>
    <t>共同成功mean e_p</t>
  </si>
  <si>
    <t>共同成功N=110</t>
  </si>
  <si>
    <t>僅共同成功，有存活者偏差，不能取代全體成功率。</t>
  </si>
  <si>
    <t>來源 a:F；b:F；精確CSV行號與SHA見隨附manifest。單項受控的結果，不能超出對照條件解讀。</t>
  </si>
  <si>
    <t>F-TH-R｜只改CN距離容差</t>
  </si>
  <si>
    <t>ETH-tree／ETH；15配對；seed11–20；修改前=0.05m／svd+ransac；修改後=0.10m／svd+ransac；證據=單項受控</t>
  </si>
  <si>
    <t>成功 123 → 142</t>
  </si>
  <si>
    <t>平均註冊RANSAC inliers</t>
  </si>
  <si>
    <t>SVD未使用RANSAC留待補，不把CSV預設0當真實inlier數。</t>
  </si>
  <si>
    <t>共同成功N=116</t>
  </si>
  <si>
    <t>F-SOL-05｜只更換剛體solver</t>
  </si>
  <si>
    <t>ETH-tree／ETH；15配對；seed11–20；修改前=0.05m／SVD；修改後=0.05m／SVD+RANSAC；證據=單項方法切換</t>
  </si>
  <si>
    <t>只切solver；RANSAC內部1000次/0.30m/seed1一起啟用，沒有各常數消融。</t>
  </si>
  <si>
    <t>finite 130/150 → 130/150</t>
  </si>
  <si>
    <t>成功 118 → 123</t>
  </si>
  <si>
    <t>共同成功N=118</t>
  </si>
  <si>
    <t>來源 a:F；b:F；精確CSV行號與SHA見隨附manifest。單項方法切換的結果，不能超出對照條件解讀。</t>
  </si>
  <si>
    <t>F-SOL-10｜只更換剛體solver</t>
  </si>
  <si>
    <t>ETH-tree／ETH；15配對；seed11–20；修改前=0.10m／SVD；修改後=0.10m／SVD+RANSAC；證據=單項方法切換</t>
  </si>
  <si>
    <t>finite 143/150 → 143/150</t>
  </si>
  <si>
    <t>成功 135 → 142</t>
  </si>
  <si>
    <t>共同成功N=135</t>
  </si>
  <si>
    <t>R-ADD-triangle_scarce｜開發：啟用補救方法</t>
  </si>
  <si>
    <t>ETH-tree／ETH；15配對；seed11–20；修改前=recovery off；修改後=triangle_scarce；證據=單項方法／內部整組</t>
  </si>
  <si>
    <t>同ETH seed11–20已用於選方案。開發省略e_p，NaN不是0；時間僅舊time_ms。</t>
  </si>
  <si>
    <t>finite 0/150 → 0/150</t>
  </si>
  <si>
    <t>成功 142 → 149</t>
  </si>
  <si>
    <t>recovery觸發總數</t>
  </si>
  <si>
    <t>recovery採用總數</t>
  </si>
  <si>
    <t>平均recovery支持數</t>
  </si>
  <si>
    <t>個</t>
  </si>
  <si>
    <t>共同成功N=142</t>
  </si>
  <si>
    <t>來源 a:R1；b:R1；精確CSV行號與SHA見隨附manifest。單項方法／內部整組的結果，不能超出對照條件解讀。</t>
  </si>
  <si>
    <t>R-ADD-evidence_scarce｜開發：啟用補救方法</t>
  </si>
  <si>
    <t>ETH-tree／ETH；15配對；seed11–20；修改前=recovery off；修改後=evidence_scarce；證據=單項方法／內部整組</t>
  </si>
  <si>
    <t>R-ADD-evidence_weak｜開發：啟用補救方法</t>
  </si>
  <si>
    <t>ETH-tree／ETH；15配對；seed11–20；修改前=recovery off；修改後=evidence_weak；證據=單項方法／內部整組</t>
  </si>
  <si>
    <t>成功 142 → 150</t>
  </si>
  <si>
    <t>R-TRIGGER｜只改evidence觸發對數</t>
  </si>
  <si>
    <t>ETH-tree／ETH；15配對；seed11–20；修改前=trigger=3；修改後=trigger=6；證據=單項受控</t>
  </si>
  <si>
    <t>mode=evidence、top3、最多60邊、至少6支持及0.30m距離固定。這是開發資料，非盲測。</t>
  </si>
  <si>
    <t>成功 149 → 150</t>
  </si>
  <si>
    <t>共同成功N=149</t>
  </si>
  <si>
    <t>來源 a:R1；b:R1；精確CSV行號與SHA見隨附manifest。單項受控的結果，不能超出對照條件解讀。</t>
  </si>
  <si>
    <t>R-MODE｜相同trigger=3只改補救mode</t>
  </si>
  <si>
    <t>ETH-tree／ETH；15配對；seed11–20；修改前=triangles；修改後=evidence；證據=單項方法切換</t>
  </si>
  <si>
    <t>mode切換代表整個內部算法不同，不是只動一個幾何常數；e_p當時未計算。</t>
  </si>
  <si>
    <t>成功 149 → 149</t>
  </si>
  <si>
    <t>來源 a:R1；b:R1；精確CSV行號與SHA見隨附manifest。單項方法切換的結果，不能超出對照條件解讀。</t>
  </si>
  <si>
    <t>V-REC-S｜凍結後新seed：僅新增weak recovery</t>
  </si>
  <si>
    <t>ETH-tree／ETH；15配對；seed21–30；修改前=10cm／recovery off；修改後=10cm／evidence trigger6；證據=單項方法／內部整組</t>
  </si>
  <si>
    <t>seed21–30僅隨機性檢查，仍是同六站森林。GT不進推論，但離線開發用過GT選方案。</t>
  </si>
  <si>
    <t>finite 144/150 → 150/150</t>
  </si>
  <si>
    <t>成功 139 → 147</t>
  </si>
  <si>
    <t>共同成功N=139</t>
  </si>
  <si>
    <t>來源 a:V；b:V；精確CSV行號與SHA見隨附manifest。單項方法／內部整組的結果，不能超出對照條件解讀。</t>
  </si>
  <si>
    <t>V-REC-R｜凍結後新seed：僅新增weak recovery</t>
  </si>
  <si>
    <t>F-VERT-05S｜提取verticality單項變更</t>
  </si>
  <si>
    <t>ETH-tree／ETH；15配對；seed11–20；修改前=fresh_control；修改後=fresh_vertical085；證據=單項受控</t>
  </si>
  <si>
    <t>法向篩選改變提取樹位，其他指定條件固定；不等於v3驗證normal.z。</t>
  </si>
  <si>
    <t>finite 130/150 → 123/150</t>
  </si>
  <si>
    <t>成功 118 → 113</t>
  </si>
  <si>
    <t>共同成功N=90</t>
  </si>
  <si>
    <t>F-CYL-05S｜圓柱RANSAC兩常數同時變更</t>
  </si>
  <si>
    <t>ETH-tree／ETH；15配對；seed11–20；修改前=fresh_control；修改後=fresh_ransac999；證據=兩參數整組</t>
  </si>
  <si>
    <t>iterations與probability同時改，缺任一單獨對照；不是註冊RANSAC。</t>
  </si>
  <si>
    <t>finite 130/150 → 127/150</t>
  </si>
  <si>
    <t>成功 118 → 117</t>
  </si>
  <si>
    <t>共同成功N=101</t>
  </si>
  <si>
    <t>來源 a:F；b:F；精確CSV行號與SHA見隨附manifest。兩參數整組的結果，不能超出對照條件解讀。</t>
  </si>
  <si>
    <t>F-VERT-05R｜提取verticality單項變更</t>
  </si>
  <si>
    <t>成功 123 → 115</t>
  </si>
  <si>
    <t>共同成功N=95</t>
  </si>
  <si>
    <t>F-CYL-05R｜圓柱RANSAC兩常數同時變更</t>
  </si>
  <si>
    <t>成功 123 → 122</t>
  </si>
  <si>
    <t>共同成功N=109</t>
  </si>
  <si>
    <t>F-VERT-10S｜提取verticality單項變更</t>
  </si>
  <si>
    <t>ETH-tree／ETH；15配對；seed11–20；修改前=fresh_matching；修改後=fresh_vertical085_matching；證據=單項受控</t>
  </si>
  <si>
    <t>finite 143/150 → 142/150</t>
  </si>
  <si>
    <t>成功 135 → 131</t>
  </si>
  <si>
    <t>共同成功N=123</t>
  </si>
  <si>
    <t>F-CYL-10S｜圓柱RANSAC兩常數同時變更</t>
  </si>
  <si>
    <t>ETH-tree／ETH；15配對；seed11–20；修改前=fresh_matching；修改後=fresh_ransac999_matching；證據=兩參數整組</t>
  </si>
  <si>
    <t>finite 143/150 → 144/150</t>
  </si>
  <si>
    <t>成功 135 → 138</t>
  </si>
  <si>
    <t>共同成功N=131</t>
  </si>
  <si>
    <t>F-VERT-10R｜提取verticality單項變更</t>
  </si>
  <si>
    <t>成功 142 → 130</t>
  </si>
  <si>
    <t>共同成功N=127</t>
  </si>
  <si>
    <t>F-CYL-10R｜圓柱RANSAC兩常數同時變更</t>
  </si>
  <si>
    <t>成功 142 → 141</t>
  </si>
  <si>
    <t>共同成功N=137</t>
  </si>
  <si>
    <t>S-threshold075-DEVS｜早期探索：CN threshold</t>
  </si>
  <si>
    <t>ETH-tree／ETH；15配對；seed1–5；修改前=0.05；修改後=0.075；證據=單項受控</t>
  </si>
  <si>
    <t>固定同solver，其他matching條件同control。seed1–5開發、6–10既有seed檢查，非未見森林。</t>
  </si>
  <si>
    <t>總N 75 → 75</t>
  </si>
  <si>
    <t>finite 66/75 → 68/75</t>
  </si>
  <si>
    <t>成功 63 → 64</t>
  </si>
  <si>
    <t>共同成功N=58</t>
  </si>
  <si>
    <t>來源 a:S；b:S；精確CSV行號與SHA見隨附manifest。單項受控的結果，不能超出對照條件解讀。</t>
  </si>
  <si>
    <t>S-threshold075-DEVR｜早期探索：CN threshold</t>
  </si>
  <si>
    <t>成功 61 → 67</t>
  </si>
  <si>
    <t>S-threshold075-OLDS｜早期探索：CN threshold</t>
  </si>
  <si>
    <t>ETH-tree／ETH；15配對；seed6–10；修改前=0.05；修改後=0.075；證據=單項受控</t>
  </si>
  <si>
    <t>finite 68/75 → 68/75</t>
  </si>
  <si>
    <t>成功 63 → 62</t>
  </si>
  <si>
    <t>共同成功N=56</t>
  </si>
  <si>
    <t>S-threshold075-OLDR｜早期探索：CN threshold</t>
  </si>
  <si>
    <t>成功 65 → 65</t>
  </si>
  <si>
    <t>共同成功N=60</t>
  </si>
  <si>
    <t>S-threshold100-DEVS｜早期探索：CN threshold（早期探索）</t>
  </si>
  <si>
    <t>ETH-tree／ETH；15配對；seed1–5；修改前=0.05；修改後=0.10；證據=單項受控</t>
  </si>
  <si>
    <t>finite 66/75 → 71/75</t>
  </si>
  <si>
    <t>成功 63 → 68</t>
  </si>
  <si>
    <t>共同成功N=61</t>
  </si>
  <si>
    <t>S-threshold100-DEVR｜早期探索：CN threshold（早期探索）</t>
  </si>
  <si>
    <t>成功 61 → 70</t>
  </si>
  <si>
    <t>S-threshold100-OLDS｜早期探索：CN threshold（早期探索）</t>
  </si>
  <si>
    <t>ETH-tree／ETH；15配對；seed6–10；修改前=0.05；修改後=0.10；證據=單項受控</t>
  </si>
  <si>
    <t>finite 68/75 → 71/75</t>
  </si>
  <si>
    <t>成功 63 → 67</t>
  </si>
  <si>
    <t>共同成功N=57</t>
  </si>
  <si>
    <t>S-threshold100-OLDR｜早期探索：CN threshold（早期探索）</t>
  </si>
  <si>
    <t>成功 65 → 69</t>
  </si>
  <si>
    <t>S-score20-DEVS｜早期探索：CN th_score</t>
  </si>
  <si>
    <t>ETH-tree／ETH；15配對；seed1–5；修改前=40；修改後=20；證據=單項受控</t>
  </si>
  <si>
    <t>finite 66/75 → 66/75</t>
  </si>
  <si>
    <t>共同成功N=59</t>
  </si>
  <si>
    <t>S-score20-DEVR｜早期探索：CN th_score</t>
  </si>
  <si>
    <t>成功 61 → 63</t>
  </si>
  <si>
    <t>S-score20-OLDS｜早期探索：CN th_score</t>
  </si>
  <si>
    <t>ETH-tree／ETH；15配對；seed6–10；修改前=40；修改後=20；證據=單項受控</t>
  </si>
  <si>
    <t>成功 63 → 59</t>
  </si>
  <si>
    <t>共同成功N=55</t>
  </si>
  <si>
    <t>S-score20-OLDR｜早期探索：CN th_score</t>
  </si>
  <si>
    <t>成功 65 → 63</t>
  </si>
  <si>
    <t>S-score60-DEVS｜早期探索：CN th_score</t>
  </si>
  <si>
    <t>ETH-tree／ETH；15配對；seed1–5；修改前=40；修改後=60；證據=單項受控</t>
  </si>
  <si>
    <t>finite 66/75 → 54/75</t>
  </si>
  <si>
    <t>成功 63 → 52</t>
  </si>
  <si>
    <t>共同成功N=49</t>
  </si>
  <si>
    <t>S-score60-DEVR｜早期探索：CN th_score</t>
  </si>
  <si>
    <t>成功 61 → 50</t>
  </si>
  <si>
    <t>共同成功N=47</t>
  </si>
  <si>
    <t>S-score60-OLDS｜早期探索：CN th_score</t>
  </si>
  <si>
    <t>ETH-tree／ETH；15配對；seed6–10；修改前=40；修改後=60；證據=單項受控</t>
  </si>
  <si>
    <t>finite 68/75 → 59/75</t>
  </si>
  <si>
    <t>成功 63 → 57</t>
  </si>
  <si>
    <t>共同成功N=50</t>
  </si>
  <si>
    <t>S-score60-OLDR｜早期探索：CN th_score</t>
  </si>
  <si>
    <t>成功 65 → 57</t>
  </si>
  <si>
    <t>共同成功N=52</t>
  </si>
  <si>
    <t>S-min_dc4-DEVS｜早期探索：CN min_dc</t>
  </si>
  <si>
    <t>ETH-tree／ETH；15配對；seed1–5；修改前=3；修改後=4；證據=單項受控</t>
  </si>
  <si>
    <t>finite 66/75 → 65/75</t>
  </si>
  <si>
    <t>S-min_dc4-DEVR｜早期探索：CN min_dc</t>
  </si>
  <si>
    <t>成功 61 → 60</t>
  </si>
  <si>
    <t>S-min_dc4-OLDS｜早期探索：CN min_dc</t>
  </si>
  <si>
    <t>ETH-tree／ETH；15配對；seed6–10；修改前=3；修改後=4；證據=單項受控</t>
  </si>
  <si>
    <t>共同成功N=62</t>
  </si>
  <si>
    <t>S-min_dc4-OLDR｜早期探索：CN min_dc</t>
  </si>
  <si>
    <t>共同成功N=64</t>
  </si>
  <si>
    <t>S-sectors93-DEVS｜早期探索：CN N</t>
  </si>
  <si>
    <t>ETH-tree／ETH；15配對；seed1–5；修改前=183；修改後=93；證據=單項受控</t>
  </si>
  <si>
    <t>finite 66/75 → 64/75</t>
  </si>
  <si>
    <t>成功 63 → 58</t>
  </si>
  <si>
    <t>共同成功N=53</t>
  </si>
  <si>
    <t>S-sectors93-DEVR｜早期探索：CN N</t>
  </si>
  <si>
    <t>成功 61 → 57</t>
  </si>
  <si>
    <t>S-sectors93-OLDS｜早期探索：CN N</t>
  </si>
  <si>
    <t>ETH-tree／ETH；15配對；seed6–10；修改前=183；修改後=93；證據=單項受控</t>
  </si>
  <si>
    <t>finite 68/75 → 61/75</t>
  </si>
  <si>
    <t>成功 63 → 54</t>
  </si>
  <si>
    <t>S-sectors93-OLDR｜早期探索：CN N</t>
  </si>
  <si>
    <t>成功 65 → 58</t>
  </si>
  <si>
    <t>S-merge015-DEVS｜早期探索：tree merge_radius</t>
  </si>
  <si>
    <t>ETH-tree／ETH；15配對；seed1–5；修改前=0（不合併）；修改後=0.15；證據=單項受控</t>
  </si>
  <si>
    <t>finite 66/75 → 61/75</t>
  </si>
  <si>
    <t>成功 63 → 60</t>
  </si>
  <si>
    <t>S-merge015-DEVR｜早期探索：tree merge_radius</t>
  </si>
  <si>
    <t>S-merge015-OLDS｜早期探索：tree merge_radius</t>
  </si>
  <si>
    <t>ETH-tree／ETH；15配對；seed6–10；修改前=0（不合併）；修改後=0.15；證據=單項受控</t>
  </si>
  <si>
    <t>finite 68/75 → 66/75</t>
  </si>
  <si>
    <t>成功 63 → 63</t>
  </si>
  <si>
    <t>S-merge015-OLDR｜早期探索：tree merge_radius</t>
  </si>
  <si>
    <t>成功 65 → 64</t>
  </si>
  <si>
    <t>S-merge030-DEVS｜早期探索：tree merge_radius</t>
  </si>
  <si>
    <t>ETH-tree／ETH；15配對；seed1–5；修改前=0（不合併）；修改後=0.30；證據=單項受控</t>
  </si>
  <si>
    <t>S-merge030-DEVR｜早期探索：tree merge_radius</t>
  </si>
  <si>
    <t>成功 61 → 58</t>
  </si>
  <si>
    <t>S-merge030-OLDS｜早期探索：tree merge_radius</t>
  </si>
  <si>
    <t>ETH-tree／ETH；15配對；seed6–10；修改前=0（不合併）；修改後=0.30；證據=單項受控</t>
  </si>
  <si>
    <t>finite 68/75 → 69/75</t>
  </si>
  <si>
    <t>S-merge030-OLDR｜早期探索：tree merge_radius</t>
  </si>
  <si>
    <t>U-Plot1｜主表：完整粗方法整組</t>
  </si>
  <si>
    <t>Tongji-trees／Plot1；10配對；seed31–40；修改前=reference5_raw；修改後=eth10_raw；證據=三項方法整組</t>
  </si>
  <si>
    <t>threshold、solver、recovery同時不同；相同提取、step、ctol0.2。有限集合改變時不算誤差下降率。</t>
  </si>
  <si>
    <t>總N 100 → 100</t>
  </si>
  <si>
    <t>finite 100/100 → 100/100</t>
  </si>
  <si>
    <t>成功 100 → 100</t>
  </si>
  <si>
    <t>平均候選pose數</t>
  </si>
  <si>
    <t>平均精化候選數</t>
  </si>
  <si>
    <t>平均refine_ms</t>
  </si>
  <si>
    <t>共同成功N=100</t>
  </si>
  <si>
    <t>來源 a:U；b:U；精確CSV行號與SHA見隨附manifest。三項方法整組的結果，不能超出對照條件解讀。</t>
  </si>
  <si>
    <t>U-Plot2｜主表：完整粗方法整組</t>
  </si>
  <si>
    <t>Tongji-trees／Plot2；10配對；seed31–40；修改前=reference5_raw；修改後=eth10_raw；證據=三項方法整組</t>
  </si>
  <si>
    <t>成功 33 → 34</t>
  </si>
  <si>
    <t>共同成功N=22</t>
  </si>
  <si>
    <t>U-Plot3｜主表：完整粗方法整組</t>
  </si>
  <si>
    <t>Tongji-trees／Plot3；10配對；seed31–40；修改前=reference5_raw；修改後=eth10_raw；證據=三項方法整組</t>
  </si>
  <si>
    <t>U-Plot4｜主表：完整粗方法整組</t>
  </si>
  <si>
    <t>Tongji-trees／Plot4；10配對；seed31–40；修改前=reference5_raw；修改後=eth10_raw；證據=三項方法整組</t>
  </si>
  <si>
    <t>finite 83/100 → 99/100</t>
  </si>
  <si>
    <t>成功 76 → 95</t>
  </si>
  <si>
    <t>共同成功N=75</t>
  </si>
  <si>
    <t>U-ETH｜主表：完整粗方法整組</t>
  </si>
  <si>
    <t>ETH-tree／ETH；15配對；seed31–40；修改前=reference5_raw；修改後=eth10_raw；證據=三項方法整組</t>
  </si>
  <si>
    <t>finite 127/150 → 150/150</t>
  </si>
  <si>
    <t>成功 114 → 150</t>
  </si>
  <si>
    <t>共同成功N=114</t>
  </si>
  <si>
    <t>report_01｜每一項參數改動與數據證據</t>
  </si>
  <si>
    <t>每列一項參數／方法。H欄只放能隔離該項的既有對照；沒有就寫待補。I欄可引用相關整組結果，但不能當成該參數的獨立貢獻。點J欄跳到完整前後數據。</t>
  </si>
  <si>
    <t>ID</t>
  </si>
  <si>
    <t>參數／方法名稱</t>
  </si>
  <si>
    <t>最後採用？</t>
  </si>
  <si>
    <t>證據類型</t>
  </si>
  <si>
    <t>單項／單方法前後數據</t>
  </si>
  <si>
    <t>相關整組前後數據（非獨立效果）</t>
  </si>
  <si>
    <t>實驗索引與作用／限制</t>
  </si>
  <si>
    <t>P01</t>
  </si>
  <si>
    <t>CN threshold</t>
  </si>
  <si>
    <t>m</t>
  </si>
  <si>
    <t>0.05</t>
  </si>
  <si>
    <t>0.10</t>
  </si>
  <si>
    <t>採用</t>
  </si>
  <si>
    <t>單一參數</t>
  </si>
  <si>
    <t>F-TH-S：118/150→135/150（+11.333pp）；e_p 15.011→11.223cm
F-TH-R：123/150→142/150（+12.667pp）；e_p 15.064→9.774cm</t>
  </si>
  <si>
    <t>詳見H欄；不可超出該對照條件。</t>
  </si>
  <si>
    <t>F-TH-S, F-TH-R
同步影響gatekeeper、DC與triangle的距離一致性；不改Thscore。
論文：0.05</t>
  </si>
  <si>
    <t>P02</t>
  </si>
  <si>
    <t>registration solver</t>
  </si>
  <si>
    <t>方法</t>
  </si>
  <si>
    <t>Kabsch／SVD</t>
  </si>
  <si>
    <t>Kabsch＋RANSAC</t>
  </si>
  <si>
    <t>單項方法</t>
  </si>
  <si>
    <t>F-SOL-05：118/150→123/150（+3.333pp）；e_p 15.011→15.064cm
F-SOL-10：135/150→142/150（+4.667pp）；e_p 11.223→9.774cm</t>
  </si>
  <si>
    <t>F-SOL-05, F-SOL-10
能排除不符合3D剛體共識的樹位；不是擬合圓柱的RANSAC。
論文：待補</t>
  </si>
  <si>
    <t>P03</t>
  </si>
  <si>
    <t>registration RANSAC iterations</t>
  </si>
  <si>
    <t>不啟用</t>
  </si>
  <si>
    <t>1000</t>
  </si>
  <si>
    <t>缺單參數消融</t>
  </si>
  <si>
    <t>待補：沒有只改這一個參數的實驗。</t>
  </si>
  <si>
    <t>F-SOL-05, F-SOL-10
沒有1000對其他迭代數比較；只能引用solver整組。
論文：待補</t>
  </si>
  <si>
    <t>P04</t>
  </si>
  <si>
    <t>registration RANSAC inlier_dist</t>
  </si>
  <si>
    <t>0.30</t>
  </si>
  <si>
    <t>F-SOL-05, F-SOL-10
使用完整3D殘差；沒有距離門檻獨立掃描。
論文：待補</t>
  </si>
  <si>
    <t>P05</t>
  </si>
  <si>
    <t>registration RANSAC seed</t>
  </si>
  <si>
    <t>種子</t>
  </si>
  <si>
    <t>1</t>
  </si>
  <si>
    <t>F-SOL-05, F-SOL-10
固定solver隨機種子；非提取seed11–20。
論文：待補</t>
  </si>
  <si>
    <t>P06</t>
  </si>
  <si>
    <t>CN recovery mode</t>
  </si>
  <si>
    <t>off</t>
  </si>
  <si>
    <t>evidence</t>
  </si>
  <si>
    <t>方法整組</t>
  </si>
  <si>
    <t>V-REC-S：139/150→147/150（+5.333pp）；e_p 9.669→8.550cm
V-REC-R：142/150→150/150（+5.333pp）；e_p 8.830→7.615cm</t>
  </si>
  <si>
    <t>V-REC-S, V-REC-R
整個weak recovery新增的效果；不能分配給每個內部常數。
論文：待補</t>
  </si>
  <si>
    <t>P07</t>
  </si>
  <si>
    <t>recovery trigger_matches</t>
  </si>
  <si>
    <t>原CN對數</t>
  </si>
  <si>
    <t>3</t>
  </si>
  <si>
    <t>6</t>
  </si>
  <si>
    <t>R-TRIGGER：149/150→150/150（+0.667pp）；e_p待補</t>
  </si>
  <si>
    <t>R-TRIGGER
原match對數&lt;門檻才觸發；與至少3對能解Kabsch的數學下限不同。
論文：待補</t>
  </si>
  <si>
    <t>P08</t>
  </si>
  <si>
    <t>recovery mode（候選比較）</t>
  </si>
  <si>
    <t>triangles</t>
  </si>
  <si>
    <t>採用evidence</t>
  </si>
  <si>
    <t>R-MODE：149/150→149/150（+0.000pp）；e_p待補</t>
  </si>
  <si>
    <t>R-MODE
固定trigger3比較兩算法；成功數相同，不宣稱兩者功能等價。
論文：待補</t>
  </si>
  <si>
    <t>P09</t>
  </si>
  <si>
    <t>recovery top_candidates</t>
  </si>
  <si>
    <t>無新增recovery</t>
  </si>
  <si>
    <t>V-REC-S, V-REC-R
沒有top3對top1/5的對照。
論文：待補</t>
  </si>
  <si>
    <t>P10</t>
  </si>
  <si>
    <t>recovery max_evidence_pairs</t>
  </si>
  <si>
    <t>條邊</t>
  </si>
  <si>
    <t>60</t>
  </si>
  <si>
    <t>V-REC-S, V-REC-R
沒有60對其他邊數的對照。
論文：待補</t>
  </si>
  <si>
    <t>P11</t>
  </si>
  <si>
    <t>recovery min_support</t>
  </si>
  <si>
    <t>個3D支持</t>
  </si>
  <si>
    <t>V-REC-S, V-REC-R
與trigger_matches=6不同用途，沒有min_support獨立消融。
論文：待補</t>
  </si>
  <si>
    <t>P12</t>
  </si>
  <si>
    <t>recovery inlier_distance</t>
  </si>
  <si>
    <t>V-REC-S, V-REC-R
共識使用3D距離，不是GT正確對應的XY檢查。
論文：待補</t>
  </si>
  <si>
    <t>P13</t>
  </si>
  <si>
    <t>recovery XY length tolerance</t>
  </si>
  <si>
    <t>2×CNthreshold=0.20</t>
  </si>
  <si>
    <t>V-REC-S, V-REC-R
三元組相容邊長差，隨CNthreshold連動；沒有獨立改該係數。
論文：待補</t>
  </si>
  <si>
    <t>P14</t>
  </si>
  <si>
    <t>recovery hypothesis / solver</t>
  </si>
  <si>
    <t>相容三元組＋6DOF Kabsch</t>
  </si>
  <si>
    <t>V-REC-S, V-REC-R
新增內部幾何處理，沒有與recovery其他條件分離。
論文：待補</t>
  </si>
  <si>
    <t>P15</t>
  </si>
  <si>
    <t>extraction normals.vert_threshold</t>
  </si>
  <si>
    <t>verticality</t>
  </si>
  <si>
    <t>0.90</t>
  </si>
  <si>
    <t>0.85</t>
  </si>
  <si>
    <t>未採用</t>
  </si>
  <si>
    <t>F-VERT-05S：118/150→113/150（-3.333pp）；e_p 15.011→16.328cm
F-VERT-05R：123/150→115/150（-5.333pp）；e_p 15.064→19.441cm
F-VERT-10S：135/150→131/150（-2.667pp）；e_p 11.223→15.283cm
F-VERT-10R：142/150→130/150（-8.000pp）；e_p 9.774→15.193cm</t>
  </si>
  <si>
    <t>F-VERT-05S, F-VERT-05R, F-VERT-10S, F-VERT-10R
放寬近垂直表面保留，在主10cm/RANSAC分支142→130；變差也保留。
論文：&gt;0.9</t>
  </si>
  <si>
    <t>P16</t>
  </si>
  <si>
    <t>cylinder.max_iterations</t>
  </si>
  <si>
    <t>3000</t>
  </si>
  <si>
    <t>兩參數同改</t>
  </si>
  <si>
    <t>F-CYL-05S：118/150→117/150（-0.667pp）；e_p 15.011→15.241cm
F-CYL-05R：123/150→122/150（-0.667pp）；e_p 15.064→16.524cm
F-CYL-10S：135/150→138/150（+2.000pp）；e_p 11.223→11.701cm
F-CYL-10R：142/150→141/150（-0.667pp）；e_p 9.774→10.620cm</t>
  </si>
  <si>
    <t>F-CYL-05S, F-CYL-05R, F-CYL-10S, F-CYL-10R
與probability一起改；10cm/RANSAC142→141，不能說3000本身的效果。
論文：待補</t>
  </si>
  <si>
    <t>P17</t>
  </si>
  <si>
    <t>cylinder.probability</t>
  </si>
  <si>
    <t>機率</t>
  </si>
  <si>
    <t>0.99</t>
  </si>
  <si>
    <t>0.999</t>
  </si>
  <si>
    <t>F-CYL-05S, F-CYL-05R, F-CYL-10S, F-CYL-10R
與iterations一起改；缺0.999單獨效果。
論文：待補</t>
  </si>
  <si>
    <t>P18</t>
  </si>
  <si>
    <t>0.075</t>
  </si>
  <si>
    <t>未採用0.075</t>
  </si>
  <si>
    <t>單一參數探索</t>
  </si>
  <si>
    <t>S-threshold075-DEVS：63/75→64/75（+1.333pp）；e_p 15.982→11.237cm
S-threshold075-DEVR：61/75→67/75（+8.000pp）；e_p 12.954→10.249cm
S-threshold075-OLDS：63/75→62/75（-1.333pp）；e_p 14.540→15.445cm
S-threshold075-OLDR：65/75→65/75（+0.000pp）；e_p 11.404→13.922cm</t>
  </si>
  <si>
    <t>S-threshold075-DEVS, S-threshold075-DEVR, S-threshold075-OLDS, S-threshold075-OLDR
只有本輪範圍內的條件效果；不套用到未完成的其他森林。
論文：0.05</t>
  </si>
  <si>
    <t>P19</t>
  </si>
  <si>
    <t>CN threshold（早期探索）</t>
  </si>
  <si>
    <t>後續採用0.10</t>
  </si>
  <si>
    <t>S-threshold100-DEVS：63/75→68/75（+6.667pp）；e_p 15.982→10.938cm
S-threshold100-DEVR：61/75→70/75（+12.000pp）；e_p 12.954→9.575cm
S-threshold100-OLDS：63/75→67/75（+5.333pp）；e_p 14.540→12.570cm
S-threshold100-OLDR：65/75→69/75（+5.333pp）；e_p 11.404→11.172cm</t>
  </si>
  <si>
    <t>S-threshold100-DEVS, S-threshold100-DEVR, S-threshold100-OLDS, S-threshold100-OLDR
只有本輪範圍內的條件效果；不套用到未完成的其他森林。
論文：0.05</t>
  </si>
  <si>
    <t>P20</t>
  </si>
  <si>
    <t>CN th_score</t>
  </si>
  <si>
    <t>分數</t>
  </si>
  <si>
    <t>40</t>
  </si>
  <si>
    <t>20</t>
  </si>
  <si>
    <t>S-score20-DEVS：63/75→62/75（-1.333pp）；e_p 15.982→14.251cm
S-score20-DEVR：61/75→63/75（+2.667pp）；e_p 12.954→13.782cm
S-score20-OLDS：63/75→59/75（-5.333pp）；e_p 14.540→19.959cm
S-score20-OLDR：65/75→63/75（-2.667pp）；e_p 11.404→13.084cm</t>
  </si>
  <si>
    <t>S-score20-DEVS, S-score20-DEVR, S-score20-OLDS, S-score20-OLDR
只有本輪範圍內的條件效果；不套用到未完成的其他森林。
論文：40</t>
  </si>
  <si>
    <t>P21</t>
  </si>
  <si>
    <t>S-score60-DEVS：63/75→52/75（-14.667pp）；e_p 15.982→15.756cm
S-score60-DEVR：61/75→50/75（-14.667pp）；e_p 12.954→17.002cm
S-score60-OLDS：63/75→57/75（-8.000pp）；e_p 14.540→9.824cm
S-score60-OLDR：65/75→57/75（-10.667pp）；e_p 11.404→9.998cm</t>
  </si>
  <si>
    <t>S-score60-DEVS, S-score60-DEVR, S-score60-OLDS, S-score60-OLDR
只有本輪範圍內的條件效果；不套用到未完成的其他森林。
論文：40</t>
  </si>
  <si>
    <t>P22</t>
  </si>
  <si>
    <t>CN min_dc</t>
  </si>
  <si>
    <t>個扇區</t>
  </si>
  <si>
    <t>4</t>
  </si>
  <si>
    <t>S-min_dc4-DEVS：63/75→62/75（-1.333pp）；e_p 15.982→15.662cm
S-min_dc4-DEVR：61/75→60/75（-1.333pp）；e_p 12.954→12.560cm
S-min_dc4-OLDS：63/75→64/75（+1.333pp）；e_p 14.540→11.867cm
S-min_dc4-OLDR：65/75→65/75（+0.000pp）；e_p 11.404→11.536cm</t>
  </si>
  <si>
    <t>S-min_dc4-DEVS, S-min_dc4-DEVR, S-min_dc4-OLDS, S-min_dc4-OLDR
只有本輪範圍內的條件效果；不套用到未完成的其他森林。
論文：待補／文字偽碼邊界有歧義</t>
  </si>
  <si>
    <t>P23</t>
  </si>
  <si>
    <t>CN N</t>
  </si>
  <si>
    <t>維度</t>
  </si>
  <si>
    <t>183</t>
  </si>
  <si>
    <t>93</t>
  </si>
  <si>
    <t>S-sectors93-DEVS：63/75→58/75（-6.667pp）；e_p 15.982→12.953cm
S-sectors93-DEVR：61/75→57/75（-5.333pp）；e_p 12.954→16.347cm
S-sectors93-OLDS：63/75→54/75（-12.000pp）；e_p 14.540→13.410cm
S-sectors93-OLDR：65/75→58/75（-9.333pp）；e_p 11.404→11.886cm</t>
  </si>
  <si>
    <t>S-sectors93-DEVS, S-sectors93-DEVR, S-sectors93-OLDS, S-sectors93-OLDR
只有本輪範圍內的條件效果；不套用到未完成的其他森林。
論文：183</t>
  </si>
  <si>
    <t>P24</t>
  </si>
  <si>
    <t>tree merge_radius</t>
  </si>
  <si>
    <t>0（不合併）</t>
  </si>
  <si>
    <t>0.15</t>
  </si>
  <si>
    <t>S-merge015-DEVS：63/75→60/75（-4.000pp）；e_p 15.982→11.725cm
S-merge015-DEVR：61/75→60/75（-1.333pp）；e_p 12.954→11.277cm
S-merge015-OLDS：63/75→63/75（+0.000pp）；e_p 14.540→9.391cm
S-merge015-OLDR：65/75→64/75（-1.333pp）；e_p 11.404→10.449cm</t>
  </si>
  <si>
    <t>S-merge015-DEVS, S-merge015-DEVR, S-merge015-OLDS, S-merge015-OLDR
只有本輪範圍內的條件效果；不套用到未完成的其他森林。
論文：待補</t>
  </si>
  <si>
    <t>P25</t>
  </si>
  <si>
    <t>S-merge030-DEVS：63/75→58/75（-6.667pp）；e_p 15.982→12.464cm
S-merge030-DEVR：61/75→58/75（-4.000pp）；e_p 12.954→13.020cm
S-merge030-OLDS：63/75→63/75（+0.000pp）；e_p 14.540→12.463cm
S-merge030-OLDR：65/75→65/75（+0.000pp）；e_p 11.404→11.879cm</t>
  </si>
  <si>
    <t>S-merge030-DEVS, S-merge030-DEVR, S-merge030-OLDS, S-merge030-OLDR
只有本輪範圍內的條件效果；不套用到未完成的其他森林。
論文：待補</t>
  </si>
  <si>
    <t>P26</t>
  </si>
  <si>
    <t>主報告整體coarse方法</t>
  </si>
  <si>
    <t>5cm＋SVD＋recovery off</t>
  </si>
  <si>
    <t>10cm＋RANSAC＋weak recovery</t>
  </si>
  <si>
    <t>完整整組</t>
  </si>
  <si>
    <t>U-Plot1：100/100→100/100（+0.000pp）；e_p 16.813→17.424cm
U-Plot2：33/100→34/100（+1.000pp）；e_p 54.505→50.901cm
U-Plot3：100/100→100/100（+0.000pp）；e_p 5.376→4.902cm
U-Plot4：76/100→95/100（+19.000pp）；e_p 123.235→109.373cm
U-ETH：114/150→150/150（+24.000pp）；e_p 12.621→8.190cm</t>
  </si>
  <si>
    <t>U-Plot1, U-Plot2, U-Plot3, U-Plot4, U-ETH
跨Tongji四Plot與ETH的整組差異；非單一threshold的跨資料集效果。
論文：0.05m；solver與新增recovery待補</t>
  </si>
  <si>
    <t>第1次｜論文與本地主比較</t>
  </si>
  <si>
    <t>Tongji四Plot屬同一dataset，ETH為另一dataset。作者原作重跑、論文配對分母與成功門檻待補；本地reference5不是作者程式。數字下降不代表嚴格超越作者實作。</t>
  </si>
  <si>
    <t>dataset／場景</t>
  </si>
  <si>
    <t>論文成功率</t>
  </si>
  <si>
    <t>本地修改前成功率</t>
  </si>
  <si>
    <t>修改後成功率</t>
  </si>
  <si>
    <t>差：後−前 pp</t>
  </si>
  <si>
    <t>論文e_p cm</t>
  </si>
  <si>
    <t>前finite mean cm</t>
  </si>
  <si>
    <t>後finite mean cm</t>
  </si>
  <si>
    <t>vs論文下降率</t>
  </si>
  <si>
    <t>前後樣本／比較限制</t>
  </si>
  <si>
    <t>Tongji／Plot1</t>
  </si>
  <si>
    <t>成功 100/100→100/100；finite 100→100；整組比較</t>
  </si>
  <si>
    <t>Tongji／Plot2</t>
  </si>
  <si>
    <t>成功 33/100→34/100；finite 100→100；整組比較</t>
  </si>
  <si>
    <t>Tongji／Plot3</t>
  </si>
  <si>
    <t>Tongji／Plot4</t>
  </si>
  <si>
    <t>成功 76/100→95/100；finite 83→99；整組比較</t>
  </si>
  <si>
    <t>ETH-tree</t>
  </si>
  <si>
    <t>成功 114/150→150/150；finite 127→150；整組比較</t>
  </si>
  <si>
    <t>論文來源：上傳PDF p4 Table I／Eq8；本地來源U（逐例重算）。論文平均e_p對照僅供參考；缺變換不填0。分母或有限集合不同時，不以兩個平均數冒充相同案例的效果。</t>
  </si>
  <si>
    <t>主表修改前後版本：reference5_raw → eth10_raw。本次沒有新增配準試驗；逐項歸因不足處如實待補。</t>
  </si>
  <si>
    <t>數據來源與SHA256：逐block的a/b表示修改前／後；CSV篩選行號另存manifest，以下來源可追溯到專案。</t>
  </si>
  <si>
    <t>F：results/professor_reports_20261026/evidence/F_fresh_rows.csv；1800列；SHA256=b73cafe4af6c29e65881e8fa481474ab1c304aaa273ba2c7185fbddbf90098bb</t>
  </si>
  <si>
    <t>V：results/professor_reports_20261026/evidence/V_validation_rows.csv；600列；SHA256=8629210ecb5804934fbee58dd0163446085f450b456b727931a3dcd0d833c6e3</t>
  </si>
  <si>
    <t>S：results/parameter_details_20261028/evidence/S_screen_rows.csv；2700列；SHA256=fab10f73a507f3f74f0518df46a7654e53b00617d7e5c3f43833028c0c14f983</t>
  </si>
  <si>
    <t>U：results/professor_reports_20261026/evidence/U_registration_rows.csv；4950列；SHA256=e111ef1216ceff2ca3a11b16f38fcfa56c2d16fc599cc8570340c6ba6c1304a0</t>
  </si>
  <si>
    <t>R1：results/parameter_details_20261028/evidence/R1_recovery_discovery_rows.csv；1200列；SHA256=d7d4a8d812bd3e890f682e8bf4e79f36865cfb4b9e3faa12962b47e5eabfe07c</t>
  </si>
  <si>
    <t>所有參數作用與單位依config/default.ini、include/cm/registration.hpp、src/cn_recovery.cpp、src/cn_matching.cpp及凍結plan核對。論文：Sun等，DOI 10.1109/LGRS.2025.3650098；PDF p2方法、p3 Algorithm1、p4 TableI/II與Eq8、p5 TableIII。原論文時間硬體i7-9700F 3GHz、OpenMP執行緒數待補；本地舊批次OMP4、CPU型號未齊，禁止與paper做公平速度下降率。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</si>
</sst>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%"/>
    <numFmt numFmtId="166" formatCode="0.000&quot; pp&quot;"/>
  </numFmts>
  <fonts count="7">
    <font>
      <sz val="11"/>
      <color theme="1"/>
      <name val="Calibri"/>
      <family val="2"/>
      <scheme val="minor"/>
    </font>
    <font>
      <b/>
      <sz val="18"/>
      <color rgb="FF203D56"/>
      <name val="Microsoft JhengHei"/>
      <family val="2"/>
    </font>
    <font>
      <sz val="10"/>
      <color rgb="FF555555"/>
      <name val="Microsoft JhengHei"/>
      <family val="2"/>
    </font>
    <font>
      <b/>
      <sz val="12"/>
      <color theme="1"/>
      <name val="Microsoft JhengHei"/>
      <family val="2"/>
    </font>
    <font>
      <sz val="12"/>
      <color theme="1"/>
      <name val="Microsoft JhengHei"/>
      <family val="2"/>
    </font>
    <font>
      <u/>
      <sz val="12"/>
      <color rgb="FF0563C1"/>
      <name val="Microsoft JhengHei"/>
      <family val="2"/>
    </font>
    <font>
      <sz val="12"/>
      <color rgb="FFA35A0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7ED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成功率：每場景分開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修改前</c:v>
          </c:tx>
          <c:spPr>
            <a:solidFill>
              <a:srgbClr val="7D8C98"/>
            </a:solidFill>
          </c:spPr>
          <c:dLbls>
            <c:numFmt formatCode="0%" sourceLinked="0"/>
            <c:showVal val="1"/>
          </c:dLbls>
          <c:cat>
            <c:strRef>
              <c:f>論文與場景總覽!$A$6:$A$10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論文與場景總覽!$C$6:$C$10</c:f>
              <c:numCache>
                <c:formatCode>General</c:formatCode>
                <c:ptCount val="5"/>
                <c:pt idx="0">
                  <c:v>1</c:v>
                </c:pt>
                <c:pt idx="1">
                  <c:v>0.33</c:v>
                </c:pt>
                <c:pt idx="2">
                  <c:v>1</c:v>
                </c:pt>
                <c:pt idx="3">
                  <c:v>0.76</c:v>
                </c:pt>
                <c:pt idx="4">
                  <c:v>0.76</c:v>
                </c:pt>
              </c:numCache>
            </c:numRef>
          </c:val>
        </c:ser>
        <c:ser>
          <c:idx val="1"/>
          <c:order val="1"/>
          <c:tx>
            <c:v>修改後</c:v>
          </c:tx>
          <c:spPr>
            <a:solidFill>
              <a:srgbClr val="305B81"/>
            </a:solidFill>
          </c:spPr>
          <c:dLbls>
            <c:numFmt formatCode="0%" sourceLinked="0"/>
            <c:showVal val="1"/>
          </c:dLbls>
          <c:cat>
            <c:strRef>
              <c:f>論文與場景總覽!$A$6:$A$10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論文與場景總覽!$D$6:$D$10</c:f>
              <c:numCache>
                <c:formatCode>General</c:formatCode>
                <c:ptCount val="5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0.95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全有限mean e_p（包含有限失敗）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論文報告值</c:v>
          </c:tx>
          <c:cat>
            <c:strRef>
              <c:f>論文與場景總覽!$A$6:$A$10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論文與場景總覽!$F$6:$F$10</c:f>
              <c:numCache>
                <c:formatCode>General</c:formatCode>
                <c:ptCount val="5"/>
                <c:pt idx="0">
                  <c:v>5.2558</c:v>
                </c:pt>
                <c:pt idx="1">
                  <c:v>11.4808</c:v>
                </c:pt>
                <c:pt idx="2">
                  <c:v>4.8756</c:v>
                </c:pt>
                <c:pt idx="3">
                  <c:v>4.356</c:v>
                </c:pt>
                <c:pt idx="4">
                  <c:v>15.3427</c:v>
                </c:pt>
              </c:numCache>
            </c:numRef>
          </c:val>
        </c:ser>
        <c:ser>
          <c:idx val="1"/>
          <c:order val="1"/>
          <c:tx>
            <c:v>本地修改前</c:v>
          </c:tx>
          <c:cat>
            <c:strRef>
              <c:f>論文與場景總覽!$A$6:$A$10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論文與場景總覽!$G$6:$G$10</c:f>
              <c:numCache>
                <c:formatCode>General</c:formatCode>
                <c:ptCount val="5"/>
                <c:pt idx="0">
                  <c:v>16.81264811104687</c:v>
                </c:pt>
                <c:pt idx="1">
                  <c:v>54.50497163856171</c:v>
                </c:pt>
                <c:pt idx="2">
                  <c:v>5.376450884068796</c:v>
                </c:pt>
                <c:pt idx="3">
                  <c:v>123.234678935483</c:v>
                </c:pt>
                <c:pt idx="4">
                  <c:v>12.62093021050369</c:v>
                </c:pt>
              </c:numCache>
            </c:numRef>
          </c:val>
        </c:ser>
        <c:ser>
          <c:idx val="2"/>
          <c:order val="2"/>
          <c:tx>
            <c:v>修改後</c:v>
          </c:tx>
          <c:cat>
            <c:strRef>
              <c:f>論文與場景總覽!$A$6:$A$10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論文與場景總覽!$H$6:$H$10</c:f>
              <c:numCache>
                <c:formatCode>General</c:formatCode>
                <c:ptCount val="5"/>
                <c:pt idx="0">
                  <c:v>17.42353110611136</c:v>
                </c:pt>
                <c:pt idx="1">
                  <c:v>50.90068114446461</c:v>
                </c:pt>
                <c:pt idx="2">
                  <c:v>4.901756139380368</c:v>
                </c:pt>
                <c:pt idx="3">
                  <c:v>109.3731971735449</c:v>
                </c:pt>
                <c:pt idx="4">
                  <c:v>8.189515239489998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e_p（cm）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904875</xdr:colOff>
      <xdr:row>32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8</xdr:col>
      <xdr:colOff>1885950</xdr:colOff>
      <xdr:row>32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1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32.7109375" customWidth="1"/>
    <col min="3" max="3" width="12.7109375" customWidth="1"/>
    <col min="4" max="4" width="22.7109375" customWidth="1"/>
    <col min="5" max="5" width="25.7109375" customWidth="1"/>
    <col min="6" max="6" width="19.7109375" customWidth="1"/>
    <col min="7" max="7" width="23.7109375" customWidth="1"/>
    <col min="8" max="9" width="58.7109375" customWidth="1"/>
    <col min="10" max="10" width="48.7109375" customWidth="1"/>
  </cols>
  <sheetData>
    <row r="1" spans="1:10" ht="38" customHeight="1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</row>
    <row r="2" spans="1:10" ht="46" customHeight="1">
      <c r="A2" s="2" t="s">
        <v>268</v>
      </c>
      <c r="B2" s="2"/>
      <c r="C2" s="2"/>
      <c r="D2" s="2"/>
      <c r="E2" s="2"/>
      <c r="F2" s="2"/>
      <c r="G2" s="2"/>
      <c r="H2" s="2"/>
      <c r="I2" s="2"/>
      <c r="J2" s="2"/>
    </row>
    <row r="3" spans="1:10" ht="4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3" t="s">
        <v>269</v>
      </c>
      <c r="B5" s="3" t="s">
        <v>270</v>
      </c>
      <c r="C5" s="3" t="s">
        <v>7</v>
      </c>
      <c r="D5" s="3" t="s">
        <v>8</v>
      </c>
      <c r="E5" s="3" t="s">
        <v>9</v>
      </c>
      <c r="F5" s="3" t="s">
        <v>271</v>
      </c>
      <c r="G5" s="3" t="s">
        <v>272</v>
      </c>
      <c r="H5" s="3" t="s">
        <v>273</v>
      </c>
      <c r="I5" s="3" t="s">
        <v>274</v>
      </c>
      <c r="J5" s="3" t="s">
        <v>275</v>
      </c>
    </row>
    <row r="6" spans="1:10" ht="90" customHeight="1">
      <c r="A6" s="4" t="s">
        <v>276</v>
      </c>
      <c r="B6" s="4" t="s">
        <v>277</v>
      </c>
      <c r="C6" s="4" t="s">
        <v>278</v>
      </c>
      <c r="D6" s="4" t="s">
        <v>279</v>
      </c>
      <c r="E6" s="4" t="s">
        <v>280</v>
      </c>
      <c r="F6" s="4" t="s">
        <v>281</v>
      </c>
      <c r="G6" s="4" t="s">
        <v>282</v>
      </c>
      <c r="H6" s="4" t="s">
        <v>283</v>
      </c>
      <c r="I6" s="4" t="s">
        <v>284</v>
      </c>
      <c r="J6" s="5" t="s">
        <v>285</v>
      </c>
    </row>
    <row r="7" spans="1:10" ht="90" customHeight="1">
      <c r="A7" s="4" t="s">
        <v>286</v>
      </c>
      <c r="B7" s="4" t="s">
        <v>287</v>
      </c>
      <c r="C7" s="4" t="s">
        <v>288</v>
      </c>
      <c r="D7" s="4" t="s">
        <v>289</v>
      </c>
      <c r="E7" s="4" t="s">
        <v>290</v>
      </c>
      <c r="F7" s="4" t="s">
        <v>281</v>
      </c>
      <c r="G7" s="4" t="s">
        <v>291</v>
      </c>
      <c r="H7" s="4" t="s">
        <v>292</v>
      </c>
      <c r="I7" s="4" t="s">
        <v>284</v>
      </c>
      <c r="J7" s="5" t="s">
        <v>293</v>
      </c>
    </row>
    <row r="8" spans="1:10" ht="90" customHeight="1">
      <c r="A8" s="4" t="s">
        <v>294</v>
      </c>
      <c r="B8" s="4" t="s">
        <v>295</v>
      </c>
      <c r="C8" s="4" t="s">
        <v>15</v>
      </c>
      <c r="D8" s="4" t="s">
        <v>296</v>
      </c>
      <c r="E8" s="4" t="s">
        <v>297</v>
      </c>
      <c r="F8" s="4" t="s">
        <v>281</v>
      </c>
      <c r="G8" s="4" t="s">
        <v>298</v>
      </c>
      <c r="H8" s="4" t="s">
        <v>299</v>
      </c>
      <c r="I8" s="4" t="s">
        <v>292</v>
      </c>
      <c r="J8" s="5" t="s">
        <v>300</v>
      </c>
    </row>
    <row r="9" spans="1:10" ht="90" customHeight="1">
      <c r="A9" s="4" t="s">
        <v>301</v>
      </c>
      <c r="B9" s="4" t="s">
        <v>302</v>
      </c>
      <c r="C9" s="4" t="s">
        <v>278</v>
      </c>
      <c r="D9" s="4" t="s">
        <v>296</v>
      </c>
      <c r="E9" s="4" t="s">
        <v>303</v>
      </c>
      <c r="F9" s="4" t="s">
        <v>281</v>
      </c>
      <c r="G9" s="4" t="s">
        <v>298</v>
      </c>
      <c r="H9" s="4" t="s">
        <v>299</v>
      </c>
      <c r="I9" s="4" t="s">
        <v>292</v>
      </c>
      <c r="J9" s="5" t="s">
        <v>304</v>
      </c>
    </row>
    <row r="10" spans="1:10" ht="90" customHeight="1">
      <c r="A10" s="4" t="s">
        <v>305</v>
      </c>
      <c r="B10" s="4" t="s">
        <v>306</v>
      </c>
      <c r="C10" s="4" t="s">
        <v>307</v>
      </c>
      <c r="D10" s="4" t="s">
        <v>296</v>
      </c>
      <c r="E10" s="4" t="s">
        <v>308</v>
      </c>
      <c r="F10" s="4" t="s">
        <v>281</v>
      </c>
      <c r="G10" s="4" t="s">
        <v>298</v>
      </c>
      <c r="H10" s="4" t="s">
        <v>299</v>
      </c>
      <c r="I10" s="4" t="s">
        <v>292</v>
      </c>
      <c r="J10" s="5" t="s">
        <v>309</v>
      </c>
    </row>
    <row r="11" spans="1:10" ht="90" customHeight="1">
      <c r="A11" s="4" t="s">
        <v>310</v>
      </c>
      <c r="B11" s="4" t="s">
        <v>311</v>
      </c>
      <c r="C11" s="4" t="s">
        <v>288</v>
      </c>
      <c r="D11" s="4" t="s">
        <v>312</v>
      </c>
      <c r="E11" s="4" t="s">
        <v>313</v>
      </c>
      <c r="F11" s="4" t="s">
        <v>281</v>
      </c>
      <c r="G11" s="4" t="s">
        <v>314</v>
      </c>
      <c r="H11" s="4" t="s">
        <v>315</v>
      </c>
      <c r="I11" s="4" t="s">
        <v>284</v>
      </c>
      <c r="J11" s="5" t="s">
        <v>316</v>
      </c>
    </row>
    <row r="12" spans="1:10" ht="90" customHeight="1">
      <c r="A12" s="4" t="s">
        <v>317</v>
      </c>
      <c r="B12" s="4" t="s">
        <v>318</v>
      </c>
      <c r="C12" s="4" t="s">
        <v>319</v>
      </c>
      <c r="D12" s="4" t="s">
        <v>320</v>
      </c>
      <c r="E12" s="4" t="s">
        <v>321</v>
      </c>
      <c r="F12" s="4" t="s">
        <v>281</v>
      </c>
      <c r="G12" s="4" t="s">
        <v>282</v>
      </c>
      <c r="H12" s="4" t="s">
        <v>322</v>
      </c>
      <c r="I12" s="4" t="s">
        <v>284</v>
      </c>
      <c r="J12" s="5" t="s">
        <v>323</v>
      </c>
    </row>
    <row r="13" spans="1:10" ht="90" customHeight="1">
      <c r="A13" s="4" t="s">
        <v>324</v>
      </c>
      <c r="B13" s="4" t="s">
        <v>325</v>
      </c>
      <c r="C13" s="4" t="s">
        <v>288</v>
      </c>
      <c r="D13" s="4" t="s">
        <v>326</v>
      </c>
      <c r="E13" s="4" t="s">
        <v>313</v>
      </c>
      <c r="F13" s="4" t="s">
        <v>327</v>
      </c>
      <c r="G13" s="4" t="s">
        <v>291</v>
      </c>
      <c r="H13" s="4" t="s">
        <v>328</v>
      </c>
      <c r="I13" s="4" t="s">
        <v>284</v>
      </c>
      <c r="J13" s="5" t="s">
        <v>329</v>
      </c>
    </row>
    <row r="14" spans="1:10" ht="90" customHeight="1">
      <c r="A14" s="4" t="s">
        <v>330</v>
      </c>
      <c r="B14" s="4" t="s">
        <v>331</v>
      </c>
      <c r="C14" s="4" t="s">
        <v>76</v>
      </c>
      <c r="D14" s="4" t="s">
        <v>332</v>
      </c>
      <c r="E14" s="4" t="s">
        <v>320</v>
      </c>
      <c r="F14" s="4" t="s">
        <v>281</v>
      </c>
      <c r="G14" s="4" t="s">
        <v>298</v>
      </c>
      <c r="H14" s="4" t="s">
        <v>299</v>
      </c>
      <c r="I14" s="4" t="s">
        <v>315</v>
      </c>
      <c r="J14" s="5" t="s">
        <v>333</v>
      </c>
    </row>
    <row r="15" spans="1:10" ht="90" customHeight="1">
      <c r="A15" s="4" t="s">
        <v>334</v>
      </c>
      <c r="B15" s="4" t="s">
        <v>335</v>
      </c>
      <c r="C15" s="4" t="s">
        <v>336</v>
      </c>
      <c r="D15" s="4" t="s">
        <v>332</v>
      </c>
      <c r="E15" s="4" t="s">
        <v>337</v>
      </c>
      <c r="F15" s="4" t="s">
        <v>281</v>
      </c>
      <c r="G15" s="4" t="s">
        <v>298</v>
      </c>
      <c r="H15" s="4" t="s">
        <v>299</v>
      </c>
      <c r="I15" s="4" t="s">
        <v>315</v>
      </c>
      <c r="J15" s="5" t="s">
        <v>338</v>
      </c>
    </row>
    <row r="16" spans="1:10" ht="90" customHeight="1">
      <c r="A16" s="4" t="s">
        <v>339</v>
      </c>
      <c r="B16" s="4" t="s">
        <v>340</v>
      </c>
      <c r="C16" s="4" t="s">
        <v>341</v>
      </c>
      <c r="D16" s="4" t="s">
        <v>332</v>
      </c>
      <c r="E16" s="4" t="s">
        <v>321</v>
      </c>
      <c r="F16" s="4" t="s">
        <v>281</v>
      </c>
      <c r="G16" s="4" t="s">
        <v>298</v>
      </c>
      <c r="H16" s="4" t="s">
        <v>299</v>
      </c>
      <c r="I16" s="4" t="s">
        <v>315</v>
      </c>
      <c r="J16" s="5" t="s">
        <v>342</v>
      </c>
    </row>
    <row r="17" spans="1:10" ht="90" customHeight="1">
      <c r="A17" s="4" t="s">
        <v>343</v>
      </c>
      <c r="B17" s="4" t="s">
        <v>344</v>
      </c>
      <c r="C17" s="4" t="s">
        <v>278</v>
      </c>
      <c r="D17" s="4" t="s">
        <v>332</v>
      </c>
      <c r="E17" s="4" t="s">
        <v>303</v>
      </c>
      <c r="F17" s="4" t="s">
        <v>281</v>
      </c>
      <c r="G17" s="4" t="s">
        <v>298</v>
      </c>
      <c r="H17" s="4" t="s">
        <v>299</v>
      </c>
      <c r="I17" s="4" t="s">
        <v>315</v>
      </c>
      <c r="J17" s="5" t="s">
        <v>345</v>
      </c>
    </row>
    <row r="18" spans="1:10" ht="90" customHeight="1">
      <c r="A18" s="4" t="s">
        <v>346</v>
      </c>
      <c r="B18" s="4" t="s">
        <v>347</v>
      </c>
      <c r="C18" s="4" t="s">
        <v>278</v>
      </c>
      <c r="D18" s="4" t="s">
        <v>332</v>
      </c>
      <c r="E18" s="4" t="s">
        <v>348</v>
      </c>
      <c r="F18" s="4" t="s">
        <v>281</v>
      </c>
      <c r="G18" s="4" t="s">
        <v>298</v>
      </c>
      <c r="H18" s="4" t="s">
        <v>299</v>
      </c>
      <c r="I18" s="4" t="s">
        <v>315</v>
      </c>
      <c r="J18" s="5" t="s">
        <v>349</v>
      </c>
    </row>
    <row r="19" spans="1:10" ht="90" customHeight="1">
      <c r="A19" s="4" t="s">
        <v>350</v>
      </c>
      <c r="B19" s="4" t="s">
        <v>351</v>
      </c>
      <c r="C19" s="4" t="s">
        <v>288</v>
      </c>
      <c r="D19" s="4" t="s">
        <v>332</v>
      </c>
      <c r="E19" s="4" t="s">
        <v>352</v>
      </c>
      <c r="F19" s="4" t="s">
        <v>281</v>
      </c>
      <c r="G19" s="4" t="s">
        <v>298</v>
      </c>
      <c r="H19" s="4" t="s">
        <v>299</v>
      </c>
      <c r="I19" s="4" t="s">
        <v>315</v>
      </c>
      <c r="J19" s="5" t="s">
        <v>353</v>
      </c>
    </row>
    <row r="20" spans="1:10" ht="90" customHeight="1">
      <c r="A20" s="4" t="s">
        <v>354</v>
      </c>
      <c r="B20" s="4" t="s">
        <v>355</v>
      </c>
      <c r="C20" s="4" t="s">
        <v>356</v>
      </c>
      <c r="D20" s="4" t="s">
        <v>357</v>
      </c>
      <c r="E20" s="4" t="s">
        <v>358</v>
      </c>
      <c r="F20" s="4" t="s">
        <v>359</v>
      </c>
      <c r="G20" s="4" t="s">
        <v>282</v>
      </c>
      <c r="H20" s="4" t="s">
        <v>360</v>
      </c>
      <c r="I20" s="4" t="s">
        <v>284</v>
      </c>
      <c r="J20" s="5" t="s">
        <v>361</v>
      </c>
    </row>
    <row r="21" spans="1:10" ht="90" customHeight="1">
      <c r="A21" s="4" t="s">
        <v>362</v>
      </c>
      <c r="B21" s="4" t="s">
        <v>363</v>
      </c>
      <c r="C21" s="4" t="s">
        <v>15</v>
      </c>
      <c r="D21" s="4" t="s">
        <v>297</v>
      </c>
      <c r="E21" s="4" t="s">
        <v>364</v>
      </c>
      <c r="F21" s="4" t="s">
        <v>359</v>
      </c>
      <c r="G21" s="4" t="s">
        <v>365</v>
      </c>
      <c r="H21" s="4" t="s">
        <v>299</v>
      </c>
      <c r="I21" s="4" t="s">
        <v>366</v>
      </c>
      <c r="J21" s="5" t="s">
        <v>367</v>
      </c>
    </row>
    <row r="22" spans="1:10" ht="90" customHeight="1">
      <c r="A22" s="4" t="s">
        <v>368</v>
      </c>
      <c r="B22" s="4" t="s">
        <v>369</v>
      </c>
      <c r="C22" s="4" t="s">
        <v>370</v>
      </c>
      <c r="D22" s="4" t="s">
        <v>371</v>
      </c>
      <c r="E22" s="4" t="s">
        <v>372</v>
      </c>
      <c r="F22" s="4" t="s">
        <v>359</v>
      </c>
      <c r="G22" s="4" t="s">
        <v>365</v>
      </c>
      <c r="H22" s="4" t="s">
        <v>299</v>
      </c>
      <c r="I22" s="4" t="s">
        <v>366</v>
      </c>
      <c r="J22" s="5" t="s">
        <v>373</v>
      </c>
    </row>
    <row r="23" spans="1:10" ht="90" customHeight="1">
      <c r="A23" s="4" t="s">
        <v>374</v>
      </c>
      <c r="B23" s="4" t="s">
        <v>277</v>
      </c>
      <c r="C23" s="4" t="s">
        <v>278</v>
      </c>
      <c r="D23" s="4" t="s">
        <v>279</v>
      </c>
      <c r="E23" s="4" t="s">
        <v>375</v>
      </c>
      <c r="F23" s="4" t="s">
        <v>376</v>
      </c>
      <c r="G23" s="4" t="s">
        <v>377</v>
      </c>
      <c r="H23" s="4" t="s">
        <v>378</v>
      </c>
      <c r="I23" s="4" t="s">
        <v>284</v>
      </c>
      <c r="J23" s="5" t="s">
        <v>379</v>
      </c>
    </row>
    <row r="24" spans="1:10" ht="90" customHeight="1">
      <c r="A24" s="4" t="s">
        <v>380</v>
      </c>
      <c r="B24" s="4" t="s">
        <v>381</v>
      </c>
      <c r="C24" s="4" t="s">
        <v>278</v>
      </c>
      <c r="D24" s="4" t="s">
        <v>279</v>
      </c>
      <c r="E24" s="4" t="s">
        <v>280</v>
      </c>
      <c r="F24" s="4" t="s">
        <v>382</v>
      </c>
      <c r="G24" s="4" t="s">
        <v>377</v>
      </c>
      <c r="H24" s="4" t="s">
        <v>383</v>
      </c>
      <c r="I24" s="4" t="s">
        <v>284</v>
      </c>
      <c r="J24" s="5" t="s">
        <v>384</v>
      </c>
    </row>
    <row r="25" spans="1:10" ht="90" customHeight="1">
      <c r="A25" s="4" t="s">
        <v>385</v>
      </c>
      <c r="B25" s="4" t="s">
        <v>386</v>
      </c>
      <c r="C25" s="4" t="s">
        <v>387</v>
      </c>
      <c r="D25" s="4" t="s">
        <v>388</v>
      </c>
      <c r="E25" s="4" t="s">
        <v>389</v>
      </c>
      <c r="F25" s="4" t="s">
        <v>359</v>
      </c>
      <c r="G25" s="4" t="s">
        <v>377</v>
      </c>
      <c r="H25" s="4" t="s">
        <v>390</v>
      </c>
      <c r="I25" s="4" t="s">
        <v>284</v>
      </c>
      <c r="J25" s="5" t="s">
        <v>391</v>
      </c>
    </row>
    <row r="26" spans="1:10" ht="90" customHeight="1">
      <c r="A26" s="4" t="s">
        <v>392</v>
      </c>
      <c r="B26" s="4" t="s">
        <v>386</v>
      </c>
      <c r="C26" s="4" t="s">
        <v>387</v>
      </c>
      <c r="D26" s="4" t="s">
        <v>388</v>
      </c>
      <c r="E26" s="4" t="s">
        <v>337</v>
      </c>
      <c r="F26" s="4" t="s">
        <v>359</v>
      </c>
      <c r="G26" s="4" t="s">
        <v>377</v>
      </c>
      <c r="H26" s="4" t="s">
        <v>393</v>
      </c>
      <c r="I26" s="4" t="s">
        <v>284</v>
      </c>
      <c r="J26" s="5" t="s">
        <v>394</v>
      </c>
    </row>
    <row r="27" spans="1:10" ht="90" customHeight="1">
      <c r="A27" s="4" t="s">
        <v>395</v>
      </c>
      <c r="B27" s="4" t="s">
        <v>396</v>
      </c>
      <c r="C27" s="4" t="s">
        <v>397</v>
      </c>
      <c r="D27" s="4" t="s">
        <v>320</v>
      </c>
      <c r="E27" s="4" t="s">
        <v>398</v>
      </c>
      <c r="F27" s="4" t="s">
        <v>359</v>
      </c>
      <c r="G27" s="4" t="s">
        <v>377</v>
      </c>
      <c r="H27" s="4" t="s">
        <v>399</v>
      </c>
      <c r="I27" s="4" t="s">
        <v>284</v>
      </c>
      <c r="J27" s="5" t="s">
        <v>400</v>
      </c>
    </row>
    <row r="28" spans="1:10" ht="90" customHeight="1">
      <c r="A28" s="4" t="s">
        <v>401</v>
      </c>
      <c r="B28" s="4" t="s">
        <v>402</v>
      </c>
      <c r="C28" s="4" t="s">
        <v>403</v>
      </c>
      <c r="D28" s="4" t="s">
        <v>404</v>
      </c>
      <c r="E28" s="4" t="s">
        <v>405</v>
      </c>
      <c r="F28" s="4" t="s">
        <v>359</v>
      </c>
      <c r="G28" s="4" t="s">
        <v>377</v>
      </c>
      <c r="H28" s="4" t="s">
        <v>406</v>
      </c>
      <c r="I28" s="4" t="s">
        <v>284</v>
      </c>
      <c r="J28" s="5" t="s">
        <v>407</v>
      </c>
    </row>
    <row r="29" spans="1:10" ht="90" customHeight="1">
      <c r="A29" s="4" t="s">
        <v>408</v>
      </c>
      <c r="B29" s="4" t="s">
        <v>409</v>
      </c>
      <c r="C29" s="4" t="s">
        <v>278</v>
      </c>
      <c r="D29" s="4" t="s">
        <v>410</v>
      </c>
      <c r="E29" s="4" t="s">
        <v>411</v>
      </c>
      <c r="F29" s="4" t="s">
        <v>359</v>
      </c>
      <c r="G29" s="4" t="s">
        <v>377</v>
      </c>
      <c r="H29" s="4" t="s">
        <v>412</v>
      </c>
      <c r="I29" s="4" t="s">
        <v>284</v>
      </c>
      <c r="J29" s="5" t="s">
        <v>413</v>
      </c>
    </row>
    <row r="30" spans="1:10" ht="90" customHeight="1">
      <c r="A30" s="4" t="s">
        <v>414</v>
      </c>
      <c r="B30" s="4" t="s">
        <v>409</v>
      </c>
      <c r="C30" s="4" t="s">
        <v>278</v>
      </c>
      <c r="D30" s="4" t="s">
        <v>410</v>
      </c>
      <c r="E30" s="4" t="s">
        <v>303</v>
      </c>
      <c r="F30" s="4" t="s">
        <v>359</v>
      </c>
      <c r="G30" s="4" t="s">
        <v>377</v>
      </c>
      <c r="H30" s="4" t="s">
        <v>415</v>
      </c>
      <c r="I30" s="4" t="s">
        <v>284</v>
      </c>
      <c r="J30" s="5" t="s">
        <v>416</v>
      </c>
    </row>
    <row r="31" spans="1:10" ht="110" customHeight="1">
      <c r="A31" s="4" t="s">
        <v>417</v>
      </c>
      <c r="B31" s="4" t="s">
        <v>418</v>
      </c>
      <c r="C31" s="4" t="s">
        <v>288</v>
      </c>
      <c r="D31" s="4" t="s">
        <v>419</v>
      </c>
      <c r="E31" s="4" t="s">
        <v>420</v>
      </c>
      <c r="F31" s="4" t="s">
        <v>281</v>
      </c>
      <c r="G31" s="4" t="s">
        <v>421</v>
      </c>
      <c r="H31" s="4" t="s">
        <v>299</v>
      </c>
      <c r="I31" s="4" t="s">
        <v>422</v>
      </c>
      <c r="J31" s="5" t="s">
        <v>423</v>
      </c>
    </row>
  </sheetData>
  <autoFilter ref="A5:J31"/>
  <mergeCells count="3">
    <mergeCell ref="A1:J1"/>
    <mergeCell ref="A2:J2"/>
    <mergeCell ref="A3:J3"/>
  </mergeCells>
  <hyperlinks>
    <hyperlink ref="J6" location="'每項修改前後數據'!A6" display="F-TH-S, F-TH-R&#10;同步影響gatekeeper、DC與triangle的距離一致性；不改Thscore。&#10;論文：0.05"/>
    <hyperlink ref="J7" location="'每項修改前後數據'!A55" display="F-SOL-05, F-SOL-10&#10;能排除不符合3D剛體共識的樹位；不是擬合圓柱的RANSAC。&#10;論文：待補"/>
    <hyperlink ref="J8" location="'每項修改前後數據'!A55" display="F-SOL-05, F-SOL-10&#10;沒有1000對其他迭代數比較；只能引用solver整組。&#10;論文：待補"/>
    <hyperlink ref="J9" location="'每項修改前後數據'!A55" display="F-SOL-05, F-SOL-10&#10;使用完整3D殘差；沒有距離門檻獨立掃描。&#10;論文：待補"/>
    <hyperlink ref="J10" location="'每項修改前後數據'!A55" display="F-SOL-05, F-SOL-10&#10;固定solver隨機種子；非提取seed11–20。&#10;論文：待補"/>
    <hyperlink ref="J11" location="'每項修改前後數據'!A240" display="V-REC-S, V-REC-R&#10;整個weak recovery新增的效果；不能分配給每個內部常數。&#10;論文：待補"/>
    <hyperlink ref="J12" location="'每項修改前後數據'!A186" display="R-TRIGGER&#10;原match對數&lt;門檻才觸發；與至少3對能解Kabsch的數學下限不同。&#10;論文：待補"/>
    <hyperlink ref="J13" location="'每項修改前後數據'!A213" display="R-MODE&#10;固定trigger3比較兩算法；成功數相同，不宣稱兩者功能等價。&#10;論文：待補"/>
    <hyperlink ref="J14" location="'每項修改前後數據'!A240" display="V-REC-S, V-REC-R&#10;沒有top3對top1/5的對照。&#10;論文：待補"/>
    <hyperlink ref="J15" location="'每項修改前後數據'!A240" display="V-REC-S, V-REC-R&#10;沒有60對其他邊數的對照。&#10;論文：待補"/>
    <hyperlink ref="J16" location="'每項修改前後數據'!A240" display="V-REC-S, V-REC-R&#10;與trigger_matches=6不同用途，沒有min_support獨立消融。&#10;論文：待補"/>
    <hyperlink ref="J17" location="'每項修改前後數據'!A240" display="V-REC-S, V-REC-R&#10;共識使用3D距離，不是GT正確對應的XY檢查。&#10;論文：待補"/>
    <hyperlink ref="J18" location="'每項修改前後數據'!A240" display="V-REC-S, V-REC-R&#10;三元組相容邊長差，隨CNthreshold連動；沒有獨立改該係數。&#10;論文：待補"/>
    <hyperlink ref="J19" location="'每項修改前後數據'!A240" display="V-REC-S, V-REC-R&#10;新增內部幾何處理，沒有與recovery其他條件分離。&#10;論文：待補"/>
    <hyperlink ref="J20" location="'每項修改前後數據'!A295" display="F-VERT-05S, F-VERT-05R, F-VERT-10S, F-VERT-10R&#10;放寬近垂直表面保留，在主10cm/RANSAC分支142→130；變差也保留。&#10;論文：&gt;0.9"/>
    <hyperlink ref="J21" location="'每項修改前後數據'!A319" display="F-CYL-05S, F-CYL-05R, F-CYL-10S, F-CYL-10R&#10;與probability一起改；10cm/RANSAC142→141，不能說3000本身的效果。&#10;論文：待補"/>
    <hyperlink ref="J22" location="'每項修改前後數據'!A319" display="F-CYL-05S, F-CYL-05R, F-CYL-10S, F-CYL-10R&#10;與iterations一起改；缺0.999單獨效果。&#10;論文：待補"/>
    <hyperlink ref="J23" location="'每項修改前後數據'!A491" display="S-threshold075-DEVS, S-threshold075-DEVR, S-threshold075-OLDS, S-threshold075-OLDR&#10;只有本輪範圍內的條件效果；不套用到未完成的其他森林。&#10;論文：0.05"/>
    <hyperlink ref="J24" location="'每項修改前後數據'!A589" display="S-threshold100-DEVS, S-threshold100-DEVR, S-threshold100-OLDS, S-threshold100-OLDR&#10;只有本輪範圍內的條件效果；不套用到未完成的其他森林。&#10;論文：0.05"/>
    <hyperlink ref="J25" location="'每項修改前後數據'!A687" display="S-score20-DEVS, S-score20-DEVR, S-score20-OLDS, S-score20-OLDR&#10;只有本輪範圍內的條件效果；不套用到未完成的其他森林。&#10;論文：40"/>
    <hyperlink ref="J26" location="'每項修改前後數據'!A785" display="S-score60-DEVS, S-score60-DEVR, S-score60-OLDS, S-score60-OLDR&#10;只有本輪範圍內的條件效果；不套用到未完成的其他森林。&#10;論文：40"/>
    <hyperlink ref="J27" location="'每項修改前後數據'!A883" display="S-min_dc4-DEVS, S-min_dc4-DEVR, S-min_dc4-OLDS, S-min_dc4-OLDR&#10;只有本輪範圍內的條件效果；不套用到未完成的其他森林。&#10;論文：待補／文字偽碼邊界有歧義"/>
    <hyperlink ref="J28" location="'每項修改前後數據'!A981" display="S-sectors93-DEVS, S-sectors93-DEVR, S-sectors93-OLDS, S-sectors93-OLDR&#10;只有本輪範圍內的條件效果；不套用到未完成的其他森林。&#10;論文：183"/>
    <hyperlink ref="J29" location="'每項修改前後數據'!A1079" display="S-merge015-DEVS, S-merge015-DEVR, S-merge015-OLDS, S-merge015-OLDR&#10;只有本輪範圍內的條件效果；不套用到未完成的其他森林。&#10;論文：待補"/>
    <hyperlink ref="J30" location="'每項修改前後數據'!A1177" display="S-merge030-DEVS, S-merge030-DEVR, S-merge030-OLDS, S-merge030-OLDR&#10;只有本輪範圍內的條件效果；不套用到未完成的其他森林。&#10;論文：待補"/>
    <hyperlink ref="J31" location="'每項修改前後數據'!A1275" display="U-Plot1, U-Plot2, U-Plot3, U-Plot4, U-ETH&#10;跨Tongji四Plot與ETH的整組差異；非單一threshold的跨資料集效果。&#10;論文：0.05m；solver與新增recovery待補"/>
  </hyperlinks>
  <pageMargins left="0.25" right="0.25" top="0.35" bottom="0.35" header="0.3" footer="0.3"/>
  <pageSetup paperSize="8" fitToHeight="0" orientation="landscape"/>
  <headerFooter>
    <oddHeader>&amp;C&amp;12第1次報告：逐項參數與數據</oddHeader>
    <oddFooter>&amp;L缺值不是零；pp為百分點&amp;R&amp;P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9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8.7109375" customWidth="1"/>
    <col min="2" max="2" width="12.7109375" customWidth="1"/>
    <col min="3" max="6" width="19.7109375" customWidth="1"/>
    <col min="7" max="7" width="27.7109375" customWidth="1"/>
    <col min="8" max="8" width="60.7109375" customWidth="1"/>
  </cols>
  <sheetData>
    <row r="1" spans="1:8" ht="3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2" t="s">
        <v>2</v>
      </c>
      <c r="B3" s="2"/>
      <c r="C3" s="2"/>
      <c r="D3" s="2"/>
      <c r="E3" s="2"/>
      <c r="F3" s="2"/>
      <c r="G3" s="2"/>
      <c r="H3" s="2"/>
    </row>
    <row r="6" spans="1:8" ht="28" customHeight="1">
      <c r="A6" s="3" t="s">
        <v>3</v>
      </c>
      <c r="B6" s="3"/>
      <c r="C6" s="3"/>
      <c r="D6" s="3"/>
      <c r="E6" s="3"/>
      <c r="F6" s="3"/>
      <c r="G6" s="3"/>
      <c r="H6" s="3"/>
    </row>
    <row r="7" spans="1:8" ht="40" customHeight="1">
      <c r="A7" s="2" t="s">
        <v>4</v>
      </c>
      <c r="B7" s="2"/>
      <c r="C7" s="2"/>
      <c r="D7" s="2"/>
      <c r="E7" s="2"/>
      <c r="F7" s="2"/>
      <c r="G7" s="2"/>
      <c r="H7" s="2"/>
    </row>
    <row r="8" spans="1:8" ht="40" customHeight="1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</row>
    <row r="10" spans="1:8" ht="34" customHeight="1">
      <c r="A10" s="4" t="s">
        <v>14</v>
      </c>
      <c r="B10" s="4" t="s">
        <v>15</v>
      </c>
      <c r="C10" s="6">
        <v>150</v>
      </c>
      <c r="D10" s="6">
        <v>150</v>
      </c>
      <c r="E10" s="7">
        <f>IF(AND(ISNUMBER(C10),ISNUMBER(D10)),(D10-C10),"待補")</f>
        <v>0</v>
      </c>
      <c r="F10" s="8" t="s">
        <v>16</v>
      </c>
      <c r="G10" s="4" t="s">
        <v>17</v>
      </c>
      <c r="H10" s="4"/>
    </row>
    <row r="11" spans="1:8" ht="34" customHeight="1">
      <c r="A11" s="4" t="s">
        <v>18</v>
      </c>
      <c r="B11" s="4" t="s">
        <v>15</v>
      </c>
      <c r="C11" s="6">
        <v>118</v>
      </c>
      <c r="D11" s="6">
        <v>135</v>
      </c>
      <c r="E11" s="7">
        <f>IF(AND(ISNUMBER(C11),ISNUMBER(D11)),(D11-C11),"待補")</f>
        <v>17</v>
      </c>
      <c r="F11" s="8" t="s">
        <v>16</v>
      </c>
      <c r="G11" s="4" t="s">
        <v>17</v>
      </c>
      <c r="H11" s="4"/>
    </row>
    <row r="12" spans="1:8" ht="34" customHeight="1">
      <c r="A12" s="4" t="s">
        <v>19</v>
      </c>
      <c r="B12" s="4" t="s">
        <v>20</v>
      </c>
      <c r="C12" s="9">
        <v>0.7866666666666666</v>
      </c>
      <c r="D12" s="9">
        <v>0.9</v>
      </c>
      <c r="E12" s="10">
        <f>IF(AND(ISNUMBER(C12),ISNUMBER(D12)),(D12-C12)*100,"待補")</f>
        <v>11.33333333333334</v>
      </c>
      <c r="F12" s="8" t="s">
        <v>16</v>
      </c>
      <c r="G12" s="4" t="s">
        <v>17</v>
      </c>
      <c r="H12" s="4" t="s">
        <v>21</v>
      </c>
    </row>
    <row r="13" spans="1:8" ht="34" customHeight="1">
      <c r="A13" s="4" t="s">
        <v>22</v>
      </c>
      <c r="B13" s="4" t="s">
        <v>15</v>
      </c>
      <c r="C13" s="6">
        <v>130</v>
      </c>
      <c r="D13" s="6">
        <v>143</v>
      </c>
      <c r="E13" s="7">
        <f>IF(AND(ISNUMBER(C13),ISNUMBER(D13)),(D13-C13),"待補")</f>
        <v>13</v>
      </c>
      <c r="F13" s="8" t="s">
        <v>16</v>
      </c>
      <c r="G13" s="4" t="s">
        <v>17</v>
      </c>
      <c r="H13" s="4"/>
    </row>
    <row r="14" spans="1:8" ht="34" customHeight="1">
      <c r="A14" s="4" t="s">
        <v>23</v>
      </c>
      <c r="B14" s="4" t="s">
        <v>15</v>
      </c>
      <c r="C14" s="6">
        <v>20</v>
      </c>
      <c r="D14" s="6">
        <v>7</v>
      </c>
      <c r="E14" s="7">
        <f>IF(AND(ISNUMBER(C14),ISNUMBER(D14)),(D14-C14),"待補")</f>
        <v>-13</v>
      </c>
      <c r="F14" s="8" t="s">
        <v>16</v>
      </c>
      <c r="G14" s="4" t="s">
        <v>17</v>
      </c>
      <c r="H14" s="4"/>
    </row>
    <row r="15" spans="1:8" ht="34" customHeight="1">
      <c r="A15" s="4" t="s">
        <v>24</v>
      </c>
      <c r="B15" s="4" t="s">
        <v>25</v>
      </c>
      <c r="C15" s="7">
        <v>15.01120221933077</v>
      </c>
      <c r="D15" s="7">
        <v>11.22310207536364</v>
      </c>
      <c r="E15" s="7">
        <f>IF(AND(ISNUMBER(C15),ISNUMBER(D15)),(D15-C15),"待補")</f>
        <v>-3.7881001439671333</v>
      </c>
      <c r="F15" s="8" t="s">
        <v>16</v>
      </c>
      <c r="G15" s="4" t="s">
        <v>26</v>
      </c>
      <c r="H15" s="4" t="s">
        <v>27</v>
      </c>
    </row>
    <row r="16" spans="1:8" ht="34" customHeight="1">
      <c r="A16" s="4" t="s">
        <v>28</v>
      </c>
      <c r="B16" s="4" t="s">
        <v>25</v>
      </c>
      <c r="C16" s="7">
        <v>7.9200014525</v>
      </c>
      <c r="D16" s="7">
        <v>8.666904932</v>
      </c>
      <c r="E16" s="7">
        <f>IF(AND(ISNUMBER(C16),ISNUMBER(D16)),(D16-C16),"待補")</f>
        <v>0.7469034794999994</v>
      </c>
      <c r="F16" s="8" t="s">
        <v>16</v>
      </c>
      <c r="G16" s="4" t="s">
        <v>26</v>
      </c>
      <c r="H16" s="4" t="s">
        <v>27</v>
      </c>
    </row>
    <row r="17" spans="1:8" ht="34" customHeight="1">
      <c r="A17" s="4" t="s">
        <v>29</v>
      </c>
      <c r="B17" s="4" t="s">
        <v>25</v>
      </c>
      <c r="C17" s="7">
        <v>9.806986151381356</v>
      </c>
      <c r="D17" s="7">
        <v>9.859923063903704</v>
      </c>
      <c r="E17" s="7">
        <f>IF(AND(ISNUMBER(C17),ISNUMBER(D17)),(D17-C17),"待補")</f>
        <v>0.05293691252234822</v>
      </c>
      <c r="F17" s="8" t="s">
        <v>16</v>
      </c>
      <c r="G17" s="4" t="s">
        <v>30</v>
      </c>
      <c r="H17" s="4" t="s">
        <v>31</v>
      </c>
    </row>
    <row r="18" spans="1:8" ht="34" customHeight="1">
      <c r="A18" s="4" t="s">
        <v>32</v>
      </c>
      <c r="B18" s="4" t="s">
        <v>33</v>
      </c>
      <c r="C18" s="7">
        <v>0.8333489008797692</v>
      </c>
      <c r="D18" s="7">
        <v>0.7024714967154545</v>
      </c>
      <c r="E18" s="7">
        <f>IF(AND(ISNUMBER(C18),ISNUMBER(D18)),(D18-C18),"待補")</f>
        <v>-0.1308774041643147</v>
      </c>
      <c r="F18" s="8" t="s">
        <v>16</v>
      </c>
      <c r="G18" s="4" t="s">
        <v>17</v>
      </c>
      <c r="H18" s="4"/>
    </row>
    <row r="19" spans="1:8" ht="34" customHeight="1">
      <c r="A19" s="4" t="s">
        <v>34</v>
      </c>
      <c r="B19" s="4" t="s">
        <v>25</v>
      </c>
      <c r="C19" s="7">
        <v>13.54911137796461</v>
      </c>
      <c r="D19" s="7">
        <v>9.952239008971327</v>
      </c>
      <c r="E19" s="7">
        <f>IF(AND(ISNUMBER(C19),ISNUMBER(D19)),(D19-C19),"待補")</f>
        <v>-3.596872368993287</v>
      </c>
      <c r="F19" s="8" t="s">
        <v>16</v>
      </c>
      <c r="G19" s="4" t="s">
        <v>17</v>
      </c>
      <c r="H19" s="4"/>
    </row>
    <row r="20" spans="1:8" ht="34" customHeight="1">
      <c r="A20" s="4" t="s">
        <v>35</v>
      </c>
      <c r="B20" s="4" t="s">
        <v>36</v>
      </c>
      <c r="C20" s="7">
        <v>4.097461013333334</v>
      </c>
      <c r="D20" s="7">
        <v>5.115265313333333</v>
      </c>
      <c r="E20" s="7">
        <f>IF(AND(ISNUMBER(C20),ISNUMBER(D20)),(D20-C20),"待補")</f>
        <v>1.0178042999999999</v>
      </c>
      <c r="F20" s="9">
        <f>IF(AND(ISNUMBER(C20),ISNUMBER(D20),C20&lt;&gt;0),(C20-D20)/C20,"待補")</f>
        <v>-0.24839877589756587</v>
      </c>
      <c r="G20" s="4" t="s">
        <v>17</v>
      </c>
      <c r="H20" s="4" t="s">
        <v>37</v>
      </c>
    </row>
    <row r="21" spans="1:8" ht="34" customHeight="1">
      <c r="A21" s="4" t="s">
        <v>38</v>
      </c>
      <c r="B21" s="4" t="s">
        <v>39</v>
      </c>
      <c r="C21" s="7">
        <v>6.426666666666667</v>
      </c>
      <c r="D21" s="7">
        <v>9.013333333333334</v>
      </c>
      <c r="E21" s="7">
        <f>IF(AND(ISNUMBER(C21),ISNUMBER(D21)),(D21-C21),"待補")</f>
        <v>2.586666666666667</v>
      </c>
      <c r="F21" s="8" t="s">
        <v>16</v>
      </c>
      <c r="G21" s="4" t="s">
        <v>17</v>
      </c>
      <c r="H21" s="4"/>
    </row>
    <row r="22" spans="1:8" ht="34" customHeight="1">
      <c r="A22" s="4" t="s">
        <v>40</v>
      </c>
      <c r="B22" s="4" t="s">
        <v>39</v>
      </c>
      <c r="C22" s="7">
        <v>6.426666666666667</v>
      </c>
      <c r="D22" s="7">
        <v>9.013333333333334</v>
      </c>
      <c r="E22" s="7">
        <f>IF(AND(ISNUMBER(C22),ISNUMBER(D22)),(D22-C22),"待補")</f>
        <v>2.586666666666667</v>
      </c>
      <c r="F22" s="8" t="s">
        <v>16</v>
      </c>
      <c r="G22" s="4" t="s">
        <v>17</v>
      </c>
      <c r="H22" s="4" t="s">
        <v>41</v>
      </c>
    </row>
    <row r="23" spans="1:8">
      <c r="A23" s="4" t="s">
        <v>42</v>
      </c>
      <c r="B23" s="4" t="s">
        <v>15</v>
      </c>
      <c r="D23" s="6">
        <v>25</v>
      </c>
      <c r="H23" s="4" t="s">
        <v>43</v>
      </c>
    </row>
    <row r="24" spans="1:8">
      <c r="A24" s="4" t="s">
        <v>44</v>
      </c>
      <c r="B24" s="4" t="s">
        <v>15</v>
      </c>
      <c r="D24" s="6">
        <v>8</v>
      </c>
      <c r="H24" s="4" t="s">
        <v>43</v>
      </c>
    </row>
    <row r="25" spans="1:8">
      <c r="A25" s="4" t="s">
        <v>45</v>
      </c>
      <c r="B25" s="4" t="s">
        <v>15</v>
      </c>
      <c r="D25" s="6">
        <v>110</v>
      </c>
      <c r="H25" s="4" t="s">
        <v>43</v>
      </c>
    </row>
    <row r="26" spans="1:8">
      <c r="A26" s="4" t="s">
        <v>46</v>
      </c>
      <c r="B26" s="4" t="s">
        <v>25</v>
      </c>
      <c r="C26" s="7">
        <v>9.236036107445454</v>
      </c>
      <c r="D26" s="7">
        <v>9.154550424772728</v>
      </c>
      <c r="E26" s="7">
        <f>IF(AND(ISNUMBER(C26),ISNUMBER(D26)),D26-C26,"待補")</f>
        <v>-0.08148568267272727</v>
      </c>
      <c r="F26" s="9">
        <f>IF(AND(ISNUMBER(C26),ISNUMBER(D26),C26&lt;&gt;0),(C26-D26)/C26,"待補")</f>
        <v>0.008822581649181637</v>
      </c>
      <c r="G26" s="4" t="s">
        <v>47</v>
      </c>
      <c r="H26" s="4" t="s">
        <v>48</v>
      </c>
    </row>
    <row r="27" spans="1:8" ht="34" customHeight="1">
      <c r="A27" s="2" t="s">
        <v>49</v>
      </c>
      <c r="B27" s="2"/>
      <c r="C27" s="2"/>
      <c r="D27" s="2"/>
      <c r="E27" s="2"/>
      <c r="F27" s="2"/>
      <c r="G27" s="2"/>
      <c r="H27" s="2"/>
    </row>
    <row r="30" spans="1:8" ht="28" customHeight="1">
      <c r="A30" s="3" t="s">
        <v>50</v>
      </c>
      <c r="B30" s="3"/>
      <c r="C30" s="3"/>
      <c r="D30" s="3"/>
      <c r="E30" s="3"/>
      <c r="F30" s="3"/>
      <c r="G30" s="3"/>
      <c r="H30" s="3"/>
    </row>
    <row r="31" spans="1:8" ht="40" customHeight="1">
      <c r="A31" s="2" t="s">
        <v>51</v>
      </c>
      <c r="B31" s="2"/>
      <c r="C31" s="2"/>
      <c r="D31" s="2"/>
      <c r="E31" s="2"/>
      <c r="F31" s="2"/>
      <c r="G31" s="2"/>
      <c r="H31" s="2"/>
    </row>
    <row r="32" spans="1:8" ht="40" customHeight="1">
      <c r="A32" s="2" t="s">
        <v>5</v>
      </c>
      <c r="B32" s="2"/>
      <c r="C32" s="2"/>
      <c r="D32" s="2"/>
      <c r="E32" s="2"/>
      <c r="F32" s="2"/>
      <c r="G32" s="2"/>
      <c r="H32" s="2"/>
    </row>
    <row r="33" spans="1:8">
      <c r="A33" s="3" t="s">
        <v>6</v>
      </c>
      <c r="B33" s="3" t="s">
        <v>7</v>
      </c>
      <c r="C33" s="3" t="s">
        <v>8</v>
      </c>
      <c r="D33" s="3" t="s">
        <v>9</v>
      </c>
      <c r="E33" s="3" t="s">
        <v>10</v>
      </c>
      <c r="F33" s="3" t="s">
        <v>11</v>
      </c>
      <c r="G33" s="3" t="s">
        <v>12</v>
      </c>
      <c r="H33" s="3" t="s">
        <v>13</v>
      </c>
    </row>
    <row r="34" spans="1:8" ht="34" customHeight="1">
      <c r="A34" s="4" t="s">
        <v>14</v>
      </c>
      <c r="B34" s="4" t="s">
        <v>15</v>
      </c>
      <c r="C34" s="6">
        <v>150</v>
      </c>
      <c r="D34" s="6">
        <v>150</v>
      </c>
      <c r="E34" s="7">
        <f>IF(AND(ISNUMBER(C34),ISNUMBER(D34)),(D34-C34),"待補")</f>
        <v>0</v>
      </c>
      <c r="F34" s="8" t="s">
        <v>16</v>
      </c>
      <c r="G34" s="4" t="s">
        <v>17</v>
      </c>
      <c r="H34" s="4"/>
    </row>
    <row r="35" spans="1:8" ht="34" customHeight="1">
      <c r="A35" s="4" t="s">
        <v>18</v>
      </c>
      <c r="B35" s="4" t="s">
        <v>15</v>
      </c>
      <c r="C35" s="6">
        <v>123</v>
      </c>
      <c r="D35" s="6">
        <v>142</v>
      </c>
      <c r="E35" s="7">
        <f>IF(AND(ISNUMBER(C35),ISNUMBER(D35)),(D35-C35),"待補")</f>
        <v>19</v>
      </c>
      <c r="F35" s="8" t="s">
        <v>16</v>
      </c>
      <c r="G35" s="4" t="s">
        <v>17</v>
      </c>
      <c r="H35" s="4"/>
    </row>
    <row r="36" spans="1:8" ht="34" customHeight="1">
      <c r="A36" s="4" t="s">
        <v>19</v>
      </c>
      <c r="B36" s="4" t="s">
        <v>20</v>
      </c>
      <c r="C36" s="9">
        <v>0.82</v>
      </c>
      <c r="D36" s="9">
        <v>0.9466666666666667</v>
      </c>
      <c r="E36" s="10">
        <f>IF(AND(ISNUMBER(C36),ISNUMBER(D36)),(D36-C36)*100,"待補")</f>
        <v>12.666666666666671</v>
      </c>
      <c r="F36" s="8" t="s">
        <v>16</v>
      </c>
      <c r="G36" s="4" t="s">
        <v>17</v>
      </c>
      <c r="H36" s="4" t="s">
        <v>21</v>
      </c>
    </row>
    <row r="37" spans="1:8" ht="34" customHeight="1">
      <c r="A37" s="4" t="s">
        <v>22</v>
      </c>
      <c r="B37" s="4" t="s">
        <v>15</v>
      </c>
      <c r="C37" s="6">
        <v>130</v>
      </c>
      <c r="D37" s="6">
        <v>143</v>
      </c>
      <c r="E37" s="7">
        <f>IF(AND(ISNUMBER(C37),ISNUMBER(D37)),(D37-C37),"待補")</f>
        <v>13</v>
      </c>
      <c r="F37" s="8" t="s">
        <v>16</v>
      </c>
      <c r="G37" s="4" t="s">
        <v>17</v>
      </c>
      <c r="H37" s="4"/>
    </row>
    <row r="38" spans="1:8" ht="34" customHeight="1">
      <c r="A38" s="4" t="s">
        <v>23</v>
      </c>
      <c r="B38" s="4" t="s">
        <v>15</v>
      </c>
      <c r="C38" s="6">
        <v>20</v>
      </c>
      <c r="D38" s="6">
        <v>7</v>
      </c>
      <c r="E38" s="7">
        <f>IF(AND(ISNUMBER(C38),ISNUMBER(D38)),(D38-C38),"待補")</f>
        <v>-13</v>
      </c>
      <c r="F38" s="8" t="s">
        <v>16</v>
      </c>
      <c r="G38" s="4" t="s">
        <v>17</v>
      </c>
      <c r="H38" s="4"/>
    </row>
    <row r="39" spans="1:8" ht="34" customHeight="1">
      <c r="A39" s="4" t="s">
        <v>24</v>
      </c>
      <c r="B39" s="4" t="s">
        <v>25</v>
      </c>
      <c r="C39" s="7">
        <v>15.06397582643077</v>
      </c>
      <c r="D39" s="7">
        <v>9.774054196055944</v>
      </c>
      <c r="E39" s="7">
        <f>IF(AND(ISNUMBER(C39),ISNUMBER(D39)),(D39-C39),"待補")</f>
        <v>-5.289921630374826</v>
      </c>
      <c r="F39" s="8" t="s">
        <v>16</v>
      </c>
      <c r="G39" s="4" t="s">
        <v>26</v>
      </c>
      <c r="H39" s="4" t="s">
        <v>27</v>
      </c>
    </row>
    <row r="40" spans="1:8" ht="34" customHeight="1">
      <c r="A40" s="4" t="s">
        <v>28</v>
      </c>
      <c r="B40" s="4" t="s">
        <v>25</v>
      </c>
      <c r="C40" s="7">
        <v>7.68254071</v>
      </c>
      <c r="D40" s="7">
        <v>7.112085512000001</v>
      </c>
      <c r="E40" s="7">
        <f>IF(AND(ISNUMBER(C40),ISNUMBER(D40)),(D40-C40),"待補")</f>
        <v>-0.5704551979999986</v>
      </c>
      <c r="F40" s="8" t="s">
        <v>16</v>
      </c>
      <c r="G40" s="4" t="s">
        <v>26</v>
      </c>
      <c r="H40" s="4" t="s">
        <v>27</v>
      </c>
    </row>
    <row r="41" spans="1:8" ht="34" customHeight="1">
      <c r="A41" s="4" t="s">
        <v>29</v>
      </c>
      <c r="B41" s="4" t="s">
        <v>25</v>
      </c>
      <c r="C41" s="7">
        <v>9.673352669642277</v>
      </c>
      <c r="D41" s="7">
        <v>9.031564288985916</v>
      </c>
      <c r="E41" s="7">
        <f>IF(AND(ISNUMBER(C41),ISNUMBER(D41)),(D41-C41),"待補")</f>
        <v>-0.6417883806563616</v>
      </c>
      <c r="F41" s="8" t="s">
        <v>16</v>
      </c>
      <c r="G41" s="4" t="s">
        <v>52</v>
      </c>
      <c r="H41" s="4" t="s">
        <v>31</v>
      </c>
    </row>
    <row r="42" spans="1:8" ht="34" customHeight="1">
      <c r="A42" s="4" t="s">
        <v>32</v>
      </c>
      <c r="B42" s="4" t="s">
        <v>33</v>
      </c>
      <c r="C42" s="7">
        <v>0.8415891027882307</v>
      </c>
      <c r="D42" s="7">
        <v>0.558572264859021</v>
      </c>
      <c r="E42" s="7">
        <f>IF(AND(ISNUMBER(C42),ISNUMBER(D42)),(D42-C42),"待補")</f>
        <v>-0.28301683792920973</v>
      </c>
      <c r="F42" s="8" t="s">
        <v>16</v>
      </c>
      <c r="G42" s="4" t="s">
        <v>17</v>
      </c>
      <c r="H42" s="4"/>
    </row>
    <row r="43" spans="1:8" ht="34" customHeight="1">
      <c r="A43" s="4" t="s">
        <v>34</v>
      </c>
      <c r="B43" s="4" t="s">
        <v>25</v>
      </c>
      <c r="C43" s="7">
        <v>13.67159712948</v>
      </c>
      <c r="D43" s="7">
        <v>8.81331026267063</v>
      </c>
      <c r="E43" s="7">
        <f>IF(AND(ISNUMBER(C43),ISNUMBER(D43)),(D43-C43),"待補")</f>
        <v>-4.858286866809371</v>
      </c>
      <c r="F43" s="8" t="s">
        <v>16</v>
      </c>
      <c r="G43" s="4" t="s">
        <v>17</v>
      </c>
      <c r="H43" s="4"/>
    </row>
    <row r="44" spans="1:8" ht="34" customHeight="1">
      <c r="A44" s="4" t="s">
        <v>35</v>
      </c>
      <c r="B44" s="4" t="s">
        <v>36</v>
      </c>
      <c r="C44" s="7">
        <v>5.245315986666666</v>
      </c>
      <c r="D44" s="7">
        <v>6.842217106666666</v>
      </c>
      <c r="E44" s="7">
        <f>IF(AND(ISNUMBER(C44),ISNUMBER(D44)),(D44-C44),"待補")</f>
        <v>1.59690112</v>
      </c>
      <c r="F44" s="9">
        <f>IF(AND(ISNUMBER(C44),ISNUMBER(D44),C44&lt;&gt;0),(C44-D44)/C44,"待補")</f>
        <v>-0.30444326405868466</v>
      </c>
      <c r="G44" s="4" t="s">
        <v>17</v>
      </c>
      <c r="H44" s="4" t="s">
        <v>37</v>
      </c>
    </row>
    <row r="45" spans="1:8" ht="34" customHeight="1">
      <c r="A45" s="4" t="s">
        <v>38</v>
      </c>
      <c r="B45" s="4" t="s">
        <v>39</v>
      </c>
      <c r="C45" s="7">
        <v>6.426666666666667</v>
      </c>
      <c r="D45" s="7">
        <v>9.013333333333334</v>
      </c>
      <c r="E45" s="7">
        <f>IF(AND(ISNUMBER(C45),ISNUMBER(D45)),(D45-C45),"待補")</f>
        <v>2.586666666666667</v>
      </c>
      <c r="F45" s="8" t="s">
        <v>16</v>
      </c>
      <c r="G45" s="4" t="s">
        <v>17</v>
      </c>
      <c r="H45" s="4"/>
    </row>
    <row r="46" spans="1:8" ht="34" customHeight="1">
      <c r="A46" s="4" t="s">
        <v>40</v>
      </c>
      <c r="B46" s="4" t="s">
        <v>39</v>
      </c>
      <c r="C46" s="7">
        <v>6.426666666666667</v>
      </c>
      <c r="D46" s="7">
        <v>9.013333333333334</v>
      </c>
      <c r="E46" s="7">
        <f>IF(AND(ISNUMBER(C46),ISNUMBER(D46)),(D46-C46),"待補")</f>
        <v>2.586666666666667</v>
      </c>
      <c r="F46" s="8" t="s">
        <v>16</v>
      </c>
      <c r="G46" s="4" t="s">
        <v>17</v>
      </c>
      <c r="H46" s="4" t="s">
        <v>41</v>
      </c>
    </row>
    <row r="47" spans="1:8" ht="34" customHeight="1">
      <c r="A47" s="4" t="s">
        <v>53</v>
      </c>
      <c r="B47" s="4" t="s">
        <v>39</v>
      </c>
      <c r="C47" s="7">
        <v>6.14</v>
      </c>
      <c r="D47" s="7">
        <v>8.726666666666667</v>
      </c>
      <c r="E47" s="7">
        <f>IF(AND(ISNUMBER(C47),ISNUMBER(D47)),(D47-C47),"待補")</f>
        <v>2.586666666666667</v>
      </c>
      <c r="F47" s="8" t="s">
        <v>16</v>
      </c>
      <c r="G47" s="4" t="s">
        <v>17</v>
      </c>
      <c r="H47" s="4" t="s">
        <v>54</v>
      </c>
    </row>
    <row r="48" spans="1:8">
      <c r="A48" s="4" t="s">
        <v>42</v>
      </c>
      <c r="B48" s="4" t="s">
        <v>15</v>
      </c>
      <c r="D48" s="6">
        <v>26</v>
      </c>
      <c r="H48" s="4" t="s">
        <v>43</v>
      </c>
    </row>
    <row r="49" spans="1:8">
      <c r="A49" s="4" t="s">
        <v>44</v>
      </c>
      <c r="B49" s="4" t="s">
        <v>15</v>
      </c>
      <c r="D49" s="6">
        <v>7</v>
      </c>
      <c r="H49" s="4" t="s">
        <v>43</v>
      </c>
    </row>
    <row r="50" spans="1:8">
      <c r="A50" s="4" t="s">
        <v>45</v>
      </c>
      <c r="B50" s="4" t="s">
        <v>15</v>
      </c>
      <c r="D50" s="6">
        <v>116</v>
      </c>
      <c r="H50" s="4" t="s">
        <v>43</v>
      </c>
    </row>
    <row r="51" spans="1:8">
      <c r="A51" s="4" t="s">
        <v>46</v>
      </c>
      <c r="B51" s="4" t="s">
        <v>25</v>
      </c>
      <c r="C51" s="7">
        <v>9.375305286482758</v>
      </c>
      <c r="D51" s="7">
        <v>8.491122205905171</v>
      </c>
      <c r="E51" s="7">
        <f>IF(AND(ISNUMBER(C51),ISNUMBER(D51)),D51-C51,"待補")</f>
        <v>-0.8841830805775872</v>
      </c>
      <c r="F51" s="9">
        <f>IF(AND(ISNUMBER(C51),ISNUMBER(D51),C51&lt;&gt;0),(C51-D51)/C51,"待補")</f>
        <v>0.09430979083448038</v>
      </c>
      <c r="G51" s="4" t="s">
        <v>55</v>
      </c>
      <c r="H51" s="4" t="s">
        <v>48</v>
      </c>
    </row>
    <row r="52" spans="1:8" ht="34" customHeight="1">
      <c r="A52" s="2" t="s">
        <v>49</v>
      </c>
      <c r="B52" s="2"/>
      <c r="C52" s="2"/>
      <c r="D52" s="2"/>
      <c r="E52" s="2"/>
      <c r="F52" s="2"/>
      <c r="G52" s="2"/>
      <c r="H52" s="2"/>
    </row>
    <row r="55" spans="1:8" ht="28" customHeight="1">
      <c r="A55" s="3" t="s">
        <v>56</v>
      </c>
      <c r="B55" s="3"/>
      <c r="C55" s="3"/>
      <c r="D55" s="3"/>
      <c r="E55" s="3"/>
      <c r="F55" s="3"/>
      <c r="G55" s="3"/>
      <c r="H55" s="3"/>
    </row>
    <row r="56" spans="1:8" ht="40" customHeight="1">
      <c r="A56" s="2" t="s">
        <v>57</v>
      </c>
      <c r="B56" s="2"/>
      <c r="C56" s="2"/>
      <c r="D56" s="2"/>
      <c r="E56" s="2"/>
      <c r="F56" s="2"/>
      <c r="G56" s="2"/>
      <c r="H56" s="2"/>
    </row>
    <row r="57" spans="1:8" ht="40" customHeight="1">
      <c r="A57" s="2" t="s">
        <v>58</v>
      </c>
      <c r="B57" s="2"/>
      <c r="C57" s="2"/>
      <c r="D57" s="2"/>
      <c r="E57" s="2"/>
      <c r="F57" s="2"/>
      <c r="G57" s="2"/>
      <c r="H57" s="2"/>
    </row>
    <row r="58" spans="1:8">
      <c r="A58" s="3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3" t="s">
        <v>11</v>
      </c>
      <c r="G58" s="3" t="s">
        <v>12</v>
      </c>
      <c r="H58" s="3" t="s">
        <v>13</v>
      </c>
    </row>
    <row r="59" spans="1:8" ht="34" customHeight="1">
      <c r="A59" s="4" t="s">
        <v>14</v>
      </c>
      <c r="B59" s="4" t="s">
        <v>15</v>
      </c>
      <c r="C59" s="6">
        <v>150</v>
      </c>
      <c r="D59" s="6">
        <v>150</v>
      </c>
      <c r="E59" s="7">
        <f>IF(AND(ISNUMBER(C59),ISNUMBER(D59)),(D59-C59),"待補")</f>
        <v>0</v>
      </c>
      <c r="F59" s="8" t="s">
        <v>16</v>
      </c>
      <c r="G59" s="4" t="s">
        <v>17</v>
      </c>
      <c r="H59" s="4"/>
    </row>
    <row r="60" spans="1:8" ht="34" customHeight="1">
      <c r="A60" s="4" t="s">
        <v>18</v>
      </c>
      <c r="B60" s="4" t="s">
        <v>15</v>
      </c>
      <c r="C60" s="6">
        <v>118</v>
      </c>
      <c r="D60" s="6">
        <v>123</v>
      </c>
      <c r="E60" s="7">
        <f>IF(AND(ISNUMBER(C60),ISNUMBER(D60)),(D60-C60),"待補")</f>
        <v>5</v>
      </c>
      <c r="F60" s="8" t="s">
        <v>16</v>
      </c>
      <c r="G60" s="4" t="s">
        <v>17</v>
      </c>
      <c r="H60" s="4"/>
    </row>
    <row r="61" spans="1:8" ht="34" customHeight="1">
      <c r="A61" s="4" t="s">
        <v>19</v>
      </c>
      <c r="B61" s="4" t="s">
        <v>20</v>
      </c>
      <c r="C61" s="9">
        <v>0.7866666666666666</v>
      </c>
      <c r="D61" s="9">
        <v>0.82</v>
      </c>
      <c r="E61" s="10">
        <f>IF(AND(ISNUMBER(C61),ISNUMBER(D61)),(D61-C61)*100,"待補")</f>
        <v>3.3333333333333326</v>
      </c>
      <c r="F61" s="8" t="s">
        <v>16</v>
      </c>
      <c r="G61" s="4" t="s">
        <v>17</v>
      </c>
      <c r="H61" s="4" t="s">
        <v>21</v>
      </c>
    </row>
    <row r="62" spans="1:8" ht="34" customHeight="1">
      <c r="A62" s="4" t="s">
        <v>22</v>
      </c>
      <c r="B62" s="4" t="s">
        <v>15</v>
      </c>
      <c r="C62" s="6">
        <v>130</v>
      </c>
      <c r="D62" s="6">
        <v>130</v>
      </c>
      <c r="E62" s="7">
        <f>IF(AND(ISNUMBER(C62),ISNUMBER(D62)),(D62-C62),"待補")</f>
        <v>0</v>
      </c>
      <c r="F62" s="8" t="s">
        <v>16</v>
      </c>
      <c r="G62" s="4" t="s">
        <v>17</v>
      </c>
      <c r="H62" s="4"/>
    </row>
    <row r="63" spans="1:8" ht="34" customHeight="1">
      <c r="A63" s="4" t="s">
        <v>23</v>
      </c>
      <c r="B63" s="4" t="s">
        <v>15</v>
      </c>
      <c r="C63" s="6">
        <v>20</v>
      </c>
      <c r="D63" s="6">
        <v>20</v>
      </c>
      <c r="E63" s="7">
        <f>IF(AND(ISNUMBER(C63),ISNUMBER(D63)),(D63-C63),"待補")</f>
        <v>0</v>
      </c>
      <c r="F63" s="8" t="s">
        <v>16</v>
      </c>
      <c r="G63" s="4" t="s">
        <v>17</v>
      </c>
      <c r="H63" s="4"/>
    </row>
    <row r="64" spans="1:8" ht="34" customHeight="1">
      <c r="A64" s="4" t="s">
        <v>24</v>
      </c>
      <c r="B64" s="4" t="s">
        <v>25</v>
      </c>
      <c r="C64" s="7">
        <v>15.01120221933077</v>
      </c>
      <c r="D64" s="7">
        <v>15.06397582643077</v>
      </c>
      <c r="E64" s="7">
        <f>IF(AND(ISNUMBER(C64),ISNUMBER(D64)),(D64-C64),"待補")</f>
        <v>0.052773607100000675</v>
      </c>
      <c r="F64" s="9">
        <f>IF(AND(ISNUMBER(C64),ISNUMBER(D64),C64&lt;&gt;0),(C64-D64)/C64,"待補")</f>
        <v>-0.0035156149606752436</v>
      </c>
      <c r="G64" s="4" t="s">
        <v>59</v>
      </c>
      <c r="H64" s="4" t="s">
        <v>27</v>
      </c>
    </row>
    <row r="65" spans="1:8" ht="34" customHeight="1">
      <c r="A65" s="4" t="s">
        <v>28</v>
      </c>
      <c r="B65" s="4" t="s">
        <v>25</v>
      </c>
      <c r="C65" s="7">
        <v>7.9200014525</v>
      </c>
      <c r="D65" s="7">
        <v>7.68254071</v>
      </c>
      <c r="E65" s="7">
        <f>IF(AND(ISNUMBER(C65),ISNUMBER(D65)),(D65-C65),"待補")</f>
        <v>-0.2374607425000006</v>
      </c>
      <c r="F65" s="9">
        <f>IF(AND(ISNUMBER(C65),ISNUMBER(D65),C65&lt;&gt;0),(C65-D65)/C65,"待補")</f>
        <v>0.02998241148365504</v>
      </c>
      <c r="G65" s="4" t="s">
        <v>59</v>
      </c>
      <c r="H65" s="4" t="s">
        <v>27</v>
      </c>
    </row>
    <row r="66" spans="1:8" ht="34" customHeight="1">
      <c r="A66" s="4" t="s">
        <v>29</v>
      </c>
      <c r="B66" s="4" t="s">
        <v>25</v>
      </c>
      <c r="C66" s="7">
        <v>9.806986151381356</v>
      </c>
      <c r="D66" s="7">
        <v>9.673352669642277</v>
      </c>
      <c r="E66" s="7">
        <f>IF(AND(ISNUMBER(C66),ISNUMBER(D66)),(D66-C66),"待補")</f>
        <v>-0.13363348173907852</v>
      </c>
      <c r="F66" s="8" t="s">
        <v>16</v>
      </c>
      <c r="G66" s="4" t="s">
        <v>60</v>
      </c>
      <c r="H66" s="4" t="s">
        <v>31</v>
      </c>
    </row>
    <row r="67" spans="1:8" ht="34" customHeight="1">
      <c r="A67" s="4" t="s">
        <v>32</v>
      </c>
      <c r="B67" s="4" t="s">
        <v>33</v>
      </c>
      <c r="C67" s="7">
        <v>0.8333489008797692</v>
      </c>
      <c r="D67" s="7">
        <v>0.8415891027882307</v>
      </c>
      <c r="E67" s="7">
        <f>IF(AND(ISNUMBER(C67),ISNUMBER(D67)),(D67-C67),"待補")</f>
        <v>0.00824020190846153</v>
      </c>
      <c r="F67" s="8" t="s">
        <v>16</v>
      </c>
      <c r="G67" s="4" t="s">
        <v>17</v>
      </c>
      <c r="H67" s="4"/>
    </row>
    <row r="68" spans="1:8" ht="34" customHeight="1">
      <c r="A68" s="4" t="s">
        <v>34</v>
      </c>
      <c r="B68" s="4" t="s">
        <v>25</v>
      </c>
      <c r="C68" s="7">
        <v>13.54911137796461</v>
      </c>
      <c r="D68" s="7">
        <v>13.67159712948</v>
      </c>
      <c r="E68" s="7">
        <f>IF(AND(ISNUMBER(C68),ISNUMBER(D68)),(D68-C68),"待補")</f>
        <v>0.1224857515153861</v>
      </c>
      <c r="F68" s="8" t="s">
        <v>16</v>
      </c>
      <c r="G68" s="4" t="s">
        <v>17</v>
      </c>
      <c r="H68" s="4"/>
    </row>
    <row r="69" spans="1:8" ht="34" customHeight="1">
      <c r="A69" s="4" t="s">
        <v>35</v>
      </c>
      <c r="B69" s="4" t="s">
        <v>36</v>
      </c>
      <c r="C69" s="7">
        <v>4.097461013333334</v>
      </c>
      <c r="D69" s="7">
        <v>5.245315986666666</v>
      </c>
      <c r="E69" s="7">
        <f>IF(AND(ISNUMBER(C69),ISNUMBER(D69)),(D69-C69),"待補")</f>
        <v>1.1478549733333328</v>
      </c>
      <c r="F69" s="9">
        <f>IF(AND(ISNUMBER(C69),ISNUMBER(D69),C69&lt;&gt;0),(C69-D69)/C69,"待補")</f>
        <v>-0.2801381073787299</v>
      </c>
      <c r="G69" s="4" t="s">
        <v>17</v>
      </c>
      <c r="H69" s="4" t="s">
        <v>37</v>
      </c>
    </row>
    <row r="70" spans="1:8" ht="34" customHeight="1">
      <c r="A70" s="4" t="s">
        <v>38</v>
      </c>
      <c r="B70" s="4" t="s">
        <v>39</v>
      </c>
      <c r="C70" s="7">
        <v>6.426666666666667</v>
      </c>
      <c r="D70" s="7">
        <v>6.426666666666667</v>
      </c>
      <c r="E70" s="7">
        <f>IF(AND(ISNUMBER(C70),ISNUMBER(D70)),(D70-C70),"待補")</f>
        <v>0.0</v>
      </c>
      <c r="F70" s="8" t="s">
        <v>16</v>
      </c>
      <c r="G70" s="4" t="s">
        <v>17</v>
      </c>
      <c r="H70" s="4"/>
    </row>
    <row r="71" spans="1:8" ht="34" customHeight="1">
      <c r="A71" s="4" t="s">
        <v>40</v>
      </c>
      <c r="B71" s="4" t="s">
        <v>39</v>
      </c>
      <c r="C71" s="7">
        <v>6.426666666666667</v>
      </c>
      <c r="D71" s="7">
        <v>6.426666666666667</v>
      </c>
      <c r="E71" s="7">
        <f>IF(AND(ISNUMBER(C71),ISNUMBER(D71)),(D71-C71),"待補")</f>
        <v>0.0</v>
      </c>
      <c r="F71" s="8" t="s">
        <v>16</v>
      </c>
      <c r="G71" s="4" t="s">
        <v>17</v>
      </c>
      <c r="H71" s="4" t="s">
        <v>41</v>
      </c>
    </row>
    <row r="72" spans="1:8" ht="34" customHeight="1">
      <c r="A72" s="4" t="s">
        <v>53</v>
      </c>
      <c r="B72" s="4" t="s">
        <v>39</v>
      </c>
      <c r="C72" s="8" t="s">
        <v>16</v>
      </c>
      <c r="D72" s="7">
        <v>6.14</v>
      </c>
      <c r="E72" s="7" t="str">
        <f>IF(AND(ISNUMBER(C72),ISNUMBER(D72)),(D72-C72),"待補")</f>
        <v>待補</v>
      </c>
      <c r="F72" s="8" t="s">
        <v>16</v>
      </c>
      <c r="G72" s="4" t="s">
        <v>17</v>
      </c>
      <c r="H72" s="4" t="s">
        <v>54</v>
      </c>
    </row>
    <row r="73" spans="1:8">
      <c r="A73" s="4" t="s">
        <v>42</v>
      </c>
      <c r="B73" s="4" t="s">
        <v>15</v>
      </c>
      <c r="D73" s="6">
        <v>5</v>
      </c>
      <c r="H73" s="4" t="s">
        <v>43</v>
      </c>
    </row>
    <row r="74" spans="1:8">
      <c r="A74" s="4" t="s">
        <v>44</v>
      </c>
      <c r="B74" s="4" t="s">
        <v>15</v>
      </c>
      <c r="D74" s="6">
        <v>0</v>
      </c>
      <c r="H74" s="4" t="s">
        <v>43</v>
      </c>
    </row>
    <row r="75" spans="1:8">
      <c r="A75" s="4" t="s">
        <v>45</v>
      </c>
      <c r="B75" s="4" t="s">
        <v>15</v>
      </c>
      <c r="D75" s="6">
        <v>118</v>
      </c>
      <c r="H75" s="4" t="s">
        <v>43</v>
      </c>
    </row>
    <row r="76" spans="1:8">
      <c r="A76" s="4" t="s">
        <v>46</v>
      </c>
      <c r="B76" s="4" t="s">
        <v>25</v>
      </c>
      <c r="C76" s="7">
        <v>9.806986151381356</v>
      </c>
      <c r="D76" s="7">
        <v>9.638276207067795</v>
      </c>
      <c r="E76" s="7">
        <f>IF(AND(ISNUMBER(C76),ISNUMBER(D76)),D76-C76,"待補")</f>
        <v>-0.1687099443135595</v>
      </c>
      <c r="F76" s="9">
        <f>IF(AND(ISNUMBER(C76),ISNUMBER(D76),C76&lt;&gt;0),(C76-D76)/C76,"待補")</f>
        <v>0.017203036866713227</v>
      </c>
      <c r="G76" s="4" t="s">
        <v>61</v>
      </c>
      <c r="H76" s="4" t="s">
        <v>48</v>
      </c>
    </row>
    <row r="77" spans="1:8" ht="34" customHeight="1">
      <c r="A77" s="2" t="s">
        <v>62</v>
      </c>
      <c r="B77" s="2"/>
      <c r="C77" s="2"/>
      <c r="D77" s="2"/>
      <c r="E77" s="2"/>
      <c r="F77" s="2"/>
      <c r="G77" s="2"/>
      <c r="H77" s="2"/>
    </row>
    <row r="80" spans="1:8" ht="28" customHeight="1">
      <c r="A80" s="3" t="s">
        <v>63</v>
      </c>
      <c r="B80" s="3"/>
      <c r="C80" s="3"/>
      <c r="D80" s="3"/>
      <c r="E80" s="3"/>
      <c r="F80" s="3"/>
      <c r="G80" s="3"/>
      <c r="H80" s="3"/>
    </row>
    <row r="81" spans="1:8" ht="40" customHeight="1">
      <c r="A81" s="2" t="s">
        <v>64</v>
      </c>
      <c r="B81" s="2"/>
      <c r="C81" s="2"/>
      <c r="D81" s="2"/>
      <c r="E81" s="2"/>
      <c r="F81" s="2"/>
      <c r="G81" s="2"/>
      <c r="H81" s="2"/>
    </row>
    <row r="82" spans="1:8" ht="40" customHeight="1">
      <c r="A82" s="2" t="s">
        <v>58</v>
      </c>
      <c r="B82" s="2"/>
      <c r="C82" s="2"/>
      <c r="D82" s="2"/>
      <c r="E82" s="2"/>
      <c r="F82" s="2"/>
      <c r="G82" s="2"/>
      <c r="H82" s="2"/>
    </row>
    <row r="83" spans="1:8">
      <c r="A83" s="3" t="s">
        <v>6</v>
      </c>
      <c r="B83" s="3" t="s">
        <v>7</v>
      </c>
      <c r="C83" s="3" t="s">
        <v>8</v>
      </c>
      <c r="D83" s="3" t="s">
        <v>9</v>
      </c>
      <c r="E83" s="3" t="s">
        <v>10</v>
      </c>
      <c r="F83" s="3" t="s">
        <v>11</v>
      </c>
      <c r="G83" s="3" t="s">
        <v>12</v>
      </c>
      <c r="H83" s="3" t="s">
        <v>13</v>
      </c>
    </row>
    <row r="84" spans="1:8" ht="34" customHeight="1">
      <c r="A84" s="4" t="s">
        <v>14</v>
      </c>
      <c r="B84" s="4" t="s">
        <v>15</v>
      </c>
      <c r="C84" s="6">
        <v>150</v>
      </c>
      <c r="D84" s="6">
        <v>150</v>
      </c>
      <c r="E84" s="7">
        <f>IF(AND(ISNUMBER(C84),ISNUMBER(D84)),(D84-C84),"待補")</f>
        <v>0</v>
      </c>
      <c r="F84" s="8" t="s">
        <v>16</v>
      </c>
      <c r="G84" s="4" t="s">
        <v>17</v>
      </c>
      <c r="H84" s="4"/>
    </row>
    <row r="85" spans="1:8" ht="34" customHeight="1">
      <c r="A85" s="4" t="s">
        <v>18</v>
      </c>
      <c r="B85" s="4" t="s">
        <v>15</v>
      </c>
      <c r="C85" s="6">
        <v>135</v>
      </c>
      <c r="D85" s="6">
        <v>142</v>
      </c>
      <c r="E85" s="7">
        <f>IF(AND(ISNUMBER(C85),ISNUMBER(D85)),(D85-C85),"待補")</f>
        <v>7</v>
      </c>
      <c r="F85" s="8" t="s">
        <v>16</v>
      </c>
      <c r="G85" s="4" t="s">
        <v>17</v>
      </c>
      <c r="H85" s="4"/>
    </row>
    <row r="86" spans="1:8" ht="34" customHeight="1">
      <c r="A86" s="4" t="s">
        <v>19</v>
      </c>
      <c r="B86" s="4" t="s">
        <v>20</v>
      </c>
      <c r="C86" s="9">
        <v>0.9</v>
      </c>
      <c r="D86" s="9">
        <v>0.9466666666666667</v>
      </c>
      <c r="E86" s="10">
        <f>IF(AND(ISNUMBER(C86),ISNUMBER(D86)),(D86-C86)*100,"待補")</f>
        <v>4.666666666666663</v>
      </c>
      <c r="F86" s="8" t="s">
        <v>16</v>
      </c>
      <c r="G86" s="4" t="s">
        <v>17</v>
      </c>
      <c r="H86" s="4" t="s">
        <v>21</v>
      </c>
    </row>
    <row r="87" spans="1:8" ht="34" customHeight="1">
      <c r="A87" s="4" t="s">
        <v>22</v>
      </c>
      <c r="B87" s="4" t="s">
        <v>15</v>
      </c>
      <c r="C87" s="6">
        <v>143</v>
      </c>
      <c r="D87" s="6">
        <v>143</v>
      </c>
      <c r="E87" s="7">
        <f>IF(AND(ISNUMBER(C87),ISNUMBER(D87)),(D87-C87),"待補")</f>
        <v>0</v>
      </c>
      <c r="F87" s="8" t="s">
        <v>16</v>
      </c>
      <c r="G87" s="4" t="s">
        <v>17</v>
      </c>
      <c r="H87" s="4"/>
    </row>
    <row r="88" spans="1:8" ht="34" customHeight="1">
      <c r="A88" s="4" t="s">
        <v>23</v>
      </c>
      <c r="B88" s="4" t="s">
        <v>15</v>
      </c>
      <c r="C88" s="6">
        <v>7</v>
      </c>
      <c r="D88" s="6">
        <v>7</v>
      </c>
      <c r="E88" s="7">
        <f>IF(AND(ISNUMBER(C88),ISNUMBER(D88)),(D88-C88),"待補")</f>
        <v>0</v>
      </c>
      <c r="F88" s="8" t="s">
        <v>16</v>
      </c>
      <c r="G88" s="4" t="s">
        <v>17</v>
      </c>
      <c r="H88" s="4"/>
    </row>
    <row r="89" spans="1:8" ht="34" customHeight="1">
      <c r="A89" s="4" t="s">
        <v>24</v>
      </c>
      <c r="B89" s="4" t="s">
        <v>25</v>
      </c>
      <c r="C89" s="7">
        <v>11.22310207536364</v>
      </c>
      <c r="D89" s="7">
        <v>9.774054196055944</v>
      </c>
      <c r="E89" s="7">
        <f>IF(AND(ISNUMBER(C89),ISNUMBER(D89)),(D89-C89),"待補")</f>
        <v>-1.4490478793076917</v>
      </c>
      <c r="F89" s="9">
        <f>IF(AND(ISNUMBER(C89),ISNUMBER(D89),C89&lt;&gt;0),(C89-D89)/C89,"待補")</f>
        <v>0.12911295554270735</v>
      </c>
      <c r="G89" s="4" t="s">
        <v>65</v>
      </c>
      <c r="H89" s="4" t="s">
        <v>27</v>
      </c>
    </row>
    <row r="90" spans="1:8" ht="34" customHeight="1">
      <c r="A90" s="4" t="s">
        <v>28</v>
      </c>
      <c r="B90" s="4" t="s">
        <v>25</v>
      </c>
      <c r="C90" s="7">
        <v>8.666904932</v>
      </c>
      <c r="D90" s="7">
        <v>7.112085512000001</v>
      </c>
      <c r="E90" s="7">
        <f>IF(AND(ISNUMBER(C90),ISNUMBER(D90)),(D90-C90),"待補")</f>
        <v>-1.5548194199999985</v>
      </c>
      <c r="F90" s="9">
        <f>IF(AND(ISNUMBER(C90),ISNUMBER(D90),C90&lt;&gt;0),(C90-D90)/C90,"待補")</f>
        <v>0.17939730875081883</v>
      </c>
      <c r="G90" s="4" t="s">
        <v>65</v>
      </c>
      <c r="H90" s="4" t="s">
        <v>27</v>
      </c>
    </row>
    <row r="91" spans="1:8" ht="34" customHeight="1">
      <c r="A91" s="4" t="s">
        <v>29</v>
      </c>
      <c r="B91" s="4" t="s">
        <v>25</v>
      </c>
      <c r="C91" s="7">
        <v>9.859923063903704</v>
      </c>
      <c r="D91" s="7">
        <v>9.031564288985916</v>
      </c>
      <c r="E91" s="7">
        <f>IF(AND(ISNUMBER(C91),ISNUMBER(D91)),(D91-C91),"待補")</f>
        <v>-0.8283587749177883</v>
      </c>
      <c r="F91" s="8" t="s">
        <v>16</v>
      </c>
      <c r="G91" s="4" t="s">
        <v>66</v>
      </c>
      <c r="H91" s="4" t="s">
        <v>31</v>
      </c>
    </row>
    <row r="92" spans="1:8" ht="34" customHeight="1">
      <c r="A92" s="4" t="s">
        <v>32</v>
      </c>
      <c r="B92" s="4" t="s">
        <v>33</v>
      </c>
      <c r="C92" s="7">
        <v>0.7024714967154545</v>
      </c>
      <c r="D92" s="7">
        <v>0.558572264859021</v>
      </c>
      <c r="E92" s="7">
        <f>IF(AND(ISNUMBER(C92),ISNUMBER(D92)),(D92-C92),"待補")</f>
        <v>-0.1438992318564335</v>
      </c>
      <c r="F92" s="8" t="s">
        <v>16</v>
      </c>
      <c r="G92" s="4" t="s">
        <v>17</v>
      </c>
      <c r="H92" s="4"/>
    </row>
    <row r="93" spans="1:8" ht="34" customHeight="1">
      <c r="A93" s="4" t="s">
        <v>34</v>
      </c>
      <c r="B93" s="4" t="s">
        <v>25</v>
      </c>
      <c r="C93" s="7">
        <v>9.952239008971327</v>
      </c>
      <c r="D93" s="7">
        <v>8.81331026267063</v>
      </c>
      <c r="E93" s="7">
        <f>IF(AND(ISNUMBER(C93),ISNUMBER(D93)),(D93-C93),"待補")</f>
        <v>-1.1389287463006976</v>
      </c>
      <c r="F93" s="8" t="s">
        <v>16</v>
      </c>
      <c r="G93" s="4" t="s">
        <v>17</v>
      </c>
      <c r="H93" s="4"/>
    </row>
    <row r="94" spans="1:8" ht="34" customHeight="1">
      <c r="A94" s="4" t="s">
        <v>35</v>
      </c>
      <c r="B94" s="4" t="s">
        <v>36</v>
      </c>
      <c r="C94" s="7">
        <v>5.115265313333333</v>
      </c>
      <c r="D94" s="7">
        <v>6.842217106666666</v>
      </c>
      <c r="E94" s="7">
        <f>IF(AND(ISNUMBER(C94),ISNUMBER(D94)),(D94-C94),"待補")</f>
        <v>1.726951793333333</v>
      </c>
      <c r="F94" s="9">
        <f>IF(AND(ISNUMBER(C94),ISNUMBER(D94),C94&lt;&gt;0),(C94-D94)/C94,"待補")</f>
        <v>-0.3376074724475972</v>
      </c>
      <c r="G94" s="4" t="s">
        <v>17</v>
      </c>
      <c r="H94" s="4" t="s">
        <v>37</v>
      </c>
    </row>
    <row r="95" spans="1:8" ht="34" customHeight="1">
      <c r="A95" s="4" t="s">
        <v>38</v>
      </c>
      <c r="B95" s="4" t="s">
        <v>39</v>
      </c>
      <c r="C95" s="7">
        <v>9.013333333333334</v>
      </c>
      <c r="D95" s="7">
        <v>9.013333333333334</v>
      </c>
      <c r="E95" s="7">
        <f>IF(AND(ISNUMBER(C95),ISNUMBER(D95)),(D95-C95),"待補")</f>
        <v>0.0</v>
      </c>
      <c r="F95" s="8" t="s">
        <v>16</v>
      </c>
      <c r="G95" s="4" t="s">
        <v>17</v>
      </c>
      <c r="H95" s="4"/>
    </row>
    <row r="96" spans="1:8" ht="34" customHeight="1">
      <c r="A96" s="4" t="s">
        <v>40</v>
      </c>
      <c r="B96" s="4" t="s">
        <v>39</v>
      </c>
      <c r="C96" s="7">
        <v>9.013333333333334</v>
      </c>
      <c r="D96" s="7">
        <v>9.013333333333334</v>
      </c>
      <c r="E96" s="7">
        <f>IF(AND(ISNUMBER(C96),ISNUMBER(D96)),(D96-C96),"待補")</f>
        <v>0.0</v>
      </c>
      <c r="F96" s="8" t="s">
        <v>16</v>
      </c>
      <c r="G96" s="4" t="s">
        <v>17</v>
      </c>
      <c r="H96" s="4" t="s">
        <v>41</v>
      </c>
    </row>
    <row r="97" spans="1:8" ht="34" customHeight="1">
      <c r="A97" s="4" t="s">
        <v>53</v>
      </c>
      <c r="B97" s="4" t="s">
        <v>39</v>
      </c>
      <c r="C97" s="8" t="s">
        <v>16</v>
      </c>
      <c r="D97" s="7">
        <v>8.726666666666667</v>
      </c>
      <c r="E97" s="7" t="str">
        <f>IF(AND(ISNUMBER(C97),ISNUMBER(D97)),(D97-C97),"待補")</f>
        <v>待補</v>
      </c>
      <c r="F97" s="8" t="s">
        <v>16</v>
      </c>
      <c r="G97" s="4" t="s">
        <v>17</v>
      </c>
      <c r="H97" s="4" t="s">
        <v>54</v>
      </c>
    </row>
    <row r="98" spans="1:8">
      <c r="A98" s="4" t="s">
        <v>42</v>
      </c>
      <c r="B98" s="4" t="s">
        <v>15</v>
      </c>
      <c r="D98" s="6">
        <v>7</v>
      </c>
      <c r="H98" s="4" t="s">
        <v>43</v>
      </c>
    </row>
    <row r="99" spans="1:8">
      <c r="A99" s="4" t="s">
        <v>44</v>
      </c>
      <c r="B99" s="4" t="s">
        <v>15</v>
      </c>
      <c r="D99" s="6">
        <v>0</v>
      </c>
      <c r="H99" s="4" t="s">
        <v>43</v>
      </c>
    </row>
    <row r="100" spans="1:8">
      <c r="A100" s="4" t="s">
        <v>45</v>
      </c>
      <c r="B100" s="4" t="s">
        <v>15</v>
      </c>
      <c r="D100" s="6">
        <v>135</v>
      </c>
      <c r="H100" s="4" t="s">
        <v>43</v>
      </c>
    </row>
    <row r="101" spans="1:8">
      <c r="A101" s="4" t="s">
        <v>46</v>
      </c>
      <c r="B101" s="4" t="s">
        <v>25</v>
      </c>
      <c r="C101" s="7">
        <v>9.859923063903704</v>
      </c>
      <c r="D101" s="7">
        <v>9.151532390274074</v>
      </c>
      <c r="E101" s="7">
        <f>IF(AND(ISNUMBER(C101),ISNUMBER(D101)),D101-C101,"待補")</f>
        <v>-0.7083906736296303</v>
      </c>
      <c r="F101" s="9">
        <f>IF(AND(ISNUMBER(C101),ISNUMBER(D101),C101&lt;&gt;0),(C101-D101)/C101,"待補")</f>
        <v>0.07184545650492803</v>
      </c>
      <c r="G101" s="4" t="s">
        <v>67</v>
      </c>
      <c r="H101" s="4" t="s">
        <v>48</v>
      </c>
    </row>
    <row r="102" spans="1:8" ht="34" customHeight="1">
      <c r="A102" s="2" t="s">
        <v>62</v>
      </c>
      <c r="B102" s="2"/>
      <c r="C102" s="2"/>
      <c r="D102" s="2"/>
      <c r="E102" s="2"/>
      <c r="F102" s="2"/>
      <c r="G102" s="2"/>
      <c r="H102" s="2"/>
    </row>
    <row r="105" spans="1:8" ht="28" customHeight="1">
      <c r="A105" s="3" t="s">
        <v>68</v>
      </c>
      <c r="B105" s="3"/>
      <c r="C105" s="3"/>
      <c r="D105" s="3"/>
      <c r="E105" s="3"/>
      <c r="F105" s="3"/>
      <c r="G105" s="3"/>
      <c r="H105" s="3"/>
    </row>
    <row r="106" spans="1:8" ht="40" customHeight="1">
      <c r="A106" s="2" t="s">
        <v>69</v>
      </c>
      <c r="B106" s="2"/>
      <c r="C106" s="2"/>
      <c r="D106" s="2"/>
      <c r="E106" s="2"/>
      <c r="F106" s="2"/>
      <c r="G106" s="2"/>
      <c r="H106" s="2"/>
    </row>
    <row r="107" spans="1:8" ht="40" customHeight="1">
      <c r="A107" s="2" t="s">
        <v>70</v>
      </c>
      <c r="B107" s="2"/>
      <c r="C107" s="2"/>
      <c r="D107" s="2"/>
      <c r="E107" s="2"/>
      <c r="F107" s="2"/>
      <c r="G107" s="2"/>
      <c r="H107" s="2"/>
    </row>
    <row r="108" spans="1:8">
      <c r="A108" s="3" t="s">
        <v>6</v>
      </c>
      <c r="B108" s="3" t="s">
        <v>7</v>
      </c>
      <c r="C108" s="3" t="s">
        <v>8</v>
      </c>
      <c r="D108" s="3" t="s">
        <v>9</v>
      </c>
      <c r="E108" s="3" t="s">
        <v>10</v>
      </c>
      <c r="F108" s="3" t="s">
        <v>11</v>
      </c>
      <c r="G108" s="3" t="s">
        <v>12</v>
      </c>
      <c r="H108" s="3" t="s">
        <v>13</v>
      </c>
    </row>
    <row r="109" spans="1:8" ht="34" customHeight="1">
      <c r="A109" s="4" t="s">
        <v>14</v>
      </c>
      <c r="B109" s="4" t="s">
        <v>15</v>
      </c>
      <c r="C109" s="6">
        <v>150</v>
      </c>
      <c r="D109" s="6">
        <v>150</v>
      </c>
      <c r="E109" s="7">
        <f>IF(AND(ISNUMBER(C109),ISNUMBER(D109)),(D109-C109),"待補")</f>
        <v>0</v>
      </c>
      <c r="F109" s="8" t="s">
        <v>16</v>
      </c>
      <c r="G109" s="4" t="s">
        <v>17</v>
      </c>
      <c r="H109" s="4"/>
    </row>
    <row r="110" spans="1:8" ht="34" customHeight="1">
      <c r="A110" s="4" t="s">
        <v>18</v>
      </c>
      <c r="B110" s="4" t="s">
        <v>15</v>
      </c>
      <c r="C110" s="6">
        <v>142</v>
      </c>
      <c r="D110" s="6">
        <v>149</v>
      </c>
      <c r="E110" s="7">
        <f>IF(AND(ISNUMBER(C110),ISNUMBER(D110)),(D110-C110),"待補")</f>
        <v>7</v>
      </c>
      <c r="F110" s="8" t="s">
        <v>16</v>
      </c>
      <c r="G110" s="4" t="s">
        <v>17</v>
      </c>
      <c r="H110" s="4"/>
    </row>
    <row r="111" spans="1:8" ht="34" customHeight="1">
      <c r="A111" s="4" t="s">
        <v>19</v>
      </c>
      <c r="B111" s="4" t="s">
        <v>20</v>
      </c>
      <c r="C111" s="9">
        <v>0.9466666666666667</v>
      </c>
      <c r="D111" s="9">
        <v>0.9933333333333333</v>
      </c>
      <c r="E111" s="10">
        <f>IF(AND(ISNUMBER(C111),ISNUMBER(D111)),(D111-C111)*100,"待補")</f>
        <v>4.666666666666663</v>
      </c>
      <c r="F111" s="8" t="s">
        <v>16</v>
      </c>
      <c r="G111" s="4" t="s">
        <v>17</v>
      </c>
      <c r="H111" s="4" t="s">
        <v>21</v>
      </c>
    </row>
    <row r="112" spans="1:8" ht="34" customHeight="1">
      <c r="A112" s="4" t="s">
        <v>22</v>
      </c>
      <c r="B112" s="4" t="s">
        <v>15</v>
      </c>
      <c r="C112" s="6">
        <v>0</v>
      </c>
      <c r="D112" s="6">
        <v>0</v>
      </c>
      <c r="E112" s="7">
        <f>IF(AND(ISNUMBER(C112),ISNUMBER(D112)),(D112-C112),"待補")</f>
        <v>0</v>
      </c>
      <c r="F112" s="8" t="s">
        <v>16</v>
      </c>
      <c r="G112" s="4" t="s">
        <v>17</v>
      </c>
      <c r="H112" s="4"/>
    </row>
    <row r="113" spans="1:8" ht="34" customHeight="1">
      <c r="A113" s="4" t="s">
        <v>23</v>
      </c>
      <c r="B113" s="4" t="s">
        <v>15</v>
      </c>
      <c r="C113" s="6">
        <v>7</v>
      </c>
      <c r="D113" s="6">
        <v>0</v>
      </c>
      <c r="E113" s="7">
        <f>IF(AND(ISNUMBER(C113),ISNUMBER(D113)),(D113-C113),"待補")</f>
        <v>-7</v>
      </c>
      <c r="F113" s="8" t="s">
        <v>16</v>
      </c>
      <c r="G113" s="4" t="s">
        <v>17</v>
      </c>
      <c r="H113" s="4"/>
    </row>
    <row r="114" spans="1:8" ht="34" customHeight="1">
      <c r="A114" s="4" t="s">
        <v>24</v>
      </c>
      <c r="B114" s="4" t="s">
        <v>25</v>
      </c>
      <c r="C114" s="8" t="s">
        <v>16</v>
      </c>
      <c r="D114" s="8" t="s">
        <v>16</v>
      </c>
      <c r="E114" s="7" t="str">
        <f>IF(AND(ISNUMBER(C114),ISNUMBER(D114)),(D114-C114),"待補")</f>
        <v>待補</v>
      </c>
      <c r="F114" s="9" t="str">
        <f>IF(AND(ISNUMBER(C114),ISNUMBER(D114),C114&lt;&gt;0),(C114-D114)/C114,"待補")</f>
        <v>待補</v>
      </c>
      <c r="G114" s="4" t="s">
        <v>71</v>
      </c>
      <c r="H114" s="4" t="s">
        <v>27</v>
      </c>
    </row>
    <row r="115" spans="1:8" ht="34" customHeight="1">
      <c r="A115" s="4" t="s">
        <v>29</v>
      </c>
      <c r="B115" s="4" t="s">
        <v>25</v>
      </c>
      <c r="C115" s="8" t="s">
        <v>16</v>
      </c>
      <c r="D115" s="8" t="s">
        <v>16</v>
      </c>
      <c r="E115" s="7" t="str">
        <f>IF(AND(ISNUMBER(C115),ISNUMBER(D115)),(D115-C115),"待補")</f>
        <v>待補</v>
      </c>
      <c r="F115" s="8" t="s">
        <v>16</v>
      </c>
      <c r="G115" s="4" t="s">
        <v>72</v>
      </c>
      <c r="H115" s="4" t="s">
        <v>31</v>
      </c>
    </row>
    <row r="116" spans="1:8" ht="34" customHeight="1">
      <c r="A116" s="4" t="s">
        <v>32</v>
      </c>
      <c r="B116" s="4" t="s">
        <v>33</v>
      </c>
      <c r="C116" s="7">
        <v>0.558572264859021</v>
      </c>
      <c r="D116" s="7">
        <v>0.5653175907302667</v>
      </c>
      <c r="E116" s="7">
        <f>IF(AND(ISNUMBER(C116),ISNUMBER(D116)),(D116-C116),"待補")</f>
        <v>0.006745325871245655</v>
      </c>
      <c r="F116" s="8" t="s">
        <v>16</v>
      </c>
      <c r="G116" s="4" t="s">
        <v>17</v>
      </c>
      <c r="H116" s="4"/>
    </row>
    <row r="117" spans="1:8" ht="34" customHeight="1">
      <c r="A117" s="4" t="s">
        <v>34</v>
      </c>
      <c r="B117" s="4" t="s">
        <v>25</v>
      </c>
      <c r="C117" s="7">
        <v>8.81331026267063</v>
      </c>
      <c r="D117" s="7">
        <v>8.811307107432667</v>
      </c>
      <c r="E117" s="7">
        <f>IF(AND(ISNUMBER(C117),ISNUMBER(D117)),(D117-C117),"待補")</f>
        <v>-0.002003155237963128</v>
      </c>
      <c r="F117" s="8" t="s">
        <v>16</v>
      </c>
      <c r="G117" s="4" t="s">
        <v>17</v>
      </c>
      <c r="H117" s="4"/>
    </row>
    <row r="118" spans="1:8" ht="34" customHeight="1">
      <c r="A118" s="4" t="s">
        <v>35</v>
      </c>
      <c r="B118" s="4" t="s">
        <v>36</v>
      </c>
      <c r="C118" s="7">
        <v>3.339194613333333</v>
      </c>
      <c r="D118" s="7">
        <v>4.109072266666667</v>
      </c>
      <c r="E118" s="7">
        <f>IF(AND(ISNUMBER(C118),ISNUMBER(D118)),(D118-C118),"待補")</f>
        <v>0.7698776533333334</v>
      </c>
      <c r="F118" s="9">
        <f>IF(AND(ISNUMBER(C118),ISNUMBER(D118),C118&lt;&gt;0),(C118-D118)/C118,"待補")</f>
        <v>-0.23055788670095123</v>
      </c>
      <c r="G118" s="4" t="s">
        <v>17</v>
      </c>
      <c r="H118" s="4" t="s">
        <v>37</v>
      </c>
    </row>
    <row r="119" spans="1:8" ht="34" customHeight="1">
      <c r="A119" s="4" t="s">
        <v>38</v>
      </c>
      <c r="B119" s="4" t="s">
        <v>39</v>
      </c>
      <c r="C119" s="7">
        <v>9.013333333333334</v>
      </c>
      <c r="D119" s="7">
        <v>9.653333333333334</v>
      </c>
      <c r="E119" s="7">
        <f>IF(AND(ISNUMBER(C119),ISNUMBER(D119)),(D119-C119),"待補")</f>
        <v>0.6400000000000006</v>
      </c>
      <c r="F119" s="8" t="s">
        <v>16</v>
      </c>
      <c r="G119" s="4" t="s">
        <v>17</v>
      </c>
      <c r="H119" s="4"/>
    </row>
    <row r="120" spans="1:8" ht="34" customHeight="1">
      <c r="A120" s="4" t="s">
        <v>40</v>
      </c>
      <c r="B120" s="4" t="s">
        <v>39</v>
      </c>
      <c r="C120" s="7">
        <v>9.013333333333334</v>
      </c>
      <c r="D120" s="7">
        <v>9.653333333333334</v>
      </c>
      <c r="E120" s="7">
        <f>IF(AND(ISNUMBER(C120),ISNUMBER(D120)),(D120-C120),"待補")</f>
        <v>0.6400000000000006</v>
      </c>
      <c r="F120" s="8" t="s">
        <v>16</v>
      </c>
      <c r="G120" s="4" t="s">
        <v>17</v>
      </c>
      <c r="H120" s="4" t="s">
        <v>41</v>
      </c>
    </row>
    <row r="121" spans="1:8" ht="34" customHeight="1">
      <c r="A121" s="4" t="s">
        <v>53</v>
      </c>
      <c r="B121" s="4" t="s">
        <v>39</v>
      </c>
      <c r="C121" s="7">
        <v>8.726666666666667</v>
      </c>
      <c r="D121" s="7">
        <v>9.393333333333333</v>
      </c>
      <c r="E121" s="7">
        <f>IF(AND(ISNUMBER(C121),ISNUMBER(D121)),(D121-C121),"待補")</f>
        <v>0.6666666666666661</v>
      </c>
      <c r="F121" s="8" t="s">
        <v>16</v>
      </c>
      <c r="G121" s="4" t="s">
        <v>17</v>
      </c>
      <c r="H121" s="4" t="s">
        <v>54</v>
      </c>
    </row>
    <row r="122" spans="1:8" ht="34" customHeight="1">
      <c r="A122" s="4" t="s">
        <v>73</v>
      </c>
      <c r="B122" s="4" t="s">
        <v>15</v>
      </c>
      <c r="C122" s="8" t="s">
        <v>16</v>
      </c>
      <c r="D122" s="6">
        <v>7</v>
      </c>
      <c r="E122" s="7" t="str">
        <f>IF(AND(ISNUMBER(C122),ISNUMBER(D122)),(D122-C122),"待補")</f>
        <v>待補</v>
      </c>
      <c r="F122" s="8" t="s">
        <v>16</v>
      </c>
      <c r="G122" s="4" t="s">
        <v>17</v>
      </c>
      <c r="H122" s="4"/>
    </row>
    <row r="123" spans="1:8" ht="34" customHeight="1">
      <c r="A123" s="4" t="s">
        <v>74</v>
      </c>
      <c r="B123" s="4" t="s">
        <v>15</v>
      </c>
      <c r="C123" s="8" t="s">
        <v>16</v>
      </c>
      <c r="D123" s="6">
        <v>7</v>
      </c>
      <c r="E123" s="7" t="str">
        <f>IF(AND(ISNUMBER(C123),ISNUMBER(D123)),(D123-C123),"待補")</f>
        <v>待補</v>
      </c>
      <c r="F123" s="8" t="s">
        <v>16</v>
      </c>
      <c r="G123" s="4" t="s">
        <v>17</v>
      </c>
      <c r="H123" s="4"/>
    </row>
    <row r="124" spans="1:8" ht="34" customHeight="1">
      <c r="A124" s="4" t="s">
        <v>75</v>
      </c>
      <c r="B124" s="4" t="s">
        <v>76</v>
      </c>
      <c r="C124" s="8" t="s">
        <v>16</v>
      </c>
      <c r="D124" s="7">
        <v>0.6933333333333334</v>
      </c>
      <c r="E124" s="7" t="str">
        <f>IF(AND(ISNUMBER(C124),ISNUMBER(D124)),(D124-C124),"待補")</f>
        <v>待補</v>
      </c>
      <c r="F124" s="8" t="s">
        <v>16</v>
      </c>
      <c r="G124" s="4" t="s">
        <v>17</v>
      </c>
      <c r="H124" s="4"/>
    </row>
    <row r="125" spans="1:8">
      <c r="A125" s="4" t="s">
        <v>42</v>
      </c>
      <c r="B125" s="4" t="s">
        <v>15</v>
      </c>
      <c r="D125" s="6">
        <v>7</v>
      </c>
      <c r="H125" s="4" t="s">
        <v>43</v>
      </c>
    </row>
    <row r="126" spans="1:8">
      <c r="A126" s="4" t="s">
        <v>44</v>
      </c>
      <c r="B126" s="4" t="s">
        <v>15</v>
      </c>
      <c r="D126" s="6">
        <v>0</v>
      </c>
      <c r="H126" s="4" t="s">
        <v>43</v>
      </c>
    </row>
    <row r="127" spans="1:8">
      <c r="A127" s="4" t="s">
        <v>45</v>
      </c>
      <c r="B127" s="4" t="s">
        <v>15</v>
      </c>
      <c r="D127" s="6">
        <v>142</v>
      </c>
      <c r="H127" s="4" t="s">
        <v>43</v>
      </c>
    </row>
    <row r="128" spans="1:8">
      <c r="A128" s="4" t="s">
        <v>46</v>
      </c>
      <c r="B128" s="4" t="s">
        <v>25</v>
      </c>
      <c r="C128" s="8" t="s">
        <v>16</v>
      </c>
      <c r="D128" s="8" t="s">
        <v>16</v>
      </c>
      <c r="E128" s="7" t="str">
        <f>IF(AND(ISNUMBER(C128),ISNUMBER(D128)),D128-C128,"待補")</f>
        <v>待補</v>
      </c>
      <c r="F128" s="9" t="str">
        <f>IF(AND(ISNUMBER(C128),ISNUMBER(D128),C128&lt;&gt;0),(C128-D128)/C128,"待補")</f>
        <v>待補</v>
      </c>
      <c r="G128" s="4" t="s">
        <v>77</v>
      </c>
      <c r="H128" s="4" t="s">
        <v>48</v>
      </c>
    </row>
    <row r="129" spans="1:8" ht="34" customHeight="1">
      <c r="A129" s="2" t="s">
        <v>78</v>
      </c>
      <c r="B129" s="2"/>
      <c r="C129" s="2"/>
      <c r="D129" s="2"/>
      <c r="E129" s="2"/>
      <c r="F129" s="2"/>
      <c r="G129" s="2"/>
      <c r="H129" s="2"/>
    </row>
    <row r="132" spans="1:8" ht="28" customHeight="1">
      <c r="A132" s="3" t="s">
        <v>79</v>
      </c>
      <c r="B132" s="3"/>
      <c r="C132" s="3"/>
      <c r="D132" s="3"/>
      <c r="E132" s="3"/>
      <c r="F132" s="3"/>
      <c r="G132" s="3"/>
      <c r="H132" s="3"/>
    </row>
    <row r="133" spans="1:8" ht="40" customHeight="1">
      <c r="A133" s="2" t="s">
        <v>80</v>
      </c>
      <c r="B133" s="2"/>
      <c r="C133" s="2"/>
      <c r="D133" s="2"/>
      <c r="E133" s="2"/>
      <c r="F133" s="2"/>
      <c r="G133" s="2"/>
      <c r="H133" s="2"/>
    </row>
    <row r="134" spans="1:8" ht="40" customHeight="1">
      <c r="A134" s="2" t="s">
        <v>70</v>
      </c>
      <c r="B134" s="2"/>
      <c r="C134" s="2"/>
      <c r="D134" s="2"/>
      <c r="E134" s="2"/>
      <c r="F134" s="2"/>
      <c r="G134" s="2"/>
      <c r="H134" s="2"/>
    </row>
    <row r="135" spans="1:8">
      <c r="A135" s="3" t="s">
        <v>6</v>
      </c>
      <c r="B135" s="3" t="s">
        <v>7</v>
      </c>
      <c r="C135" s="3" t="s">
        <v>8</v>
      </c>
      <c r="D135" s="3" t="s">
        <v>9</v>
      </c>
      <c r="E135" s="3" t="s">
        <v>10</v>
      </c>
      <c r="F135" s="3" t="s">
        <v>11</v>
      </c>
      <c r="G135" s="3" t="s">
        <v>12</v>
      </c>
      <c r="H135" s="3" t="s">
        <v>13</v>
      </c>
    </row>
    <row r="136" spans="1:8" ht="34" customHeight="1">
      <c r="A136" s="4" t="s">
        <v>14</v>
      </c>
      <c r="B136" s="4" t="s">
        <v>15</v>
      </c>
      <c r="C136" s="6">
        <v>150</v>
      </c>
      <c r="D136" s="6">
        <v>150</v>
      </c>
      <c r="E136" s="7">
        <f>IF(AND(ISNUMBER(C136),ISNUMBER(D136)),(D136-C136),"待補")</f>
        <v>0</v>
      </c>
      <c r="F136" s="8" t="s">
        <v>16</v>
      </c>
      <c r="G136" s="4" t="s">
        <v>17</v>
      </c>
      <c r="H136" s="4"/>
    </row>
    <row r="137" spans="1:8" ht="34" customHeight="1">
      <c r="A137" s="4" t="s">
        <v>18</v>
      </c>
      <c r="B137" s="4" t="s">
        <v>15</v>
      </c>
      <c r="C137" s="6">
        <v>142</v>
      </c>
      <c r="D137" s="6">
        <v>149</v>
      </c>
      <c r="E137" s="7">
        <f>IF(AND(ISNUMBER(C137),ISNUMBER(D137)),(D137-C137),"待補")</f>
        <v>7</v>
      </c>
      <c r="F137" s="8" t="s">
        <v>16</v>
      </c>
      <c r="G137" s="4" t="s">
        <v>17</v>
      </c>
      <c r="H137" s="4"/>
    </row>
    <row r="138" spans="1:8" ht="34" customHeight="1">
      <c r="A138" s="4" t="s">
        <v>19</v>
      </c>
      <c r="B138" s="4" t="s">
        <v>20</v>
      </c>
      <c r="C138" s="9">
        <v>0.9466666666666667</v>
      </c>
      <c r="D138" s="9">
        <v>0.9933333333333333</v>
      </c>
      <c r="E138" s="10">
        <f>IF(AND(ISNUMBER(C138),ISNUMBER(D138)),(D138-C138)*100,"待補")</f>
        <v>4.666666666666663</v>
      </c>
      <c r="F138" s="8" t="s">
        <v>16</v>
      </c>
      <c r="G138" s="4" t="s">
        <v>17</v>
      </c>
      <c r="H138" s="4" t="s">
        <v>21</v>
      </c>
    </row>
    <row r="139" spans="1:8" ht="34" customHeight="1">
      <c r="A139" s="4" t="s">
        <v>22</v>
      </c>
      <c r="B139" s="4" t="s">
        <v>15</v>
      </c>
      <c r="C139" s="6">
        <v>0</v>
      </c>
      <c r="D139" s="6">
        <v>0</v>
      </c>
      <c r="E139" s="7">
        <f>IF(AND(ISNUMBER(C139),ISNUMBER(D139)),(D139-C139),"待補")</f>
        <v>0</v>
      </c>
      <c r="F139" s="8" t="s">
        <v>16</v>
      </c>
      <c r="G139" s="4" t="s">
        <v>17</v>
      </c>
      <c r="H139" s="4"/>
    </row>
    <row r="140" spans="1:8" ht="34" customHeight="1">
      <c r="A140" s="4" t="s">
        <v>23</v>
      </c>
      <c r="B140" s="4" t="s">
        <v>15</v>
      </c>
      <c r="C140" s="6">
        <v>7</v>
      </c>
      <c r="D140" s="6">
        <v>0</v>
      </c>
      <c r="E140" s="7">
        <f>IF(AND(ISNUMBER(C140),ISNUMBER(D140)),(D140-C140),"待補")</f>
        <v>-7</v>
      </c>
      <c r="F140" s="8" t="s">
        <v>16</v>
      </c>
      <c r="G140" s="4" t="s">
        <v>17</v>
      </c>
      <c r="H140" s="4"/>
    </row>
    <row r="141" spans="1:8" ht="34" customHeight="1">
      <c r="A141" s="4" t="s">
        <v>24</v>
      </c>
      <c r="B141" s="4" t="s">
        <v>25</v>
      </c>
      <c r="C141" s="8" t="s">
        <v>16</v>
      </c>
      <c r="D141" s="8" t="s">
        <v>16</v>
      </c>
      <c r="E141" s="7" t="str">
        <f>IF(AND(ISNUMBER(C141),ISNUMBER(D141)),(D141-C141),"待補")</f>
        <v>待補</v>
      </c>
      <c r="F141" s="9" t="str">
        <f>IF(AND(ISNUMBER(C141),ISNUMBER(D141),C141&lt;&gt;0),(C141-D141)/C141,"待補")</f>
        <v>待補</v>
      </c>
      <c r="G141" s="4" t="s">
        <v>71</v>
      </c>
      <c r="H141" s="4" t="s">
        <v>27</v>
      </c>
    </row>
    <row r="142" spans="1:8" ht="34" customHeight="1">
      <c r="A142" s="4" t="s">
        <v>29</v>
      </c>
      <c r="B142" s="4" t="s">
        <v>25</v>
      </c>
      <c r="C142" s="8" t="s">
        <v>16</v>
      </c>
      <c r="D142" s="8" t="s">
        <v>16</v>
      </c>
      <c r="E142" s="7" t="str">
        <f>IF(AND(ISNUMBER(C142),ISNUMBER(D142)),(D142-C142),"待補")</f>
        <v>待補</v>
      </c>
      <c r="F142" s="8" t="s">
        <v>16</v>
      </c>
      <c r="G142" s="4" t="s">
        <v>72</v>
      </c>
      <c r="H142" s="4" t="s">
        <v>31</v>
      </c>
    </row>
    <row r="143" spans="1:8" ht="34" customHeight="1">
      <c r="A143" s="4" t="s">
        <v>32</v>
      </c>
      <c r="B143" s="4" t="s">
        <v>33</v>
      </c>
      <c r="C143" s="7">
        <v>0.558572264859021</v>
      </c>
      <c r="D143" s="7">
        <v>0.5649800887009333</v>
      </c>
      <c r="E143" s="7">
        <f>IF(AND(ISNUMBER(C143),ISNUMBER(D143)),(D143-C143),"待補")</f>
        <v>0.006407823841912297</v>
      </c>
      <c r="F143" s="8" t="s">
        <v>16</v>
      </c>
      <c r="G143" s="4" t="s">
        <v>17</v>
      </c>
      <c r="H143" s="4"/>
    </row>
    <row r="144" spans="1:8" ht="34" customHeight="1">
      <c r="A144" s="4" t="s">
        <v>34</v>
      </c>
      <c r="B144" s="4" t="s">
        <v>25</v>
      </c>
      <c r="C144" s="7">
        <v>8.81331026267063</v>
      </c>
      <c r="D144" s="7">
        <v>8.800741542826</v>
      </c>
      <c r="E144" s="7">
        <f>IF(AND(ISNUMBER(C144),ISNUMBER(D144)),(D144-C144),"待補")</f>
        <v>-0.012568719844630039</v>
      </c>
      <c r="F144" s="8" t="s">
        <v>16</v>
      </c>
      <c r="G144" s="4" t="s">
        <v>17</v>
      </c>
      <c r="H144" s="4"/>
    </row>
    <row r="145" spans="1:8" ht="34" customHeight="1">
      <c r="A145" s="4" t="s">
        <v>35</v>
      </c>
      <c r="B145" s="4" t="s">
        <v>36</v>
      </c>
      <c r="C145" s="7">
        <v>3.339194613333333</v>
      </c>
      <c r="D145" s="7">
        <v>3.534308486666667</v>
      </c>
      <c r="E145" s="7">
        <f>IF(AND(ISNUMBER(C145),ISNUMBER(D145)),(D145-C145),"待補")</f>
        <v>0.1951138733333333</v>
      </c>
      <c r="F145" s="9">
        <f>IF(AND(ISNUMBER(C145),ISNUMBER(D145),C145&lt;&gt;0),(C145-D145)/C145,"待補")</f>
        <v>-0.05843141713101948</v>
      </c>
      <c r="G145" s="4" t="s">
        <v>17</v>
      </c>
      <c r="H145" s="4" t="s">
        <v>37</v>
      </c>
    </row>
    <row r="146" spans="1:8" ht="34" customHeight="1">
      <c r="A146" s="4" t="s">
        <v>38</v>
      </c>
      <c r="B146" s="4" t="s">
        <v>39</v>
      </c>
      <c r="C146" s="7">
        <v>9.013333333333334</v>
      </c>
      <c r="D146" s="7">
        <v>9.633333333333333</v>
      </c>
      <c r="E146" s="7">
        <f>IF(AND(ISNUMBER(C146),ISNUMBER(D146)),(D146-C146),"待補")</f>
        <v>0.6199999999999992</v>
      </c>
      <c r="F146" s="8" t="s">
        <v>16</v>
      </c>
      <c r="G146" s="4" t="s">
        <v>17</v>
      </c>
      <c r="H146" s="4"/>
    </row>
    <row r="147" spans="1:8" ht="34" customHeight="1">
      <c r="A147" s="4" t="s">
        <v>40</v>
      </c>
      <c r="B147" s="4" t="s">
        <v>39</v>
      </c>
      <c r="C147" s="7">
        <v>9.013333333333334</v>
      </c>
      <c r="D147" s="7">
        <v>9.633333333333333</v>
      </c>
      <c r="E147" s="7">
        <f>IF(AND(ISNUMBER(C147),ISNUMBER(D147)),(D147-C147),"待補")</f>
        <v>0.6199999999999992</v>
      </c>
      <c r="F147" s="8" t="s">
        <v>16</v>
      </c>
      <c r="G147" s="4" t="s">
        <v>17</v>
      </c>
      <c r="H147" s="4" t="s">
        <v>41</v>
      </c>
    </row>
    <row r="148" spans="1:8" ht="34" customHeight="1">
      <c r="A148" s="4" t="s">
        <v>53</v>
      </c>
      <c r="B148" s="4" t="s">
        <v>39</v>
      </c>
      <c r="C148" s="7">
        <v>8.726666666666667</v>
      </c>
      <c r="D148" s="7">
        <v>9.393333333333333</v>
      </c>
      <c r="E148" s="7">
        <f>IF(AND(ISNUMBER(C148),ISNUMBER(D148)),(D148-C148),"待補")</f>
        <v>0.6666666666666661</v>
      </c>
      <c r="F148" s="8" t="s">
        <v>16</v>
      </c>
      <c r="G148" s="4" t="s">
        <v>17</v>
      </c>
      <c r="H148" s="4" t="s">
        <v>54</v>
      </c>
    </row>
    <row r="149" spans="1:8" ht="34" customHeight="1">
      <c r="A149" s="4" t="s">
        <v>73</v>
      </c>
      <c r="B149" s="4" t="s">
        <v>15</v>
      </c>
      <c r="C149" s="8" t="s">
        <v>16</v>
      </c>
      <c r="D149" s="6">
        <v>7</v>
      </c>
      <c r="E149" s="7" t="str">
        <f>IF(AND(ISNUMBER(C149),ISNUMBER(D149)),(D149-C149),"待補")</f>
        <v>待補</v>
      </c>
      <c r="F149" s="8" t="s">
        <v>16</v>
      </c>
      <c r="G149" s="4" t="s">
        <v>17</v>
      </c>
      <c r="H149" s="4"/>
    </row>
    <row r="150" spans="1:8" ht="34" customHeight="1">
      <c r="A150" s="4" t="s">
        <v>74</v>
      </c>
      <c r="B150" s="4" t="s">
        <v>15</v>
      </c>
      <c r="C150" s="8" t="s">
        <v>16</v>
      </c>
      <c r="D150" s="6">
        <v>7</v>
      </c>
      <c r="E150" s="7" t="str">
        <f>IF(AND(ISNUMBER(C150),ISNUMBER(D150)),(D150-C150),"待補")</f>
        <v>待補</v>
      </c>
      <c r="F150" s="8" t="s">
        <v>16</v>
      </c>
      <c r="G150" s="4" t="s">
        <v>17</v>
      </c>
      <c r="H150" s="4"/>
    </row>
    <row r="151" spans="1:8" ht="34" customHeight="1">
      <c r="A151" s="4" t="s">
        <v>75</v>
      </c>
      <c r="B151" s="4" t="s">
        <v>76</v>
      </c>
      <c r="C151" s="8" t="s">
        <v>16</v>
      </c>
      <c r="D151" s="7">
        <v>0.6733333333333333</v>
      </c>
      <c r="E151" s="7" t="str">
        <f>IF(AND(ISNUMBER(C151),ISNUMBER(D151)),(D151-C151),"待補")</f>
        <v>待補</v>
      </c>
      <c r="F151" s="8" t="s">
        <v>16</v>
      </c>
      <c r="G151" s="4" t="s">
        <v>17</v>
      </c>
      <c r="H151" s="4"/>
    </row>
    <row r="152" spans="1:8">
      <c r="A152" s="4" t="s">
        <v>42</v>
      </c>
      <c r="B152" s="4" t="s">
        <v>15</v>
      </c>
      <c r="D152" s="6">
        <v>7</v>
      </c>
      <c r="H152" s="4" t="s">
        <v>43</v>
      </c>
    </row>
    <row r="153" spans="1:8">
      <c r="A153" s="4" t="s">
        <v>44</v>
      </c>
      <c r="B153" s="4" t="s">
        <v>15</v>
      </c>
      <c r="D153" s="6">
        <v>0</v>
      </c>
      <c r="H153" s="4" t="s">
        <v>43</v>
      </c>
    </row>
    <row r="154" spans="1:8">
      <c r="A154" s="4" t="s">
        <v>45</v>
      </c>
      <c r="B154" s="4" t="s">
        <v>15</v>
      </c>
      <c r="D154" s="6">
        <v>142</v>
      </c>
      <c r="H154" s="4" t="s">
        <v>43</v>
      </c>
    </row>
    <row r="155" spans="1:8">
      <c r="A155" s="4" t="s">
        <v>46</v>
      </c>
      <c r="B155" s="4" t="s">
        <v>25</v>
      </c>
      <c r="C155" s="8" t="s">
        <v>16</v>
      </c>
      <c r="D155" s="8" t="s">
        <v>16</v>
      </c>
      <c r="E155" s="7" t="str">
        <f>IF(AND(ISNUMBER(C155),ISNUMBER(D155)),D155-C155,"待補")</f>
        <v>待補</v>
      </c>
      <c r="F155" s="9" t="str">
        <f>IF(AND(ISNUMBER(C155),ISNUMBER(D155),C155&lt;&gt;0),(C155-D155)/C155,"待補")</f>
        <v>待補</v>
      </c>
      <c r="G155" s="4" t="s">
        <v>77</v>
      </c>
      <c r="H155" s="4" t="s">
        <v>48</v>
      </c>
    </row>
    <row r="156" spans="1:8" ht="34" customHeight="1">
      <c r="A156" s="2" t="s">
        <v>78</v>
      </c>
      <c r="B156" s="2"/>
      <c r="C156" s="2"/>
      <c r="D156" s="2"/>
      <c r="E156" s="2"/>
      <c r="F156" s="2"/>
      <c r="G156" s="2"/>
      <c r="H156" s="2"/>
    </row>
    <row r="159" spans="1:8" ht="28" customHeight="1">
      <c r="A159" s="3" t="s">
        <v>81</v>
      </c>
      <c r="B159" s="3"/>
      <c r="C159" s="3"/>
      <c r="D159" s="3"/>
      <c r="E159" s="3"/>
      <c r="F159" s="3"/>
      <c r="G159" s="3"/>
      <c r="H159" s="3"/>
    </row>
    <row r="160" spans="1:8" ht="40" customHeight="1">
      <c r="A160" s="2" t="s">
        <v>82</v>
      </c>
      <c r="B160" s="2"/>
      <c r="C160" s="2"/>
      <c r="D160" s="2"/>
      <c r="E160" s="2"/>
      <c r="F160" s="2"/>
      <c r="G160" s="2"/>
      <c r="H160" s="2"/>
    </row>
    <row r="161" spans="1:8" ht="40" customHeight="1">
      <c r="A161" s="2" t="s">
        <v>70</v>
      </c>
      <c r="B161" s="2"/>
      <c r="C161" s="2"/>
      <c r="D161" s="2"/>
      <c r="E161" s="2"/>
      <c r="F161" s="2"/>
      <c r="G161" s="2"/>
      <c r="H161" s="2"/>
    </row>
    <row r="162" spans="1:8">
      <c r="A162" s="3" t="s">
        <v>6</v>
      </c>
      <c r="B162" s="3" t="s">
        <v>7</v>
      </c>
      <c r="C162" s="3" t="s">
        <v>8</v>
      </c>
      <c r="D162" s="3" t="s">
        <v>9</v>
      </c>
      <c r="E162" s="3" t="s">
        <v>10</v>
      </c>
      <c r="F162" s="3" t="s">
        <v>11</v>
      </c>
      <c r="G162" s="3" t="s">
        <v>12</v>
      </c>
      <c r="H162" s="3" t="s">
        <v>13</v>
      </c>
    </row>
    <row r="163" spans="1:8" ht="34" customHeight="1">
      <c r="A163" s="4" t="s">
        <v>14</v>
      </c>
      <c r="B163" s="4" t="s">
        <v>15</v>
      </c>
      <c r="C163" s="6">
        <v>150</v>
      </c>
      <c r="D163" s="6">
        <v>150</v>
      </c>
      <c r="E163" s="7">
        <f>IF(AND(ISNUMBER(C163),ISNUMBER(D163)),(D163-C163),"待補")</f>
        <v>0</v>
      </c>
      <c r="F163" s="8" t="s">
        <v>16</v>
      </c>
      <c r="G163" s="4" t="s">
        <v>17</v>
      </c>
      <c r="H163" s="4"/>
    </row>
    <row r="164" spans="1:8" ht="34" customHeight="1">
      <c r="A164" s="4" t="s">
        <v>18</v>
      </c>
      <c r="B164" s="4" t="s">
        <v>15</v>
      </c>
      <c r="C164" s="6">
        <v>142</v>
      </c>
      <c r="D164" s="6">
        <v>150</v>
      </c>
      <c r="E164" s="7">
        <f>IF(AND(ISNUMBER(C164),ISNUMBER(D164)),(D164-C164),"待補")</f>
        <v>8</v>
      </c>
      <c r="F164" s="8" t="s">
        <v>16</v>
      </c>
      <c r="G164" s="4" t="s">
        <v>17</v>
      </c>
      <c r="H164" s="4"/>
    </row>
    <row r="165" spans="1:8" ht="34" customHeight="1">
      <c r="A165" s="4" t="s">
        <v>19</v>
      </c>
      <c r="B165" s="4" t="s">
        <v>20</v>
      </c>
      <c r="C165" s="9">
        <v>0.9466666666666667</v>
      </c>
      <c r="D165" s="9">
        <v>1</v>
      </c>
      <c r="E165" s="10">
        <f>IF(AND(ISNUMBER(C165),ISNUMBER(D165)),(D165-C165)*100,"待補")</f>
        <v>5.333333333333334</v>
      </c>
      <c r="F165" s="8" t="s">
        <v>16</v>
      </c>
      <c r="G165" s="4" t="s">
        <v>17</v>
      </c>
      <c r="H165" s="4" t="s">
        <v>21</v>
      </c>
    </row>
    <row r="166" spans="1:8" ht="34" customHeight="1">
      <c r="A166" s="4" t="s">
        <v>22</v>
      </c>
      <c r="B166" s="4" t="s">
        <v>15</v>
      </c>
      <c r="C166" s="6">
        <v>0</v>
      </c>
      <c r="D166" s="6">
        <v>0</v>
      </c>
      <c r="E166" s="7">
        <f>IF(AND(ISNUMBER(C166),ISNUMBER(D166)),(D166-C166),"待補")</f>
        <v>0</v>
      </c>
      <c r="F166" s="8" t="s">
        <v>16</v>
      </c>
      <c r="G166" s="4" t="s">
        <v>17</v>
      </c>
      <c r="H166" s="4"/>
    </row>
    <row r="167" spans="1:8" ht="34" customHeight="1">
      <c r="A167" s="4" t="s">
        <v>23</v>
      </c>
      <c r="B167" s="4" t="s">
        <v>15</v>
      </c>
      <c r="C167" s="6">
        <v>7</v>
      </c>
      <c r="D167" s="6">
        <v>0</v>
      </c>
      <c r="E167" s="7">
        <f>IF(AND(ISNUMBER(C167),ISNUMBER(D167)),(D167-C167),"待補")</f>
        <v>-7</v>
      </c>
      <c r="F167" s="8" t="s">
        <v>16</v>
      </c>
      <c r="G167" s="4" t="s">
        <v>17</v>
      </c>
      <c r="H167" s="4"/>
    </row>
    <row r="168" spans="1:8" ht="34" customHeight="1">
      <c r="A168" s="4" t="s">
        <v>24</v>
      </c>
      <c r="B168" s="4" t="s">
        <v>25</v>
      </c>
      <c r="C168" s="8" t="s">
        <v>16</v>
      </c>
      <c r="D168" s="8" t="s">
        <v>16</v>
      </c>
      <c r="E168" s="7" t="str">
        <f>IF(AND(ISNUMBER(C168),ISNUMBER(D168)),(D168-C168),"待補")</f>
        <v>待補</v>
      </c>
      <c r="F168" s="9" t="str">
        <f>IF(AND(ISNUMBER(C168),ISNUMBER(D168),C168&lt;&gt;0),(C168-D168)/C168,"待補")</f>
        <v>待補</v>
      </c>
      <c r="G168" s="4" t="s">
        <v>71</v>
      </c>
      <c r="H168" s="4" t="s">
        <v>27</v>
      </c>
    </row>
    <row r="169" spans="1:8" ht="34" customHeight="1">
      <c r="A169" s="4" t="s">
        <v>29</v>
      </c>
      <c r="B169" s="4" t="s">
        <v>25</v>
      </c>
      <c r="C169" s="8" t="s">
        <v>16</v>
      </c>
      <c r="D169" s="8" t="s">
        <v>16</v>
      </c>
      <c r="E169" s="7" t="str">
        <f>IF(AND(ISNUMBER(C169),ISNUMBER(D169)),(D169-C169),"待補")</f>
        <v>待補</v>
      </c>
      <c r="F169" s="8" t="s">
        <v>16</v>
      </c>
      <c r="G169" s="4" t="s">
        <v>83</v>
      </c>
      <c r="H169" s="4" t="s">
        <v>31</v>
      </c>
    </row>
    <row r="170" spans="1:8" ht="34" customHeight="1">
      <c r="A170" s="4" t="s">
        <v>32</v>
      </c>
      <c r="B170" s="4" t="s">
        <v>33</v>
      </c>
      <c r="C170" s="7">
        <v>0.558572264859021</v>
      </c>
      <c r="D170" s="7">
        <v>0.4986502334957333</v>
      </c>
      <c r="E170" s="7">
        <f>IF(AND(ISNUMBER(C170),ISNUMBER(D170)),(D170-C170),"待補")</f>
        <v>-0.059922031363287664</v>
      </c>
      <c r="F170" s="8" t="s">
        <v>16</v>
      </c>
      <c r="G170" s="4" t="s">
        <v>17</v>
      </c>
      <c r="H170" s="4"/>
    </row>
    <row r="171" spans="1:8" ht="34" customHeight="1">
      <c r="A171" s="4" t="s">
        <v>34</v>
      </c>
      <c r="B171" s="4" t="s">
        <v>25</v>
      </c>
      <c r="C171" s="7">
        <v>8.81331026267063</v>
      </c>
      <c r="D171" s="7">
        <v>6.935170038972667</v>
      </c>
      <c r="E171" s="7">
        <f>IF(AND(ISNUMBER(C171),ISNUMBER(D171)),(D171-C171),"待補")</f>
        <v>-1.8781402236979625</v>
      </c>
      <c r="F171" s="8" t="s">
        <v>16</v>
      </c>
      <c r="G171" s="4" t="s">
        <v>17</v>
      </c>
      <c r="H171" s="4"/>
    </row>
    <row r="172" spans="1:8" ht="34" customHeight="1">
      <c r="A172" s="4" t="s">
        <v>35</v>
      </c>
      <c r="B172" s="4" t="s">
        <v>36</v>
      </c>
      <c r="C172" s="7">
        <v>3.339194613333333</v>
      </c>
      <c r="D172" s="7">
        <v>4.437351153333333</v>
      </c>
      <c r="E172" s="7">
        <f>IF(AND(ISNUMBER(C172),ISNUMBER(D172)),(D172-C172),"待補")</f>
        <v>1.0981565399999997</v>
      </c>
      <c r="F172" s="9">
        <f>IF(AND(ISNUMBER(C172),ISNUMBER(D172),C172&lt;&gt;0),(C172-D172)/C172,"待補")</f>
        <v>-0.32886868456695634</v>
      </c>
      <c r="G172" s="4" t="s">
        <v>17</v>
      </c>
      <c r="H172" s="4" t="s">
        <v>37</v>
      </c>
    </row>
    <row r="173" spans="1:8" ht="34" customHeight="1">
      <c r="A173" s="4" t="s">
        <v>38</v>
      </c>
      <c r="B173" s="4" t="s">
        <v>39</v>
      </c>
      <c r="C173" s="7">
        <v>9.013333333333334</v>
      </c>
      <c r="D173" s="7">
        <v>11.55333333333333</v>
      </c>
      <c r="E173" s="7">
        <f>IF(AND(ISNUMBER(C173),ISNUMBER(D173)),(D173-C173),"待補")</f>
        <v>2.539999999999999</v>
      </c>
      <c r="F173" s="8" t="s">
        <v>16</v>
      </c>
      <c r="G173" s="4" t="s">
        <v>17</v>
      </c>
      <c r="H173" s="4"/>
    </row>
    <row r="174" spans="1:8" ht="34" customHeight="1">
      <c r="A174" s="4" t="s">
        <v>40</v>
      </c>
      <c r="B174" s="4" t="s">
        <v>39</v>
      </c>
      <c r="C174" s="7">
        <v>9.013333333333334</v>
      </c>
      <c r="D174" s="7">
        <v>11.55333333333333</v>
      </c>
      <c r="E174" s="7">
        <f>IF(AND(ISNUMBER(C174),ISNUMBER(D174)),(D174-C174),"待補")</f>
        <v>2.539999999999999</v>
      </c>
      <c r="F174" s="8" t="s">
        <v>16</v>
      </c>
      <c r="G174" s="4" t="s">
        <v>17</v>
      </c>
      <c r="H174" s="4" t="s">
        <v>41</v>
      </c>
    </row>
    <row r="175" spans="1:8" ht="34" customHeight="1">
      <c r="A175" s="4" t="s">
        <v>53</v>
      </c>
      <c r="B175" s="4" t="s">
        <v>39</v>
      </c>
      <c r="C175" s="7">
        <v>8.726666666666667</v>
      </c>
      <c r="D175" s="7">
        <v>11.30666666666667</v>
      </c>
      <c r="E175" s="7">
        <f>IF(AND(ISNUMBER(C175),ISNUMBER(D175)),(D175-C175),"待補")</f>
        <v>2.58</v>
      </c>
      <c r="F175" s="8" t="s">
        <v>16</v>
      </c>
      <c r="G175" s="4" t="s">
        <v>17</v>
      </c>
      <c r="H175" s="4" t="s">
        <v>54</v>
      </c>
    </row>
    <row r="176" spans="1:8" ht="34" customHeight="1">
      <c r="A176" s="4" t="s">
        <v>73</v>
      </c>
      <c r="B176" s="4" t="s">
        <v>15</v>
      </c>
      <c r="C176" s="8" t="s">
        <v>16</v>
      </c>
      <c r="D176" s="6">
        <v>31</v>
      </c>
      <c r="E176" s="7" t="str">
        <f>IF(AND(ISNUMBER(C176),ISNUMBER(D176)),(D176-C176),"待補")</f>
        <v>待補</v>
      </c>
      <c r="F176" s="8" t="s">
        <v>16</v>
      </c>
      <c r="G176" s="4" t="s">
        <v>17</v>
      </c>
      <c r="H176" s="4"/>
    </row>
    <row r="177" spans="1:8" ht="34" customHeight="1">
      <c r="A177" s="4" t="s">
        <v>74</v>
      </c>
      <c r="B177" s="4" t="s">
        <v>15</v>
      </c>
      <c r="C177" s="8" t="s">
        <v>16</v>
      </c>
      <c r="D177" s="6">
        <v>31</v>
      </c>
      <c r="E177" s="7" t="str">
        <f>IF(AND(ISNUMBER(C177),ISNUMBER(D177)),(D177-C177),"待補")</f>
        <v>待補</v>
      </c>
      <c r="F177" s="8" t="s">
        <v>16</v>
      </c>
      <c r="G177" s="4" t="s">
        <v>17</v>
      </c>
      <c r="H177" s="4"/>
    </row>
    <row r="178" spans="1:8" ht="34" customHeight="1">
      <c r="A178" s="4" t="s">
        <v>75</v>
      </c>
      <c r="B178" s="4" t="s">
        <v>76</v>
      </c>
      <c r="C178" s="8" t="s">
        <v>16</v>
      </c>
      <c r="D178" s="7">
        <v>3.26</v>
      </c>
      <c r="E178" s="7" t="str">
        <f>IF(AND(ISNUMBER(C178),ISNUMBER(D178)),(D178-C178),"待補")</f>
        <v>待補</v>
      </c>
      <c r="F178" s="8" t="s">
        <v>16</v>
      </c>
      <c r="G178" s="4" t="s">
        <v>17</v>
      </c>
      <c r="H178" s="4"/>
    </row>
    <row r="179" spans="1:8">
      <c r="A179" s="4" t="s">
        <v>42</v>
      </c>
      <c r="B179" s="4" t="s">
        <v>15</v>
      </c>
      <c r="D179" s="6">
        <v>8</v>
      </c>
      <c r="H179" s="4" t="s">
        <v>43</v>
      </c>
    </row>
    <row r="180" spans="1:8">
      <c r="A180" s="4" t="s">
        <v>44</v>
      </c>
      <c r="B180" s="4" t="s">
        <v>15</v>
      </c>
      <c r="D180" s="6">
        <v>0</v>
      </c>
      <c r="H180" s="4" t="s">
        <v>43</v>
      </c>
    </row>
    <row r="181" spans="1:8">
      <c r="A181" s="4" t="s">
        <v>45</v>
      </c>
      <c r="B181" s="4" t="s">
        <v>15</v>
      </c>
      <c r="D181" s="6">
        <v>142</v>
      </c>
      <c r="H181" s="4" t="s">
        <v>43</v>
      </c>
    </row>
    <row r="182" spans="1:8">
      <c r="A182" s="4" t="s">
        <v>46</v>
      </c>
      <c r="B182" s="4" t="s">
        <v>25</v>
      </c>
      <c r="C182" s="8" t="s">
        <v>16</v>
      </c>
      <c r="D182" s="8" t="s">
        <v>16</v>
      </c>
      <c r="E182" s="7" t="str">
        <f>IF(AND(ISNUMBER(C182),ISNUMBER(D182)),D182-C182,"待補")</f>
        <v>待補</v>
      </c>
      <c r="F182" s="9" t="str">
        <f>IF(AND(ISNUMBER(C182),ISNUMBER(D182),C182&lt;&gt;0),(C182-D182)/C182,"待補")</f>
        <v>待補</v>
      </c>
      <c r="G182" s="4" t="s">
        <v>77</v>
      </c>
      <c r="H182" s="4" t="s">
        <v>48</v>
      </c>
    </row>
    <row r="183" spans="1:8" ht="34" customHeight="1">
      <c r="A183" s="2" t="s">
        <v>78</v>
      </c>
      <c r="B183" s="2"/>
      <c r="C183" s="2"/>
      <c r="D183" s="2"/>
      <c r="E183" s="2"/>
      <c r="F183" s="2"/>
      <c r="G183" s="2"/>
      <c r="H183" s="2"/>
    </row>
    <row r="186" spans="1:8" ht="28" customHeight="1">
      <c r="A186" s="3" t="s">
        <v>84</v>
      </c>
      <c r="B186" s="3"/>
      <c r="C186" s="3"/>
      <c r="D186" s="3"/>
      <c r="E186" s="3"/>
      <c r="F186" s="3"/>
      <c r="G186" s="3"/>
      <c r="H186" s="3"/>
    </row>
    <row r="187" spans="1:8" ht="40" customHeight="1">
      <c r="A187" s="2" t="s">
        <v>85</v>
      </c>
      <c r="B187" s="2"/>
      <c r="C187" s="2"/>
      <c r="D187" s="2"/>
      <c r="E187" s="2"/>
      <c r="F187" s="2"/>
      <c r="G187" s="2"/>
      <c r="H187" s="2"/>
    </row>
    <row r="188" spans="1:8" ht="40" customHeight="1">
      <c r="A188" s="2" t="s">
        <v>86</v>
      </c>
      <c r="B188" s="2"/>
      <c r="C188" s="2"/>
      <c r="D188" s="2"/>
      <c r="E188" s="2"/>
      <c r="F188" s="2"/>
      <c r="G188" s="2"/>
      <c r="H188" s="2"/>
    </row>
    <row r="189" spans="1:8">
      <c r="A189" s="3" t="s">
        <v>6</v>
      </c>
      <c r="B189" s="3" t="s">
        <v>7</v>
      </c>
      <c r="C189" s="3" t="s">
        <v>8</v>
      </c>
      <c r="D189" s="3" t="s">
        <v>9</v>
      </c>
      <c r="E189" s="3" t="s">
        <v>10</v>
      </c>
      <c r="F189" s="3" t="s">
        <v>11</v>
      </c>
      <c r="G189" s="3" t="s">
        <v>12</v>
      </c>
      <c r="H189" s="3" t="s">
        <v>13</v>
      </c>
    </row>
    <row r="190" spans="1:8" ht="34" customHeight="1">
      <c r="A190" s="4" t="s">
        <v>14</v>
      </c>
      <c r="B190" s="4" t="s">
        <v>15</v>
      </c>
      <c r="C190" s="6">
        <v>150</v>
      </c>
      <c r="D190" s="6">
        <v>150</v>
      </c>
      <c r="E190" s="7">
        <f>IF(AND(ISNUMBER(C190),ISNUMBER(D190)),(D190-C190),"待補")</f>
        <v>0</v>
      </c>
      <c r="F190" s="8" t="s">
        <v>16</v>
      </c>
      <c r="G190" s="4" t="s">
        <v>17</v>
      </c>
      <c r="H190" s="4"/>
    </row>
    <row r="191" spans="1:8" ht="34" customHeight="1">
      <c r="A191" s="4" t="s">
        <v>18</v>
      </c>
      <c r="B191" s="4" t="s">
        <v>15</v>
      </c>
      <c r="C191" s="6">
        <v>149</v>
      </c>
      <c r="D191" s="6">
        <v>150</v>
      </c>
      <c r="E191" s="7">
        <f>IF(AND(ISNUMBER(C191),ISNUMBER(D191)),(D191-C191),"待補")</f>
        <v>1</v>
      </c>
      <c r="F191" s="8" t="s">
        <v>16</v>
      </c>
      <c r="G191" s="4" t="s">
        <v>17</v>
      </c>
      <c r="H191" s="4"/>
    </row>
    <row r="192" spans="1:8" ht="34" customHeight="1">
      <c r="A192" s="4" t="s">
        <v>19</v>
      </c>
      <c r="B192" s="4" t="s">
        <v>20</v>
      </c>
      <c r="C192" s="9">
        <v>0.9933333333333333</v>
      </c>
      <c r="D192" s="9">
        <v>1</v>
      </c>
      <c r="E192" s="10">
        <f>IF(AND(ISNUMBER(C192),ISNUMBER(D192)),(D192-C192)*100,"待補")</f>
        <v>0.666666666666671</v>
      </c>
      <c r="F192" s="8" t="s">
        <v>16</v>
      </c>
      <c r="G192" s="4" t="s">
        <v>17</v>
      </c>
      <c r="H192" s="4" t="s">
        <v>21</v>
      </c>
    </row>
    <row r="193" spans="1:8" ht="34" customHeight="1">
      <c r="A193" s="4" t="s">
        <v>22</v>
      </c>
      <c r="B193" s="4" t="s">
        <v>15</v>
      </c>
      <c r="C193" s="6">
        <v>0</v>
      </c>
      <c r="D193" s="6">
        <v>0</v>
      </c>
      <c r="E193" s="7">
        <f>IF(AND(ISNUMBER(C193),ISNUMBER(D193)),(D193-C193),"待補")</f>
        <v>0</v>
      </c>
      <c r="F193" s="8" t="s">
        <v>16</v>
      </c>
      <c r="G193" s="4" t="s">
        <v>17</v>
      </c>
      <c r="H193" s="4"/>
    </row>
    <row r="194" spans="1:8" ht="34" customHeight="1">
      <c r="A194" s="4" t="s">
        <v>23</v>
      </c>
      <c r="B194" s="4" t="s">
        <v>15</v>
      </c>
      <c r="C194" s="6">
        <v>0</v>
      </c>
      <c r="D194" s="6">
        <v>0</v>
      </c>
      <c r="E194" s="7">
        <f>IF(AND(ISNUMBER(C194),ISNUMBER(D194)),(D194-C194),"待補")</f>
        <v>0</v>
      </c>
      <c r="F194" s="8" t="s">
        <v>16</v>
      </c>
      <c r="G194" s="4" t="s">
        <v>17</v>
      </c>
      <c r="H194" s="4"/>
    </row>
    <row r="195" spans="1:8" ht="34" customHeight="1">
      <c r="A195" s="4" t="s">
        <v>24</v>
      </c>
      <c r="B195" s="4" t="s">
        <v>25</v>
      </c>
      <c r="C195" s="8" t="s">
        <v>16</v>
      </c>
      <c r="D195" s="8" t="s">
        <v>16</v>
      </c>
      <c r="E195" s="7" t="str">
        <f>IF(AND(ISNUMBER(C195),ISNUMBER(D195)),(D195-C195),"待補")</f>
        <v>待補</v>
      </c>
      <c r="F195" s="9" t="str">
        <f>IF(AND(ISNUMBER(C195),ISNUMBER(D195),C195&lt;&gt;0),(C195-D195)/C195,"待補")</f>
        <v>待補</v>
      </c>
      <c r="G195" s="4" t="s">
        <v>71</v>
      </c>
      <c r="H195" s="4" t="s">
        <v>27</v>
      </c>
    </row>
    <row r="196" spans="1:8" ht="34" customHeight="1">
      <c r="A196" s="4" t="s">
        <v>29</v>
      </c>
      <c r="B196" s="4" t="s">
        <v>25</v>
      </c>
      <c r="C196" s="8" t="s">
        <v>16</v>
      </c>
      <c r="D196" s="8" t="s">
        <v>16</v>
      </c>
      <c r="E196" s="7" t="str">
        <f>IF(AND(ISNUMBER(C196),ISNUMBER(D196)),(D196-C196),"待補")</f>
        <v>待補</v>
      </c>
      <c r="F196" s="8" t="s">
        <v>16</v>
      </c>
      <c r="G196" s="4" t="s">
        <v>87</v>
      </c>
      <c r="H196" s="4" t="s">
        <v>31</v>
      </c>
    </row>
    <row r="197" spans="1:8" ht="34" customHeight="1">
      <c r="A197" s="4" t="s">
        <v>32</v>
      </c>
      <c r="B197" s="4" t="s">
        <v>33</v>
      </c>
      <c r="C197" s="7">
        <v>0.5649800887009333</v>
      </c>
      <c r="D197" s="7">
        <v>0.4986502334957333</v>
      </c>
      <c r="E197" s="7">
        <f>IF(AND(ISNUMBER(C197),ISNUMBER(D197)),(D197-C197),"待補")</f>
        <v>-0.06632985520519996</v>
      </c>
      <c r="F197" s="8" t="s">
        <v>16</v>
      </c>
      <c r="G197" s="4" t="s">
        <v>17</v>
      </c>
      <c r="H197" s="4"/>
    </row>
    <row r="198" spans="1:8" ht="34" customHeight="1">
      <c r="A198" s="4" t="s">
        <v>34</v>
      </c>
      <c r="B198" s="4" t="s">
        <v>25</v>
      </c>
      <c r="C198" s="7">
        <v>8.800741542826</v>
      </c>
      <c r="D198" s="7">
        <v>6.935170038972667</v>
      </c>
      <c r="E198" s="7">
        <f>IF(AND(ISNUMBER(C198),ISNUMBER(D198)),(D198-C198),"待補")</f>
        <v>-1.8655715038533325</v>
      </c>
      <c r="F198" s="8" t="s">
        <v>16</v>
      </c>
      <c r="G198" s="4" t="s">
        <v>17</v>
      </c>
      <c r="H198" s="4"/>
    </row>
    <row r="199" spans="1:8" ht="34" customHeight="1">
      <c r="A199" s="4" t="s">
        <v>35</v>
      </c>
      <c r="B199" s="4" t="s">
        <v>36</v>
      </c>
      <c r="C199" s="7">
        <v>3.534308486666667</v>
      </c>
      <c r="D199" s="7">
        <v>4.437351153333333</v>
      </c>
      <c r="E199" s="7">
        <f>IF(AND(ISNUMBER(C199),ISNUMBER(D199)),(D199-C199),"待補")</f>
        <v>0.9030426666666664</v>
      </c>
      <c r="F199" s="9">
        <f>IF(AND(ISNUMBER(C199),ISNUMBER(D199),C199&lt;&gt;0),(C199-D199)/C199,"待補")</f>
        <v>-0.2555075964855457</v>
      </c>
      <c r="G199" s="4" t="s">
        <v>17</v>
      </c>
      <c r="H199" s="4" t="s">
        <v>37</v>
      </c>
    </row>
    <row r="200" spans="1:8" ht="34" customHeight="1">
      <c r="A200" s="4" t="s">
        <v>38</v>
      </c>
      <c r="B200" s="4" t="s">
        <v>39</v>
      </c>
      <c r="C200" s="7">
        <v>9.633333333333333</v>
      </c>
      <c r="D200" s="7">
        <v>11.55333333333333</v>
      </c>
      <c r="E200" s="7">
        <f>IF(AND(ISNUMBER(C200),ISNUMBER(D200)),(D200-C200),"待補")</f>
        <v>1.92</v>
      </c>
      <c r="F200" s="8" t="s">
        <v>16</v>
      </c>
      <c r="G200" s="4" t="s">
        <v>17</v>
      </c>
      <c r="H200" s="4"/>
    </row>
    <row r="201" spans="1:8" ht="34" customHeight="1">
      <c r="A201" s="4" t="s">
        <v>40</v>
      </c>
      <c r="B201" s="4" t="s">
        <v>39</v>
      </c>
      <c r="C201" s="7">
        <v>9.633333333333333</v>
      </c>
      <c r="D201" s="7">
        <v>11.55333333333333</v>
      </c>
      <c r="E201" s="7">
        <f>IF(AND(ISNUMBER(C201),ISNUMBER(D201)),(D201-C201),"待補")</f>
        <v>1.92</v>
      </c>
      <c r="F201" s="8" t="s">
        <v>16</v>
      </c>
      <c r="G201" s="4" t="s">
        <v>17</v>
      </c>
      <c r="H201" s="4" t="s">
        <v>41</v>
      </c>
    </row>
    <row r="202" spans="1:8" ht="34" customHeight="1">
      <c r="A202" s="4" t="s">
        <v>53</v>
      </c>
      <c r="B202" s="4" t="s">
        <v>39</v>
      </c>
      <c r="C202" s="7">
        <v>9.393333333333333</v>
      </c>
      <c r="D202" s="7">
        <v>11.30666666666667</v>
      </c>
      <c r="E202" s="7">
        <f>IF(AND(ISNUMBER(C202),ISNUMBER(D202)),(D202-C202),"待補")</f>
        <v>1.913333333333334</v>
      </c>
      <c r="F202" s="8" t="s">
        <v>16</v>
      </c>
      <c r="G202" s="4" t="s">
        <v>17</v>
      </c>
      <c r="H202" s="4" t="s">
        <v>54</v>
      </c>
    </row>
    <row r="203" spans="1:8" ht="34" customHeight="1">
      <c r="A203" s="4" t="s">
        <v>73</v>
      </c>
      <c r="B203" s="4" t="s">
        <v>15</v>
      </c>
      <c r="C203" s="6">
        <v>7</v>
      </c>
      <c r="D203" s="6">
        <v>31</v>
      </c>
      <c r="E203" s="7">
        <f>IF(AND(ISNUMBER(C203),ISNUMBER(D203)),(D203-C203),"待補")</f>
        <v>24</v>
      </c>
      <c r="F203" s="8" t="s">
        <v>16</v>
      </c>
      <c r="G203" s="4" t="s">
        <v>17</v>
      </c>
      <c r="H203" s="4"/>
    </row>
    <row r="204" spans="1:8" ht="34" customHeight="1">
      <c r="A204" s="4" t="s">
        <v>74</v>
      </c>
      <c r="B204" s="4" t="s">
        <v>15</v>
      </c>
      <c r="C204" s="6">
        <v>7</v>
      </c>
      <c r="D204" s="6">
        <v>31</v>
      </c>
      <c r="E204" s="7">
        <f>IF(AND(ISNUMBER(C204),ISNUMBER(D204)),(D204-C204),"待補")</f>
        <v>24</v>
      </c>
      <c r="F204" s="8" t="s">
        <v>16</v>
      </c>
      <c r="G204" s="4" t="s">
        <v>17</v>
      </c>
      <c r="H204" s="4"/>
    </row>
    <row r="205" spans="1:8" ht="34" customHeight="1">
      <c r="A205" s="4" t="s">
        <v>75</v>
      </c>
      <c r="B205" s="4" t="s">
        <v>76</v>
      </c>
      <c r="C205" s="7">
        <v>0.6733333333333333</v>
      </c>
      <c r="D205" s="7">
        <v>3.26</v>
      </c>
      <c r="E205" s="7">
        <f>IF(AND(ISNUMBER(C205),ISNUMBER(D205)),(D205-C205),"待補")</f>
        <v>2.5866666666666664</v>
      </c>
      <c r="F205" s="8" t="s">
        <v>16</v>
      </c>
      <c r="G205" s="4" t="s">
        <v>17</v>
      </c>
      <c r="H205" s="4"/>
    </row>
    <row r="206" spans="1:8">
      <c r="A206" s="4" t="s">
        <v>42</v>
      </c>
      <c r="B206" s="4" t="s">
        <v>15</v>
      </c>
      <c r="D206" s="6">
        <v>1</v>
      </c>
      <c r="H206" s="4" t="s">
        <v>43</v>
      </c>
    </row>
    <row r="207" spans="1:8">
      <c r="A207" s="4" t="s">
        <v>44</v>
      </c>
      <c r="B207" s="4" t="s">
        <v>15</v>
      </c>
      <c r="D207" s="6">
        <v>0</v>
      </c>
      <c r="H207" s="4" t="s">
        <v>43</v>
      </c>
    </row>
    <row r="208" spans="1:8">
      <c r="A208" s="4" t="s">
        <v>45</v>
      </c>
      <c r="B208" s="4" t="s">
        <v>15</v>
      </c>
      <c r="D208" s="6">
        <v>149</v>
      </c>
      <c r="H208" s="4" t="s">
        <v>43</v>
      </c>
    </row>
    <row r="209" spans="1:8">
      <c r="A209" s="4" t="s">
        <v>46</v>
      </c>
      <c r="B209" s="4" t="s">
        <v>25</v>
      </c>
      <c r="C209" s="8" t="s">
        <v>16</v>
      </c>
      <c r="D209" s="8" t="s">
        <v>16</v>
      </c>
      <c r="E209" s="7" t="str">
        <f>IF(AND(ISNUMBER(C209),ISNUMBER(D209)),D209-C209,"待補")</f>
        <v>待補</v>
      </c>
      <c r="F209" s="9" t="str">
        <f>IF(AND(ISNUMBER(C209),ISNUMBER(D209),C209&lt;&gt;0),(C209-D209)/C209,"待補")</f>
        <v>待補</v>
      </c>
      <c r="G209" s="4" t="s">
        <v>88</v>
      </c>
      <c r="H209" s="4" t="s">
        <v>48</v>
      </c>
    </row>
    <row r="210" spans="1:8" ht="34" customHeight="1">
      <c r="A210" s="2" t="s">
        <v>89</v>
      </c>
      <c r="B210" s="2"/>
      <c r="C210" s="2"/>
      <c r="D210" s="2"/>
      <c r="E210" s="2"/>
      <c r="F210" s="2"/>
      <c r="G210" s="2"/>
      <c r="H210" s="2"/>
    </row>
    <row r="213" spans="1:8" ht="28" customHeight="1">
      <c r="A213" s="3" t="s">
        <v>90</v>
      </c>
      <c r="B213" s="3"/>
      <c r="C213" s="3"/>
      <c r="D213" s="3"/>
      <c r="E213" s="3"/>
      <c r="F213" s="3"/>
      <c r="G213" s="3"/>
      <c r="H213" s="3"/>
    </row>
    <row r="214" spans="1:8" ht="40" customHeight="1">
      <c r="A214" s="2" t="s">
        <v>91</v>
      </c>
      <c r="B214" s="2"/>
      <c r="C214" s="2"/>
      <c r="D214" s="2"/>
      <c r="E214" s="2"/>
      <c r="F214" s="2"/>
      <c r="G214" s="2"/>
      <c r="H214" s="2"/>
    </row>
    <row r="215" spans="1:8" ht="40" customHeight="1">
      <c r="A215" s="2" t="s">
        <v>92</v>
      </c>
      <c r="B215" s="2"/>
      <c r="C215" s="2"/>
      <c r="D215" s="2"/>
      <c r="E215" s="2"/>
      <c r="F215" s="2"/>
      <c r="G215" s="2"/>
      <c r="H215" s="2"/>
    </row>
    <row r="216" spans="1:8">
      <c r="A216" s="3" t="s">
        <v>6</v>
      </c>
      <c r="B216" s="3" t="s">
        <v>7</v>
      </c>
      <c r="C216" s="3" t="s">
        <v>8</v>
      </c>
      <c r="D216" s="3" t="s">
        <v>9</v>
      </c>
      <c r="E216" s="3" t="s">
        <v>10</v>
      </c>
      <c r="F216" s="3" t="s">
        <v>11</v>
      </c>
      <c r="G216" s="3" t="s">
        <v>12</v>
      </c>
      <c r="H216" s="3" t="s">
        <v>13</v>
      </c>
    </row>
    <row r="217" spans="1:8" ht="34" customHeight="1">
      <c r="A217" s="4" t="s">
        <v>14</v>
      </c>
      <c r="B217" s="4" t="s">
        <v>15</v>
      </c>
      <c r="C217" s="6">
        <v>150</v>
      </c>
      <c r="D217" s="6">
        <v>150</v>
      </c>
      <c r="E217" s="7">
        <f>IF(AND(ISNUMBER(C217),ISNUMBER(D217)),(D217-C217),"待補")</f>
        <v>0</v>
      </c>
      <c r="F217" s="8" t="s">
        <v>16</v>
      </c>
      <c r="G217" s="4" t="s">
        <v>17</v>
      </c>
      <c r="H217" s="4"/>
    </row>
    <row r="218" spans="1:8" ht="34" customHeight="1">
      <c r="A218" s="4" t="s">
        <v>18</v>
      </c>
      <c r="B218" s="4" t="s">
        <v>15</v>
      </c>
      <c r="C218" s="6">
        <v>149</v>
      </c>
      <c r="D218" s="6">
        <v>149</v>
      </c>
      <c r="E218" s="7">
        <f>IF(AND(ISNUMBER(C218),ISNUMBER(D218)),(D218-C218),"待補")</f>
        <v>0</v>
      </c>
      <c r="F218" s="8" t="s">
        <v>16</v>
      </c>
      <c r="G218" s="4" t="s">
        <v>17</v>
      </c>
      <c r="H218" s="4"/>
    </row>
    <row r="219" spans="1:8" ht="34" customHeight="1">
      <c r="A219" s="4" t="s">
        <v>19</v>
      </c>
      <c r="B219" s="4" t="s">
        <v>20</v>
      </c>
      <c r="C219" s="9">
        <v>0.9933333333333333</v>
      </c>
      <c r="D219" s="9">
        <v>0.9933333333333333</v>
      </c>
      <c r="E219" s="10">
        <f>IF(AND(ISNUMBER(C219),ISNUMBER(D219)),(D219-C219)*100,"待補")</f>
        <v>0.0</v>
      </c>
      <c r="F219" s="8" t="s">
        <v>16</v>
      </c>
      <c r="G219" s="4" t="s">
        <v>17</v>
      </c>
      <c r="H219" s="4" t="s">
        <v>21</v>
      </c>
    </row>
    <row r="220" spans="1:8" ht="34" customHeight="1">
      <c r="A220" s="4" t="s">
        <v>22</v>
      </c>
      <c r="B220" s="4" t="s">
        <v>15</v>
      </c>
      <c r="C220" s="6">
        <v>0</v>
      </c>
      <c r="D220" s="6">
        <v>0</v>
      </c>
      <c r="E220" s="7">
        <f>IF(AND(ISNUMBER(C220),ISNUMBER(D220)),(D220-C220),"待補")</f>
        <v>0</v>
      </c>
      <c r="F220" s="8" t="s">
        <v>16</v>
      </c>
      <c r="G220" s="4" t="s">
        <v>17</v>
      </c>
      <c r="H220" s="4"/>
    </row>
    <row r="221" spans="1:8" ht="34" customHeight="1">
      <c r="A221" s="4" t="s">
        <v>23</v>
      </c>
      <c r="B221" s="4" t="s">
        <v>15</v>
      </c>
      <c r="C221" s="6">
        <v>0</v>
      </c>
      <c r="D221" s="6">
        <v>0</v>
      </c>
      <c r="E221" s="7">
        <f>IF(AND(ISNUMBER(C221),ISNUMBER(D221)),(D221-C221),"待補")</f>
        <v>0</v>
      </c>
      <c r="F221" s="8" t="s">
        <v>16</v>
      </c>
      <c r="G221" s="4" t="s">
        <v>17</v>
      </c>
      <c r="H221" s="4"/>
    </row>
    <row r="222" spans="1:8" ht="34" customHeight="1">
      <c r="A222" s="4" t="s">
        <v>24</v>
      </c>
      <c r="B222" s="4" t="s">
        <v>25</v>
      </c>
      <c r="C222" s="8" t="s">
        <v>16</v>
      </c>
      <c r="D222" s="8" t="s">
        <v>16</v>
      </c>
      <c r="E222" s="7" t="str">
        <f>IF(AND(ISNUMBER(C222),ISNUMBER(D222)),(D222-C222),"待補")</f>
        <v>待補</v>
      </c>
      <c r="F222" s="9" t="str">
        <f>IF(AND(ISNUMBER(C222),ISNUMBER(D222),C222&lt;&gt;0),(C222-D222)/C222,"待補")</f>
        <v>待補</v>
      </c>
      <c r="G222" s="4" t="s">
        <v>71</v>
      </c>
      <c r="H222" s="4" t="s">
        <v>27</v>
      </c>
    </row>
    <row r="223" spans="1:8" ht="34" customHeight="1">
      <c r="A223" s="4" t="s">
        <v>29</v>
      </c>
      <c r="B223" s="4" t="s">
        <v>25</v>
      </c>
      <c r="C223" s="8" t="s">
        <v>16</v>
      </c>
      <c r="D223" s="8" t="s">
        <v>16</v>
      </c>
      <c r="E223" s="7" t="str">
        <f>IF(AND(ISNUMBER(C223),ISNUMBER(D223)),(D223-C223),"待補")</f>
        <v>待補</v>
      </c>
      <c r="F223" s="8" t="s">
        <v>16</v>
      </c>
      <c r="G223" s="4" t="s">
        <v>93</v>
      </c>
      <c r="H223" s="4" t="s">
        <v>31</v>
      </c>
    </row>
    <row r="224" spans="1:8" ht="34" customHeight="1">
      <c r="A224" s="4" t="s">
        <v>32</v>
      </c>
      <c r="B224" s="4" t="s">
        <v>33</v>
      </c>
      <c r="C224" s="7">
        <v>0.5653175907302667</v>
      </c>
      <c r="D224" s="7">
        <v>0.5649800887009333</v>
      </c>
      <c r="E224" s="7">
        <f>IF(AND(ISNUMBER(C224),ISNUMBER(D224)),(D224-C224),"待補")</f>
        <v>-0.0003375020293333586</v>
      </c>
      <c r="F224" s="8" t="s">
        <v>16</v>
      </c>
      <c r="G224" s="4" t="s">
        <v>17</v>
      </c>
      <c r="H224" s="4"/>
    </row>
    <row r="225" spans="1:8" ht="34" customHeight="1">
      <c r="A225" s="4" t="s">
        <v>34</v>
      </c>
      <c r="B225" s="4" t="s">
        <v>25</v>
      </c>
      <c r="C225" s="7">
        <v>8.811307107432667</v>
      </c>
      <c r="D225" s="7">
        <v>8.800741542826</v>
      </c>
      <c r="E225" s="7">
        <f>IF(AND(ISNUMBER(C225),ISNUMBER(D225)),(D225-C225),"待補")</f>
        <v>-0.01056556460666691</v>
      </c>
      <c r="F225" s="8" t="s">
        <v>16</v>
      </c>
      <c r="G225" s="4" t="s">
        <v>17</v>
      </c>
      <c r="H225" s="4"/>
    </row>
    <row r="226" spans="1:8" ht="34" customHeight="1">
      <c r="A226" s="4" t="s">
        <v>35</v>
      </c>
      <c r="B226" s="4" t="s">
        <v>36</v>
      </c>
      <c r="C226" s="7">
        <v>4.109072266666667</v>
      </c>
      <c r="D226" s="7">
        <v>3.534308486666667</v>
      </c>
      <c r="E226" s="7">
        <f>IF(AND(ISNUMBER(C226),ISNUMBER(D226)),(D226-C226),"待補")</f>
        <v>-0.5747637800000001</v>
      </c>
      <c r="F226" s="9">
        <f>IF(AND(ISNUMBER(C226),ISNUMBER(D226),C226&lt;&gt;0),(C226-D226)/C226,"待補")</f>
        <v>0.1398767757536316</v>
      </c>
      <c r="G226" s="4" t="s">
        <v>17</v>
      </c>
      <c r="H226" s="4" t="s">
        <v>37</v>
      </c>
    </row>
    <row r="227" spans="1:8" ht="34" customHeight="1">
      <c r="A227" s="4" t="s">
        <v>38</v>
      </c>
      <c r="B227" s="4" t="s">
        <v>39</v>
      </c>
      <c r="C227" s="7">
        <v>9.653333333333334</v>
      </c>
      <c r="D227" s="7">
        <v>9.633333333333333</v>
      </c>
      <c r="E227" s="7">
        <f>IF(AND(ISNUMBER(C227),ISNUMBER(D227)),(D227-C227),"待補")</f>
        <v>-0.02000000000000135</v>
      </c>
      <c r="F227" s="8" t="s">
        <v>16</v>
      </c>
      <c r="G227" s="4" t="s">
        <v>17</v>
      </c>
      <c r="H227" s="4"/>
    </row>
    <row r="228" spans="1:8" ht="34" customHeight="1">
      <c r="A228" s="4" t="s">
        <v>40</v>
      </c>
      <c r="B228" s="4" t="s">
        <v>39</v>
      </c>
      <c r="C228" s="7">
        <v>9.653333333333334</v>
      </c>
      <c r="D228" s="7">
        <v>9.633333333333333</v>
      </c>
      <c r="E228" s="7">
        <f>IF(AND(ISNUMBER(C228),ISNUMBER(D228)),(D228-C228),"待補")</f>
        <v>-0.02000000000000135</v>
      </c>
      <c r="F228" s="8" t="s">
        <v>16</v>
      </c>
      <c r="G228" s="4" t="s">
        <v>17</v>
      </c>
      <c r="H228" s="4" t="s">
        <v>41</v>
      </c>
    </row>
    <row r="229" spans="1:8" ht="34" customHeight="1">
      <c r="A229" s="4" t="s">
        <v>53</v>
      </c>
      <c r="B229" s="4" t="s">
        <v>39</v>
      </c>
      <c r="C229" s="7">
        <v>9.393333333333333</v>
      </c>
      <c r="D229" s="7">
        <v>9.393333333333333</v>
      </c>
      <c r="E229" s="7">
        <f>IF(AND(ISNUMBER(C229),ISNUMBER(D229)),(D229-C229),"待補")</f>
        <v>0.0</v>
      </c>
      <c r="F229" s="8" t="s">
        <v>16</v>
      </c>
      <c r="G229" s="4" t="s">
        <v>17</v>
      </c>
      <c r="H229" s="4" t="s">
        <v>54</v>
      </c>
    </row>
    <row r="230" spans="1:8" ht="34" customHeight="1">
      <c r="A230" s="4" t="s">
        <v>73</v>
      </c>
      <c r="B230" s="4" t="s">
        <v>15</v>
      </c>
      <c r="C230" s="6">
        <v>7</v>
      </c>
      <c r="D230" s="6">
        <v>7</v>
      </c>
      <c r="E230" s="7">
        <f>IF(AND(ISNUMBER(C230),ISNUMBER(D230)),(D230-C230),"待補")</f>
        <v>0</v>
      </c>
      <c r="F230" s="8" t="s">
        <v>16</v>
      </c>
      <c r="G230" s="4" t="s">
        <v>17</v>
      </c>
      <c r="H230" s="4"/>
    </row>
    <row r="231" spans="1:8" ht="34" customHeight="1">
      <c r="A231" s="4" t="s">
        <v>74</v>
      </c>
      <c r="B231" s="4" t="s">
        <v>15</v>
      </c>
      <c r="C231" s="6">
        <v>7</v>
      </c>
      <c r="D231" s="6">
        <v>7</v>
      </c>
      <c r="E231" s="7">
        <f>IF(AND(ISNUMBER(C231),ISNUMBER(D231)),(D231-C231),"待補")</f>
        <v>0</v>
      </c>
      <c r="F231" s="8" t="s">
        <v>16</v>
      </c>
      <c r="G231" s="4" t="s">
        <v>17</v>
      </c>
      <c r="H231" s="4"/>
    </row>
    <row r="232" spans="1:8" ht="34" customHeight="1">
      <c r="A232" s="4" t="s">
        <v>75</v>
      </c>
      <c r="B232" s="4" t="s">
        <v>76</v>
      </c>
      <c r="C232" s="7">
        <v>0.6933333333333334</v>
      </c>
      <c r="D232" s="7">
        <v>0.6733333333333333</v>
      </c>
      <c r="E232" s="7">
        <f>IF(AND(ISNUMBER(C232),ISNUMBER(D232)),(D232-C232),"待補")</f>
        <v>-0.020000000000000018</v>
      </c>
      <c r="F232" s="8" t="s">
        <v>16</v>
      </c>
      <c r="G232" s="4" t="s">
        <v>17</v>
      </c>
      <c r="H232" s="4"/>
    </row>
    <row r="233" spans="1:8">
      <c r="A233" s="4" t="s">
        <v>42</v>
      </c>
      <c r="B233" s="4" t="s">
        <v>15</v>
      </c>
      <c r="D233" s="6">
        <v>0</v>
      </c>
      <c r="H233" s="4" t="s">
        <v>43</v>
      </c>
    </row>
    <row r="234" spans="1:8">
      <c r="A234" s="4" t="s">
        <v>44</v>
      </c>
      <c r="B234" s="4" t="s">
        <v>15</v>
      </c>
      <c r="D234" s="6">
        <v>0</v>
      </c>
      <c r="H234" s="4" t="s">
        <v>43</v>
      </c>
    </row>
    <row r="235" spans="1:8">
      <c r="A235" s="4" t="s">
        <v>45</v>
      </c>
      <c r="B235" s="4" t="s">
        <v>15</v>
      </c>
      <c r="D235" s="6">
        <v>149</v>
      </c>
      <c r="H235" s="4" t="s">
        <v>43</v>
      </c>
    </row>
    <row r="236" spans="1:8">
      <c r="A236" s="4" t="s">
        <v>46</v>
      </c>
      <c r="B236" s="4" t="s">
        <v>25</v>
      </c>
      <c r="C236" s="8" t="s">
        <v>16</v>
      </c>
      <c r="D236" s="8" t="s">
        <v>16</v>
      </c>
      <c r="E236" s="7" t="str">
        <f>IF(AND(ISNUMBER(C236),ISNUMBER(D236)),D236-C236,"待補")</f>
        <v>待補</v>
      </c>
      <c r="F236" s="9" t="str">
        <f>IF(AND(ISNUMBER(C236),ISNUMBER(D236),C236&lt;&gt;0),(C236-D236)/C236,"待補")</f>
        <v>待補</v>
      </c>
      <c r="G236" s="4" t="s">
        <v>88</v>
      </c>
      <c r="H236" s="4" t="s">
        <v>48</v>
      </c>
    </row>
    <row r="237" spans="1:8" ht="34" customHeight="1">
      <c r="A237" s="2" t="s">
        <v>94</v>
      </c>
      <c r="B237" s="2"/>
      <c r="C237" s="2"/>
      <c r="D237" s="2"/>
      <c r="E237" s="2"/>
      <c r="F237" s="2"/>
      <c r="G237" s="2"/>
      <c r="H237" s="2"/>
    </row>
    <row r="240" spans="1:8" ht="28" customHeight="1">
      <c r="A240" s="3" t="s">
        <v>95</v>
      </c>
      <c r="B240" s="3"/>
      <c r="C240" s="3"/>
      <c r="D240" s="3"/>
      <c r="E240" s="3"/>
      <c r="F240" s="3"/>
      <c r="G240" s="3"/>
      <c r="H240" s="3"/>
    </row>
    <row r="241" spans="1:8" ht="40" customHeight="1">
      <c r="A241" s="2" t="s">
        <v>96</v>
      </c>
      <c r="B241" s="2"/>
      <c r="C241" s="2"/>
      <c r="D241" s="2"/>
      <c r="E241" s="2"/>
      <c r="F241" s="2"/>
      <c r="G241" s="2"/>
      <c r="H241" s="2"/>
    </row>
    <row r="242" spans="1:8" ht="40" customHeight="1">
      <c r="A242" s="2" t="s">
        <v>97</v>
      </c>
      <c r="B242" s="2"/>
      <c r="C242" s="2"/>
      <c r="D242" s="2"/>
      <c r="E242" s="2"/>
      <c r="F242" s="2"/>
      <c r="G242" s="2"/>
      <c r="H242" s="2"/>
    </row>
    <row r="243" spans="1:8">
      <c r="A243" s="3" t="s">
        <v>6</v>
      </c>
      <c r="B243" s="3" t="s">
        <v>7</v>
      </c>
      <c r="C243" s="3" t="s">
        <v>8</v>
      </c>
      <c r="D243" s="3" t="s">
        <v>9</v>
      </c>
      <c r="E243" s="3" t="s">
        <v>10</v>
      </c>
      <c r="F243" s="3" t="s">
        <v>11</v>
      </c>
      <c r="G243" s="3" t="s">
        <v>12</v>
      </c>
      <c r="H243" s="3" t="s">
        <v>13</v>
      </c>
    </row>
    <row r="244" spans="1:8" ht="34" customHeight="1">
      <c r="A244" s="4" t="s">
        <v>14</v>
      </c>
      <c r="B244" s="4" t="s">
        <v>15</v>
      </c>
      <c r="C244" s="6">
        <v>150</v>
      </c>
      <c r="D244" s="6">
        <v>150</v>
      </c>
      <c r="E244" s="7">
        <f>IF(AND(ISNUMBER(C244),ISNUMBER(D244)),(D244-C244),"待補")</f>
        <v>0</v>
      </c>
      <c r="F244" s="8" t="s">
        <v>16</v>
      </c>
      <c r="G244" s="4" t="s">
        <v>17</v>
      </c>
      <c r="H244" s="4"/>
    </row>
    <row r="245" spans="1:8" ht="34" customHeight="1">
      <c r="A245" s="4" t="s">
        <v>18</v>
      </c>
      <c r="B245" s="4" t="s">
        <v>15</v>
      </c>
      <c r="C245" s="6">
        <v>139</v>
      </c>
      <c r="D245" s="6">
        <v>147</v>
      </c>
      <c r="E245" s="7">
        <f>IF(AND(ISNUMBER(C245),ISNUMBER(D245)),(D245-C245),"待補")</f>
        <v>8</v>
      </c>
      <c r="F245" s="8" t="s">
        <v>16</v>
      </c>
      <c r="G245" s="4" t="s">
        <v>17</v>
      </c>
      <c r="H245" s="4"/>
    </row>
    <row r="246" spans="1:8" ht="34" customHeight="1">
      <c r="A246" s="4" t="s">
        <v>19</v>
      </c>
      <c r="B246" s="4" t="s">
        <v>20</v>
      </c>
      <c r="C246" s="9">
        <v>0.9266666666666666</v>
      </c>
      <c r="D246" s="9">
        <v>0.98</v>
      </c>
      <c r="E246" s="10">
        <f>IF(AND(ISNUMBER(C246),ISNUMBER(D246)),(D246-C246)*100,"待補")</f>
        <v>5.333333333333334</v>
      </c>
      <c r="F246" s="8" t="s">
        <v>16</v>
      </c>
      <c r="G246" s="4" t="s">
        <v>17</v>
      </c>
      <c r="H246" s="4" t="s">
        <v>21</v>
      </c>
    </row>
    <row r="247" spans="1:8" ht="34" customHeight="1">
      <c r="A247" s="4" t="s">
        <v>22</v>
      </c>
      <c r="B247" s="4" t="s">
        <v>15</v>
      </c>
      <c r="C247" s="6">
        <v>144</v>
      </c>
      <c r="D247" s="6">
        <v>150</v>
      </c>
      <c r="E247" s="7">
        <f>IF(AND(ISNUMBER(C247),ISNUMBER(D247)),(D247-C247),"待補")</f>
        <v>6</v>
      </c>
      <c r="F247" s="8" t="s">
        <v>16</v>
      </c>
      <c r="G247" s="4" t="s">
        <v>17</v>
      </c>
      <c r="H247" s="4"/>
    </row>
    <row r="248" spans="1:8" ht="34" customHeight="1">
      <c r="A248" s="4" t="s">
        <v>23</v>
      </c>
      <c r="B248" s="4" t="s">
        <v>15</v>
      </c>
      <c r="C248" s="6">
        <v>6</v>
      </c>
      <c r="D248" s="6">
        <v>0</v>
      </c>
      <c r="E248" s="7">
        <f>IF(AND(ISNUMBER(C248),ISNUMBER(D248)),(D248-C248),"待補")</f>
        <v>-6</v>
      </c>
      <c r="F248" s="8" t="s">
        <v>16</v>
      </c>
      <c r="G248" s="4" t="s">
        <v>17</v>
      </c>
      <c r="H248" s="4"/>
    </row>
    <row r="249" spans="1:8" ht="34" customHeight="1">
      <c r="A249" s="4" t="s">
        <v>24</v>
      </c>
      <c r="B249" s="4" t="s">
        <v>25</v>
      </c>
      <c r="C249" s="7">
        <v>9.668555238701389</v>
      </c>
      <c r="D249" s="7">
        <v>8.550230531646667</v>
      </c>
      <c r="E249" s="7">
        <f>IF(AND(ISNUMBER(C249),ISNUMBER(D249)),(D249-C249),"待補")</f>
        <v>-1.1183247070547218</v>
      </c>
      <c r="F249" s="8" t="s">
        <v>16</v>
      </c>
      <c r="G249" s="4" t="s">
        <v>98</v>
      </c>
      <c r="H249" s="4" t="s">
        <v>27</v>
      </c>
    </row>
    <row r="250" spans="1:8" ht="34" customHeight="1">
      <c r="A250" s="4" t="s">
        <v>28</v>
      </c>
      <c r="B250" s="4" t="s">
        <v>25</v>
      </c>
      <c r="C250" s="7">
        <v>7.746650747</v>
      </c>
      <c r="D250" s="7">
        <v>7.1485240685</v>
      </c>
      <c r="E250" s="7">
        <f>IF(AND(ISNUMBER(C250),ISNUMBER(D250)),(D250-C250),"待補")</f>
        <v>-0.5981266784999999</v>
      </c>
      <c r="F250" s="8" t="s">
        <v>16</v>
      </c>
      <c r="G250" s="4" t="s">
        <v>98</v>
      </c>
      <c r="H250" s="4" t="s">
        <v>27</v>
      </c>
    </row>
    <row r="251" spans="1:8" ht="34" customHeight="1">
      <c r="A251" s="4" t="s">
        <v>29</v>
      </c>
      <c r="B251" s="4" t="s">
        <v>25</v>
      </c>
      <c r="C251" s="7">
        <v>9.217266443043165</v>
      </c>
      <c r="D251" s="7">
        <v>8.294339606646259</v>
      </c>
      <c r="E251" s="7">
        <f>IF(AND(ISNUMBER(C251),ISNUMBER(D251)),(D251-C251),"待補")</f>
        <v>-0.9229268363969059</v>
      </c>
      <c r="F251" s="8" t="s">
        <v>16</v>
      </c>
      <c r="G251" s="4" t="s">
        <v>99</v>
      </c>
      <c r="H251" s="4" t="s">
        <v>31</v>
      </c>
    </row>
    <row r="252" spans="1:8" ht="34" customHeight="1">
      <c r="A252" s="4" t="s">
        <v>32</v>
      </c>
      <c r="B252" s="4" t="s">
        <v>33</v>
      </c>
      <c r="C252" s="7">
        <v>0.6738593961185416</v>
      </c>
      <c r="D252" s="7">
        <v>0.5945752559207333</v>
      </c>
      <c r="E252" s="7">
        <f>IF(AND(ISNUMBER(C252),ISNUMBER(D252)),(D252-C252),"待補")</f>
        <v>-0.07928414019780827</v>
      </c>
      <c r="F252" s="8" t="s">
        <v>16</v>
      </c>
      <c r="G252" s="4" t="s">
        <v>17</v>
      </c>
      <c r="H252" s="4"/>
    </row>
    <row r="253" spans="1:8" ht="34" customHeight="1">
      <c r="A253" s="4" t="s">
        <v>34</v>
      </c>
      <c r="B253" s="4" t="s">
        <v>25</v>
      </c>
      <c r="C253" s="7">
        <v>8.370785688179167</v>
      </c>
      <c r="D253" s="7">
        <v>7.421670950218667</v>
      </c>
      <c r="E253" s="7">
        <f>IF(AND(ISNUMBER(C253),ISNUMBER(D253)),(D253-C253),"待補")</f>
        <v>-0.9491147379604996</v>
      </c>
      <c r="F253" s="8" t="s">
        <v>16</v>
      </c>
      <c r="G253" s="4" t="s">
        <v>17</v>
      </c>
      <c r="H253" s="4"/>
    </row>
    <row r="254" spans="1:8" ht="34" customHeight="1">
      <c r="A254" s="4" t="s">
        <v>35</v>
      </c>
      <c r="B254" s="4" t="s">
        <v>36</v>
      </c>
      <c r="C254" s="7">
        <v>3.37804984</v>
      </c>
      <c r="D254" s="7">
        <v>4.71547284</v>
      </c>
      <c r="E254" s="7">
        <f>IF(AND(ISNUMBER(C254),ISNUMBER(D254)),(D254-C254),"待補")</f>
        <v>1.3374230000000003</v>
      </c>
      <c r="F254" s="9">
        <f>IF(AND(ISNUMBER(C254),ISNUMBER(D254),C254&lt;&gt;0),(C254-D254)/C254,"待補")</f>
        <v>-0.3959157097575565</v>
      </c>
      <c r="G254" s="4" t="s">
        <v>17</v>
      </c>
      <c r="H254" s="4" t="s">
        <v>37</v>
      </c>
    </row>
    <row r="255" spans="1:8" ht="34" customHeight="1">
      <c r="A255" s="4" t="s">
        <v>38</v>
      </c>
      <c r="B255" s="4" t="s">
        <v>39</v>
      </c>
      <c r="C255" s="7">
        <v>8.52</v>
      </c>
      <c r="D255" s="7">
        <v>11.19333333333333</v>
      </c>
      <c r="E255" s="7">
        <f>IF(AND(ISNUMBER(C255),ISNUMBER(D255)),(D255-C255),"待補")</f>
        <v>2.673333333333334</v>
      </c>
      <c r="F255" s="8" t="s">
        <v>16</v>
      </c>
      <c r="G255" s="4" t="s">
        <v>17</v>
      </c>
      <c r="H255" s="4"/>
    </row>
    <row r="256" spans="1:8" ht="34" customHeight="1">
      <c r="A256" s="4" t="s">
        <v>40</v>
      </c>
      <c r="B256" s="4" t="s">
        <v>39</v>
      </c>
      <c r="C256" s="7">
        <v>8.52</v>
      </c>
      <c r="D256" s="7">
        <v>11.18666666666667</v>
      </c>
      <c r="E256" s="7">
        <f>IF(AND(ISNUMBER(C256),ISNUMBER(D256)),(D256-C256),"待補")</f>
        <v>2.666666666666668</v>
      </c>
      <c r="F256" s="8" t="s">
        <v>16</v>
      </c>
      <c r="G256" s="4" t="s">
        <v>17</v>
      </c>
      <c r="H256" s="4" t="s">
        <v>41</v>
      </c>
    </row>
    <row r="257" spans="1:8" ht="34" customHeight="1">
      <c r="A257" s="4" t="s">
        <v>73</v>
      </c>
      <c r="B257" s="4" t="s">
        <v>15</v>
      </c>
      <c r="C257" s="8" t="s">
        <v>16</v>
      </c>
      <c r="D257" s="6">
        <v>31</v>
      </c>
      <c r="E257" s="7" t="str">
        <f>IF(AND(ISNUMBER(C257),ISNUMBER(D257)),(D257-C257),"待補")</f>
        <v>待補</v>
      </c>
      <c r="F257" s="8" t="s">
        <v>16</v>
      </c>
      <c r="G257" s="4" t="s">
        <v>17</v>
      </c>
      <c r="H257" s="4"/>
    </row>
    <row r="258" spans="1:8" ht="34" customHeight="1">
      <c r="A258" s="4" t="s">
        <v>74</v>
      </c>
      <c r="B258" s="4" t="s">
        <v>15</v>
      </c>
      <c r="C258" s="8" t="s">
        <v>16</v>
      </c>
      <c r="D258" s="6">
        <v>31</v>
      </c>
      <c r="E258" s="7" t="str">
        <f>IF(AND(ISNUMBER(C258),ISNUMBER(D258)),(D258-C258),"待補")</f>
        <v>待補</v>
      </c>
      <c r="F258" s="8" t="s">
        <v>16</v>
      </c>
      <c r="G258" s="4" t="s">
        <v>17</v>
      </c>
      <c r="H258" s="4"/>
    </row>
    <row r="259" spans="1:8" ht="34" customHeight="1">
      <c r="A259" s="4" t="s">
        <v>75</v>
      </c>
      <c r="B259" s="4" t="s">
        <v>76</v>
      </c>
      <c r="C259" s="8" t="s">
        <v>16</v>
      </c>
      <c r="D259" s="7">
        <v>3.473333333333333</v>
      </c>
      <c r="E259" s="7" t="str">
        <f>IF(AND(ISNUMBER(C259),ISNUMBER(D259)),(D259-C259),"待補")</f>
        <v>待補</v>
      </c>
      <c r="F259" s="8" t="s">
        <v>16</v>
      </c>
      <c r="G259" s="4" t="s">
        <v>17</v>
      </c>
      <c r="H259" s="4"/>
    </row>
    <row r="260" spans="1:8">
      <c r="A260" s="4" t="s">
        <v>42</v>
      </c>
      <c r="B260" s="4" t="s">
        <v>15</v>
      </c>
      <c r="D260" s="6">
        <v>8</v>
      </c>
      <c r="H260" s="4" t="s">
        <v>43</v>
      </c>
    </row>
    <row r="261" spans="1:8">
      <c r="A261" s="4" t="s">
        <v>44</v>
      </c>
      <c r="B261" s="4" t="s">
        <v>15</v>
      </c>
      <c r="D261" s="6">
        <v>0</v>
      </c>
      <c r="H261" s="4" t="s">
        <v>43</v>
      </c>
    </row>
    <row r="262" spans="1:8">
      <c r="A262" s="4" t="s">
        <v>45</v>
      </c>
      <c r="B262" s="4" t="s">
        <v>15</v>
      </c>
      <c r="D262" s="6">
        <v>139</v>
      </c>
      <c r="H262" s="4" t="s">
        <v>43</v>
      </c>
    </row>
    <row r="263" spans="1:8">
      <c r="A263" s="4" t="s">
        <v>46</v>
      </c>
      <c r="B263" s="4" t="s">
        <v>25</v>
      </c>
      <c r="C263" s="7">
        <v>9.217266443043165</v>
      </c>
      <c r="D263" s="7">
        <v>8.231530958395684</v>
      </c>
      <c r="E263" s="7">
        <f>IF(AND(ISNUMBER(C263),ISNUMBER(D263)),D263-C263,"待補")</f>
        <v>-0.985735484647482</v>
      </c>
      <c r="F263" s="9">
        <f>IF(AND(ISNUMBER(C263),ISNUMBER(D263),C263&lt;&gt;0),(C263-D263)/C263,"待補")</f>
        <v>0.10694444939166067</v>
      </c>
      <c r="G263" s="4" t="s">
        <v>100</v>
      </c>
      <c r="H263" s="4" t="s">
        <v>48</v>
      </c>
    </row>
    <row r="264" spans="1:8" ht="34" customHeight="1">
      <c r="A264" s="2" t="s">
        <v>101</v>
      </c>
      <c r="B264" s="2"/>
      <c r="C264" s="2"/>
      <c r="D264" s="2"/>
      <c r="E264" s="2"/>
      <c r="F264" s="2"/>
      <c r="G264" s="2"/>
      <c r="H264" s="2"/>
    </row>
    <row r="267" spans="1:8" ht="28" customHeight="1">
      <c r="A267" s="3" t="s">
        <v>102</v>
      </c>
      <c r="B267" s="3"/>
      <c r="C267" s="3"/>
      <c r="D267" s="3"/>
      <c r="E267" s="3"/>
      <c r="F267" s="3"/>
      <c r="G267" s="3"/>
      <c r="H267" s="3"/>
    </row>
    <row r="268" spans="1:8" ht="40" customHeight="1">
      <c r="A268" s="2" t="s">
        <v>96</v>
      </c>
      <c r="B268" s="2"/>
      <c r="C268" s="2"/>
      <c r="D268" s="2"/>
      <c r="E268" s="2"/>
      <c r="F268" s="2"/>
      <c r="G268" s="2"/>
      <c r="H268" s="2"/>
    </row>
    <row r="269" spans="1:8" ht="40" customHeight="1">
      <c r="A269" s="2" t="s">
        <v>97</v>
      </c>
      <c r="B269" s="2"/>
      <c r="C269" s="2"/>
      <c r="D269" s="2"/>
      <c r="E269" s="2"/>
      <c r="F269" s="2"/>
      <c r="G269" s="2"/>
      <c r="H269" s="2"/>
    </row>
    <row r="270" spans="1:8">
      <c r="A270" s="3" t="s">
        <v>6</v>
      </c>
      <c r="B270" s="3" t="s">
        <v>7</v>
      </c>
      <c r="C270" s="3" t="s">
        <v>8</v>
      </c>
      <c r="D270" s="3" t="s">
        <v>9</v>
      </c>
      <c r="E270" s="3" t="s">
        <v>10</v>
      </c>
      <c r="F270" s="3" t="s">
        <v>11</v>
      </c>
      <c r="G270" s="3" t="s">
        <v>12</v>
      </c>
      <c r="H270" s="3" t="s">
        <v>13</v>
      </c>
    </row>
    <row r="271" spans="1:8" ht="34" customHeight="1">
      <c r="A271" s="4" t="s">
        <v>14</v>
      </c>
      <c r="B271" s="4" t="s">
        <v>15</v>
      </c>
      <c r="C271" s="6">
        <v>150</v>
      </c>
      <c r="D271" s="6">
        <v>150</v>
      </c>
      <c r="E271" s="7">
        <f>IF(AND(ISNUMBER(C271),ISNUMBER(D271)),(D271-C271),"待補")</f>
        <v>0</v>
      </c>
      <c r="F271" s="8" t="s">
        <v>16</v>
      </c>
      <c r="G271" s="4" t="s">
        <v>17</v>
      </c>
      <c r="H271" s="4"/>
    </row>
    <row r="272" spans="1:8" ht="34" customHeight="1">
      <c r="A272" s="4" t="s">
        <v>18</v>
      </c>
      <c r="B272" s="4" t="s">
        <v>15</v>
      </c>
      <c r="C272" s="6">
        <v>142</v>
      </c>
      <c r="D272" s="6">
        <v>150</v>
      </c>
      <c r="E272" s="7">
        <f>IF(AND(ISNUMBER(C272),ISNUMBER(D272)),(D272-C272),"待補")</f>
        <v>8</v>
      </c>
      <c r="F272" s="8" t="s">
        <v>16</v>
      </c>
      <c r="G272" s="4" t="s">
        <v>17</v>
      </c>
      <c r="H272" s="4"/>
    </row>
    <row r="273" spans="1:8" ht="34" customHeight="1">
      <c r="A273" s="4" t="s">
        <v>19</v>
      </c>
      <c r="B273" s="4" t="s">
        <v>20</v>
      </c>
      <c r="C273" s="9">
        <v>0.9466666666666667</v>
      </c>
      <c r="D273" s="9">
        <v>1</v>
      </c>
      <c r="E273" s="10">
        <f>IF(AND(ISNUMBER(C273),ISNUMBER(D273)),(D273-C273)*100,"待補")</f>
        <v>5.333333333333334</v>
      </c>
      <c r="F273" s="8" t="s">
        <v>16</v>
      </c>
      <c r="G273" s="4" t="s">
        <v>17</v>
      </c>
      <c r="H273" s="4" t="s">
        <v>21</v>
      </c>
    </row>
    <row r="274" spans="1:8" ht="34" customHeight="1">
      <c r="A274" s="4" t="s">
        <v>22</v>
      </c>
      <c r="B274" s="4" t="s">
        <v>15</v>
      </c>
      <c r="C274" s="6">
        <v>144</v>
      </c>
      <c r="D274" s="6">
        <v>150</v>
      </c>
      <c r="E274" s="7">
        <f>IF(AND(ISNUMBER(C274),ISNUMBER(D274)),(D274-C274),"待補")</f>
        <v>6</v>
      </c>
      <c r="F274" s="8" t="s">
        <v>16</v>
      </c>
      <c r="G274" s="4" t="s">
        <v>17</v>
      </c>
      <c r="H274" s="4"/>
    </row>
    <row r="275" spans="1:8" ht="34" customHeight="1">
      <c r="A275" s="4" t="s">
        <v>23</v>
      </c>
      <c r="B275" s="4" t="s">
        <v>15</v>
      </c>
      <c r="C275" s="6">
        <v>6</v>
      </c>
      <c r="D275" s="6">
        <v>0</v>
      </c>
      <c r="E275" s="7">
        <f>IF(AND(ISNUMBER(C275),ISNUMBER(D275)),(D275-C275),"待補")</f>
        <v>-6</v>
      </c>
      <c r="F275" s="8" t="s">
        <v>16</v>
      </c>
      <c r="G275" s="4" t="s">
        <v>17</v>
      </c>
      <c r="H275" s="4"/>
    </row>
    <row r="276" spans="1:8" ht="34" customHeight="1">
      <c r="A276" s="4" t="s">
        <v>24</v>
      </c>
      <c r="B276" s="4" t="s">
        <v>25</v>
      </c>
      <c r="C276" s="7">
        <v>8.830391584368055</v>
      </c>
      <c r="D276" s="7">
        <v>7.615434894646667</v>
      </c>
      <c r="E276" s="7">
        <f>IF(AND(ISNUMBER(C276),ISNUMBER(D276)),(D276-C276),"待補")</f>
        <v>-1.2149566897213884</v>
      </c>
      <c r="F276" s="8" t="s">
        <v>16</v>
      </c>
      <c r="G276" s="4" t="s">
        <v>98</v>
      </c>
      <c r="H276" s="4" t="s">
        <v>27</v>
      </c>
    </row>
    <row r="277" spans="1:8" ht="34" customHeight="1">
      <c r="A277" s="4" t="s">
        <v>28</v>
      </c>
      <c r="B277" s="4" t="s">
        <v>25</v>
      </c>
      <c r="C277" s="7">
        <v>6.888411246</v>
      </c>
      <c r="D277" s="7">
        <v>6.36536409</v>
      </c>
      <c r="E277" s="7">
        <f>IF(AND(ISNUMBER(C277),ISNUMBER(D277)),(D277-C277),"待補")</f>
        <v>-0.5230471560000005</v>
      </c>
      <c r="F277" s="8" t="s">
        <v>16</v>
      </c>
      <c r="G277" s="4" t="s">
        <v>98</v>
      </c>
      <c r="H277" s="4" t="s">
        <v>27</v>
      </c>
    </row>
    <row r="278" spans="1:8" ht="34" customHeight="1">
      <c r="A278" s="4" t="s">
        <v>29</v>
      </c>
      <c r="B278" s="4" t="s">
        <v>25</v>
      </c>
      <c r="C278" s="7">
        <v>8.618106527669015</v>
      </c>
      <c r="D278" s="7">
        <v>7.615434894646667</v>
      </c>
      <c r="E278" s="7">
        <f>IF(AND(ISNUMBER(C278),ISNUMBER(D278)),(D278-C278),"待補")</f>
        <v>-1.0026716330223486</v>
      </c>
      <c r="F278" s="8" t="s">
        <v>16</v>
      </c>
      <c r="G278" s="4" t="s">
        <v>83</v>
      </c>
      <c r="H278" s="4" t="s">
        <v>31</v>
      </c>
    </row>
    <row r="279" spans="1:8" ht="34" customHeight="1">
      <c r="A279" s="4" t="s">
        <v>32</v>
      </c>
      <c r="B279" s="4" t="s">
        <v>33</v>
      </c>
      <c r="C279" s="7">
        <v>0.5620414618734028</v>
      </c>
      <c r="D279" s="7">
        <v>0.4803131339740667</v>
      </c>
      <c r="E279" s="7">
        <f>IF(AND(ISNUMBER(C279),ISNUMBER(D279)),(D279-C279),"待補")</f>
        <v>-0.0817283278993361</v>
      </c>
      <c r="F279" s="8" t="s">
        <v>16</v>
      </c>
      <c r="G279" s="4" t="s">
        <v>17</v>
      </c>
      <c r="H279" s="4"/>
    </row>
    <row r="280" spans="1:8" ht="34" customHeight="1">
      <c r="A280" s="4" t="s">
        <v>34</v>
      </c>
      <c r="B280" s="4" t="s">
        <v>25</v>
      </c>
      <c r="C280" s="7">
        <v>7.828730346984722</v>
      </c>
      <c r="D280" s="7">
        <v>6.784581660885333</v>
      </c>
      <c r="E280" s="7">
        <f>IF(AND(ISNUMBER(C280),ISNUMBER(D280)),(D280-C280),"待補")</f>
        <v>-1.0441486860993887</v>
      </c>
      <c r="F280" s="8" t="s">
        <v>16</v>
      </c>
      <c r="G280" s="4" t="s">
        <v>17</v>
      </c>
      <c r="H280" s="4"/>
    </row>
    <row r="281" spans="1:8" ht="34" customHeight="1">
      <c r="A281" s="4" t="s">
        <v>35</v>
      </c>
      <c r="B281" s="4" t="s">
        <v>36</v>
      </c>
      <c r="C281" s="7">
        <v>4.347033853333333</v>
      </c>
      <c r="D281" s="7">
        <v>5.5307042</v>
      </c>
      <c r="E281" s="7">
        <f>IF(AND(ISNUMBER(C281),ISNUMBER(D281)),(D281-C281),"待補")</f>
        <v>1.1836703466666663</v>
      </c>
      <c r="F281" s="9">
        <f>IF(AND(ISNUMBER(C281),ISNUMBER(D281),C281&lt;&gt;0),(C281-D281)/C281,"待補")</f>
        <v>-0.272293795402357</v>
      </c>
      <c r="G281" s="4" t="s">
        <v>17</v>
      </c>
      <c r="H281" s="4" t="s">
        <v>37</v>
      </c>
    </row>
    <row r="282" spans="1:8" ht="34" customHeight="1">
      <c r="A282" s="4" t="s">
        <v>38</v>
      </c>
      <c r="B282" s="4" t="s">
        <v>39</v>
      </c>
      <c r="C282" s="7">
        <v>8.52</v>
      </c>
      <c r="D282" s="7">
        <v>11.19333333333333</v>
      </c>
      <c r="E282" s="7">
        <f>IF(AND(ISNUMBER(C282),ISNUMBER(D282)),(D282-C282),"待補")</f>
        <v>2.673333333333334</v>
      </c>
      <c r="F282" s="8" t="s">
        <v>16</v>
      </c>
      <c r="G282" s="4" t="s">
        <v>17</v>
      </c>
      <c r="H282" s="4"/>
    </row>
    <row r="283" spans="1:8" ht="34" customHeight="1">
      <c r="A283" s="4" t="s">
        <v>40</v>
      </c>
      <c r="B283" s="4" t="s">
        <v>39</v>
      </c>
      <c r="C283" s="7">
        <v>8.52</v>
      </c>
      <c r="D283" s="7">
        <v>11.18666666666667</v>
      </c>
      <c r="E283" s="7">
        <f>IF(AND(ISNUMBER(C283),ISNUMBER(D283)),(D283-C283),"待補")</f>
        <v>2.666666666666668</v>
      </c>
      <c r="F283" s="8" t="s">
        <v>16</v>
      </c>
      <c r="G283" s="4" t="s">
        <v>17</v>
      </c>
      <c r="H283" s="4" t="s">
        <v>41</v>
      </c>
    </row>
    <row r="284" spans="1:8" ht="34" customHeight="1">
      <c r="A284" s="4" t="s">
        <v>53</v>
      </c>
      <c r="B284" s="4" t="s">
        <v>39</v>
      </c>
      <c r="C284" s="7">
        <v>8.226666666666667</v>
      </c>
      <c r="D284" s="7">
        <v>10.92666666666667</v>
      </c>
      <c r="E284" s="7">
        <f>IF(AND(ISNUMBER(C284),ISNUMBER(D284)),(D284-C284),"待補")</f>
        <v>2.6999999999999993</v>
      </c>
      <c r="F284" s="8" t="s">
        <v>16</v>
      </c>
      <c r="G284" s="4" t="s">
        <v>17</v>
      </c>
      <c r="H284" s="4" t="s">
        <v>54</v>
      </c>
    </row>
    <row r="285" spans="1:8" ht="34" customHeight="1">
      <c r="A285" s="4" t="s">
        <v>73</v>
      </c>
      <c r="B285" s="4" t="s">
        <v>15</v>
      </c>
      <c r="C285" s="8" t="s">
        <v>16</v>
      </c>
      <c r="D285" s="6">
        <v>31</v>
      </c>
      <c r="E285" s="7" t="str">
        <f>IF(AND(ISNUMBER(C285),ISNUMBER(D285)),(D285-C285),"待補")</f>
        <v>待補</v>
      </c>
      <c r="F285" s="8" t="s">
        <v>16</v>
      </c>
      <c r="G285" s="4" t="s">
        <v>17</v>
      </c>
      <c r="H285" s="4"/>
    </row>
    <row r="286" spans="1:8" ht="34" customHeight="1">
      <c r="A286" s="4" t="s">
        <v>74</v>
      </c>
      <c r="B286" s="4" t="s">
        <v>15</v>
      </c>
      <c r="C286" s="8" t="s">
        <v>16</v>
      </c>
      <c r="D286" s="6">
        <v>31</v>
      </c>
      <c r="E286" s="7" t="str">
        <f>IF(AND(ISNUMBER(C286),ISNUMBER(D286)),(D286-C286),"待補")</f>
        <v>待補</v>
      </c>
      <c r="F286" s="8" t="s">
        <v>16</v>
      </c>
      <c r="G286" s="4" t="s">
        <v>17</v>
      </c>
      <c r="H286" s="4"/>
    </row>
    <row r="287" spans="1:8" ht="34" customHeight="1">
      <c r="A287" s="4" t="s">
        <v>75</v>
      </c>
      <c r="B287" s="4" t="s">
        <v>76</v>
      </c>
      <c r="C287" s="8" t="s">
        <v>16</v>
      </c>
      <c r="D287" s="7">
        <v>3.473333333333333</v>
      </c>
      <c r="E287" s="7" t="str">
        <f>IF(AND(ISNUMBER(C287),ISNUMBER(D287)),(D287-C287),"待補")</f>
        <v>待補</v>
      </c>
      <c r="F287" s="8" t="s">
        <v>16</v>
      </c>
      <c r="G287" s="4" t="s">
        <v>17</v>
      </c>
      <c r="H287" s="4"/>
    </row>
    <row r="288" spans="1:8">
      <c r="A288" s="4" t="s">
        <v>42</v>
      </c>
      <c r="B288" s="4" t="s">
        <v>15</v>
      </c>
      <c r="D288" s="6">
        <v>8</v>
      </c>
      <c r="H288" s="4" t="s">
        <v>43</v>
      </c>
    </row>
    <row r="289" spans="1:8">
      <c r="A289" s="4" t="s">
        <v>44</v>
      </c>
      <c r="B289" s="4" t="s">
        <v>15</v>
      </c>
      <c r="D289" s="6">
        <v>0</v>
      </c>
      <c r="H289" s="4" t="s">
        <v>43</v>
      </c>
    </row>
    <row r="290" spans="1:8">
      <c r="A290" s="4" t="s">
        <v>45</v>
      </c>
      <c r="B290" s="4" t="s">
        <v>15</v>
      </c>
      <c r="D290" s="6">
        <v>142</v>
      </c>
      <c r="H290" s="4" t="s">
        <v>43</v>
      </c>
    </row>
    <row r="291" spans="1:8">
      <c r="A291" s="4" t="s">
        <v>46</v>
      </c>
      <c r="B291" s="4" t="s">
        <v>25</v>
      </c>
      <c r="C291" s="7">
        <v>8.618106527669015</v>
      </c>
      <c r="D291" s="7">
        <v>7.515705036880281</v>
      </c>
      <c r="E291" s="7">
        <f>IF(AND(ISNUMBER(C291),ISNUMBER(D291)),D291-C291,"待補")</f>
        <v>-1.1024014907887334</v>
      </c>
      <c r="F291" s="9">
        <f>IF(AND(ISNUMBER(C291),ISNUMBER(D291),C291&lt;&gt;0),(C291-D291)/C291,"待補")</f>
        <v>0.12791690230903954</v>
      </c>
      <c r="G291" s="4" t="s">
        <v>77</v>
      </c>
      <c r="H291" s="4" t="s">
        <v>48</v>
      </c>
    </row>
    <row r="292" spans="1:8" ht="34" customHeight="1">
      <c r="A292" s="2" t="s">
        <v>101</v>
      </c>
      <c r="B292" s="2"/>
      <c r="C292" s="2"/>
      <c r="D292" s="2"/>
      <c r="E292" s="2"/>
      <c r="F292" s="2"/>
      <c r="G292" s="2"/>
      <c r="H292" s="2"/>
    </row>
    <row r="295" spans="1:8" ht="28" customHeight="1">
      <c r="A295" s="3" t="s">
        <v>103</v>
      </c>
      <c r="B295" s="3"/>
      <c r="C295" s="3"/>
      <c r="D295" s="3"/>
      <c r="E295" s="3"/>
      <c r="F295" s="3"/>
      <c r="G295" s="3"/>
      <c r="H295" s="3"/>
    </row>
    <row r="296" spans="1:8" ht="40" customHeight="1">
      <c r="A296" s="2" t="s">
        <v>104</v>
      </c>
      <c r="B296" s="2"/>
      <c r="C296" s="2"/>
      <c r="D296" s="2"/>
      <c r="E296" s="2"/>
      <c r="F296" s="2"/>
      <c r="G296" s="2"/>
      <c r="H296" s="2"/>
    </row>
    <row r="297" spans="1:8" ht="40" customHeight="1">
      <c r="A297" s="2" t="s">
        <v>105</v>
      </c>
      <c r="B297" s="2"/>
      <c r="C297" s="2"/>
      <c r="D297" s="2"/>
      <c r="E297" s="2"/>
      <c r="F297" s="2"/>
      <c r="G297" s="2"/>
      <c r="H297" s="2"/>
    </row>
    <row r="298" spans="1:8">
      <c r="A298" s="3" t="s">
        <v>6</v>
      </c>
      <c r="B298" s="3" t="s">
        <v>7</v>
      </c>
      <c r="C298" s="3" t="s">
        <v>8</v>
      </c>
      <c r="D298" s="3" t="s">
        <v>9</v>
      </c>
      <c r="E298" s="3" t="s">
        <v>10</v>
      </c>
      <c r="F298" s="3" t="s">
        <v>11</v>
      </c>
      <c r="G298" s="3" t="s">
        <v>12</v>
      </c>
      <c r="H298" s="3" t="s">
        <v>13</v>
      </c>
    </row>
    <row r="299" spans="1:8" ht="34" customHeight="1">
      <c r="A299" s="4" t="s">
        <v>14</v>
      </c>
      <c r="B299" s="4" t="s">
        <v>15</v>
      </c>
      <c r="C299" s="6">
        <v>150</v>
      </c>
      <c r="D299" s="6">
        <v>150</v>
      </c>
      <c r="E299" s="7">
        <f>IF(AND(ISNUMBER(C299),ISNUMBER(D299)),(D299-C299),"待補")</f>
        <v>0</v>
      </c>
      <c r="F299" s="8" t="s">
        <v>16</v>
      </c>
      <c r="G299" s="4" t="s">
        <v>17</v>
      </c>
      <c r="H299" s="4"/>
    </row>
    <row r="300" spans="1:8" ht="34" customHeight="1">
      <c r="A300" s="4" t="s">
        <v>18</v>
      </c>
      <c r="B300" s="4" t="s">
        <v>15</v>
      </c>
      <c r="C300" s="6">
        <v>118</v>
      </c>
      <c r="D300" s="6">
        <v>113</v>
      </c>
      <c r="E300" s="7">
        <f>IF(AND(ISNUMBER(C300),ISNUMBER(D300)),(D300-C300),"待補")</f>
        <v>-5</v>
      </c>
      <c r="F300" s="8" t="s">
        <v>16</v>
      </c>
      <c r="G300" s="4" t="s">
        <v>17</v>
      </c>
      <c r="H300" s="4"/>
    </row>
    <row r="301" spans="1:8" ht="34" customHeight="1">
      <c r="A301" s="4" t="s">
        <v>19</v>
      </c>
      <c r="B301" s="4" t="s">
        <v>20</v>
      </c>
      <c r="C301" s="9">
        <v>0.7866666666666666</v>
      </c>
      <c r="D301" s="9">
        <v>0.7533333333333333</v>
      </c>
      <c r="E301" s="10">
        <f>IF(AND(ISNUMBER(C301),ISNUMBER(D301)),(D301-C301)*100,"待補")</f>
        <v>-3.3333333333333326</v>
      </c>
      <c r="F301" s="8" t="s">
        <v>16</v>
      </c>
      <c r="G301" s="4" t="s">
        <v>17</v>
      </c>
      <c r="H301" s="4" t="s">
        <v>21</v>
      </c>
    </row>
    <row r="302" spans="1:8" ht="34" customHeight="1">
      <c r="A302" s="4" t="s">
        <v>22</v>
      </c>
      <c r="B302" s="4" t="s">
        <v>15</v>
      </c>
      <c r="C302" s="6">
        <v>130</v>
      </c>
      <c r="D302" s="6">
        <v>123</v>
      </c>
      <c r="E302" s="7">
        <f>IF(AND(ISNUMBER(C302),ISNUMBER(D302)),(D302-C302),"待補")</f>
        <v>-7</v>
      </c>
      <c r="F302" s="8" t="s">
        <v>16</v>
      </c>
      <c r="G302" s="4" t="s">
        <v>17</v>
      </c>
      <c r="H302" s="4"/>
    </row>
    <row r="303" spans="1:8" ht="34" customHeight="1">
      <c r="A303" s="4" t="s">
        <v>23</v>
      </c>
      <c r="B303" s="4" t="s">
        <v>15</v>
      </c>
      <c r="C303" s="6">
        <v>20</v>
      </c>
      <c r="D303" s="6">
        <v>27</v>
      </c>
      <c r="E303" s="7">
        <f>IF(AND(ISNUMBER(C303),ISNUMBER(D303)),(D303-C303),"待補")</f>
        <v>7</v>
      </c>
      <c r="F303" s="8" t="s">
        <v>16</v>
      </c>
      <c r="G303" s="4" t="s">
        <v>17</v>
      </c>
      <c r="H303" s="4"/>
    </row>
    <row r="304" spans="1:8" ht="34" customHeight="1">
      <c r="A304" s="4" t="s">
        <v>24</v>
      </c>
      <c r="B304" s="4" t="s">
        <v>25</v>
      </c>
      <c r="C304" s="7">
        <v>15.01120221933077</v>
      </c>
      <c r="D304" s="7">
        <v>16.32782406552032</v>
      </c>
      <c r="E304" s="7">
        <f>IF(AND(ISNUMBER(C304),ISNUMBER(D304)),(D304-C304),"待補")</f>
        <v>1.3166218461895554</v>
      </c>
      <c r="F304" s="8" t="s">
        <v>16</v>
      </c>
      <c r="G304" s="4" t="s">
        <v>106</v>
      </c>
      <c r="H304" s="4" t="s">
        <v>27</v>
      </c>
    </row>
    <row r="305" spans="1:8" ht="34" customHeight="1">
      <c r="A305" s="4" t="s">
        <v>28</v>
      </c>
      <c r="B305" s="4" t="s">
        <v>25</v>
      </c>
      <c r="C305" s="7">
        <v>7.9200014525</v>
      </c>
      <c r="D305" s="7">
        <v>8.811528242</v>
      </c>
      <c r="E305" s="7">
        <f>IF(AND(ISNUMBER(C305),ISNUMBER(D305)),(D305-C305),"待補")</f>
        <v>0.8915267894999994</v>
      </c>
      <c r="F305" s="8" t="s">
        <v>16</v>
      </c>
      <c r="G305" s="4" t="s">
        <v>106</v>
      </c>
      <c r="H305" s="4" t="s">
        <v>27</v>
      </c>
    </row>
    <row r="306" spans="1:8" ht="34" customHeight="1">
      <c r="A306" s="4" t="s">
        <v>29</v>
      </c>
      <c r="B306" s="4" t="s">
        <v>25</v>
      </c>
      <c r="C306" s="7">
        <v>9.806986151381356</v>
      </c>
      <c r="D306" s="7">
        <v>9.759885915831857</v>
      </c>
      <c r="E306" s="7">
        <f>IF(AND(ISNUMBER(C306),ISNUMBER(D306)),(D306-C306),"待補")</f>
        <v>-0.04710023554949849</v>
      </c>
      <c r="F306" s="8" t="s">
        <v>16</v>
      </c>
      <c r="G306" s="4" t="s">
        <v>107</v>
      </c>
      <c r="H306" s="4" t="s">
        <v>31</v>
      </c>
    </row>
    <row r="307" spans="1:8" ht="34" customHeight="1">
      <c r="A307" s="4" t="s">
        <v>32</v>
      </c>
      <c r="B307" s="4" t="s">
        <v>33</v>
      </c>
      <c r="C307" s="7">
        <v>0.8333489008797692</v>
      </c>
      <c r="D307" s="7">
        <v>0.9506130657156098</v>
      </c>
      <c r="E307" s="7">
        <f>IF(AND(ISNUMBER(C307),ISNUMBER(D307)),(D307-C307),"待補")</f>
        <v>0.11726416483584057</v>
      </c>
      <c r="F307" s="8" t="s">
        <v>16</v>
      </c>
      <c r="G307" s="4" t="s">
        <v>17</v>
      </c>
      <c r="H307" s="4"/>
    </row>
    <row r="308" spans="1:8" ht="34" customHeight="1">
      <c r="A308" s="4" t="s">
        <v>34</v>
      </c>
      <c r="B308" s="4" t="s">
        <v>25</v>
      </c>
      <c r="C308" s="7">
        <v>13.54911137796461</v>
      </c>
      <c r="D308" s="7">
        <v>14.77299511394309</v>
      </c>
      <c r="E308" s="7">
        <f>IF(AND(ISNUMBER(C308),ISNUMBER(D308)),(D308-C308),"待補")</f>
        <v>1.223883735978477</v>
      </c>
      <c r="F308" s="8" t="s">
        <v>16</v>
      </c>
      <c r="G308" s="4" t="s">
        <v>17</v>
      </c>
      <c r="H308" s="4"/>
    </row>
    <row r="309" spans="1:8" ht="34" customHeight="1">
      <c r="A309" s="4" t="s">
        <v>35</v>
      </c>
      <c r="B309" s="4" t="s">
        <v>36</v>
      </c>
      <c r="C309" s="7">
        <v>4.097461013333334</v>
      </c>
      <c r="D309" s="7">
        <v>2.483273613333334</v>
      </c>
      <c r="E309" s="7">
        <f>IF(AND(ISNUMBER(C309),ISNUMBER(D309)),(D309-C309),"待補")</f>
        <v>-1.6141874</v>
      </c>
      <c r="F309" s="9">
        <f>IF(AND(ISNUMBER(C309),ISNUMBER(D309),C309&lt;&gt;0),(C309-D309)/C309,"待補")</f>
        <v>0.39394820225192073</v>
      </c>
      <c r="G309" s="4" t="s">
        <v>17</v>
      </c>
      <c r="H309" s="4" t="s">
        <v>37</v>
      </c>
    </row>
    <row r="310" spans="1:8" ht="34" customHeight="1">
      <c r="A310" s="4" t="s">
        <v>38</v>
      </c>
      <c r="B310" s="4" t="s">
        <v>39</v>
      </c>
      <c r="C310" s="7">
        <v>6.426666666666667</v>
      </c>
      <c r="D310" s="7">
        <v>5.793333333333333</v>
      </c>
      <c r="E310" s="7">
        <f>IF(AND(ISNUMBER(C310),ISNUMBER(D310)),(D310-C310),"待補")</f>
        <v>-0.6333333333333337</v>
      </c>
      <c r="F310" s="8" t="s">
        <v>16</v>
      </c>
      <c r="G310" s="4" t="s">
        <v>17</v>
      </c>
      <c r="H310" s="4"/>
    </row>
    <row r="311" spans="1:8" ht="34" customHeight="1">
      <c r="A311" s="4" t="s">
        <v>40</v>
      </c>
      <c r="B311" s="4" t="s">
        <v>39</v>
      </c>
      <c r="C311" s="7">
        <v>6.426666666666667</v>
      </c>
      <c r="D311" s="7">
        <v>5.793333333333333</v>
      </c>
      <c r="E311" s="7">
        <f>IF(AND(ISNUMBER(C311),ISNUMBER(D311)),(D311-C311),"待補")</f>
        <v>-0.6333333333333337</v>
      </c>
      <c r="F311" s="8" t="s">
        <v>16</v>
      </c>
      <c r="G311" s="4" t="s">
        <v>17</v>
      </c>
      <c r="H311" s="4" t="s">
        <v>41</v>
      </c>
    </row>
    <row r="312" spans="1:8">
      <c r="A312" s="4" t="s">
        <v>42</v>
      </c>
      <c r="B312" s="4" t="s">
        <v>15</v>
      </c>
      <c r="D312" s="6">
        <v>23</v>
      </c>
      <c r="H312" s="4" t="s">
        <v>43</v>
      </c>
    </row>
    <row r="313" spans="1:8">
      <c r="A313" s="4" t="s">
        <v>44</v>
      </c>
      <c r="B313" s="4" t="s">
        <v>15</v>
      </c>
      <c r="D313" s="6">
        <v>28</v>
      </c>
      <c r="H313" s="4" t="s">
        <v>43</v>
      </c>
    </row>
    <row r="314" spans="1:8">
      <c r="A314" s="4" t="s">
        <v>45</v>
      </c>
      <c r="B314" s="4" t="s">
        <v>15</v>
      </c>
      <c r="D314" s="6">
        <v>90</v>
      </c>
      <c r="H314" s="4" t="s">
        <v>43</v>
      </c>
    </row>
    <row r="315" spans="1:8">
      <c r="A315" s="4" t="s">
        <v>46</v>
      </c>
      <c r="B315" s="4" t="s">
        <v>25</v>
      </c>
      <c r="C315" s="7">
        <v>9.43088492571111</v>
      </c>
      <c r="D315" s="7">
        <v>9.239141647233334</v>
      </c>
      <c r="E315" s="7">
        <f>IF(AND(ISNUMBER(C315),ISNUMBER(D315)),D315-C315,"待補")</f>
        <v>-0.1917432784777781</v>
      </c>
      <c r="F315" s="9">
        <f>IF(AND(ISNUMBER(C315),ISNUMBER(D315),C315&lt;&gt;0),(C315-D315)/C315,"待補")</f>
        <v>0.020331419584500996</v>
      </c>
      <c r="G315" s="4" t="s">
        <v>108</v>
      </c>
      <c r="H315" s="4" t="s">
        <v>48</v>
      </c>
    </row>
    <row r="316" spans="1:8" ht="34" customHeight="1">
      <c r="A316" s="2" t="s">
        <v>49</v>
      </c>
      <c r="B316" s="2"/>
      <c r="C316" s="2"/>
      <c r="D316" s="2"/>
      <c r="E316" s="2"/>
      <c r="F316" s="2"/>
      <c r="G316" s="2"/>
      <c r="H316" s="2"/>
    </row>
    <row r="319" spans="1:8" ht="28" customHeight="1">
      <c r="A319" s="3" t="s">
        <v>109</v>
      </c>
      <c r="B319" s="3"/>
      <c r="C319" s="3"/>
      <c r="D319" s="3"/>
      <c r="E319" s="3"/>
      <c r="F319" s="3"/>
      <c r="G319" s="3"/>
      <c r="H319" s="3"/>
    </row>
    <row r="320" spans="1:8" ht="40" customHeight="1">
      <c r="A320" s="2" t="s">
        <v>110</v>
      </c>
      <c r="B320" s="2"/>
      <c r="C320" s="2"/>
      <c r="D320" s="2"/>
      <c r="E320" s="2"/>
      <c r="F320" s="2"/>
      <c r="G320" s="2"/>
      <c r="H320" s="2"/>
    </row>
    <row r="321" spans="1:8" ht="40" customHeight="1">
      <c r="A321" s="2" t="s">
        <v>111</v>
      </c>
      <c r="B321" s="2"/>
      <c r="C321" s="2"/>
      <c r="D321" s="2"/>
      <c r="E321" s="2"/>
      <c r="F321" s="2"/>
      <c r="G321" s="2"/>
      <c r="H321" s="2"/>
    </row>
    <row r="322" spans="1:8">
      <c r="A322" s="3" t="s">
        <v>6</v>
      </c>
      <c r="B322" s="3" t="s">
        <v>7</v>
      </c>
      <c r="C322" s="3" t="s">
        <v>8</v>
      </c>
      <c r="D322" s="3" t="s">
        <v>9</v>
      </c>
      <c r="E322" s="3" t="s">
        <v>10</v>
      </c>
      <c r="F322" s="3" t="s">
        <v>11</v>
      </c>
      <c r="G322" s="3" t="s">
        <v>12</v>
      </c>
      <c r="H322" s="3" t="s">
        <v>13</v>
      </c>
    </row>
    <row r="323" spans="1:8" ht="34" customHeight="1">
      <c r="A323" s="4" t="s">
        <v>14</v>
      </c>
      <c r="B323" s="4" t="s">
        <v>15</v>
      </c>
      <c r="C323" s="6">
        <v>150</v>
      </c>
      <c r="D323" s="6">
        <v>150</v>
      </c>
      <c r="E323" s="7">
        <f>IF(AND(ISNUMBER(C323),ISNUMBER(D323)),(D323-C323),"待補")</f>
        <v>0</v>
      </c>
      <c r="F323" s="8" t="s">
        <v>16</v>
      </c>
      <c r="G323" s="4" t="s">
        <v>17</v>
      </c>
      <c r="H323" s="4"/>
    </row>
    <row r="324" spans="1:8" ht="34" customHeight="1">
      <c r="A324" s="4" t="s">
        <v>18</v>
      </c>
      <c r="B324" s="4" t="s">
        <v>15</v>
      </c>
      <c r="C324" s="6">
        <v>118</v>
      </c>
      <c r="D324" s="6">
        <v>117</v>
      </c>
      <c r="E324" s="7">
        <f>IF(AND(ISNUMBER(C324),ISNUMBER(D324)),(D324-C324),"待補")</f>
        <v>-1</v>
      </c>
      <c r="F324" s="8" t="s">
        <v>16</v>
      </c>
      <c r="G324" s="4" t="s">
        <v>17</v>
      </c>
      <c r="H324" s="4"/>
    </row>
    <row r="325" spans="1:8" ht="34" customHeight="1">
      <c r="A325" s="4" t="s">
        <v>19</v>
      </c>
      <c r="B325" s="4" t="s">
        <v>20</v>
      </c>
      <c r="C325" s="9">
        <v>0.7866666666666666</v>
      </c>
      <c r="D325" s="9">
        <v>0.78</v>
      </c>
      <c r="E325" s="10">
        <f>IF(AND(ISNUMBER(C325),ISNUMBER(D325)),(D325-C325)*100,"待補")</f>
        <v>-0.6666666666666599</v>
      </c>
      <c r="F325" s="8" t="s">
        <v>16</v>
      </c>
      <c r="G325" s="4" t="s">
        <v>17</v>
      </c>
      <c r="H325" s="4" t="s">
        <v>21</v>
      </c>
    </row>
    <row r="326" spans="1:8" ht="34" customHeight="1">
      <c r="A326" s="4" t="s">
        <v>22</v>
      </c>
      <c r="B326" s="4" t="s">
        <v>15</v>
      </c>
      <c r="C326" s="6">
        <v>130</v>
      </c>
      <c r="D326" s="6">
        <v>127</v>
      </c>
      <c r="E326" s="7">
        <f>IF(AND(ISNUMBER(C326),ISNUMBER(D326)),(D326-C326),"待補")</f>
        <v>-3</v>
      </c>
      <c r="F326" s="8" t="s">
        <v>16</v>
      </c>
      <c r="G326" s="4" t="s">
        <v>17</v>
      </c>
      <c r="H326" s="4"/>
    </row>
    <row r="327" spans="1:8" ht="34" customHeight="1">
      <c r="A327" s="4" t="s">
        <v>23</v>
      </c>
      <c r="B327" s="4" t="s">
        <v>15</v>
      </c>
      <c r="C327" s="6">
        <v>20</v>
      </c>
      <c r="D327" s="6">
        <v>23</v>
      </c>
      <c r="E327" s="7">
        <f>IF(AND(ISNUMBER(C327),ISNUMBER(D327)),(D327-C327),"待補")</f>
        <v>3</v>
      </c>
      <c r="F327" s="8" t="s">
        <v>16</v>
      </c>
      <c r="G327" s="4" t="s">
        <v>17</v>
      </c>
      <c r="H327" s="4"/>
    </row>
    <row r="328" spans="1:8" ht="34" customHeight="1">
      <c r="A328" s="4" t="s">
        <v>24</v>
      </c>
      <c r="B328" s="4" t="s">
        <v>25</v>
      </c>
      <c r="C328" s="7">
        <v>15.01120221933077</v>
      </c>
      <c r="D328" s="7">
        <v>15.24065621351181</v>
      </c>
      <c r="E328" s="7">
        <f>IF(AND(ISNUMBER(C328),ISNUMBER(D328)),(D328-C328),"待補")</f>
        <v>0.22945399418104095</v>
      </c>
      <c r="F328" s="8" t="s">
        <v>16</v>
      </c>
      <c r="G328" s="4" t="s">
        <v>112</v>
      </c>
      <c r="H328" s="4" t="s">
        <v>27</v>
      </c>
    </row>
    <row r="329" spans="1:8" ht="34" customHeight="1">
      <c r="A329" s="4" t="s">
        <v>28</v>
      </c>
      <c r="B329" s="4" t="s">
        <v>25</v>
      </c>
      <c r="C329" s="7">
        <v>7.9200014525</v>
      </c>
      <c r="D329" s="7">
        <v>8.043820747</v>
      </c>
      <c r="E329" s="7">
        <f>IF(AND(ISNUMBER(C329),ISNUMBER(D329)),(D329-C329),"待補")</f>
        <v>0.12381929449999962</v>
      </c>
      <c r="F329" s="8" t="s">
        <v>16</v>
      </c>
      <c r="G329" s="4" t="s">
        <v>112</v>
      </c>
      <c r="H329" s="4" t="s">
        <v>27</v>
      </c>
    </row>
    <row r="330" spans="1:8" ht="34" customHeight="1">
      <c r="A330" s="4" t="s">
        <v>29</v>
      </c>
      <c r="B330" s="4" t="s">
        <v>25</v>
      </c>
      <c r="C330" s="7">
        <v>9.806986151381356</v>
      </c>
      <c r="D330" s="7">
        <v>9.623568556034188</v>
      </c>
      <c r="E330" s="7">
        <f>IF(AND(ISNUMBER(C330),ISNUMBER(D330)),(D330-C330),"待補")</f>
        <v>-0.1834175953471675</v>
      </c>
      <c r="F330" s="8" t="s">
        <v>16</v>
      </c>
      <c r="G330" s="4" t="s">
        <v>113</v>
      </c>
      <c r="H330" s="4" t="s">
        <v>31</v>
      </c>
    </row>
    <row r="331" spans="1:8" ht="34" customHeight="1">
      <c r="A331" s="4" t="s">
        <v>32</v>
      </c>
      <c r="B331" s="4" t="s">
        <v>33</v>
      </c>
      <c r="C331" s="7">
        <v>0.8333489008797692</v>
      </c>
      <c r="D331" s="7">
        <v>0.8297458065344882</v>
      </c>
      <c r="E331" s="7">
        <f>IF(AND(ISNUMBER(C331),ISNUMBER(D331)),(D331-C331),"待補")</f>
        <v>-0.003603094345281055</v>
      </c>
      <c r="F331" s="8" t="s">
        <v>16</v>
      </c>
      <c r="G331" s="4" t="s">
        <v>17</v>
      </c>
      <c r="H331" s="4"/>
    </row>
    <row r="332" spans="1:8" ht="34" customHeight="1">
      <c r="A332" s="4" t="s">
        <v>34</v>
      </c>
      <c r="B332" s="4" t="s">
        <v>25</v>
      </c>
      <c r="C332" s="7">
        <v>13.54911137796461</v>
      </c>
      <c r="D332" s="7">
        <v>13.93016720000315</v>
      </c>
      <c r="E332" s="7">
        <f>IF(AND(ISNUMBER(C332),ISNUMBER(D332)),(D332-C332),"待補")</f>
        <v>0.38105582203853494</v>
      </c>
      <c r="F332" s="8" t="s">
        <v>16</v>
      </c>
      <c r="G332" s="4" t="s">
        <v>17</v>
      </c>
      <c r="H332" s="4"/>
    </row>
    <row r="333" spans="1:8" ht="34" customHeight="1">
      <c r="A333" s="4" t="s">
        <v>35</v>
      </c>
      <c r="B333" s="4" t="s">
        <v>36</v>
      </c>
      <c r="C333" s="7">
        <v>4.097461013333334</v>
      </c>
      <c r="D333" s="7">
        <v>2.064470106666667</v>
      </c>
      <c r="E333" s="7">
        <f>IF(AND(ISNUMBER(C333),ISNUMBER(D333)),(D333-C333),"待補")</f>
        <v>-2.032990906666667</v>
      </c>
      <c r="F333" s="9">
        <f>IF(AND(ISNUMBER(C333),ISNUMBER(D333),C333&lt;&gt;0),(C333-D333)/C333,"待補")</f>
        <v>0.4961586943844536</v>
      </c>
      <c r="G333" s="4" t="s">
        <v>17</v>
      </c>
      <c r="H333" s="4" t="s">
        <v>37</v>
      </c>
    </row>
    <row r="334" spans="1:8" ht="34" customHeight="1">
      <c r="A334" s="4" t="s">
        <v>38</v>
      </c>
      <c r="B334" s="4" t="s">
        <v>39</v>
      </c>
      <c r="C334" s="7">
        <v>6.426666666666667</v>
      </c>
      <c r="D334" s="7">
        <v>6.433333333333334</v>
      </c>
      <c r="E334" s="7">
        <f>IF(AND(ISNUMBER(C334),ISNUMBER(D334)),(D334-C334),"待補")</f>
        <v>0.006666666666666821</v>
      </c>
      <c r="F334" s="8" t="s">
        <v>16</v>
      </c>
      <c r="G334" s="4" t="s">
        <v>17</v>
      </c>
      <c r="H334" s="4"/>
    </row>
    <row r="335" spans="1:8" ht="34" customHeight="1">
      <c r="A335" s="4" t="s">
        <v>40</v>
      </c>
      <c r="B335" s="4" t="s">
        <v>39</v>
      </c>
      <c r="C335" s="7">
        <v>6.426666666666667</v>
      </c>
      <c r="D335" s="7">
        <v>6.433333333333334</v>
      </c>
      <c r="E335" s="7">
        <f>IF(AND(ISNUMBER(C335),ISNUMBER(D335)),(D335-C335),"待補")</f>
        <v>0.006666666666666821</v>
      </c>
      <c r="F335" s="8" t="s">
        <v>16</v>
      </c>
      <c r="G335" s="4" t="s">
        <v>17</v>
      </c>
      <c r="H335" s="4" t="s">
        <v>41</v>
      </c>
    </row>
    <row r="336" spans="1:8">
      <c r="A336" s="4" t="s">
        <v>42</v>
      </c>
      <c r="B336" s="4" t="s">
        <v>15</v>
      </c>
      <c r="D336" s="6">
        <v>16</v>
      </c>
      <c r="H336" s="4" t="s">
        <v>43</v>
      </c>
    </row>
    <row r="337" spans="1:8">
      <c r="A337" s="4" t="s">
        <v>44</v>
      </c>
      <c r="B337" s="4" t="s">
        <v>15</v>
      </c>
      <c r="D337" s="6">
        <v>17</v>
      </c>
      <c r="H337" s="4" t="s">
        <v>43</v>
      </c>
    </row>
    <row r="338" spans="1:8">
      <c r="A338" s="4" t="s">
        <v>45</v>
      </c>
      <c r="B338" s="4" t="s">
        <v>15</v>
      </c>
      <c r="D338" s="6">
        <v>101</v>
      </c>
      <c r="H338" s="4" t="s">
        <v>43</v>
      </c>
    </row>
    <row r="339" spans="1:8">
      <c r="A339" s="4" t="s">
        <v>46</v>
      </c>
      <c r="B339" s="4" t="s">
        <v>25</v>
      </c>
      <c r="C339" s="7">
        <v>9.121707323178217</v>
      </c>
      <c r="D339" s="7">
        <v>9.80873441979208</v>
      </c>
      <c r="E339" s="7">
        <f>IF(AND(ISNUMBER(C339),ISNUMBER(D339)),D339-C339,"待補")</f>
        <v>0.6870270966138625</v>
      </c>
      <c r="F339" s="9">
        <f>IF(AND(ISNUMBER(C339),ISNUMBER(D339),C339&lt;&gt;0),(C339-D339)/C339,"待補")</f>
        <v>-0.07531781850401292</v>
      </c>
      <c r="G339" s="4" t="s">
        <v>114</v>
      </c>
      <c r="H339" s="4" t="s">
        <v>48</v>
      </c>
    </row>
    <row r="340" spans="1:8" ht="34" customHeight="1">
      <c r="A340" s="2" t="s">
        <v>115</v>
      </c>
      <c r="B340" s="2"/>
      <c r="C340" s="2"/>
      <c r="D340" s="2"/>
      <c r="E340" s="2"/>
      <c r="F340" s="2"/>
      <c r="G340" s="2"/>
      <c r="H340" s="2"/>
    </row>
    <row r="343" spans="1:8" ht="28" customHeight="1">
      <c r="A343" s="3" t="s">
        <v>116</v>
      </c>
      <c r="B343" s="3"/>
      <c r="C343" s="3"/>
      <c r="D343" s="3"/>
      <c r="E343" s="3"/>
      <c r="F343" s="3"/>
      <c r="G343" s="3"/>
      <c r="H343" s="3"/>
    </row>
    <row r="344" spans="1:8" ht="40" customHeight="1">
      <c r="A344" s="2" t="s">
        <v>104</v>
      </c>
      <c r="B344" s="2"/>
      <c r="C344" s="2"/>
      <c r="D344" s="2"/>
      <c r="E344" s="2"/>
      <c r="F344" s="2"/>
      <c r="G344" s="2"/>
      <c r="H344" s="2"/>
    </row>
    <row r="345" spans="1:8" ht="40" customHeight="1">
      <c r="A345" s="2" t="s">
        <v>105</v>
      </c>
      <c r="B345" s="2"/>
      <c r="C345" s="2"/>
      <c r="D345" s="2"/>
      <c r="E345" s="2"/>
      <c r="F345" s="2"/>
      <c r="G345" s="2"/>
      <c r="H345" s="2"/>
    </row>
    <row r="346" spans="1:8">
      <c r="A346" s="3" t="s">
        <v>6</v>
      </c>
      <c r="B346" s="3" t="s">
        <v>7</v>
      </c>
      <c r="C346" s="3" t="s">
        <v>8</v>
      </c>
      <c r="D346" s="3" t="s">
        <v>9</v>
      </c>
      <c r="E346" s="3" t="s">
        <v>10</v>
      </c>
      <c r="F346" s="3" t="s">
        <v>11</v>
      </c>
      <c r="G346" s="3" t="s">
        <v>12</v>
      </c>
      <c r="H346" s="3" t="s">
        <v>13</v>
      </c>
    </row>
    <row r="347" spans="1:8" ht="34" customHeight="1">
      <c r="A347" s="4" t="s">
        <v>14</v>
      </c>
      <c r="B347" s="4" t="s">
        <v>15</v>
      </c>
      <c r="C347" s="6">
        <v>150</v>
      </c>
      <c r="D347" s="6">
        <v>150</v>
      </c>
      <c r="E347" s="7">
        <f>IF(AND(ISNUMBER(C347),ISNUMBER(D347)),(D347-C347),"待補")</f>
        <v>0</v>
      </c>
      <c r="F347" s="8" t="s">
        <v>16</v>
      </c>
      <c r="G347" s="4" t="s">
        <v>17</v>
      </c>
      <c r="H347" s="4"/>
    </row>
    <row r="348" spans="1:8" ht="34" customHeight="1">
      <c r="A348" s="4" t="s">
        <v>18</v>
      </c>
      <c r="B348" s="4" t="s">
        <v>15</v>
      </c>
      <c r="C348" s="6">
        <v>123</v>
      </c>
      <c r="D348" s="6">
        <v>115</v>
      </c>
      <c r="E348" s="7">
        <f>IF(AND(ISNUMBER(C348),ISNUMBER(D348)),(D348-C348),"待補")</f>
        <v>-8</v>
      </c>
      <c r="F348" s="8" t="s">
        <v>16</v>
      </c>
      <c r="G348" s="4" t="s">
        <v>17</v>
      </c>
      <c r="H348" s="4"/>
    </row>
    <row r="349" spans="1:8" ht="34" customHeight="1">
      <c r="A349" s="4" t="s">
        <v>19</v>
      </c>
      <c r="B349" s="4" t="s">
        <v>20</v>
      </c>
      <c r="C349" s="9">
        <v>0.82</v>
      </c>
      <c r="D349" s="9">
        <v>0.7666666666666667</v>
      </c>
      <c r="E349" s="10">
        <f>IF(AND(ISNUMBER(C349),ISNUMBER(D349)),(D349-C349)*100,"待補")</f>
        <v>-5.333333333333323</v>
      </c>
      <c r="F349" s="8" t="s">
        <v>16</v>
      </c>
      <c r="G349" s="4" t="s">
        <v>17</v>
      </c>
      <c r="H349" s="4" t="s">
        <v>21</v>
      </c>
    </row>
    <row r="350" spans="1:8" ht="34" customHeight="1">
      <c r="A350" s="4" t="s">
        <v>22</v>
      </c>
      <c r="B350" s="4" t="s">
        <v>15</v>
      </c>
      <c r="C350" s="6">
        <v>130</v>
      </c>
      <c r="D350" s="6">
        <v>123</v>
      </c>
      <c r="E350" s="7">
        <f>IF(AND(ISNUMBER(C350),ISNUMBER(D350)),(D350-C350),"待補")</f>
        <v>-7</v>
      </c>
      <c r="F350" s="8" t="s">
        <v>16</v>
      </c>
      <c r="G350" s="4" t="s">
        <v>17</v>
      </c>
      <c r="H350" s="4"/>
    </row>
    <row r="351" spans="1:8" ht="34" customHeight="1">
      <c r="A351" s="4" t="s">
        <v>23</v>
      </c>
      <c r="B351" s="4" t="s">
        <v>15</v>
      </c>
      <c r="C351" s="6">
        <v>20</v>
      </c>
      <c r="D351" s="6">
        <v>27</v>
      </c>
      <c r="E351" s="7">
        <f>IF(AND(ISNUMBER(C351),ISNUMBER(D351)),(D351-C351),"待補")</f>
        <v>7</v>
      </c>
      <c r="F351" s="8" t="s">
        <v>16</v>
      </c>
      <c r="G351" s="4" t="s">
        <v>17</v>
      </c>
      <c r="H351" s="4"/>
    </row>
    <row r="352" spans="1:8" ht="34" customHeight="1">
      <c r="A352" s="4" t="s">
        <v>24</v>
      </c>
      <c r="B352" s="4" t="s">
        <v>25</v>
      </c>
      <c r="C352" s="7">
        <v>15.06397582643077</v>
      </c>
      <c r="D352" s="7">
        <v>19.44061689761789</v>
      </c>
      <c r="E352" s="7">
        <f>IF(AND(ISNUMBER(C352),ISNUMBER(D352)),(D352-C352),"待補")</f>
        <v>4.376641071187116</v>
      </c>
      <c r="F352" s="8" t="s">
        <v>16</v>
      </c>
      <c r="G352" s="4" t="s">
        <v>106</v>
      </c>
      <c r="H352" s="4" t="s">
        <v>27</v>
      </c>
    </row>
    <row r="353" spans="1:8" ht="34" customHeight="1">
      <c r="A353" s="4" t="s">
        <v>28</v>
      </c>
      <c r="B353" s="4" t="s">
        <v>25</v>
      </c>
      <c r="C353" s="7">
        <v>7.68254071</v>
      </c>
      <c r="D353" s="7">
        <v>8.179517561999999</v>
      </c>
      <c r="E353" s="7">
        <f>IF(AND(ISNUMBER(C353),ISNUMBER(D353)),(D353-C353),"待補")</f>
        <v>0.4969768519999995</v>
      </c>
      <c r="F353" s="8" t="s">
        <v>16</v>
      </c>
      <c r="G353" s="4" t="s">
        <v>106</v>
      </c>
      <c r="H353" s="4" t="s">
        <v>27</v>
      </c>
    </row>
    <row r="354" spans="1:8" ht="34" customHeight="1">
      <c r="A354" s="4" t="s">
        <v>29</v>
      </c>
      <c r="B354" s="4" t="s">
        <v>25</v>
      </c>
      <c r="C354" s="7">
        <v>9.673352669642277</v>
      </c>
      <c r="D354" s="7">
        <v>9.258072093017391</v>
      </c>
      <c r="E354" s="7">
        <f>IF(AND(ISNUMBER(C354),ISNUMBER(D354)),(D354-C354),"待補")</f>
        <v>-0.4152805766248857</v>
      </c>
      <c r="F354" s="8" t="s">
        <v>16</v>
      </c>
      <c r="G354" s="4" t="s">
        <v>117</v>
      </c>
      <c r="H354" s="4" t="s">
        <v>31</v>
      </c>
    </row>
    <row r="355" spans="1:8" ht="34" customHeight="1">
      <c r="A355" s="4" t="s">
        <v>32</v>
      </c>
      <c r="B355" s="4" t="s">
        <v>33</v>
      </c>
      <c r="C355" s="7">
        <v>0.8415891027882307</v>
      </c>
      <c r="D355" s="7">
        <v>0.9349605494904065</v>
      </c>
      <c r="E355" s="7">
        <f>IF(AND(ISNUMBER(C355),ISNUMBER(D355)),(D355-C355),"待補")</f>
        <v>0.09337144670217579</v>
      </c>
      <c r="F355" s="8" t="s">
        <v>16</v>
      </c>
      <c r="G355" s="4" t="s">
        <v>17</v>
      </c>
      <c r="H355" s="4"/>
    </row>
    <row r="356" spans="1:8" ht="34" customHeight="1">
      <c r="A356" s="4" t="s">
        <v>34</v>
      </c>
      <c r="B356" s="4" t="s">
        <v>25</v>
      </c>
      <c r="C356" s="7">
        <v>13.67159712948</v>
      </c>
      <c r="D356" s="7">
        <v>18.09756726113821</v>
      </c>
      <c r="E356" s="7">
        <f>IF(AND(ISNUMBER(C356),ISNUMBER(D356)),(D356-C356),"待補")</f>
        <v>4.425970131658213</v>
      </c>
      <c r="F356" s="8" t="s">
        <v>16</v>
      </c>
      <c r="G356" s="4" t="s">
        <v>17</v>
      </c>
      <c r="H356" s="4"/>
    </row>
    <row r="357" spans="1:8" ht="34" customHeight="1">
      <c r="A357" s="4" t="s">
        <v>35</v>
      </c>
      <c r="B357" s="4" t="s">
        <v>36</v>
      </c>
      <c r="C357" s="7">
        <v>5.245315986666666</v>
      </c>
      <c r="D357" s="7">
        <v>2.830658426666667</v>
      </c>
      <c r="E357" s="7">
        <f>IF(AND(ISNUMBER(C357),ISNUMBER(D357)),(D357-C357),"待補")</f>
        <v>-2.4146575599999998</v>
      </c>
      <c r="F357" s="9">
        <f>IF(AND(ISNUMBER(C357),ISNUMBER(D357),C357&lt;&gt;0),(C357-D357)/C357,"待補")</f>
        <v>0.4603454903647254</v>
      </c>
      <c r="G357" s="4" t="s">
        <v>17</v>
      </c>
      <c r="H357" s="4" t="s">
        <v>37</v>
      </c>
    </row>
    <row r="358" spans="1:8" ht="34" customHeight="1">
      <c r="A358" s="4" t="s">
        <v>38</v>
      </c>
      <c r="B358" s="4" t="s">
        <v>39</v>
      </c>
      <c r="C358" s="7">
        <v>6.426666666666667</v>
      </c>
      <c r="D358" s="7">
        <v>5.793333333333333</v>
      </c>
      <c r="E358" s="7">
        <f>IF(AND(ISNUMBER(C358),ISNUMBER(D358)),(D358-C358),"待補")</f>
        <v>-0.6333333333333337</v>
      </c>
      <c r="F358" s="8" t="s">
        <v>16</v>
      </c>
      <c r="G358" s="4" t="s">
        <v>17</v>
      </c>
      <c r="H358" s="4"/>
    </row>
    <row r="359" spans="1:8" ht="34" customHeight="1">
      <c r="A359" s="4" t="s">
        <v>40</v>
      </c>
      <c r="B359" s="4" t="s">
        <v>39</v>
      </c>
      <c r="C359" s="7">
        <v>6.426666666666667</v>
      </c>
      <c r="D359" s="7">
        <v>5.793333333333333</v>
      </c>
      <c r="E359" s="7">
        <f>IF(AND(ISNUMBER(C359),ISNUMBER(D359)),(D359-C359),"待補")</f>
        <v>-0.6333333333333337</v>
      </c>
      <c r="F359" s="8" t="s">
        <v>16</v>
      </c>
      <c r="G359" s="4" t="s">
        <v>17</v>
      </c>
      <c r="H359" s="4" t="s">
        <v>41</v>
      </c>
    </row>
    <row r="360" spans="1:8" ht="34" customHeight="1">
      <c r="A360" s="4" t="s">
        <v>53</v>
      </c>
      <c r="B360" s="4" t="s">
        <v>39</v>
      </c>
      <c r="C360" s="7">
        <v>6.14</v>
      </c>
      <c r="D360" s="7">
        <v>5.46</v>
      </c>
      <c r="E360" s="7">
        <f>IF(AND(ISNUMBER(C360),ISNUMBER(D360)),(D360-C360),"待補")</f>
        <v>-0.6799999999999997</v>
      </c>
      <c r="F360" s="8" t="s">
        <v>16</v>
      </c>
      <c r="G360" s="4" t="s">
        <v>17</v>
      </c>
      <c r="H360" s="4" t="s">
        <v>54</v>
      </c>
    </row>
    <row r="361" spans="1:8">
      <c r="A361" s="4" t="s">
        <v>42</v>
      </c>
      <c r="B361" s="4" t="s">
        <v>15</v>
      </c>
      <c r="D361" s="6">
        <v>20</v>
      </c>
      <c r="H361" s="4" t="s">
        <v>43</v>
      </c>
    </row>
    <row r="362" spans="1:8">
      <c r="A362" s="4" t="s">
        <v>44</v>
      </c>
      <c r="B362" s="4" t="s">
        <v>15</v>
      </c>
      <c r="D362" s="6">
        <v>28</v>
      </c>
      <c r="H362" s="4" t="s">
        <v>43</v>
      </c>
    </row>
    <row r="363" spans="1:8">
      <c r="A363" s="4" t="s">
        <v>45</v>
      </c>
      <c r="B363" s="4" t="s">
        <v>15</v>
      </c>
      <c r="D363" s="6">
        <v>95</v>
      </c>
      <c r="H363" s="4" t="s">
        <v>43</v>
      </c>
    </row>
    <row r="364" spans="1:8">
      <c r="A364" s="4" t="s">
        <v>46</v>
      </c>
      <c r="B364" s="4" t="s">
        <v>25</v>
      </c>
      <c r="C364" s="7">
        <v>9.232056913315789</v>
      </c>
      <c r="D364" s="7">
        <v>8.808208419326316</v>
      </c>
      <c r="E364" s="7">
        <f>IF(AND(ISNUMBER(C364),ISNUMBER(D364)),D364-C364,"待補")</f>
        <v>-0.4238484939894732</v>
      </c>
      <c r="F364" s="9">
        <f>IF(AND(ISNUMBER(C364),ISNUMBER(D364),C364&lt;&gt;0),(C364-D364)/C364,"待補")</f>
        <v>0.04591051571379921</v>
      </c>
      <c r="G364" s="4" t="s">
        <v>118</v>
      </c>
      <c r="H364" s="4" t="s">
        <v>48</v>
      </c>
    </row>
    <row r="365" spans="1:8" ht="34" customHeight="1">
      <c r="A365" s="2" t="s">
        <v>49</v>
      </c>
      <c r="B365" s="2"/>
      <c r="C365" s="2"/>
      <c r="D365" s="2"/>
      <c r="E365" s="2"/>
      <c r="F365" s="2"/>
      <c r="G365" s="2"/>
      <c r="H365" s="2"/>
    </row>
    <row r="368" spans="1:8" ht="28" customHeight="1">
      <c r="A368" s="3" t="s">
        <v>119</v>
      </c>
      <c r="B368" s="3"/>
      <c r="C368" s="3"/>
      <c r="D368" s="3"/>
      <c r="E368" s="3"/>
      <c r="F368" s="3"/>
      <c r="G368" s="3"/>
      <c r="H368" s="3"/>
    </row>
    <row r="369" spans="1:8" ht="40" customHeight="1">
      <c r="A369" s="2" t="s">
        <v>110</v>
      </c>
      <c r="B369" s="2"/>
      <c r="C369" s="2"/>
      <c r="D369" s="2"/>
      <c r="E369" s="2"/>
      <c r="F369" s="2"/>
      <c r="G369" s="2"/>
      <c r="H369" s="2"/>
    </row>
    <row r="370" spans="1:8" ht="40" customHeight="1">
      <c r="A370" s="2" t="s">
        <v>111</v>
      </c>
      <c r="B370" s="2"/>
      <c r="C370" s="2"/>
      <c r="D370" s="2"/>
      <c r="E370" s="2"/>
      <c r="F370" s="2"/>
      <c r="G370" s="2"/>
      <c r="H370" s="2"/>
    </row>
    <row r="371" spans="1:8">
      <c r="A371" s="3" t="s">
        <v>6</v>
      </c>
      <c r="B371" s="3" t="s">
        <v>7</v>
      </c>
      <c r="C371" s="3" t="s">
        <v>8</v>
      </c>
      <c r="D371" s="3" t="s">
        <v>9</v>
      </c>
      <c r="E371" s="3" t="s">
        <v>10</v>
      </c>
      <c r="F371" s="3" t="s">
        <v>11</v>
      </c>
      <c r="G371" s="3" t="s">
        <v>12</v>
      </c>
      <c r="H371" s="3" t="s">
        <v>13</v>
      </c>
    </row>
    <row r="372" spans="1:8" ht="34" customHeight="1">
      <c r="A372" s="4" t="s">
        <v>14</v>
      </c>
      <c r="B372" s="4" t="s">
        <v>15</v>
      </c>
      <c r="C372" s="6">
        <v>150</v>
      </c>
      <c r="D372" s="6">
        <v>150</v>
      </c>
      <c r="E372" s="7">
        <f>IF(AND(ISNUMBER(C372),ISNUMBER(D372)),(D372-C372),"待補")</f>
        <v>0</v>
      </c>
      <c r="F372" s="8" t="s">
        <v>16</v>
      </c>
      <c r="G372" s="4" t="s">
        <v>17</v>
      </c>
      <c r="H372" s="4"/>
    </row>
    <row r="373" spans="1:8" ht="34" customHeight="1">
      <c r="A373" s="4" t="s">
        <v>18</v>
      </c>
      <c r="B373" s="4" t="s">
        <v>15</v>
      </c>
      <c r="C373" s="6">
        <v>123</v>
      </c>
      <c r="D373" s="6">
        <v>122</v>
      </c>
      <c r="E373" s="7">
        <f>IF(AND(ISNUMBER(C373),ISNUMBER(D373)),(D373-C373),"待補")</f>
        <v>-1</v>
      </c>
      <c r="F373" s="8" t="s">
        <v>16</v>
      </c>
      <c r="G373" s="4" t="s">
        <v>17</v>
      </c>
      <c r="H373" s="4"/>
    </row>
    <row r="374" spans="1:8" ht="34" customHeight="1">
      <c r="A374" s="4" t="s">
        <v>19</v>
      </c>
      <c r="B374" s="4" t="s">
        <v>20</v>
      </c>
      <c r="C374" s="9">
        <v>0.82</v>
      </c>
      <c r="D374" s="9">
        <v>0.8133333333333334</v>
      </c>
      <c r="E374" s="10">
        <f>IF(AND(ISNUMBER(C374),ISNUMBER(D374)),(D374-C374)*100,"待補")</f>
        <v>-0.6666666666666599</v>
      </c>
      <c r="F374" s="8" t="s">
        <v>16</v>
      </c>
      <c r="G374" s="4" t="s">
        <v>17</v>
      </c>
      <c r="H374" s="4" t="s">
        <v>21</v>
      </c>
    </row>
    <row r="375" spans="1:8" ht="34" customHeight="1">
      <c r="A375" s="4" t="s">
        <v>22</v>
      </c>
      <c r="B375" s="4" t="s">
        <v>15</v>
      </c>
      <c r="C375" s="6">
        <v>130</v>
      </c>
      <c r="D375" s="6">
        <v>127</v>
      </c>
      <c r="E375" s="7">
        <f>IF(AND(ISNUMBER(C375),ISNUMBER(D375)),(D375-C375),"待補")</f>
        <v>-3</v>
      </c>
      <c r="F375" s="8" t="s">
        <v>16</v>
      </c>
      <c r="G375" s="4" t="s">
        <v>17</v>
      </c>
      <c r="H375" s="4"/>
    </row>
    <row r="376" spans="1:8" ht="34" customHeight="1">
      <c r="A376" s="4" t="s">
        <v>23</v>
      </c>
      <c r="B376" s="4" t="s">
        <v>15</v>
      </c>
      <c r="C376" s="6">
        <v>20</v>
      </c>
      <c r="D376" s="6">
        <v>23</v>
      </c>
      <c r="E376" s="7">
        <f>IF(AND(ISNUMBER(C376),ISNUMBER(D376)),(D376-C376),"待補")</f>
        <v>3</v>
      </c>
      <c r="F376" s="8" t="s">
        <v>16</v>
      </c>
      <c r="G376" s="4" t="s">
        <v>17</v>
      </c>
      <c r="H376" s="4"/>
    </row>
    <row r="377" spans="1:8" ht="34" customHeight="1">
      <c r="A377" s="4" t="s">
        <v>24</v>
      </c>
      <c r="B377" s="4" t="s">
        <v>25</v>
      </c>
      <c r="C377" s="7">
        <v>15.06397582643077</v>
      </c>
      <c r="D377" s="7">
        <v>16.52448563206299</v>
      </c>
      <c r="E377" s="7">
        <f>IF(AND(ISNUMBER(C377),ISNUMBER(D377)),(D377-C377),"待補")</f>
        <v>1.460509805632224</v>
      </c>
      <c r="F377" s="8" t="s">
        <v>16</v>
      </c>
      <c r="G377" s="4" t="s">
        <v>112</v>
      </c>
      <c r="H377" s="4" t="s">
        <v>27</v>
      </c>
    </row>
    <row r="378" spans="1:8" ht="34" customHeight="1">
      <c r="A378" s="4" t="s">
        <v>28</v>
      </c>
      <c r="B378" s="4" t="s">
        <v>25</v>
      </c>
      <c r="C378" s="7">
        <v>7.68254071</v>
      </c>
      <c r="D378" s="7">
        <v>7.809654941</v>
      </c>
      <c r="E378" s="7">
        <f>IF(AND(ISNUMBER(C378),ISNUMBER(D378)),(D378-C378),"待補")</f>
        <v>0.1271142310000002</v>
      </c>
      <c r="F378" s="8" t="s">
        <v>16</v>
      </c>
      <c r="G378" s="4" t="s">
        <v>112</v>
      </c>
      <c r="H378" s="4" t="s">
        <v>27</v>
      </c>
    </row>
    <row r="379" spans="1:8" ht="34" customHeight="1">
      <c r="A379" s="4" t="s">
        <v>29</v>
      </c>
      <c r="B379" s="4" t="s">
        <v>25</v>
      </c>
      <c r="C379" s="7">
        <v>9.673352669642277</v>
      </c>
      <c r="D379" s="7">
        <v>9.693124774934427</v>
      </c>
      <c r="E379" s="7">
        <f>IF(AND(ISNUMBER(C379),ISNUMBER(D379)),(D379-C379),"待補")</f>
        <v>0.01977210529214979</v>
      </c>
      <c r="F379" s="8" t="s">
        <v>16</v>
      </c>
      <c r="G379" s="4" t="s">
        <v>120</v>
      </c>
      <c r="H379" s="4" t="s">
        <v>31</v>
      </c>
    </row>
    <row r="380" spans="1:8" ht="34" customHeight="1">
      <c r="A380" s="4" t="s">
        <v>32</v>
      </c>
      <c r="B380" s="4" t="s">
        <v>33</v>
      </c>
      <c r="C380" s="7">
        <v>0.8415891027882307</v>
      </c>
      <c r="D380" s="7">
        <v>0.7995252417171653</v>
      </c>
      <c r="E380" s="7">
        <f>IF(AND(ISNUMBER(C380),ISNUMBER(D380)),(D380-C380),"待補")</f>
        <v>-0.04206386107106541</v>
      </c>
      <c r="F380" s="8" t="s">
        <v>16</v>
      </c>
      <c r="G380" s="4" t="s">
        <v>17</v>
      </c>
      <c r="H380" s="4"/>
    </row>
    <row r="381" spans="1:8" ht="34" customHeight="1">
      <c r="A381" s="4" t="s">
        <v>34</v>
      </c>
      <c r="B381" s="4" t="s">
        <v>25</v>
      </c>
      <c r="C381" s="7">
        <v>13.67159712948</v>
      </c>
      <c r="D381" s="7">
        <v>15.41377165728662</v>
      </c>
      <c r="E381" s="7">
        <f>IF(AND(ISNUMBER(C381),ISNUMBER(D381)),(D381-C381),"待補")</f>
        <v>1.7421745278066147</v>
      </c>
      <c r="F381" s="8" t="s">
        <v>16</v>
      </c>
      <c r="G381" s="4" t="s">
        <v>17</v>
      </c>
      <c r="H381" s="4"/>
    </row>
    <row r="382" spans="1:8" ht="34" customHeight="1">
      <c r="A382" s="4" t="s">
        <v>35</v>
      </c>
      <c r="B382" s="4" t="s">
        <v>36</v>
      </c>
      <c r="C382" s="7">
        <v>5.245315986666666</v>
      </c>
      <c r="D382" s="7">
        <v>2.458093826666667</v>
      </c>
      <c r="E382" s="7">
        <f>IF(AND(ISNUMBER(C382),ISNUMBER(D382)),(D382-C382),"待補")</f>
        <v>-2.78722216</v>
      </c>
      <c r="F382" s="9">
        <f>IF(AND(ISNUMBER(C382),ISNUMBER(D382),C382&lt;&gt;0),(C382-D382)/C382,"待補")</f>
        <v>0.531373546814907</v>
      </c>
      <c r="G382" s="4" t="s">
        <v>17</v>
      </c>
      <c r="H382" s="4" t="s">
        <v>37</v>
      </c>
    </row>
    <row r="383" spans="1:8" ht="34" customHeight="1">
      <c r="A383" s="4" t="s">
        <v>38</v>
      </c>
      <c r="B383" s="4" t="s">
        <v>39</v>
      </c>
      <c r="C383" s="7">
        <v>6.426666666666667</v>
      </c>
      <c r="D383" s="7">
        <v>6.433333333333334</v>
      </c>
      <c r="E383" s="7">
        <f>IF(AND(ISNUMBER(C383),ISNUMBER(D383)),(D383-C383),"待補")</f>
        <v>0.006666666666666821</v>
      </c>
      <c r="F383" s="8" t="s">
        <v>16</v>
      </c>
      <c r="G383" s="4" t="s">
        <v>17</v>
      </c>
      <c r="H383" s="4"/>
    </row>
    <row r="384" spans="1:8" ht="34" customHeight="1">
      <c r="A384" s="4" t="s">
        <v>40</v>
      </c>
      <c r="B384" s="4" t="s">
        <v>39</v>
      </c>
      <c r="C384" s="7">
        <v>6.426666666666667</v>
      </c>
      <c r="D384" s="7">
        <v>6.433333333333334</v>
      </c>
      <c r="E384" s="7">
        <f>IF(AND(ISNUMBER(C384),ISNUMBER(D384)),(D384-C384),"待補")</f>
        <v>0.006666666666666821</v>
      </c>
      <c r="F384" s="8" t="s">
        <v>16</v>
      </c>
      <c r="G384" s="4" t="s">
        <v>17</v>
      </c>
      <c r="H384" s="4" t="s">
        <v>41</v>
      </c>
    </row>
    <row r="385" spans="1:8" ht="34" customHeight="1">
      <c r="A385" s="4" t="s">
        <v>53</v>
      </c>
      <c r="B385" s="4" t="s">
        <v>39</v>
      </c>
      <c r="C385" s="7">
        <v>6.14</v>
      </c>
      <c r="D385" s="7">
        <v>6.133333333333334</v>
      </c>
      <c r="E385" s="7">
        <f>IF(AND(ISNUMBER(C385),ISNUMBER(D385)),(D385-C385),"待補")</f>
        <v>-0.0066666666666659324</v>
      </c>
      <c r="F385" s="8" t="s">
        <v>16</v>
      </c>
      <c r="G385" s="4" t="s">
        <v>17</v>
      </c>
      <c r="H385" s="4" t="s">
        <v>54</v>
      </c>
    </row>
    <row r="386" spans="1:8">
      <c r="A386" s="4" t="s">
        <v>42</v>
      </c>
      <c r="B386" s="4" t="s">
        <v>15</v>
      </c>
      <c r="D386" s="6">
        <v>13</v>
      </c>
      <c r="H386" s="4" t="s">
        <v>43</v>
      </c>
    </row>
    <row r="387" spans="1:8">
      <c r="A387" s="4" t="s">
        <v>44</v>
      </c>
      <c r="B387" s="4" t="s">
        <v>15</v>
      </c>
      <c r="D387" s="6">
        <v>14</v>
      </c>
      <c r="H387" s="4" t="s">
        <v>43</v>
      </c>
    </row>
    <row r="388" spans="1:8">
      <c r="A388" s="4" t="s">
        <v>45</v>
      </c>
      <c r="B388" s="4" t="s">
        <v>15</v>
      </c>
      <c r="D388" s="6">
        <v>109</v>
      </c>
      <c r="H388" s="4" t="s">
        <v>43</v>
      </c>
    </row>
    <row r="389" spans="1:8">
      <c r="A389" s="4" t="s">
        <v>46</v>
      </c>
      <c r="B389" s="4" t="s">
        <v>25</v>
      </c>
      <c r="C389" s="7">
        <v>9.112888419825687</v>
      </c>
      <c r="D389" s="7">
        <v>9.752080318082569</v>
      </c>
      <c r="E389" s="7">
        <f>IF(AND(ISNUMBER(C389),ISNUMBER(D389)),D389-C389,"待補")</f>
        <v>0.6391918982568814</v>
      </c>
      <c r="F389" s="9">
        <f>IF(AND(ISNUMBER(C389),ISNUMBER(D389),C389&lt;&gt;0),(C389-D389)/C389,"待補")</f>
        <v>-0.07014152580495527</v>
      </c>
      <c r="G389" s="4" t="s">
        <v>121</v>
      </c>
      <c r="H389" s="4" t="s">
        <v>48</v>
      </c>
    </row>
    <row r="390" spans="1:8" ht="34" customHeight="1">
      <c r="A390" s="2" t="s">
        <v>115</v>
      </c>
      <c r="B390" s="2"/>
      <c r="C390" s="2"/>
      <c r="D390" s="2"/>
      <c r="E390" s="2"/>
      <c r="F390" s="2"/>
      <c r="G390" s="2"/>
      <c r="H390" s="2"/>
    </row>
    <row r="393" spans="1:8" ht="28" customHeight="1">
      <c r="A393" s="3" t="s">
        <v>122</v>
      </c>
      <c r="B393" s="3"/>
      <c r="C393" s="3"/>
      <c r="D393" s="3"/>
      <c r="E393" s="3"/>
      <c r="F393" s="3"/>
      <c r="G393" s="3"/>
      <c r="H393" s="3"/>
    </row>
    <row r="394" spans="1:8" ht="40" customHeight="1">
      <c r="A394" s="2" t="s">
        <v>123</v>
      </c>
      <c r="B394" s="2"/>
      <c r="C394" s="2"/>
      <c r="D394" s="2"/>
      <c r="E394" s="2"/>
      <c r="F394" s="2"/>
      <c r="G394" s="2"/>
      <c r="H394" s="2"/>
    </row>
    <row r="395" spans="1:8" ht="40" customHeight="1">
      <c r="A395" s="2" t="s">
        <v>105</v>
      </c>
      <c r="B395" s="2"/>
      <c r="C395" s="2"/>
      <c r="D395" s="2"/>
      <c r="E395" s="2"/>
      <c r="F395" s="2"/>
      <c r="G395" s="2"/>
      <c r="H395" s="2"/>
    </row>
    <row r="396" spans="1:8">
      <c r="A396" s="3" t="s">
        <v>6</v>
      </c>
      <c r="B396" s="3" t="s">
        <v>7</v>
      </c>
      <c r="C396" s="3" t="s">
        <v>8</v>
      </c>
      <c r="D396" s="3" t="s">
        <v>9</v>
      </c>
      <c r="E396" s="3" t="s">
        <v>10</v>
      </c>
      <c r="F396" s="3" t="s">
        <v>11</v>
      </c>
      <c r="G396" s="3" t="s">
        <v>12</v>
      </c>
      <c r="H396" s="3" t="s">
        <v>13</v>
      </c>
    </row>
    <row r="397" spans="1:8" ht="34" customHeight="1">
      <c r="A397" s="4" t="s">
        <v>14</v>
      </c>
      <c r="B397" s="4" t="s">
        <v>15</v>
      </c>
      <c r="C397" s="6">
        <v>150</v>
      </c>
      <c r="D397" s="6">
        <v>150</v>
      </c>
      <c r="E397" s="7">
        <f>IF(AND(ISNUMBER(C397),ISNUMBER(D397)),(D397-C397),"待補")</f>
        <v>0</v>
      </c>
      <c r="F397" s="8" t="s">
        <v>16</v>
      </c>
      <c r="G397" s="4" t="s">
        <v>17</v>
      </c>
      <c r="H397" s="4"/>
    </row>
    <row r="398" spans="1:8" ht="34" customHeight="1">
      <c r="A398" s="4" t="s">
        <v>18</v>
      </c>
      <c r="B398" s="4" t="s">
        <v>15</v>
      </c>
      <c r="C398" s="6">
        <v>135</v>
      </c>
      <c r="D398" s="6">
        <v>131</v>
      </c>
      <c r="E398" s="7">
        <f>IF(AND(ISNUMBER(C398),ISNUMBER(D398)),(D398-C398),"待補")</f>
        <v>-4</v>
      </c>
      <c r="F398" s="8" t="s">
        <v>16</v>
      </c>
      <c r="G398" s="4" t="s">
        <v>17</v>
      </c>
      <c r="H398" s="4"/>
    </row>
    <row r="399" spans="1:8" ht="34" customHeight="1">
      <c r="A399" s="4" t="s">
        <v>19</v>
      </c>
      <c r="B399" s="4" t="s">
        <v>20</v>
      </c>
      <c r="C399" s="9">
        <v>0.9</v>
      </c>
      <c r="D399" s="9">
        <v>0.8733333333333333</v>
      </c>
      <c r="E399" s="10">
        <f>IF(AND(ISNUMBER(C399),ISNUMBER(D399)),(D399-C399)*100,"待補")</f>
        <v>-2.6666666666666727</v>
      </c>
      <c r="F399" s="8" t="s">
        <v>16</v>
      </c>
      <c r="G399" s="4" t="s">
        <v>17</v>
      </c>
      <c r="H399" s="4" t="s">
        <v>21</v>
      </c>
    </row>
    <row r="400" spans="1:8" ht="34" customHeight="1">
      <c r="A400" s="4" t="s">
        <v>22</v>
      </c>
      <c r="B400" s="4" t="s">
        <v>15</v>
      </c>
      <c r="C400" s="6">
        <v>143</v>
      </c>
      <c r="D400" s="6">
        <v>142</v>
      </c>
      <c r="E400" s="7">
        <f>IF(AND(ISNUMBER(C400),ISNUMBER(D400)),(D400-C400),"待補")</f>
        <v>-1</v>
      </c>
      <c r="F400" s="8" t="s">
        <v>16</v>
      </c>
      <c r="G400" s="4" t="s">
        <v>17</v>
      </c>
      <c r="H400" s="4"/>
    </row>
    <row r="401" spans="1:8" ht="34" customHeight="1">
      <c r="A401" s="4" t="s">
        <v>23</v>
      </c>
      <c r="B401" s="4" t="s">
        <v>15</v>
      </c>
      <c r="C401" s="6">
        <v>7</v>
      </c>
      <c r="D401" s="6">
        <v>8</v>
      </c>
      <c r="E401" s="7">
        <f>IF(AND(ISNUMBER(C401),ISNUMBER(D401)),(D401-C401),"待補")</f>
        <v>1</v>
      </c>
      <c r="F401" s="8" t="s">
        <v>16</v>
      </c>
      <c r="G401" s="4" t="s">
        <v>17</v>
      </c>
      <c r="H401" s="4"/>
    </row>
    <row r="402" spans="1:8" ht="34" customHeight="1">
      <c r="A402" s="4" t="s">
        <v>24</v>
      </c>
      <c r="B402" s="4" t="s">
        <v>25</v>
      </c>
      <c r="C402" s="7">
        <v>11.22310207536364</v>
      </c>
      <c r="D402" s="7">
        <v>15.28256575773944</v>
      </c>
      <c r="E402" s="7">
        <f>IF(AND(ISNUMBER(C402),ISNUMBER(D402)),(D402-C402),"待補")</f>
        <v>4.0594636823757995</v>
      </c>
      <c r="F402" s="8" t="s">
        <v>16</v>
      </c>
      <c r="G402" s="4" t="s">
        <v>124</v>
      </c>
      <c r="H402" s="4" t="s">
        <v>27</v>
      </c>
    </row>
    <row r="403" spans="1:8" ht="34" customHeight="1">
      <c r="A403" s="4" t="s">
        <v>28</v>
      </c>
      <c r="B403" s="4" t="s">
        <v>25</v>
      </c>
      <c r="C403" s="7">
        <v>8.666904932</v>
      </c>
      <c r="D403" s="7">
        <v>7.502002629</v>
      </c>
      <c r="E403" s="7">
        <f>IF(AND(ISNUMBER(C403),ISNUMBER(D403)),(D403-C403),"待補")</f>
        <v>-1.1649023029999999</v>
      </c>
      <c r="F403" s="8" t="s">
        <v>16</v>
      </c>
      <c r="G403" s="4" t="s">
        <v>124</v>
      </c>
      <c r="H403" s="4" t="s">
        <v>27</v>
      </c>
    </row>
    <row r="404" spans="1:8" ht="34" customHeight="1">
      <c r="A404" s="4" t="s">
        <v>29</v>
      </c>
      <c r="B404" s="4" t="s">
        <v>25</v>
      </c>
      <c r="C404" s="7">
        <v>9.859923063903704</v>
      </c>
      <c r="D404" s="7">
        <v>9.641058144496183</v>
      </c>
      <c r="E404" s="7">
        <f>IF(AND(ISNUMBER(C404),ISNUMBER(D404)),(D404-C404),"待補")</f>
        <v>-0.21886491940752073</v>
      </c>
      <c r="F404" s="8" t="s">
        <v>16</v>
      </c>
      <c r="G404" s="4" t="s">
        <v>125</v>
      </c>
      <c r="H404" s="4" t="s">
        <v>31</v>
      </c>
    </row>
    <row r="405" spans="1:8" ht="34" customHeight="1">
      <c r="A405" s="4" t="s">
        <v>32</v>
      </c>
      <c r="B405" s="4" t="s">
        <v>33</v>
      </c>
      <c r="C405" s="7">
        <v>0.7024714967154545</v>
      </c>
      <c r="D405" s="7">
        <v>0.8599698293532394</v>
      </c>
      <c r="E405" s="7">
        <f>IF(AND(ISNUMBER(C405),ISNUMBER(D405)),(D405-C405),"待補")</f>
        <v>0.1574983326377849</v>
      </c>
      <c r="F405" s="8" t="s">
        <v>16</v>
      </c>
      <c r="G405" s="4" t="s">
        <v>17</v>
      </c>
      <c r="H405" s="4"/>
    </row>
    <row r="406" spans="1:8" ht="34" customHeight="1">
      <c r="A406" s="4" t="s">
        <v>34</v>
      </c>
      <c r="B406" s="4" t="s">
        <v>25</v>
      </c>
      <c r="C406" s="7">
        <v>9.952239008971327</v>
      </c>
      <c r="D406" s="7">
        <v>13.91722187966972</v>
      </c>
      <c r="E406" s="7">
        <f>IF(AND(ISNUMBER(C406),ISNUMBER(D406)),(D406-C406),"待補")</f>
        <v>3.9649828706983925</v>
      </c>
      <c r="F406" s="8" t="s">
        <v>16</v>
      </c>
      <c r="G406" s="4" t="s">
        <v>17</v>
      </c>
      <c r="H406" s="4"/>
    </row>
    <row r="407" spans="1:8" ht="34" customHeight="1">
      <c r="A407" s="4" t="s">
        <v>35</v>
      </c>
      <c r="B407" s="4" t="s">
        <v>36</v>
      </c>
      <c r="C407" s="7">
        <v>5.115265313333333</v>
      </c>
      <c r="D407" s="7">
        <v>2.45381504</v>
      </c>
      <c r="E407" s="7">
        <f>IF(AND(ISNUMBER(C407),ISNUMBER(D407)),(D407-C407),"待補")</f>
        <v>-2.6614502733333336</v>
      </c>
      <c r="F407" s="9">
        <f>IF(AND(ISNUMBER(C407),ISNUMBER(D407),C407&lt;&gt;0),(C407-D407)/C407,"待補")</f>
        <v>0.5202956465221966</v>
      </c>
      <c r="G407" s="4" t="s">
        <v>17</v>
      </c>
      <c r="H407" s="4" t="s">
        <v>37</v>
      </c>
    </row>
    <row r="408" spans="1:8" ht="34" customHeight="1">
      <c r="A408" s="4" t="s">
        <v>38</v>
      </c>
      <c r="B408" s="4" t="s">
        <v>39</v>
      </c>
      <c r="C408" s="7">
        <v>9.013333333333334</v>
      </c>
      <c r="D408" s="7">
        <v>8.886666666666667</v>
      </c>
      <c r="E408" s="7">
        <f>IF(AND(ISNUMBER(C408),ISNUMBER(D408)),(D408-C408),"待補")</f>
        <v>-0.12666666666666693</v>
      </c>
      <c r="F408" s="8" t="s">
        <v>16</v>
      </c>
      <c r="G408" s="4" t="s">
        <v>17</v>
      </c>
      <c r="H408" s="4"/>
    </row>
    <row r="409" spans="1:8" ht="34" customHeight="1">
      <c r="A409" s="4" t="s">
        <v>40</v>
      </c>
      <c r="B409" s="4" t="s">
        <v>39</v>
      </c>
      <c r="C409" s="7">
        <v>9.013333333333334</v>
      </c>
      <c r="D409" s="7">
        <v>8.886666666666667</v>
      </c>
      <c r="E409" s="7">
        <f>IF(AND(ISNUMBER(C409),ISNUMBER(D409)),(D409-C409),"待補")</f>
        <v>-0.12666666666666693</v>
      </c>
      <c r="F409" s="8" t="s">
        <v>16</v>
      </c>
      <c r="G409" s="4" t="s">
        <v>17</v>
      </c>
      <c r="H409" s="4" t="s">
        <v>41</v>
      </c>
    </row>
    <row r="410" spans="1:8">
      <c r="A410" s="4" t="s">
        <v>42</v>
      </c>
      <c r="B410" s="4" t="s">
        <v>15</v>
      </c>
      <c r="D410" s="6">
        <v>8</v>
      </c>
      <c r="H410" s="4" t="s">
        <v>43</v>
      </c>
    </row>
    <row r="411" spans="1:8">
      <c r="A411" s="4" t="s">
        <v>44</v>
      </c>
      <c r="B411" s="4" t="s">
        <v>15</v>
      </c>
      <c r="D411" s="6">
        <v>12</v>
      </c>
      <c r="H411" s="4" t="s">
        <v>43</v>
      </c>
    </row>
    <row r="412" spans="1:8">
      <c r="A412" s="4" t="s">
        <v>45</v>
      </c>
      <c r="B412" s="4" t="s">
        <v>15</v>
      </c>
      <c r="D412" s="6">
        <v>123</v>
      </c>
      <c r="H412" s="4" t="s">
        <v>43</v>
      </c>
    </row>
    <row r="413" spans="1:8">
      <c r="A413" s="4" t="s">
        <v>46</v>
      </c>
      <c r="B413" s="4" t="s">
        <v>25</v>
      </c>
      <c r="C413" s="7">
        <v>9.84962593287805</v>
      </c>
      <c r="D413" s="7">
        <v>9.508196684504066</v>
      </c>
      <c r="E413" s="7">
        <f>IF(AND(ISNUMBER(C413),ISNUMBER(D413)),D413-C413,"待補")</f>
        <v>-0.3414292483739839</v>
      </c>
      <c r="F413" s="9">
        <f>IF(AND(ISNUMBER(C413),ISNUMBER(D413),C413&lt;&gt;0),(C413-D413)/C413,"待補")</f>
        <v>0.034664184274683284</v>
      </c>
      <c r="G413" s="4" t="s">
        <v>126</v>
      </c>
      <c r="H413" s="4" t="s">
        <v>48</v>
      </c>
    </row>
    <row r="414" spans="1:8" ht="34" customHeight="1">
      <c r="A414" s="2" t="s">
        <v>49</v>
      </c>
      <c r="B414" s="2"/>
      <c r="C414" s="2"/>
      <c r="D414" s="2"/>
      <c r="E414" s="2"/>
      <c r="F414" s="2"/>
      <c r="G414" s="2"/>
      <c r="H414" s="2"/>
    </row>
    <row r="417" spans="1:8" ht="28" customHeight="1">
      <c r="A417" s="3" t="s">
        <v>127</v>
      </c>
      <c r="B417" s="3"/>
      <c r="C417" s="3"/>
      <c r="D417" s="3"/>
      <c r="E417" s="3"/>
      <c r="F417" s="3"/>
      <c r="G417" s="3"/>
      <c r="H417" s="3"/>
    </row>
    <row r="418" spans="1:8" ht="40" customHeight="1">
      <c r="A418" s="2" t="s">
        <v>128</v>
      </c>
      <c r="B418" s="2"/>
      <c r="C418" s="2"/>
      <c r="D418" s="2"/>
      <c r="E418" s="2"/>
      <c r="F418" s="2"/>
      <c r="G418" s="2"/>
      <c r="H418" s="2"/>
    </row>
    <row r="419" spans="1:8" ht="40" customHeight="1">
      <c r="A419" s="2" t="s">
        <v>111</v>
      </c>
      <c r="B419" s="2"/>
      <c r="C419" s="2"/>
      <c r="D419" s="2"/>
      <c r="E419" s="2"/>
      <c r="F419" s="2"/>
      <c r="G419" s="2"/>
      <c r="H419" s="2"/>
    </row>
    <row r="420" spans="1:8">
      <c r="A420" s="3" t="s">
        <v>6</v>
      </c>
      <c r="B420" s="3" t="s">
        <v>7</v>
      </c>
      <c r="C420" s="3" t="s">
        <v>8</v>
      </c>
      <c r="D420" s="3" t="s">
        <v>9</v>
      </c>
      <c r="E420" s="3" t="s">
        <v>10</v>
      </c>
      <c r="F420" s="3" t="s">
        <v>11</v>
      </c>
      <c r="G420" s="3" t="s">
        <v>12</v>
      </c>
      <c r="H420" s="3" t="s">
        <v>13</v>
      </c>
    </row>
    <row r="421" spans="1:8" ht="34" customHeight="1">
      <c r="A421" s="4" t="s">
        <v>14</v>
      </c>
      <c r="B421" s="4" t="s">
        <v>15</v>
      </c>
      <c r="C421" s="6">
        <v>150</v>
      </c>
      <c r="D421" s="6">
        <v>150</v>
      </c>
      <c r="E421" s="7">
        <f>IF(AND(ISNUMBER(C421),ISNUMBER(D421)),(D421-C421),"待補")</f>
        <v>0</v>
      </c>
      <c r="F421" s="8" t="s">
        <v>16</v>
      </c>
      <c r="G421" s="4" t="s">
        <v>17</v>
      </c>
      <c r="H421" s="4"/>
    </row>
    <row r="422" spans="1:8" ht="34" customHeight="1">
      <c r="A422" s="4" t="s">
        <v>18</v>
      </c>
      <c r="B422" s="4" t="s">
        <v>15</v>
      </c>
      <c r="C422" s="6">
        <v>135</v>
      </c>
      <c r="D422" s="6">
        <v>138</v>
      </c>
      <c r="E422" s="7">
        <f>IF(AND(ISNUMBER(C422),ISNUMBER(D422)),(D422-C422),"待補")</f>
        <v>3</v>
      </c>
      <c r="F422" s="8" t="s">
        <v>16</v>
      </c>
      <c r="G422" s="4" t="s">
        <v>17</v>
      </c>
      <c r="H422" s="4"/>
    </row>
    <row r="423" spans="1:8" ht="34" customHeight="1">
      <c r="A423" s="4" t="s">
        <v>19</v>
      </c>
      <c r="B423" s="4" t="s">
        <v>20</v>
      </c>
      <c r="C423" s="9">
        <v>0.9</v>
      </c>
      <c r="D423" s="9">
        <v>0.92</v>
      </c>
      <c r="E423" s="10">
        <f>IF(AND(ISNUMBER(C423),ISNUMBER(D423)),(D423-C423)*100,"待補")</f>
        <v>2.0000000000000018</v>
      </c>
      <c r="F423" s="8" t="s">
        <v>16</v>
      </c>
      <c r="G423" s="4" t="s">
        <v>17</v>
      </c>
      <c r="H423" s="4" t="s">
        <v>21</v>
      </c>
    </row>
    <row r="424" spans="1:8" ht="34" customHeight="1">
      <c r="A424" s="4" t="s">
        <v>22</v>
      </c>
      <c r="B424" s="4" t="s">
        <v>15</v>
      </c>
      <c r="C424" s="6">
        <v>143</v>
      </c>
      <c r="D424" s="6">
        <v>144</v>
      </c>
      <c r="E424" s="7">
        <f>IF(AND(ISNUMBER(C424),ISNUMBER(D424)),(D424-C424),"待補")</f>
        <v>1</v>
      </c>
      <c r="F424" s="8" t="s">
        <v>16</v>
      </c>
      <c r="G424" s="4" t="s">
        <v>17</v>
      </c>
      <c r="H424" s="4"/>
    </row>
    <row r="425" spans="1:8" ht="34" customHeight="1">
      <c r="A425" s="4" t="s">
        <v>23</v>
      </c>
      <c r="B425" s="4" t="s">
        <v>15</v>
      </c>
      <c r="C425" s="6">
        <v>7</v>
      </c>
      <c r="D425" s="6">
        <v>6</v>
      </c>
      <c r="E425" s="7">
        <f>IF(AND(ISNUMBER(C425),ISNUMBER(D425)),(D425-C425),"待補")</f>
        <v>-1</v>
      </c>
      <c r="F425" s="8" t="s">
        <v>16</v>
      </c>
      <c r="G425" s="4" t="s">
        <v>17</v>
      </c>
      <c r="H425" s="4"/>
    </row>
    <row r="426" spans="1:8" ht="34" customHeight="1">
      <c r="A426" s="4" t="s">
        <v>24</v>
      </c>
      <c r="B426" s="4" t="s">
        <v>25</v>
      </c>
      <c r="C426" s="7">
        <v>11.22310207536364</v>
      </c>
      <c r="D426" s="7">
        <v>11.70142020304861</v>
      </c>
      <c r="E426" s="7">
        <f>IF(AND(ISNUMBER(C426),ISNUMBER(D426)),(D426-C426),"待補")</f>
        <v>0.4783181276849753</v>
      </c>
      <c r="F426" s="8" t="s">
        <v>16</v>
      </c>
      <c r="G426" s="4" t="s">
        <v>129</v>
      </c>
      <c r="H426" s="4" t="s">
        <v>27</v>
      </c>
    </row>
    <row r="427" spans="1:8" ht="34" customHeight="1">
      <c r="A427" s="4" t="s">
        <v>28</v>
      </c>
      <c r="B427" s="4" t="s">
        <v>25</v>
      </c>
      <c r="C427" s="7">
        <v>8.666904932</v>
      </c>
      <c r="D427" s="7">
        <v>7.6209595905</v>
      </c>
      <c r="E427" s="7">
        <f>IF(AND(ISNUMBER(C427),ISNUMBER(D427)),(D427-C427),"待補")</f>
        <v>-1.0459453414999995</v>
      </c>
      <c r="F427" s="8" t="s">
        <v>16</v>
      </c>
      <c r="G427" s="4" t="s">
        <v>129</v>
      </c>
      <c r="H427" s="4" t="s">
        <v>27</v>
      </c>
    </row>
    <row r="428" spans="1:8" ht="34" customHeight="1">
      <c r="A428" s="4" t="s">
        <v>29</v>
      </c>
      <c r="B428" s="4" t="s">
        <v>25</v>
      </c>
      <c r="C428" s="7">
        <v>9.859923063903704</v>
      </c>
      <c r="D428" s="7">
        <v>9.739325686079709</v>
      </c>
      <c r="E428" s="7">
        <f>IF(AND(ISNUMBER(C428),ISNUMBER(D428)),(D428-C428),"待補")</f>
        <v>-0.12059737782399438</v>
      </c>
      <c r="F428" s="8" t="s">
        <v>16</v>
      </c>
      <c r="G428" s="4" t="s">
        <v>130</v>
      </c>
      <c r="H428" s="4" t="s">
        <v>31</v>
      </c>
    </row>
    <row r="429" spans="1:8" ht="34" customHeight="1">
      <c r="A429" s="4" t="s">
        <v>32</v>
      </c>
      <c r="B429" s="4" t="s">
        <v>33</v>
      </c>
      <c r="C429" s="7">
        <v>0.7024714967154545</v>
      </c>
      <c r="D429" s="7">
        <v>0.6855592935246527</v>
      </c>
      <c r="E429" s="7">
        <f>IF(AND(ISNUMBER(C429),ISNUMBER(D429)),(D429-C429),"待補")</f>
        <v>-0.016912203190801778</v>
      </c>
      <c r="F429" s="8" t="s">
        <v>16</v>
      </c>
      <c r="G429" s="4" t="s">
        <v>17</v>
      </c>
      <c r="H429" s="4"/>
    </row>
    <row r="430" spans="1:8" ht="34" customHeight="1">
      <c r="A430" s="4" t="s">
        <v>34</v>
      </c>
      <c r="B430" s="4" t="s">
        <v>25</v>
      </c>
      <c r="C430" s="7">
        <v>9.952239008971327</v>
      </c>
      <c r="D430" s="7">
        <v>10.53969883412778</v>
      </c>
      <c r="E430" s="7">
        <f>IF(AND(ISNUMBER(C430),ISNUMBER(D430)),(D430-C430),"待補")</f>
        <v>0.5874598251564507</v>
      </c>
      <c r="F430" s="8" t="s">
        <v>16</v>
      </c>
      <c r="G430" s="4" t="s">
        <v>17</v>
      </c>
      <c r="H430" s="4"/>
    </row>
    <row r="431" spans="1:8" ht="34" customHeight="1">
      <c r="A431" s="4" t="s">
        <v>35</v>
      </c>
      <c r="B431" s="4" t="s">
        <v>36</v>
      </c>
      <c r="C431" s="7">
        <v>5.115265313333333</v>
      </c>
      <c r="D431" s="7">
        <v>2.216827913333333</v>
      </c>
      <c r="E431" s="7">
        <f>IF(AND(ISNUMBER(C431),ISNUMBER(D431)),(D431-C431),"待補")</f>
        <v>-2.8984374</v>
      </c>
      <c r="F431" s="9">
        <f>IF(AND(ISNUMBER(C431),ISNUMBER(D431),C431&lt;&gt;0),(C431-D431)/C431,"待補")</f>
        <v>0.5666250375019649</v>
      </c>
      <c r="G431" s="4" t="s">
        <v>17</v>
      </c>
      <c r="H431" s="4" t="s">
        <v>37</v>
      </c>
    </row>
    <row r="432" spans="1:8" ht="34" customHeight="1">
      <c r="A432" s="4" t="s">
        <v>38</v>
      </c>
      <c r="B432" s="4" t="s">
        <v>39</v>
      </c>
      <c r="C432" s="7">
        <v>9.013333333333334</v>
      </c>
      <c r="D432" s="7">
        <v>8.92</v>
      </c>
      <c r="E432" s="7">
        <f>IF(AND(ISNUMBER(C432),ISNUMBER(D432)),(D432-C432),"待補")</f>
        <v>-0.09333333333333371</v>
      </c>
      <c r="F432" s="8" t="s">
        <v>16</v>
      </c>
      <c r="G432" s="4" t="s">
        <v>17</v>
      </c>
      <c r="H432" s="4"/>
    </row>
    <row r="433" spans="1:8" ht="34" customHeight="1">
      <c r="A433" s="4" t="s">
        <v>40</v>
      </c>
      <c r="B433" s="4" t="s">
        <v>39</v>
      </c>
      <c r="C433" s="7">
        <v>9.013333333333334</v>
      </c>
      <c r="D433" s="7">
        <v>8.92</v>
      </c>
      <c r="E433" s="7">
        <f>IF(AND(ISNUMBER(C433),ISNUMBER(D433)),(D433-C433),"待補")</f>
        <v>-0.09333333333333371</v>
      </c>
      <c r="F433" s="8" t="s">
        <v>16</v>
      </c>
      <c r="G433" s="4" t="s">
        <v>17</v>
      </c>
      <c r="H433" s="4" t="s">
        <v>41</v>
      </c>
    </row>
    <row r="434" spans="1:8">
      <c r="A434" s="4" t="s">
        <v>42</v>
      </c>
      <c r="B434" s="4" t="s">
        <v>15</v>
      </c>
      <c r="D434" s="6">
        <v>7</v>
      </c>
      <c r="H434" s="4" t="s">
        <v>43</v>
      </c>
    </row>
    <row r="435" spans="1:8">
      <c r="A435" s="4" t="s">
        <v>44</v>
      </c>
      <c r="B435" s="4" t="s">
        <v>15</v>
      </c>
      <c r="D435" s="6">
        <v>4</v>
      </c>
      <c r="H435" s="4" t="s">
        <v>43</v>
      </c>
    </row>
    <row r="436" spans="1:8">
      <c r="A436" s="4" t="s">
        <v>45</v>
      </c>
      <c r="B436" s="4" t="s">
        <v>15</v>
      </c>
      <c r="D436" s="6">
        <v>131</v>
      </c>
      <c r="H436" s="4" t="s">
        <v>43</v>
      </c>
    </row>
    <row r="437" spans="1:8">
      <c r="A437" s="4" t="s">
        <v>46</v>
      </c>
      <c r="B437" s="4" t="s">
        <v>25</v>
      </c>
      <c r="C437" s="7">
        <v>9.604805375717557</v>
      </c>
      <c r="D437" s="7">
        <v>9.647290977229007</v>
      </c>
      <c r="E437" s="7">
        <f>IF(AND(ISNUMBER(C437),ISNUMBER(D437)),D437-C437,"待補")</f>
        <v>0.04248560151145081</v>
      </c>
      <c r="F437" s="9">
        <f>IF(AND(ISNUMBER(C437),ISNUMBER(D437),C437&lt;&gt;0),(C437-D437)/C437,"待補")</f>
        <v>-0.004423369329154865</v>
      </c>
      <c r="G437" s="4" t="s">
        <v>131</v>
      </c>
      <c r="H437" s="4" t="s">
        <v>48</v>
      </c>
    </row>
    <row r="438" spans="1:8" ht="34" customHeight="1">
      <c r="A438" s="2" t="s">
        <v>115</v>
      </c>
      <c r="B438" s="2"/>
      <c r="C438" s="2"/>
      <c r="D438" s="2"/>
      <c r="E438" s="2"/>
      <c r="F438" s="2"/>
      <c r="G438" s="2"/>
      <c r="H438" s="2"/>
    </row>
    <row r="441" spans="1:8" ht="28" customHeight="1">
      <c r="A441" s="3" t="s">
        <v>132</v>
      </c>
      <c r="B441" s="3"/>
      <c r="C441" s="3"/>
      <c r="D441" s="3"/>
      <c r="E441" s="3"/>
      <c r="F441" s="3"/>
      <c r="G441" s="3"/>
      <c r="H441" s="3"/>
    </row>
    <row r="442" spans="1:8" ht="40" customHeight="1">
      <c r="A442" s="2" t="s">
        <v>123</v>
      </c>
      <c r="B442" s="2"/>
      <c r="C442" s="2"/>
      <c r="D442" s="2"/>
      <c r="E442" s="2"/>
      <c r="F442" s="2"/>
      <c r="G442" s="2"/>
      <c r="H442" s="2"/>
    </row>
    <row r="443" spans="1:8" ht="40" customHeight="1">
      <c r="A443" s="2" t="s">
        <v>105</v>
      </c>
      <c r="B443" s="2"/>
      <c r="C443" s="2"/>
      <c r="D443" s="2"/>
      <c r="E443" s="2"/>
      <c r="F443" s="2"/>
      <c r="G443" s="2"/>
      <c r="H443" s="2"/>
    </row>
    <row r="444" spans="1:8">
      <c r="A444" s="3" t="s">
        <v>6</v>
      </c>
      <c r="B444" s="3" t="s">
        <v>7</v>
      </c>
      <c r="C444" s="3" t="s">
        <v>8</v>
      </c>
      <c r="D444" s="3" t="s">
        <v>9</v>
      </c>
      <c r="E444" s="3" t="s">
        <v>10</v>
      </c>
      <c r="F444" s="3" t="s">
        <v>11</v>
      </c>
      <c r="G444" s="3" t="s">
        <v>12</v>
      </c>
      <c r="H444" s="3" t="s">
        <v>13</v>
      </c>
    </row>
    <row r="445" spans="1:8" ht="34" customHeight="1">
      <c r="A445" s="4" t="s">
        <v>14</v>
      </c>
      <c r="B445" s="4" t="s">
        <v>15</v>
      </c>
      <c r="C445" s="6">
        <v>150</v>
      </c>
      <c r="D445" s="6">
        <v>150</v>
      </c>
      <c r="E445" s="7">
        <f>IF(AND(ISNUMBER(C445),ISNUMBER(D445)),(D445-C445),"待補")</f>
        <v>0</v>
      </c>
      <c r="F445" s="8" t="s">
        <v>16</v>
      </c>
      <c r="G445" s="4" t="s">
        <v>17</v>
      </c>
      <c r="H445" s="4"/>
    </row>
    <row r="446" spans="1:8" ht="34" customHeight="1">
      <c r="A446" s="4" t="s">
        <v>18</v>
      </c>
      <c r="B446" s="4" t="s">
        <v>15</v>
      </c>
      <c r="C446" s="6">
        <v>142</v>
      </c>
      <c r="D446" s="6">
        <v>130</v>
      </c>
      <c r="E446" s="7">
        <f>IF(AND(ISNUMBER(C446),ISNUMBER(D446)),(D446-C446),"待補")</f>
        <v>-12</v>
      </c>
      <c r="F446" s="8" t="s">
        <v>16</v>
      </c>
      <c r="G446" s="4" t="s">
        <v>17</v>
      </c>
      <c r="H446" s="4"/>
    </row>
    <row r="447" spans="1:8" ht="34" customHeight="1">
      <c r="A447" s="4" t="s">
        <v>19</v>
      </c>
      <c r="B447" s="4" t="s">
        <v>20</v>
      </c>
      <c r="C447" s="9">
        <v>0.9466666666666667</v>
      </c>
      <c r="D447" s="9">
        <v>0.8666666666666667</v>
      </c>
      <c r="E447" s="10">
        <f>IF(AND(ISNUMBER(C447),ISNUMBER(D447)),(D447-C447)*100,"待補")</f>
        <v>-7.9999999999999964</v>
      </c>
      <c r="F447" s="8" t="s">
        <v>16</v>
      </c>
      <c r="G447" s="4" t="s">
        <v>17</v>
      </c>
      <c r="H447" s="4" t="s">
        <v>21</v>
      </c>
    </row>
    <row r="448" spans="1:8" ht="34" customHeight="1">
      <c r="A448" s="4" t="s">
        <v>22</v>
      </c>
      <c r="B448" s="4" t="s">
        <v>15</v>
      </c>
      <c r="C448" s="6">
        <v>143</v>
      </c>
      <c r="D448" s="6">
        <v>142</v>
      </c>
      <c r="E448" s="7">
        <f>IF(AND(ISNUMBER(C448),ISNUMBER(D448)),(D448-C448),"待補")</f>
        <v>-1</v>
      </c>
      <c r="F448" s="8" t="s">
        <v>16</v>
      </c>
      <c r="G448" s="4" t="s">
        <v>17</v>
      </c>
      <c r="H448" s="4"/>
    </row>
    <row r="449" spans="1:8" ht="34" customHeight="1">
      <c r="A449" s="4" t="s">
        <v>23</v>
      </c>
      <c r="B449" s="4" t="s">
        <v>15</v>
      </c>
      <c r="C449" s="6">
        <v>7</v>
      </c>
      <c r="D449" s="6">
        <v>8</v>
      </c>
      <c r="E449" s="7">
        <f>IF(AND(ISNUMBER(C449),ISNUMBER(D449)),(D449-C449),"待補")</f>
        <v>1</v>
      </c>
      <c r="F449" s="8" t="s">
        <v>16</v>
      </c>
      <c r="G449" s="4" t="s">
        <v>17</v>
      </c>
      <c r="H449" s="4"/>
    </row>
    <row r="450" spans="1:8" ht="34" customHeight="1">
      <c r="A450" s="4" t="s">
        <v>24</v>
      </c>
      <c r="B450" s="4" t="s">
        <v>25</v>
      </c>
      <c r="C450" s="7">
        <v>9.774054196055944</v>
      </c>
      <c r="D450" s="7">
        <v>15.19335483557746</v>
      </c>
      <c r="E450" s="7">
        <f>IF(AND(ISNUMBER(C450),ISNUMBER(D450)),(D450-C450),"待補")</f>
        <v>5.419300639521518</v>
      </c>
      <c r="F450" s="8" t="s">
        <v>16</v>
      </c>
      <c r="G450" s="4" t="s">
        <v>124</v>
      </c>
      <c r="H450" s="4" t="s">
        <v>27</v>
      </c>
    </row>
    <row r="451" spans="1:8" ht="34" customHeight="1">
      <c r="A451" s="4" t="s">
        <v>28</v>
      </c>
      <c r="B451" s="4" t="s">
        <v>25</v>
      </c>
      <c r="C451" s="7">
        <v>7.112085512000001</v>
      </c>
      <c r="D451" s="7">
        <v>7.03785943</v>
      </c>
      <c r="E451" s="7">
        <f>IF(AND(ISNUMBER(C451),ISNUMBER(D451)),(D451-C451),"待補")</f>
        <v>-0.07422608200000091</v>
      </c>
      <c r="F451" s="8" t="s">
        <v>16</v>
      </c>
      <c r="G451" s="4" t="s">
        <v>124</v>
      </c>
      <c r="H451" s="4" t="s">
        <v>27</v>
      </c>
    </row>
    <row r="452" spans="1:8" ht="34" customHeight="1">
      <c r="A452" s="4" t="s">
        <v>29</v>
      </c>
      <c r="B452" s="4" t="s">
        <v>25</v>
      </c>
      <c r="C452" s="7">
        <v>9.031564288985916</v>
      </c>
      <c r="D452" s="7">
        <v>8.09396366516923</v>
      </c>
      <c r="E452" s="7">
        <f>IF(AND(ISNUMBER(C452),ISNUMBER(D452)),(D452-C452),"待補")</f>
        <v>-0.9376006238166852</v>
      </c>
      <c r="F452" s="8" t="s">
        <v>16</v>
      </c>
      <c r="G452" s="4" t="s">
        <v>133</v>
      </c>
      <c r="H452" s="4" t="s">
        <v>31</v>
      </c>
    </row>
    <row r="453" spans="1:8" ht="34" customHeight="1">
      <c r="A453" s="4" t="s">
        <v>32</v>
      </c>
      <c r="B453" s="4" t="s">
        <v>33</v>
      </c>
      <c r="C453" s="7">
        <v>0.558572264859021</v>
      </c>
      <c r="D453" s="7">
        <v>0.765246271401831</v>
      </c>
      <c r="E453" s="7">
        <f>IF(AND(ISNUMBER(C453),ISNUMBER(D453)),(D453-C453),"待補")</f>
        <v>0.20667400654280998</v>
      </c>
      <c r="F453" s="8" t="s">
        <v>16</v>
      </c>
      <c r="G453" s="4" t="s">
        <v>17</v>
      </c>
      <c r="H453" s="4"/>
    </row>
    <row r="454" spans="1:8" ht="34" customHeight="1">
      <c r="A454" s="4" t="s">
        <v>34</v>
      </c>
      <c r="B454" s="4" t="s">
        <v>25</v>
      </c>
      <c r="C454" s="7">
        <v>8.81331026267063</v>
      </c>
      <c r="D454" s="7">
        <v>14.0533379095007</v>
      </c>
      <c r="E454" s="7">
        <f>IF(AND(ISNUMBER(C454),ISNUMBER(D454)),(D454-C454),"待補")</f>
        <v>5.240027646830075</v>
      </c>
      <c r="F454" s="8" t="s">
        <v>16</v>
      </c>
      <c r="G454" s="4" t="s">
        <v>17</v>
      </c>
      <c r="H454" s="4"/>
    </row>
    <row r="455" spans="1:8" ht="34" customHeight="1">
      <c r="A455" s="4" t="s">
        <v>35</v>
      </c>
      <c r="B455" s="4" t="s">
        <v>36</v>
      </c>
      <c r="C455" s="7">
        <v>6.842217106666666</v>
      </c>
      <c r="D455" s="7">
        <v>2.9716425</v>
      </c>
      <c r="E455" s="7">
        <f>IF(AND(ISNUMBER(C455),ISNUMBER(D455)),(D455-C455),"待補")</f>
        <v>-3.870574606666666</v>
      </c>
      <c r="F455" s="9">
        <f>IF(AND(ISNUMBER(C455),ISNUMBER(D455),C455&lt;&gt;0),(C455-D455)/C455,"待補")</f>
        <v>0.5656901186159964</v>
      </c>
      <c r="G455" s="4" t="s">
        <v>17</v>
      </c>
      <c r="H455" s="4" t="s">
        <v>37</v>
      </c>
    </row>
    <row r="456" spans="1:8" ht="34" customHeight="1">
      <c r="A456" s="4" t="s">
        <v>38</v>
      </c>
      <c r="B456" s="4" t="s">
        <v>39</v>
      </c>
      <c r="C456" s="7">
        <v>9.013333333333334</v>
      </c>
      <c r="D456" s="7">
        <v>8.886666666666667</v>
      </c>
      <c r="E456" s="7">
        <f>IF(AND(ISNUMBER(C456),ISNUMBER(D456)),(D456-C456),"待補")</f>
        <v>-0.12666666666666693</v>
      </c>
      <c r="F456" s="8" t="s">
        <v>16</v>
      </c>
      <c r="G456" s="4" t="s">
        <v>17</v>
      </c>
      <c r="H456" s="4"/>
    </row>
    <row r="457" spans="1:8" ht="34" customHeight="1">
      <c r="A457" s="4" t="s">
        <v>40</v>
      </c>
      <c r="B457" s="4" t="s">
        <v>39</v>
      </c>
      <c r="C457" s="7">
        <v>9.013333333333334</v>
      </c>
      <c r="D457" s="7">
        <v>8.886666666666667</v>
      </c>
      <c r="E457" s="7">
        <f>IF(AND(ISNUMBER(C457),ISNUMBER(D457)),(D457-C457),"待補")</f>
        <v>-0.12666666666666693</v>
      </c>
      <c r="F457" s="8" t="s">
        <v>16</v>
      </c>
      <c r="G457" s="4" t="s">
        <v>17</v>
      </c>
      <c r="H457" s="4" t="s">
        <v>41</v>
      </c>
    </row>
    <row r="458" spans="1:8" ht="34" customHeight="1">
      <c r="A458" s="4" t="s">
        <v>53</v>
      </c>
      <c r="B458" s="4" t="s">
        <v>39</v>
      </c>
      <c r="C458" s="7">
        <v>8.726666666666667</v>
      </c>
      <c r="D458" s="7">
        <v>8.5</v>
      </c>
      <c r="E458" s="7">
        <f>IF(AND(ISNUMBER(C458),ISNUMBER(D458)),(D458-C458),"待補")</f>
        <v>-0.22666666666666657</v>
      </c>
      <c r="F458" s="8" t="s">
        <v>16</v>
      </c>
      <c r="G458" s="4" t="s">
        <v>17</v>
      </c>
      <c r="H458" s="4" t="s">
        <v>54</v>
      </c>
    </row>
    <row r="459" spans="1:8">
      <c r="A459" s="4" t="s">
        <v>42</v>
      </c>
      <c r="B459" s="4" t="s">
        <v>15</v>
      </c>
      <c r="D459" s="6">
        <v>3</v>
      </c>
      <c r="H459" s="4" t="s">
        <v>43</v>
      </c>
    </row>
    <row r="460" spans="1:8">
      <c r="A460" s="4" t="s">
        <v>44</v>
      </c>
      <c r="B460" s="4" t="s">
        <v>15</v>
      </c>
      <c r="D460" s="6">
        <v>15</v>
      </c>
      <c r="H460" s="4" t="s">
        <v>43</v>
      </c>
    </row>
    <row r="461" spans="1:8">
      <c r="A461" s="4" t="s">
        <v>45</v>
      </c>
      <c r="B461" s="4" t="s">
        <v>15</v>
      </c>
      <c r="D461" s="6">
        <v>127</v>
      </c>
      <c r="H461" s="4" t="s">
        <v>43</v>
      </c>
    </row>
    <row r="462" spans="1:8">
      <c r="A462" s="4" t="s">
        <v>46</v>
      </c>
      <c r="B462" s="4" t="s">
        <v>25</v>
      </c>
      <c r="C462" s="7">
        <v>8.793598791850393</v>
      </c>
      <c r="D462" s="7">
        <v>7.993764566181103</v>
      </c>
      <c r="E462" s="7">
        <f>IF(AND(ISNUMBER(C462),ISNUMBER(D462)),D462-C462,"待補")</f>
        <v>-0.7998342256692909</v>
      </c>
      <c r="F462" s="9">
        <f>IF(AND(ISNUMBER(C462),ISNUMBER(D462),C462&lt;&gt;0),(C462-D462)/C462,"待補")</f>
        <v>0.09095641552472804</v>
      </c>
      <c r="G462" s="4" t="s">
        <v>134</v>
      </c>
      <c r="H462" s="4" t="s">
        <v>48</v>
      </c>
    </row>
    <row r="463" spans="1:8" ht="34" customHeight="1">
      <c r="A463" s="2" t="s">
        <v>49</v>
      </c>
      <c r="B463" s="2"/>
      <c r="C463" s="2"/>
      <c r="D463" s="2"/>
      <c r="E463" s="2"/>
      <c r="F463" s="2"/>
      <c r="G463" s="2"/>
      <c r="H463" s="2"/>
    </row>
    <row r="466" spans="1:8" ht="28" customHeight="1">
      <c r="A466" s="3" t="s">
        <v>135</v>
      </c>
      <c r="B466" s="3"/>
      <c r="C466" s="3"/>
      <c r="D466" s="3"/>
      <c r="E466" s="3"/>
      <c r="F466" s="3"/>
      <c r="G466" s="3"/>
      <c r="H466" s="3"/>
    </row>
    <row r="467" spans="1:8" ht="40" customHeight="1">
      <c r="A467" s="2" t="s">
        <v>128</v>
      </c>
      <c r="B467" s="2"/>
      <c r="C467" s="2"/>
      <c r="D467" s="2"/>
      <c r="E467" s="2"/>
      <c r="F467" s="2"/>
      <c r="G467" s="2"/>
      <c r="H467" s="2"/>
    </row>
    <row r="468" spans="1:8" ht="40" customHeight="1">
      <c r="A468" s="2" t="s">
        <v>111</v>
      </c>
      <c r="B468" s="2"/>
      <c r="C468" s="2"/>
      <c r="D468" s="2"/>
      <c r="E468" s="2"/>
      <c r="F468" s="2"/>
      <c r="G468" s="2"/>
      <c r="H468" s="2"/>
    </row>
    <row r="469" spans="1:8">
      <c r="A469" s="3" t="s">
        <v>6</v>
      </c>
      <c r="B469" s="3" t="s">
        <v>7</v>
      </c>
      <c r="C469" s="3" t="s">
        <v>8</v>
      </c>
      <c r="D469" s="3" t="s">
        <v>9</v>
      </c>
      <c r="E469" s="3" t="s">
        <v>10</v>
      </c>
      <c r="F469" s="3" t="s">
        <v>11</v>
      </c>
      <c r="G469" s="3" t="s">
        <v>12</v>
      </c>
      <c r="H469" s="3" t="s">
        <v>13</v>
      </c>
    </row>
    <row r="470" spans="1:8" ht="34" customHeight="1">
      <c r="A470" s="4" t="s">
        <v>14</v>
      </c>
      <c r="B470" s="4" t="s">
        <v>15</v>
      </c>
      <c r="C470" s="6">
        <v>150</v>
      </c>
      <c r="D470" s="6">
        <v>150</v>
      </c>
      <c r="E470" s="7">
        <f>IF(AND(ISNUMBER(C470),ISNUMBER(D470)),(D470-C470),"待補")</f>
        <v>0</v>
      </c>
      <c r="F470" s="8" t="s">
        <v>16</v>
      </c>
      <c r="G470" s="4" t="s">
        <v>17</v>
      </c>
      <c r="H470" s="4"/>
    </row>
    <row r="471" spans="1:8" ht="34" customHeight="1">
      <c r="A471" s="4" t="s">
        <v>18</v>
      </c>
      <c r="B471" s="4" t="s">
        <v>15</v>
      </c>
      <c r="C471" s="6">
        <v>142</v>
      </c>
      <c r="D471" s="6">
        <v>141</v>
      </c>
      <c r="E471" s="7">
        <f>IF(AND(ISNUMBER(C471),ISNUMBER(D471)),(D471-C471),"待補")</f>
        <v>-1</v>
      </c>
      <c r="F471" s="8" t="s">
        <v>16</v>
      </c>
      <c r="G471" s="4" t="s">
        <v>17</v>
      </c>
      <c r="H471" s="4"/>
    </row>
    <row r="472" spans="1:8" ht="34" customHeight="1">
      <c r="A472" s="4" t="s">
        <v>19</v>
      </c>
      <c r="B472" s="4" t="s">
        <v>20</v>
      </c>
      <c r="C472" s="9">
        <v>0.9466666666666667</v>
      </c>
      <c r="D472" s="9">
        <v>0.9399999999999999</v>
      </c>
      <c r="E472" s="10">
        <f>IF(AND(ISNUMBER(C472),ISNUMBER(D472)),(D472-C472)*100,"待補")</f>
        <v>-0.666666666666671</v>
      </c>
      <c r="F472" s="8" t="s">
        <v>16</v>
      </c>
      <c r="G472" s="4" t="s">
        <v>17</v>
      </c>
      <c r="H472" s="4" t="s">
        <v>21</v>
      </c>
    </row>
    <row r="473" spans="1:8" ht="34" customHeight="1">
      <c r="A473" s="4" t="s">
        <v>22</v>
      </c>
      <c r="B473" s="4" t="s">
        <v>15</v>
      </c>
      <c r="C473" s="6">
        <v>143</v>
      </c>
      <c r="D473" s="6">
        <v>144</v>
      </c>
      <c r="E473" s="7">
        <f>IF(AND(ISNUMBER(C473),ISNUMBER(D473)),(D473-C473),"待補")</f>
        <v>1</v>
      </c>
      <c r="F473" s="8" t="s">
        <v>16</v>
      </c>
      <c r="G473" s="4" t="s">
        <v>17</v>
      </c>
      <c r="H473" s="4"/>
    </row>
    <row r="474" spans="1:8" ht="34" customHeight="1">
      <c r="A474" s="4" t="s">
        <v>23</v>
      </c>
      <c r="B474" s="4" t="s">
        <v>15</v>
      </c>
      <c r="C474" s="6">
        <v>7</v>
      </c>
      <c r="D474" s="6">
        <v>6</v>
      </c>
      <c r="E474" s="7">
        <f>IF(AND(ISNUMBER(C474),ISNUMBER(D474)),(D474-C474),"待補")</f>
        <v>-1</v>
      </c>
      <c r="F474" s="8" t="s">
        <v>16</v>
      </c>
      <c r="G474" s="4" t="s">
        <v>17</v>
      </c>
      <c r="H474" s="4"/>
    </row>
    <row r="475" spans="1:8" ht="34" customHeight="1">
      <c r="A475" s="4" t="s">
        <v>24</v>
      </c>
      <c r="B475" s="4" t="s">
        <v>25</v>
      </c>
      <c r="C475" s="7">
        <v>9.774054196055944</v>
      </c>
      <c r="D475" s="7">
        <v>10.61963723142361</v>
      </c>
      <c r="E475" s="7">
        <f>IF(AND(ISNUMBER(C475),ISNUMBER(D475)),(D475-C475),"待補")</f>
        <v>0.8455830353676657</v>
      </c>
      <c r="F475" s="8" t="s">
        <v>16</v>
      </c>
      <c r="G475" s="4" t="s">
        <v>129</v>
      </c>
      <c r="H475" s="4" t="s">
        <v>27</v>
      </c>
    </row>
    <row r="476" spans="1:8" ht="34" customHeight="1">
      <c r="A476" s="4" t="s">
        <v>28</v>
      </c>
      <c r="B476" s="4" t="s">
        <v>25</v>
      </c>
      <c r="C476" s="7">
        <v>7.112085512000001</v>
      </c>
      <c r="D476" s="7">
        <v>7.054554109</v>
      </c>
      <c r="E476" s="7">
        <f>IF(AND(ISNUMBER(C476),ISNUMBER(D476)),(D476-C476),"待補")</f>
        <v>-0.05753140300000137</v>
      </c>
      <c r="F476" s="8" t="s">
        <v>16</v>
      </c>
      <c r="G476" s="4" t="s">
        <v>129</v>
      </c>
      <c r="H476" s="4" t="s">
        <v>27</v>
      </c>
    </row>
    <row r="477" spans="1:8" ht="34" customHeight="1">
      <c r="A477" s="4" t="s">
        <v>29</v>
      </c>
      <c r="B477" s="4" t="s">
        <v>25</v>
      </c>
      <c r="C477" s="7">
        <v>9.031564288985916</v>
      </c>
      <c r="D477" s="7">
        <v>8.933956414432624</v>
      </c>
      <c r="E477" s="7">
        <f>IF(AND(ISNUMBER(C477),ISNUMBER(D477)),(D477-C477),"待補")</f>
        <v>-0.097607874553292</v>
      </c>
      <c r="F477" s="8" t="s">
        <v>16</v>
      </c>
      <c r="G477" s="4" t="s">
        <v>136</v>
      </c>
      <c r="H477" s="4" t="s">
        <v>31</v>
      </c>
    </row>
    <row r="478" spans="1:8" ht="34" customHeight="1">
      <c r="A478" s="4" t="s">
        <v>32</v>
      </c>
      <c r="B478" s="4" t="s">
        <v>33</v>
      </c>
      <c r="C478" s="7">
        <v>0.558572264859021</v>
      </c>
      <c r="D478" s="7">
        <v>0.5842935299090278</v>
      </c>
      <c r="E478" s="7">
        <f>IF(AND(ISNUMBER(C478),ISNUMBER(D478)),(D478-C478),"待補")</f>
        <v>0.025721265050006825</v>
      </c>
      <c r="F478" s="8" t="s">
        <v>16</v>
      </c>
      <c r="G478" s="4" t="s">
        <v>17</v>
      </c>
      <c r="H478" s="4"/>
    </row>
    <row r="479" spans="1:8" ht="34" customHeight="1">
      <c r="A479" s="4" t="s">
        <v>34</v>
      </c>
      <c r="B479" s="4" t="s">
        <v>25</v>
      </c>
      <c r="C479" s="7">
        <v>8.81331026267063</v>
      </c>
      <c r="D479" s="7">
        <v>9.664644903509723</v>
      </c>
      <c r="E479" s="7">
        <f>IF(AND(ISNUMBER(C479),ISNUMBER(D479)),(D479-C479),"待補")</f>
        <v>0.8513346408390934</v>
      </c>
      <c r="F479" s="8" t="s">
        <v>16</v>
      </c>
      <c r="G479" s="4" t="s">
        <v>17</v>
      </c>
      <c r="H479" s="4"/>
    </row>
    <row r="480" spans="1:8" ht="34" customHeight="1">
      <c r="A480" s="4" t="s">
        <v>35</v>
      </c>
      <c r="B480" s="4" t="s">
        <v>36</v>
      </c>
      <c r="C480" s="7">
        <v>6.842217106666666</v>
      </c>
      <c r="D480" s="7">
        <v>2.815365806666667</v>
      </c>
      <c r="E480" s="7">
        <f>IF(AND(ISNUMBER(C480),ISNUMBER(D480)),(D480-C480),"待補")</f>
        <v>-4.0268513</v>
      </c>
      <c r="F480" s="9">
        <f>IF(AND(ISNUMBER(C480),ISNUMBER(D480),C480&lt;&gt;0),(C480-D480)/C480,"待補")</f>
        <v>0.5885301850589432</v>
      </c>
      <c r="G480" s="4" t="s">
        <v>17</v>
      </c>
      <c r="H480" s="4" t="s">
        <v>37</v>
      </c>
    </row>
    <row r="481" spans="1:8" ht="34" customHeight="1">
      <c r="A481" s="4" t="s">
        <v>38</v>
      </c>
      <c r="B481" s="4" t="s">
        <v>39</v>
      </c>
      <c r="C481" s="7">
        <v>9.013333333333334</v>
      </c>
      <c r="D481" s="7">
        <v>8.92</v>
      </c>
      <c r="E481" s="7">
        <f>IF(AND(ISNUMBER(C481),ISNUMBER(D481)),(D481-C481),"待補")</f>
        <v>-0.09333333333333371</v>
      </c>
      <c r="F481" s="8" t="s">
        <v>16</v>
      </c>
      <c r="G481" s="4" t="s">
        <v>17</v>
      </c>
      <c r="H481" s="4"/>
    </row>
    <row r="482" spans="1:8" ht="34" customHeight="1">
      <c r="A482" s="4" t="s">
        <v>40</v>
      </c>
      <c r="B482" s="4" t="s">
        <v>39</v>
      </c>
      <c r="C482" s="7">
        <v>9.013333333333334</v>
      </c>
      <c r="D482" s="7">
        <v>8.92</v>
      </c>
      <c r="E482" s="7">
        <f>IF(AND(ISNUMBER(C482),ISNUMBER(D482)),(D482-C482),"待補")</f>
        <v>-0.09333333333333371</v>
      </c>
      <c r="F482" s="8" t="s">
        <v>16</v>
      </c>
      <c r="G482" s="4" t="s">
        <v>17</v>
      </c>
      <c r="H482" s="4" t="s">
        <v>41</v>
      </c>
    </row>
    <row r="483" spans="1:8" ht="34" customHeight="1">
      <c r="A483" s="4" t="s">
        <v>53</v>
      </c>
      <c r="B483" s="4" t="s">
        <v>39</v>
      </c>
      <c r="C483" s="7">
        <v>8.726666666666667</v>
      </c>
      <c r="D483" s="7">
        <v>8.6</v>
      </c>
      <c r="E483" s="7">
        <f>IF(AND(ISNUMBER(C483),ISNUMBER(D483)),(D483-C483),"待補")</f>
        <v>-0.12666666666666693</v>
      </c>
      <c r="F483" s="8" t="s">
        <v>16</v>
      </c>
      <c r="G483" s="4" t="s">
        <v>17</v>
      </c>
      <c r="H483" s="4" t="s">
        <v>54</v>
      </c>
    </row>
    <row r="484" spans="1:8">
      <c r="A484" s="4" t="s">
        <v>42</v>
      </c>
      <c r="B484" s="4" t="s">
        <v>15</v>
      </c>
      <c r="D484" s="6">
        <v>4</v>
      </c>
      <c r="H484" s="4" t="s">
        <v>43</v>
      </c>
    </row>
    <row r="485" spans="1:8">
      <c r="A485" s="4" t="s">
        <v>44</v>
      </c>
      <c r="B485" s="4" t="s">
        <v>15</v>
      </c>
      <c r="D485" s="6">
        <v>5</v>
      </c>
      <c r="H485" s="4" t="s">
        <v>43</v>
      </c>
    </row>
    <row r="486" spans="1:8">
      <c r="A486" s="4" t="s">
        <v>45</v>
      </c>
      <c r="B486" s="4" t="s">
        <v>15</v>
      </c>
      <c r="D486" s="6">
        <v>137</v>
      </c>
      <c r="H486" s="4" t="s">
        <v>43</v>
      </c>
    </row>
    <row r="487" spans="1:8">
      <c r="A487" s="4" t="s">
        <v>46</v>
      </c>
      <c r="B487" s="4" t="s">
        <v>25</v>
      </c>
      <c r="C487" s="7">
        <v>8.755718048160583</v>
      </c>
      <c r="D487" s="7">
        <v>8.865018846729928</v>
      </c>
      <c r="E487" s="7">
        <f>IF(AND(ISNUMBER(C487),ISNUMBER(D487)),D487-C487,"待補")</f>
        <v>0.10930079856934366</v>
      </c>
      <c r="F487" s="9">
        <f>IF(AND(ISNUMBER(C487),ISNUMBER(D487),C487&lt;&gt;0),(C487-D487)/C487,"待補")</f>
        <v>-0.012483362069008807</v>
      </c>
      <c r="G487" s="4" t="s">
        <v>137</v>
      </c>
      <c r="H487" s="4" t="s">
        <v>48</v>
      </c>
    </row>
    <row r="488" spans="1:8" ht="34" customHeight="1">
      <c r="A488" s="2" t="s">
        <v>115</v>
      </c>
      <c r="B488" s="2"/>
      <c r="C488" s="2"/>
      <c r="D488" s="2"/>
      <c r="E488" s="2"/>
      <c r="F488" s="2"/>
      <c r="G488" s="2"/>
      <c r="H488" s="2"/>
    </row>
    <row r="491" spans="1:8" ht="28" customHeight="1">
      <c r="A491" s="3" t="s">
        <v>138</v>
      </c>
      <c r="B491" s="3"/>
      <c r="C491" s="3"/>
      <c r="D491" s="3"/>
      <c r="E491" s="3"/>
      <c r="F491" s="3"/>
      <c r="G491" s="3"/>
      <c r="H491" s="3"/>
    </row>
    <row r="492" spans="1:8" ht="40" customHeight="1">
      <c r="A492" s="2" t="s">
        <v>139</v>
      </c>
      <c r="B492" s="2"/>
      <c r="C492" s="2"/>
      <c r="D492" s="2"/>
      <c r="E492" s="2"/>
      <c r="F492" s="2"/>
      <c r="G492" s="2"/>
      <c r="H492" s="2"/>
    </row>
    <row r="493" spans="1:8" ht="40" customHeight="1">
      <c r="A493" s="2" t="s">
        <v>140</v>
      </c>
      <c r="B493" s="2"/>
      <c r="C493" s="2"/>
      <c r="D493" s="2"/>
      <c r="E493" s="2"/>
      <c r="F493" s="2"/>
      <c r="G493" s="2"/>
      <c r="H493" s="2"/>
    </row>
    <row r="494" spans="1:8">
      <c r="A494" s="3" t="s">
        <v>6</v>
      </c>
      <c r="B494" s="3" t="s">
        <v>7</v>
      </c>
      <c r="C494" s="3" t="s">
        <v>8</v>
      </c>
      <c r="D494" s="3" t="s">
        <v>9</v>
      </c>
      <c r="E494" s="3" t="s">
        <v>10</v>
      </c>
      <c r="F494" s="3" t="s">
        <v>11</v>
      </c>
      <c r="G494" s="3" t="s">
        <v>12</v>
      </c>
      <c r="H494" s="3" t="s">
        <v>13</v>
      </c>
    </row>
    <row r="495" spans="1:8" ht="34" customHeight="1">
      <c r="A495" s="4" t="s">
        <v>14</v>
      </c>
      <c r="B495" s="4" t="s">
        <v>15</v>
      </c>
      <c r="C495" s="6">
        <v>75</v>
      </c>
      <c r="D495" s="6">
        <v>75</v>
      </c>
      <c r="E495" s="7">
        <f>IF(AND(ISNUMBER(C495),ISNUMBER(D495)),(D495-C495),"待補")</f>
        <v>0</v>
      </c>
      <c r="F495" s="8" t="s">
        <v>16</v>
      </c>
      <c r="G495" s="4" t="s">
        <v>141</v>
      </c>
      <c r="H495" s="4"/>
    </row>
    <row r="496" spans="1:8" ht="34" customHeight="1">
      <c r="A496" s="4" t="s">
        <v>18</v>
      </c>
      <c r="B496" s="4" t="s">
        <v>15</v>
      </c>
      <c r="C496" s="6">
        <v>63</v>
      </c>
      <c r="D496" s="6">
        <v>64</v>
      </c>
      <c r="E496" s="7">
        <f>IF(AND(ISNUMBER(C496),ISNUMBER(D496)),(D496-C496),"待補")</f>
        <v>1</v>
      </c>
      <c r="F496" s="8" t="s">
        <v>16</v>
      </c>
      <c r="G496" s="4" t="s">
        <v>141</v>
      </c>
      <c r="H496" s="4"/>
    </row>
    <row r="497" spans="1:8" ht="34" customHeight="1">
      <c r="A497" s="4" t="s">
        <v>19</v>
      </c>
      <c r="B497" s="4" t="s">
        <v>20</v>
      </c>
      <c r="C497" s="9">
        <v>0.84</v>
      </c>
      <c r="D497" s="9">
        <v>0.8533333333333334</v>
      </c>
      <c r="E497" s="10">
        <f>IF(AND(ISNUMBER(C497),ISNUMBER(D497)),(D497-C497)*100,"待補")</f>
        <v>1.333333333333342</v>
      </c>
      <c r="F497" s="8" t="s">
        <v>16</v>
      </c>
      <c r="G497" s="4" t="s">
        <v>141</v>
      </c>
      <c r="H497" s="4" t="s">
        <v>21</v>
      </c>
    </row>
    <row r="498" spans="1:8" ht="34" customHeight="1">
      <c r="A498" s="4" t="s">
        <v>22</v>
      </c>
      <c r="B498" s="4" t="s">
        <v>15</v>
      </c>
      <c r="C498" s="6">
        <v>66</v>
      </c>
      <c r="D498" s="6">
        <v>68</v>
      </c>
      <c r="E498" s="7">
        <f>IF(AND(ISNUMBER(C498),ISNUMBER(D498)),(D498-C498),"待補")</f>
        <v>2</v>
      </c>
      <c r="F498" s="8" t="s">
        <v>16</v>
      </c>
      <c r="G498" s="4" t="s">
        <v>141</v>
      </c>
      <c r="H498" s="4"/>
    </row>
    <row r="499" spans="1:8" ht="34" customHeight="1">
      <c r="A499" s="4" t="s">
        <v>23</v>
      </c>
      <c r="B499" s="4" t="s">
        <v>15</v>
      </c>
      <c r="C499" s="6">
        <v>9</v>
      </c>
      <c r="D499" s="6">
        <v>7</v>
      </c>
      <c r="E499" s="7">
        <f>IF(AND(ISNUMBER(C499),ISNUMBER(D499)),(D499-C499),"待補")</f>
        <v>-2</v>
      </c>
      <c r="F499" s="8" t="s">
        <v>16</v>
      </c>
      <c r="G499" s="4" t="s">
        <v>141</v>
      </c>
      <c r="H499" s="4"/>
    </row>
    <row r="500" spans="1:8" ht="34" customHeight="1">
      <c r="A500" s="4" t="s">
        <v>24</v>
      </c>
      <c r="B500" s="4" t="s">
        <v>25</v>
      </c>
      <c r="C500" s="7">
        <v>15.98190520154546</v>
      </c>
      <c r="D500" s="7">
        <v>11.23737125804412</v>
      </c>
      <c r="E500" s="7">
        <f>IF(AND(ISNUMBER(C500),ISNUMBER(D500)),(D500-C500),"待補")</f>
        <v>-4.744533943501336</v>
      </c>
      <c r="F500" s="8" t="s">
        <v>16</v>
      </c>
      <c r="G500" s="4" t="s">
        <v>142</v>
      </c>
      <c r="H500" s="4" t="s">
        <v>27</v>
      </c>
    </row>
    <row r="501" spans="1:8" ht="34" customHeight="1">
      <c r="A501" s="4" t="s">
        <v>28</v>
      </c>
      <c r="B501" s="4" t="s">
        <v>25</v>
      </c>
      <c r="C501" s="7">
        <v>7.153716524500001</v>
      </c>
      <c r="D501" s="7">
        <v>7.579675268</v>
      </c>
      <c r="E501" s="7">
        <f>IF(AND(ISNUMBER(C501),ISNUMBER(D501)),(D501-C501),"待補")</f>
        <v>0.42595874349999896</v>
      </c>
      <c r="F501" s="8" t="s">
        <v>16</v>
      </c>
      <c r="G501" s="4" t="s">
        <v>142</v>
      </c>
      <c r="H501" s="4" t="s">
        <v>27</v>
      </c>
    </row>
    <row r="502" spans="1:8" ht="34" customHeight="1">
      <c r="A502" s="4" t="s">
        <v>29</v>
      </c>
      <c r="B502" s="4" t="s">
        <v>25</v>
      </c>
      <c r="C502" s="7">
        <v>9.024764704476191</v>
      </c>
      <c r="D502" s="7">
        <v>9.198481839015624</v>
      </c>
      <c r="E502" s="7">
        <f>IF(AND(ISNUMBER(C502),ISNUMBER(D502)),(D502-C502),"待補")</f>
        <v>0.17371713453943372</v>
      </c>
      <c r="F502" s="8" t="s">
        <v>16</v>
      </c>
      <c r="G502" s="4" t="s">
        <v>143</v>
      </c>
      <c r="H502" s="4" t="s">
        <v>31</v>
      </c>
    </row>
    <row r="503" spans="1:8" ht="34" customHeight="1">
      <c r="A503" s="4" t="s">
        <v>32</v>
      </c>
      <c r="B503" s="4" t="s">
        <v>33</v>
      </c>
      <c r="C503" s="7">
        <v>0.8342280190004545</v>
      </c>
      <c r="D503" s="7">
        <v>0.7087325598939705</v>
      </c>
      <c r="E503" s="7">
        <f>IF(AND(ISNUMBER(C503),ISNUMBER(D503)),(D503-C503),"待補")</f>
        <v>-0.12549545910648396</v>
      </c>
      <c r="F503" s="8" t="s">
        <v>16</v>
      </c>
      <c r="G503" s="4" t="s">
        <v>141</v>
      </c>
      <c r="H503" s="4"/>
    </row>
    <row r="504" spans="1:8" ht="34" customHeight="1">
      <c r="A504" s="4" t="s">
        <v>34</v>
      </c>
      <c r="B504" s="4" t="s">
        <v>25</v>
      </c>
      <c r="C504" s="7">
        <v>14.60829021321667</v>
      </c>
      <c r="D504" s="7">
        <v>9.858074304355883</v>
      </c>
      <c r="E504" s="7">
        <f>IF(AND(ISNUMBER(C504),ISNUMBER(D504)),(D504-C504),"待補")</f>
        <v>-4.750215908860783</v>
      </c>
      <c r="F504" s="8" t="s">
        <v>16</v>
      </c>
      <c r="G504" s="4" t="s">
        <v>141</v>
      </c>
      <c r="H504" s="4"/>
    </row>
    <row r="505" spans="1:8" ht="34" customHeight="1">
      <c r="A505" s="4" t="s">
        <v>35</v>
      </c>
      <c r="B505" s="4" t="s">
        <v>36</v>
      </c>
      <c r="C505" s="7">
        <v>2.18136476</v>
      </c>
      <c r="D505" s="7">
        <v>2.137084133333333</v>
      </c>
      <c r="E505" s="7">
        <f>IF(AND(ISNUMBER(C505),ISNUMBER(D505)),(D505-C505),"待補")</f>
        <v>-0.044280626666666656</v>
      </c>
      <c r="F505" s="9">
        <f>IF(AND(ISNUMBER(C505),ISNUMBER(D505),C505&lt;&gt;0),(C505-D505)/C505,"待補")</f>
        <v>0.02029950583169165</v>
      </c>
      <c r="G505" s="4" t="s">
        <v>141</v>
      </c>
      <c r="H505" s="4" t="s">
        <v>37</v>
      </c>
    </row>
    <row r="506" spans="1:8" ht="34" customHeight="1">
      <c r="A506" s="4" t="s">
        <v>38</v>
      </c>
      <c r="B506" s="4" t="s">
        <v>39</v>
      </c>
      <c r="C506" s="7">
        <v>6.36</v>
      </c>
      <c r="D506" s="7">
        <v>7.706666666666667</v>
      </c>
      <c r="E506" s="7">
        <f>IF(AND(ISNUMBER(C506),ISNUMBER(D506)),(D506-C506),"待補")</f>
        <v>1.3466666666666667</v>
      </c>
      <c r="F506" s="8" t="s">
        <v>16</v>
      </c>
      <c r="G506" s="4" t="s">
        <v>141</v>
      </c>
      <c r="H506" s="4"/>
    </row>
    <row r="507" spans="1:8" ht="34" customHeight="1">
      <c r="A507" s="4" t="s">
        <v>40</v>
      </c>
      <c r="B507" s="4" t="s">
        <v>39</v>
      </c>
      <c r="C507" s="7">
        <v>6.36</v>
      </c>
      <c r="D507" s="7">
        <v>7.706666666666667</v>
      </c>
      <c r="E507" s="7">
        <f>IF(AND(ISNUMBER(C507),ISNUMBER(D507)),(D507-C507),"待補")</f>
        <v>1.3466666666666667</v>
      </c>
      <c r="F507" s="8" t="s">
        <v>16</v>
      </c>
      <c r="G507" s="4" t="s">
        <v>141</v>
      </c>
      <c r="H507" s="4" t="s">
        <v>41</v>
      </c>
    </row>
    <row r="508" spans="1:8">
      <c r="A508" s="4" t="s">
        <v>42</v>
      </c>
      <c r="B508" s="4" t="s">
        <v>15</v>
      </c>
      <c r="D508" s="6">
        <v>6</v>
      </c>
      <c r="H508" s="4" t="s">
        <v>43</v>
      </c>
    </row>
    <row r="509" spans="1:8">
      <c r="A509" s="4" t="s">
        <v>44</v>
      </c>
      <c r="B509" s="4" t="s">
        <v>15</v>
      </c>
      <c r="D509" s="6">
        <v>5</v>
      </c>
      <c r="H509" s="4" t="s">
        <v>43</v>
      </c>
    </row>
    <row r="510" spans="1:8">
      <c r="A510" s="4" t="s">
        <v>45</v>
      </c>
      <c r="B510" s="4" t="s">
        <v>15</v>
      </c>
      <c r="D510" s="6">
        <v>58</v>
      </c>
      <c r="H510" s="4" t="s">
        <v>43</v>
      </c>
    </row>
    <row r="511" spans="1:8">
      <c r="A511" s="4" t="s">
        <v>46</v>
      </c>
      <c r="B511" s="4" t="s">
        <v>25</v>
      </c>
      <c r="C511" s="7">
        <v>8.722737056827587</v>
      </c>
      <c r="D511" s="7">
        <v>8.963780302844828</v>
      </c>
      <c r="E511" s="7">
        <f>IF(AND(ISNUMBER(C511),ISNUMBER(D511)),D511-C511,"待補")</f>
        <v>0.24104324601724042</v>
      </c>
      <c r="F511" s="9">
        <f>IF(AND(ISNUMBER(C511),ISNUMBER(D511),C511&lt;&gt;0),(C511-D511)/C511,"待補")</f>
        <v>-0.027633900282316496</v>
      </c>
      <c r="G511" s="4" t="s">
        <v>144</v>
      </c>
      <c r="H511" s="4" t="s">
        <v>48</v>
      </c>
    </row>
    <row r="512" spans="1:8" ht="34" customHeight="1">
      <c r="A512" s="2" t="s">
        <v>145</v>
      </c>
      <c r="B512" s="2"/>
      <c r="C512" s="2"/>
      <c r="D512" s="2"/>
      <c r="E512" s="2"/>
      <c r="F512" s="2"/>
      <c r="G512" s="2"/>
      <c r="H512" s="2"/>
    </row>
    <row r="515" spans="1:8" ht="28" customHeight="1">
      <c r="A515" s="3" t="s">
        <v>146</v>
      </c>
      <c r="B515" s="3"/>
      <c r="C515" s="3"/>
      <c r="D515" s="3"/>
      <c r="E515" s="3"/>
      <c r="F515" s="3"/>
      <c r="G515" s="3"/>
      <c r="H515" s="3"/>
    </row>
    <row r="516" spans="1:8" ht="40" customHeight="1">
      <c r="A516" s="2" t="s">
        <v>139</v>
      </c>
      <c r="B516" s="2"/>
      <c r="C516" s="2"/>
      <c r="D516" s="2"/>
      <c r="E516" s="2"/>
      <c r="F516" s="2"/>
      <c r="G516" s="2"/>
      <c r="H516" s="2"/>
    </row>
    <row r="517" spans="1:8" ht="40" customHeight="1">
      <c r="A517" s="2" t="s">
        <v>140</v>
      </c>
      <c r="B517" s="2"/>
      <c r="C517" s="2"/>
      <c r="D517" s="2"/>
      <c r="E517" s="2"/>
      <c r="F517" s="2"/>
      <c r="G517" s="2"/>
      <c r="H517" s="2"/>
    </row>
    <row r="518" spans="1:8">
      <c r="A518" s="3" t="s">
        <v>6</v>
      </c>
      <c r="B518" s="3" t="s">
        <v>7</v>
      </c>
      <c r="C518" s="3" t="s">
        <v>8</v>
      </c>
      <c r="D518" s="3" t="s">
        <v>9</v>
      </c>
      <c r="E518" s="3" t="s">
        <v>10</v>
      </c>
      <c r="F518" s="3" t="s">
        <v>11</v>
      </c>
      <c r="G518" s="3" t="s">
        <v>12</v>
      </c>
      <c r="H518" s="3" t="s">
        <v>13</v>
      </c>
    </row>
    <row r="519" spans="1:8" ht="34" customHeight="1">
      <c r="A519" s="4" t="s">
        <v>14</v>
      </c>
      <c r="B519" s="4" t="s">
        <v>15</v>
      </c>
      <c r="C519" s="6">
        <v>75</v>
      </c>
      <c r="D519" s="6">
        <v>75</v>
      </c>
      <c r="E519" s="7">
        <f>IF(AND(ISNUMBER(C519),ISNUMBER(D519)),(D519-C519),"待補")</f>
        <v>0</v>
      </c>
      <c r="F519" s="8" t="s">
        <v>16</v>
      </c>
      <c r="G519" s="4" t="s">
        <v>141</v>
      </c>
      <c r="H519" s="4"/>
    </row>
    <row r="520" spans="1:8" ht="34" customHeight="1">
      <c r="A520" s="4" t="s">
        <v>18</v>
      </c>
      <c r="B520" s="4" t="s">
        <v>15</v>
      </c>
      <c r="C520" s="6">
        <v>61</v>
      </c>
      <c r="D520" s="6">
        <v>67</v>
      </c>
      <c r="E520" s="7">
        <f>IF(AND(ISNUMBER(C520),ISNUMBER(D520)),(D520-C520),"待補")</f>
        <v>6</v>
      </c>
      <c r="F520" s="8" t="s">
        <v>16</v>
      </c>
      <c r="G520" s="4" t="s">
        <v>141</v>
      </c>
      <c r="H520" s="4"/>
    </row>
    <row r="521" spans="1:8" ht="34" customHeight="1">
      <c r="A521" s="4" t="s">
        <v>19</v>
      </c>
      <c r="B521" s="4" t="s">
        <v>20</v>
      </c>
      <c r="C521" s="9">
        <v>0.8133333333333334</v>
      </c>
      <c r="D521" s="9">
        <v>0.8933333333333333</v>
      </c>
      <c r="E521" s="10">
        <f>IF(AND(ISNUMBER(C521),ISNUMBER(D521)),(D521-C521)*100,"待補")</f>
        <v>7.9999999999999964</v>
      </c>
      <c r="F521" s="8" t="s">
        <v>16</v>
      </c>
      <c r="G521" s="4" t="s">
        <v>141</v>
      </c>
      <c r="H521" s="4" t="s">
        <v>21</v>
      </c>
    </row>
    <row r="522" spans="1:8" ht="34" customHeight="1">
      <c r="A522" s="4" t="s">
        <v>22</v>
      </c>
      <c r="B522" s="4" t="s">
        <v>15</v>
      </c>
      <c r="C522" s="6">
        <v>66</v>
      </c>
      <c r="D522" s="6">
        <v>68</v>
      </c>
      <c r="E522" s="7">
        <f>IF(AND(ISNUMBER(C522),ISNUMBER(D522)),(D522-C522),"待補")</f>
        <v>2</v>
      </c>
      <c r="F522" s="8" t="s">
        <v>16</v>
      </c>
      <c r="G522" s="4" t="s">
        <v>141</v>
      </c>
      <c r="H522" s="4"/>
    </row>
    <row r="523" spans="1:8" ht="34" customHeight="1">
      <c r="A523" s="4" t="s">
        <v>23</v>
      </c>
      <c r="B523" s="4" t="s">
        <v>15</v>
      </c>
      <c r="C523" s="6">
        <v>9</v>
      </c>
      <c r="D523" s="6">
        <v>7</v>
      </c>
      <c r="E523" s="7">
        <f>IF(AND(ISNUMBER(C523),ISNUMBER(D523)),(D523-C523),"待補")</f>
        <v>-2</v>
      </c>
      <c r="F523" s="8" t="s">
        <v>16</v>
      </c>
      <c r="G523" s="4" t="s">
        <v>141</v>
      </c>
      <c r="H523" s="4"/>
    </row>
    <row r="524" spans="1:8" ht="34" customHeight="1">
      <c r="A524" s="4" t="s">
        <v>24</v>
      </c>
      <c r="B524" s="4" t="s">
        <v>25</v>
      </c>
      <c r="C524" s="7">
        <v>12.95395787793939</v>
      </c>
      <c r="D524" s="7">
        <v>10.24859665922059</v>
      </c>
      <c r="E524" s="7">
        <f>IF(AND(ISNUMBER(C524),ISNUMBER(D524)),(D524-C524),"待補")</f>
        <v>-2.7053612187188065</v>
      </c>
      <c r="F524" s="8" t="s">
        <v>16</v>
      </c>
      <c r="G524" s="4" t="s">
        <v>142</v>
      </c>
      <c r="H524" s="4" t="s">
        <v>27</v>
      </c>
    </row>
    <row r="525" spans="1:8" ht="34" customHeight="1">
      <c r="A525" s="4" t="s">
        <v>28</v>
      </c>
      <c r="B525" s="4" t="s">
        <v>25</v>
      </c>
      <c r="C525" s="7">
        <v>7.2553641785</v>
      </c>
      <c r="D525" s="7">
        <v>7.062045217</v>
      </c>
      <c r="E525" s="7">
        <f>IF(AND(ISNUMBER(C525),ISNUMBER(D525)),(D525-C525),"待補")</f>
        <v>-0.19331896150000016</v>
      </c>
      <c r="F525" s="8" t="s">
        <v>16</v>
      </c>
      <c r="G525" s="4" t="s">
        <v>142</v>
      </c>
      <c r="H525" s="4" t="s">
        <v>27</v>
      </c>
    </row>
    <row r="526" spans="1:8" ht="34" customHeight="1">
      <c r="A526" s="4" t="s">
        <v>29</v>
      </c>
      <c r="B526" s="4" t="s">
        <v>25</v>
      </c>
      <c r="C526" s="7">
        <v>9.045072380721312</v>
      </c>
      <c r="D526" s="7">
        <v>8.708507445179105</v>
      </c>
      <c r="E526" s="7">
        <f>IF(AND(ISNUMBER(C526),ISNUMBER(D526)),(D526-C526),"待補")</f>
        <v>-0.33656493554220646</v>
      </c>
      <c r="F526" s="8" t="s">
        <v>16</v>
      </c>
      <c r="G526" s="4" t="s">
        <v>147</v>
      </c>
      <c r="H526" s="4" t="s">
        <v>31</v>
      </c>
    </row>
    <row r="527" spans="1:8" ht="34" customHeight="1">
      <c r="A527" s="4" t="s">
        <v>32</v>
      </c>
      <c r="B527" s="4" t="s">
        <v>33</v>
      </c>
      <c r="C527" s="7">
        <v>0.8007894974504546</v>
      </c>
      <c r="D527" s="7">
        <v>0.5820115500508823</v>
      </c>
      <c r="E527" s="7">
        <f>IF(AND(ISNUMBER(C527),ISNUMBER(D527)),(D527-C527),"待補")</f>
        <v>-0.21877794739957224</v>
      </c>
      <c r="F527" s="8" t="s">
        <v>16</v>
      </c>
      <c r="G527" s="4" t="s">
        <v>141</v>
      </c>
      <c r="H527" s="4"/>
    </row>
    <row r="528" spans="1:8" ht="34" customHeight="1">
      <c r="A528" s="4" t="s">
        <v>34</v>
      </c>
      <c r="B528" s="4" t="s">
        <v>25</v>
      </c>
      <c r="C528" s="7">
        <v>11.43577672201515</v>
      </c>
      <c r="D528" s="7">
        <v>9.197945895060295</v>
      </c>
      <c r="E528" s="7">
        <f>IF(AND(ISNUMBER(C528),ISNUMBER(D528)),(D528-C528),"待補")</f>
        <v>-2.2378308269548555</v>
      </c>
      <c r="F528" s="8" t="s">
        <v>16</v>
      </c>
      <c r="G528" s="4" t="s">
        <v>141</v>
      </c>
      <c r="H528" s="4"/>
    </row>
    <row r="529" spans="1:8" ht="34" customHeight="1">
      <c r="A529" s="4" t="s">
        <v>35</v>
      </c>
      <c r="B529" s="4" t="s">
        <v>36</v>
      </c>
      <c r="C529" s="7">
        <v>2.924725</v>
      </c>
      <c r="D529" s="7">
        <v>2.589266066666667</v>
      </c>
      <c r="E529" s="7">
        <f>IF(AND(ISNUMBER(C529),ISNUMBER(D529)),(D529-C529),"待補")</f>
        <v>-0.3354589333333333</v>
      </c>
      <c r="F529" s="9">
        <f>IF(AND(ISNUMBER(C529),ISNUMBER(D529),C529&lt;&gt;0),(C529-D529)/C529,"待補")</f>
        <v>0.11469759834970239</v>
      </c>
      <c r="G529" s="4" t="s">
        <v>141</v>
      </c>
      <c r="H529" s="4" t="s">
        <v>37</v>
      </c>
    </row>
    <row r="530" spans="1:8" ht="34" customHeight="1">
      <c r="A530" s="4" t="s">
        <v>38</v>
      </c>
      <c r="B530" s="4" t="s">
        <v>39</v>
      </c>
      <c r="C530" s="7">
        <v>6.36</v>
      </c>
      <c r="D530" s="7">
        <v>7.706666666666667</v>
      </c>
      <c r="E530" s="7">
        <f>IF(AND(ISNUMBER(C530),ISNUMBER(D530)),(D530-C530),"待補")</f>
        <v>1.3466666666666667</v>
      </c>
      <c r="F530" s="8" t="s">
        <v>16</v>
      </c>
      <c r="G530" s="4" t="s">
        <v>141</v>
      </c>
      <c r="H530" s="4"/>
    </row>
    <row r="531" spans="1:8" ht="34" customHeight="1">
      <c r="A531" s="4" t="s">
        <v>40</v>
      </c>
      <c r="B531" s="4" t="s">
        <v>39</v>
      </c>
      <c r="C531" s="7">
        <v>6.36</v>
      </c>
      <c r="D531" s="7">
        <v>7.706666666666667</v>
      </c>
      <c r="E531" s="7">
        <f>IF(AND(ISNUMBER(C531),ISNUMBER(D531)),(D531-C531),"待補")</f>
        <v>1.3466666666666667</v>
      </c>
      <c r="F531" s="8" t="s">
        <v>16</v>
      </c>
      <c r="G531" s="4" t="s">
        <v>141</v>
      </c>
      <c r="H531" s="4" t="s">
        <v>41</v>
      </c>
    </row>
    <row r="532" spans="1:8" ht="34" customHeight="1">
      <c r="A532" s="4" t="s">
        <v>53</v>
      </c>
      <c r="B532" s="4" t="s">
        <v>39</v>
      </c>
      <c r="C532" s="7">
        <v>6.106666666666666</v>
      </c>
      <c r="D532" s="7">
        <v>7.453333333333333</v>
      </c>
      <c r="E532" s="7">
        <f>IF(AND(ISNUMBER(C532),ISNUMBER(D532)),(D532-C532),"待補")</f>
        <v>1.3466666666666667</v>
      </c>
      <c r="F532" s="8" t="s">
        <v>16</v>
      </c>
      <c r="G532" s="4" t="s">
        <v>141</v>
      </c>
      <c r="H532" s="4" t="s">
        <v>54</v>
      </c>
    </row>
    <row r="533" spans="1:8">
      <c r="A533" s="4" t="s">
        <v>42</v>
      </c>
      <c r="B533" s="4" t="s">
        <v>15</v>
      </c>
      <c r="D533" s="6">
        <v>9</v>
      </c>
      <c r="H533" s="4" t="s">
        <v>43</v>
      </c>
    </row>
    <row r="534" spans="1:8">
      <c r="A534" s="4" t="s">
        <v>44</v>
      </c>
      <c r="B534" s="4" t="s">
        <v>15</v>
      </c>
      <c r="D534" s="6">
        <v>3</v>
      </c>
      <c r="H534" s="4" t="s">
        <v>43</v>
      </c>
    </row>
    <row r="535" spans="1:8">
      <c r="A535" s="4" t="s">
        <v>45</v>
      </c>
      <c r="B535" s="4" t="s">
        <v>15</v>
      </c>
      <c r="D535" s="6">
        <v>58</v>
      </c>
      <c r="H535" s="4" t="s">
        <v>43</v>
      </c>
    </row>
    <row r="536" spans="1:8">
      <c r="A536" s="4" t="s">
        <v>46</v>
      </c>
      <c r="B536" s="4" t="s">
        <v>25</v>
      </c>
      <c r="C536" s="7">
        <v>8.708011146965518</v>
      </c>
      <c r="D536" s="7">
        <v>8.430204073362068</v>
      </c>
      <c r="E536" s="7">
        <f>IF(AND(ISNUMBER(C536),ISNUMBER(D536)),D536-C536,"待補")</f>
        <v>-0.2778070736034491</v>
      </c>
      <c r="F536" s="9">
        <f>IF(AND(ISNUMBER(C536),ISNUMBER(D536),C536&lt;&gt;0),(C536-D536)/C536,"待補")</f>
        <v>0.03190247105968124</v>
      </c>
      <c r="G536" s="4" t="s">
        <v>144</v>
      </c>
      <c r="H536" s="4" t="s">
        <v>48</v>
      </c>
    </row>
    <row r="537" spans="1:8" ht="34" customHeight="1">
      <c r="A537" s="2" t="s">
        <v>145</v>
      </c>
      <c r="B537" s="2"/>
      <c r="C537" s="2"/>
      <c r="D537" s="2"/>
      <c r="E537" s="2"/>
      <c r="F537" s="2"/>
      <c r="G537" s="2"/>
      <c r="H537" s="2"/>
    </row>
    <row r="540" spans="1:8" ht="28" customHeight="1">
      <c r="A540" s="3" t="s">
        <v>148</v>
      </c>
      <c r="B540" s="3"/>
      <c r="C540" s="3"/>
      <c r="D540" s="3"/>
      <c r="E540" s="3"/>
      <c r="F540" s="3"/>
      <c r="G540" s="3"/>
      <c r="H540" s="3"/>
    </row>
    <row r="541" spans="1:8" ht="40" customHeight="1">
      <c r="A541" s="2" t="s">
        <v>149</v>
      </c>
      <c r="B541" s="2"/>
      <c r="C541" s="2"/>
      <c r="D541" s="2"/>
      <c r="E541" s="2"/>
      <c r="F541" s="2"/>
      <c r="G541" s="2"/>
      <c r="H541" s="2"/>
    </row>
    <row r="542" spans="1:8" ht="40" customHeight="1">
      <c r="A542" s="2" t="s">
        <v>140</v>
      </c>
      <c r="B542" s="2"/>
      <c r="C542" s="2"/>
      <c r="D542" s="2"/>
      <c r="E542" s="2"/>
      <c r="F542" s="2"/>
      <c r="G542" s="2"/>
      <c r="H542" s="2"/>
    </row>
    <row r="543" spans="1:8">
      <c r="A543" s="3" t="s">
        <v>6</v>
      </c>
      <c r="B543" s="3" t="s">
        <v>7</v>
      </c>
      <c r="C543" s="3" t="s">
        <v>8</v>
      </c>
      <c r="D543" s="3" t="s">
        <v>9</v>
      </c>
      <c r="E543" s="3" t="s">
        <v>10</v>
      </c>
      <c r="F543" s="3" t="s">
        <v>11</v>
      </c>
      <c r="G543" s="3" t="s">
        <v>12</v>
      </c>
      <c r="H543" s="3" t="s">
        <v>13</v>
      </c>
    </row>
    <row r="544" spans="1:8" ht="34" customHeight="1">
      <c r="A544" s="4" t="s">
        <v>14</v>
      </c>
      <c r="B544" s="4" t="s">
        <v>15</v>
      </c>
      <c r="C544" s="6">
        <v>75</v>
      </c>
      <c r="D544" s="6">
        <v>75</v>
      </c>
      <c r="E544" s="7">
        <f>IF(AND(ISNUMBER(C544),ISNUMBER(D544)),(D544-C544),"待補")</f>
        <v>0</v>
      </c>
      <c r="F544" s="8" t="s">
        <v>16</v>
      </c>
      <c r="G544" s="4" t="s">
        <v>141</v>
      </c>
      <c r="H544" s="4"/>
    </row>
    <row r="545" spans="1:8" ht="34" customHeight="1">
      <c r="A545" s="4" t="s">
        <v>18</v>
      </c>
      <c r="B545" s="4" t="s">
        <v>15</v>
      </c>
      <c r="C545" s="6">
        <v>63</v>
      </c>
      <c r="D545" s="6">
        <v>62</v>
      </c>
      <c r="E545" s="7">
        <f>IF(AND(ISNUMBER(C545),ISNUMBER(D545)),(D545-C545),"待補")</f>
        <v>-1</v>
      </c>
      <c r="F545" s="8" t="s">
        <v>16</v>
      </c>
      <c r="G545" s="4" t="s">
        <v>141</v>
      </c>
      <c r="H545" s="4"/>
    </row>
    <row r="546" spans="1:8" ht="34" customHeight="1">
      <c r="A546" s="4" t="s">
        <v>19</v>
      </c>
      <c r="B546" s="4" t="s">
        <v>20</v>
      </c>
      <c r="C546" s="9">
        <v>0.84</v>
      </c>
      <c r="D546" s="9">
        <v>0.8266666666666667</v>
      </c>
      <c r="E546" s="10">
        <f>IF(AND(ISNUMBER(C546),ISNUMBER(D546)),(D546-C546)*100,"待補")</f>
        <v>-1.3333333333333308</v>
      </c>
      <c r="F546" s="8" t="s">
        <v>16</v>
      </c>
      <c r="G546" s="4" t="s">
        <v>141</v>
      </c>
      <c r="H546" s="4" t="s">
        <v>21</v>
      </c>
    </row>
    <row r="547" spans="1:8" ht="34" customHeight="1">
      <c r="A547" s="4" t="s">
        <v>22</v>
      </c>
      <c r="B547" s="4" t="s">
        <v>15</v>
      </c>
      <c r="C547" s="6">
        <v>68</v>
      </c>
      <c r="D547" s="6">
        <v>68</v>
      </c>
      <c r="E547" s="7">
        <f>IF(AND(ISNUMBER(C547),ISNUMBER(D547)),(D547-C547),"待補")</f>
        <v>0</v>
      </c>
      <c r="F547" s="8" t="s">
        <v>16</v>
      </c>
      <c r="G547" s="4" t="s">
        <v>141</v>
      </c>
      <c r="H547" s="4"/>
    </row>
    <row r="548" spans="1:8" ht="34" customHeight="1">
      <c r="A548" s="4" t="s">
        <v>23</v>
      </c>
      <c r="B548" s="4" t="s">
        <v>15</v>
      </c>
      <c r="C548" s="6">
        <v>7</v>
      </c>
      <c r="D548" s="6">
        <v>7</v>
      </c>
      <c r="E548" s="7">
        <f>IF(AND(ISNUMBER(C548),ISNUMBER(D548)),(D548-C548),"待補")</f>
        <v>0</v>
      </c>
      <c r="F548" s="8" t="s">
        <v>16</v>
      </c>
      <c r="G548" s="4" t="s">
        <v>141</v>
      </c>
      <c r="H548" s="4"/>
    </row>
    <row r="549" spans="1:8" ht="34" customHeight="1">
      <c r="A549" s="4" t="s">
        <v>24</v>
      </c>
      <c r="B549" s="4" t="s">
        <v>25</v>
      </c>
      <c r="C549" s="7">
        <v>14.53955476314706</v>
      </c>
      <c r="D549" s="7">
        <v>15.44513149622059</v>
      </c>
      <c r="E549" s="7">
        <f>IF(AND(ISNUMBER(C549),ISNUMBER(D549)),(D549-C549),"待補")</f>
        <v>0.9055767330735289</v>
      </c>
      <c r="F549" s="8" t="s">
        <v>16</v>
      </c>
      <c r="G549" s="4" t="s">
        <v>150</v>
      </c>
      <c r="H549" s="4" t="s">
        <v>27</v>
      </c>
    </row>
    <row r="550" spans="1:8" ht="34" customHeight="1">
      <c r="A550" s="4" t="s">
        <v>28</v>
      </c>
      <c r="B550" s="4" t="s">
        <v>25</v>
      </c>
      <c r="C550" s="7">
        <v>7.078909595999999</v>
      </c>
      <c r="D550" s="7">
        <v>8.195807652000001</v>
      </c>
      <c r="E550" s="7">
        <f>IF(AND(ISNUMBER(C550),ISNUMBER(D550)),(D550-C550),"待補")</f>
        <v>1.116898056000002</v>
      </c>
      <c r="F550" s="8" t="s">
        <v>16</v>
      </c>
      <c r="G550" s="4" t="s">
        <v>150</v>
      </c>
      <c r="H550" s="4" t="s">
        <v>27</v>
      </c>
    </row>
    <row r="551" spans="1:8" ht="34" customHeight="1">
      <c r="A551" s="4" t="s">
        <v>29</v>
      </c>
      <c r="B551" s="4" t="s">
        <v>25</v>
      </c>
      <c r="C551" s="7">
        <v>8.506313526095239</v>
      </c>
      <c r="D551" s="7">
        <v>9.695589418758065</v>
      </c>
      <c r="E551" s="7">
        <f>IF(AND(ISNUMBER(C551),ISNUMBER(D551)),(D551-C551),"待補")</f>
        <v>1.1892758926628257</v>
      </c>
      <c r="F551" s="8" t="s">
        <v>16</v>
      </c>
      <c r="G551" s="4" t="s">
        <v>151</v>
      </c>
      <c r="H551" s="4" t="s">
        <v>31</v>
      </c>
    </row>
    <row r="552" spans="1:8" ht="34" customHeight="1">
      <c r="A552" s="4" t="s">
        <v>32</v>
      </c>
      <c r="B552" s="4" t="s">
        <v>33</v>
      </c>
      <c r="C552" s="7">
        <v>0.8819165110235294</v>
      </c>
      <c r="D552" s="7">
        <v>0.9552537612636764</v>
      </c>
      <c r="E552" s="7">
        <f>IF(AND(ISNUMBER(C552),ISNUMBER(D552)),(D552-C552),"待補")</f>
        <v>0.07333725024014703</v>
      </c>
      <c r="F552" s="8" t="s">
        <v>16</v>
      </c>
      <c r="G552" s="4" t="s">
        <v>141</v>
      </c>
      <c r="H552" s="4"/>
    </row>
    <row r="553" spans="1:8" ht="34" customHeight="1">
      <c r="A553" s="4" t="s">
        <v>34</v>
      </c>
      <c r="B553" s="4" t="s">
        <v>25</v>
      </c>
      <c r="C553" s="7">
        <v>12.83738906188235</v>
      </c>
      <c r="D553" s="7">
        <v>13.79221387289559</v>
      </c>
      <c r="E553" s="7">
        <f>IF(AND(ISNUMBER(C553),ISNUMBER(D553)),(D553-C553),"待補")</f>
        <v>0.9548248110132356</v>
      </c>
      <c r="F553" s="8" t="s">
        <v>16</v>
      </c>
      <c r="G553" s="4" t="s">
        <v>141</v>
      </c>
      <c r="H553" s="4"/>
    </row>
    <row r="554" spans="1:8" ht="34" customHeight="1">
      <c r="A554" s="4" t="s">
        <v>35</v>
      </c>
      <c r="B554" s="4" t="s">
        <v>36</v>
      </c>
      <c r="C554" s="7">
        <v>2.109900893333333</v>
      </c>
      <c r="D554" s="7">
        <v>2.183397066666667</v>
      </c>
      <c r="E554" s="7">
        <f>IF(AND(ISNUMBER(C554),ISNUMBER(D554)),(D554-C554),"待補")</f>
        <v>0.07349617333333347</v>
      </c>
      <c r="F554" s="9">
        <f>IF(AND(ISNUMBER(C554),ISNUMBER(D554),C554&lt;&gt;0),(C554-D554)/C554,"待補")</f>
        <v>-0.03483394578653423</v>
      </c>
      <c r="G554" s="4" t="s">
        <v>141</v>
      </c>
      <c r="H554" s="4" t="s">
        <v>37</v>
      </c>
    </row>
    <row r="555" spans="1:8" ht="34" customHeight="1">
      <c r="A555" s="4" t="s">
        <v>38</v>
      </c>
      <c r="B555" s="4" t="s">
        <v>39</v>
      </c>
      <c r="C555" s="7">
        <v>6.773333333333333</v>
      </c>
      <c r="D555" s="7">
        <v>8.039999999999999</v>
      </c>
      <c r="E555" s="7">
        <f>IF(AND(ISNUMBER(C555),ISNUMBER(D555)),(D555-C555),"待補")</f>
        <v>1.2666666666666657</v>
      </c>
      <c r="F555" s="8" t="s">
        <v>16</v>
      </c>
      <c r="G555" s="4" t="s">
        <v>141</v>
      </c>
      <c r="H555" s="4"/>
    </row>
    <row r="556" spans="1:8" ht="34" customHeight="1">
      <c r="A556" s="4" t="s">
        <v>40</v>
      </c>
      <c r="B556" s="4" t="s">
        <v>39</v>
      </c>
      <c r="C556" s="7">
        <v>6.76</v>
      </c>
      <c r="D556" s="7">
        <v>8.039999999999999</v>
      </c>
      <c r="E556" s="7">
        <f>IF(AND(ISNUMBER(C556),ISNUMBER(D556)),(D556-C556),"待補")</f>
        <v>1.2799999999999994</v>
      </c>
      <c r="F556" s="8" t="s">
        <v>16</v>
      </c>
      <c r="G556" s="4" t="s">
        <v>141</v>
      </c>
      <c r="H556" s="4" t="s">
        <v>41</v>
      </c>
    </row>
    <row r="557" spans="1:8">
      <c r="A557" s="4" t="s">
        <v>42</v>
      </c>
      <c r="B557" s="4" t="s">
        <v>15</v>
      </c>
      <c r="D557" s="6">
        <v>6</v>
      </c>
      <c r="H557" s="4" t="s">
        <v>43</v>
      </c>
    </row>
    <row r="558" spans="1:8">
      <c r="A558" s="4" t="s">
        <v>44</v>
      </c>
      <c r="B558" s="4" t="s">
        <v>15</v>
      </c>
      <c r="D558" s="6">
        <v>7</v>
      </c>
      <c r="H558" s="4" t="s">
        <v>43</v>
      </c>
    </row>
    <row r="559" spans="1:8">
      <c r="A559" s="4" t="s">
        <v>45</v>
      </c>
      <c r="B559" s="4" t="s">
        <v>15</v>
      </c>
      <c r="D559" s="6">
        <v>56</v>
      </c>
      <c r="H559" s="4" t="s">
        <v>43</v>
      </c>
    </row>
    <row r="560" spans="1:8">
      <c r="A560" s="4" t="s">
        <v>46</v>
      </c>
      <c r="B560" s="4" t="s">
        <v>25</v>
      </c>
      <c r="C560" s="7">
        <v>8.742171123089285</v>
      </c>
      <c r="D560" s="7">
        <v>9.110611154428572</v>
      </c>
      <c r="E560" s="7">
        <f>IF(AND(ISNUMBER(C560),ISNUMBER(D560)),D560-C560,"待補")</f>
        <v>0.36844003133928577</v>
      </c>
      <c r="F560" s="9">
        <f>IF(AND(ISNUMBER(C560),ISNUMBER(D560),C560&lt;&gt;0),(C560-D560)/C560,"待補")</f>
        <v>-0.042145140623727276</v>
      </c>
      <c r="G560" s="4" t="s">
        <v>152</v>
      </c>
      <c r="H560" s="4" t="s">
        <v>48</v>
      </c>
    </row>
    <row r="561" spans="1:8" ht="34" customHeight="1">
      <c r="A561" s="2" t="s">
        <v>145</v>
      </c>
      <c r="B561" s="2"/>
      <c r="C561" s="2"/>
      <c r="D561" s="2"/>
      <c r="E561" s="2"/>
      <c r="F561" s="2"/>
      <c r="G561" s="2"/>
      <c r="H561" s="2"/>
    </row>
    <row r="564" spans="1:8" ht="28" customHeight="1">
      <c r="A564" s="3" t="s">
        <v>153</v>
      </c>
      <c r="B564" s="3"/>
      <c r="C564" s="3"/>
      <c r="D564" s="3"/>
      <c r="E564" s="3"/>
      <c r="F564" s="3"/>
      <c r="G564" s="3"/>
      <c r="H564" s="3"/>
    </row>
    <row r="565" spans="1:8" ht="40" customHeight="1">
      <c r="A565" s="2" t="s">
        <v>149</v>
      </c>
      <c r="B565" s="2"/>
      <c r="C565" s="2"/>
      <c r="D565" s="2"/>
      <c r="E565" s="2"/>
      <c r="F565" s="2"/>
      <c r="G565" s="2"/>
      <c r="H565" s="2"/>
    </row>
    <row r="566" spans="1:8" ht="40" customHeight="1">
      <c r="A566" s="2" t="s">
        <v>140</v>
      </c>
      <c r="B566" s="2"/>
      <c r="C566" s="2"/>
      <c r="D566" s="2"/>
      <c r="E566" s="2"/>
      <c r="F566" s="2"/>
      <c r="G566" s="2"/>
      <c r="H566" s="2"/>
    </row>
    <row r="567" spans="1:8">
      <c r="A567" s="3" t="s">
        <v>6</v>
      </c>
      <c r="B567" s="3" t="s">
        <v>7</v>
      </c>
      <c r="C567" s="3" t="s">
        <v>8</v>
      </c>
      <c r="D567" s="3" t="s">
        <v>9</v>
      </c>
      <c r="E567" s="3" t="s">
        <v>10</v>
      </c>
      <c r="F567" s="3" t="s">
        <v>11</v>
      </c>
      <c r="G567" s="3" t="s">
        <v>12</v>
      </c>
      <c r="H567" s="3" t="s">
        <v>13</v>
      </c>
    </row>
    <row r="568" spans="1:8" ht="34" customHeight="1">
      <c r="A568" s="4" t="s">
        <v>14</v>
      </c>
      <c r="B568" s="4" t="s">
        <v>15</v>
      </c>
      <c r="C568" s="6">
        <v>75</v>
      </c>
      <c r="D568" s="6">
        <v>75</v>
      </c>
      <c r="E568" s="7">
        <f>IF(AND(ISNUMBER(C568),ISNUMBER(D568)),(D568-C568),"待補")</f>
        <v>0</v>
      </c>
      <c r="F568" s="8" t="s">
        <v>16</v>
      </c>
      <c r="G568" s="4" t="s">
        <v>141</v>
      </c>
      <c r="H568" s="4"/>
    </row>
    <row r="569" spans="1:8" ht="34" customHeight="1">
      <c r="A569" s="4" t="s">
        <v>18</v>
      </c>
      <c r="B569" s="4" t="s">
        <v>15</v>
      </c>
      <c r="C569" s="6">
        <v>65</v>
      </c>
      <c r="D569" s="6">
        <v>65</v>
      </c>
      <c r="E569" s="7">
        <f>IF(AND(ISNUMBER(C569),ISNUMBER(D569)),(D569-C569),"待補")</f>
        <v>0</v>
      </c>
      <c r="F569" s="8" t="s">
        <v>16</v>
      </c>
      <c r="G569" s="4" t="s">
        <v>141</v>
      </c>
      <c r="H569" s="4"/>
    </row>
    <row r="570" spans="1:8" ht="34" customHeight="1">
      <c r="A570" s="4" t="s">
        <v>19</v>
      </c>
      <c r="B570" s="4" t="s">
        <v>20</v>
      </c>
      <c r="C570" s="9">
        <v>0.8666666666666667</v>
      </c>
      <c r="D570" s="9">
        <v>0.8666666666666667</v>
      </c>
      <c r="E570" s="10">
        <f>IF(AND(ISNUMBER(C570),ISNUMBER(D570)),(D570-C570)*100,"待補")</f>
        <v>0.0</v>
      </c>
      <c r="F570" s="8" t="s">
        <v>16</v>
      </c>
      <c r="G570" s="4" t="s">
        <v>141</v>
      </c>
      <c r="H570" s="4" t="s">
        <v>21</v>
      </c>
    </row>
    <row r="571" spans="1:8" ht="34" customHeight="1">
      <c r="A571" s="4" t="s">
        <v>22</v>
      </c>
      <c r="B571" s="4" t="s">
        <v>15</v>
      </c>
      <c r="C571" s="6">
        <v>68</v>
      </c>
      <c r="D571" s="6">
        <v>68</v>
      </c>
      <c r="E571" s="7">
        <f>IF(AND(ISNUMBER(C571),ISNUMBER(D571)),(D571-C571),"待補")</f>
        <v>0</v>
      </c>
      <c r="F571" s="8" t="s">
        <v>16</v>
      </c>
      <c r="G571" s="4" t="s">
        <v>141</v>
      </c>
      <c r="H571" s="4"/>
    </row>
    <row r="572" spans="1:8" ht="34" customHeight="1">
      <c r="A572" s="4" t="s">
        <v>23</v>
      </c>
      <c r="B572" s="4" t="s">
        <v>15</v>
      </c>
      <c r="C572" s="6">
        <v>7</v>
      </c>
      <c r="D572" s="6">
        <v>7</v>
      </c>
      <c r="E572" s="7">
        <f>IF(AND(ISNUMBER(C572),ISNUMBER(D572)),(D572-C572),"待補")</f>
        <v>0</v>
      </c>
      <c r="F572" s="8" t="s">
        <v>16</v>
      </c>
      <c r="G572" s="4" t="s">
        <v>141</v>
      </c>
      <c r="H572" s="4"/>
    </row>
    <row r="573" spans="1:8" ht="34" customHeight="1">
      <c r="A573" s="4" t="s">
        <v>24</v>
      </c>
      <c r="B573" s="4" t="s">
        <v>25</v>
      </c>
      <c r="C573" s="7">
        <v>11.40430062222059</v>
      </c>
      <c r="D573" s="7">
        <v>13.92172561210294</v>
      </c>
      <c r="E573" s="7">
        <f>IF(AND(ISNUMBER(C573),ISNUMBER(D573)),(D573-C573),"待補")</f>
        <v>2.517424989882354</v>
      </c>
      <c r="F573" s="8" t="s">
        <v>16</v>
      </c>
      <c r="G573" s="4" t="s">
        <v>150</v>
      </c>
      <c r="H573" s="4" t="s">
        <v>27</v>
      </c>
    </row>
    <row r="574" spans="1:8" ht="34" customHeight="1">
      <c r="A574" s="4" t="s">
        <v>28</v>
      </c>
      <c r="B574" s="4" t="s">
        <v>25</v>
      </c>
      <c r="C574" s="7">
        <v>6.630230407</v>
      </c>
      <c r="D574" s="7">
        <v>7.016343577500001</v>
      </c>
      <c r="E574" s="7">
        <f>IF(AND(ISNUMBER(C574),ISNUMBER(D574)),(D574-C574),"待補")</f>
        <v>0.3861131705000007</v>
      </c>
      <c r="F574" s="8" t="s">
        <v>16</v>
      </c>
      <c r="G574" s="4" t="s">
        <v>150</v>
      </c>
      <c r="H574" s="4" t="s">
        <v>27</v>
      </c>
    </row>
    <row r="575" spans="1:8" ht="34" customHeight="1">
      <c r="A575" s="4" t="s">
        <v>29</v>
      </c>
      <c r="B575" s="4" t="s">
        <v>25</v>
      </c>
      <c r="C575" s="7">
        <v>8.167160837092307</v>
      </c>
      <c r="D575" s="7">
        <v>9.166519218815385</v>
      </c>
      <c r="E575" s="7">
        <f>IF(AND(ISNUMBER(C575),ISNUMBER(D575)),(D575-C575),"待補")</f>
        <v>0.9993583817230771</v>
      </c>
      <c r="F575" s="8" t="s">
        <v>16</v>
      </c>
      <c r="G575" s="4" t="s">
        <v>154</v>
      </c>
      <c r="H575" s="4" t="s">
        <v>31</v>
      </c>
    </row>
    <row r="576" spans="1:8" ht="34" customHeight="1">
      <c r="A576" s="4" t="s">
        <v>32</v>
      </c>
      <c r="B576" s="4" t="s">
        <v>33</v>
      </c>
      <c r="C576" s="7">
        <v>0.6951690738455882</v>
      </c>
      <c r="D576" s="7">
        <v>0.7813526500575</v>
      </c>
      <c r="E576" s="7">
        <f>IF(AND(ISNUMBER(C576),ISNUMBER(D576)),(D576-C576),"待補")</f>
        <v>0.08618357621191175</v>
      </c>
      <c r="F576" s="8" t="s">
        <v>16</v>
      </c>
      <c r="G576" s="4" t="s">
        <v>141</v>
      </c>
      <c r="H576" s="4"/>
    </row>
    <row r="577" spans="1:8" ht="34" customHeight="1">
      <c r="A577" s="4" t="s">
        <v>34</v>
      </c>
      <c r="B577" s="4" t="s">
        <v>25</v>
      </c>
      <c r="C577" s="7">
        <v>10.01956322791177</v>
      </c>
      <c r="D577" s="7">
        <v>12.62739868366029</v>
      </c>
      <c r="E577" s="7">
        <f>IF(AND(ISNUMBER(C577),ISNUMBER(D577)),(D577-C577),"待補")</f>
        <v>2.6078354557485266</v>
      </c>
      <c r="F577" s="8" t="s">
        <v>16</v>
      </c>
      <c r="G577" s="4" t="s">
        <v>141</v>
      </c>
      <c r="H577" s="4"/>
    </row>
    <row r="578" spans="1:8" ht="34" customHeight="1">
      <c r="A578" s="4" t="s">
        <v>35</v>
      </c>
      <c r="B578" s="4" t="s">
        <v>36</v>
      </c>
      <c r="C578" s="7">
        <v>2.532242066666667</v>
      </c>
      <c r="D578" s="7">
        <v>2.660259386666667</v>
      </c>
      <c r="E578" s="7">
        <f>IF(AND(ISNUMBER(C578),ISNUMBER(D578)),(D578-C578),"待補")</f>
        <v>0.1280173200000001</v>
      </c>
      <c r="F578" s="9">
        <f>IF(AND(ISNUMBER(C578),ISNUMBER(D578),C578&lt;&gt;0),(C578-D578)/C578,"待補")</f>
        <v>-0.05055492983280092</v>
      </c>
      <c r="G578" s="4" t="s">
        <v>141</v>
      </c>
      <c r="H578" s="4" t="s">
        <v>37</v>
      </c>
    </row>
    <row r="579" spans="1:8" ht="34" customHeight="1">
      <c r="A579" s="4" t="s">
        <v>38</v>
      </c>
      <c r="B579" s="4" t="s">
        <v>39</v>
      </c>
      <c r="C579" s="7">
        <v>6.773333333333333</v>
      </c>
      <c r="D579" s="7">
        <v>8.039999999999999</v>
      </c>
      <c r="E579" s="7">
        <f>IF(AND(ISNUMBER(C579),ISNUMBER(D579)),(D579-C579),"待補")</f>
        <v>1.2666666666666657</v>
      </c>
      <c r="F579" s="8" t="s">
        <v>16</v>
      </c>
      <c r="G579" s="4" t="s">
        <v>141</v>
      </c>
      <c r="H579" s="4"/>
    </row>
    <row r="580" spans="1:8" ht="34" customHeight="1">
      <c r="A580" s="4" t="s">
        <v>40</v>
      </c>
      <c r="B580" s="4" t="s">
        <v>39</v>
      </c>
      <c r="C580" s="7">
        <v>6.76</v>
      </c>
      <c r="D580" s="7">
        <v>8.039999999999999</v>
      </c>
      <c r="E580" s="7">
        <f>IF(AND(ISNUMBER(C580),ISNUMBER(D580)),(D580-C580),"待補")</f>
        <v>1.2799999999999994</v>
      </c>
      <c r="F580" s="8" t="s">
        <v>16</v>
      </c>
      <c r="G580" s="4" t="s">
        <v>141</v>
      </c>
      <c r="H580" s="4" t="s">
        <v>41</v>
      </c>
    </row>
    <row r="581" spans="1:8" ht="34" customHeight="1">
      <c r="A581" s="4" t="s">
        <v>53</v>
      </c>
      <c r="B581" s="4" t="s">
        <v>39</v>
      </c>
      <c r="C581" s="7">
        <v>6.533333333333333</v>
      </c>
      <c r="D581" s="7">
        <v>7.72</v>
      </c>
      <c r="E581" s="7">
        <f>IF(AND(ISNUMBER(C581),ISNUMBER(D581)),(D581-C581),"待補")</f>
        <v>1.1866666666666665</v>
      </c>
      <c r="F581" s="8" t="s">
        <v>16</v>
      </c>
      <c r="G581" s="4" t="s">
        <v>141</v>
      </c>
      <c r="H581" s="4" t="s">
        <v>54</v>
      </c>
    </row>
    <row r="582" spans="1:8">
      <c r="A582" s="4" t="s">
        <v>42</v>
      </c>
      <c r="B582" s="4" t="s">
        <v>15</v>
      </c>
      <c r="D582" s="6">
        <v>5</v>
      </c>
      <c r="H582" s="4" t="s">
        <v>43</v>
      </c>
    </row>
    <row r="583" spans="1:8">
      <c r="A583" s="4" t="s">
        <v>44</v>
      </c>
      <c r="B583" s="4" t="s">
        <v>15</v>
      </c>
      <c r="D583" s="6">
        <v>5</v>
      </c>
      <c r="H583" s="4" t="s">
        <v>43</v>
      </c>
    </row>
    <row r="584" spans="1:8">
      <c r="A584" s="4" t="s">
        <v>45</v>
      </c>
      <c r="B584" s="4" t="s">
        <v>15</v>
      </c>
      <c r="D584" s="6">
        <v>60</v>
      </c>
      <c r="H584" s="4" t="s">
        <v>43</v>
      </c>
    </row>
    <row r="585" spans="1:8">
      <c r="A585" s="4" t="s">
        <v>46</v>
      </c>
      <c r="B585" s="4" t="s">
        <v>25</v>
      </c>
      <c r="C585" s="7">
        <v>8.080239553916666</v>
      </c>
      <c r="D585" s="7">
        <v>8.033969680383333</v>
      </c>
      <c r="E585" s="7">
        <f>IF(AND(ISNUMBER(C585),ISNUMBER(D585)),D585-C585,"待補")</f>
        <v>-0.04626987353333334</v>
      </c>
      <c r="F585" s="9">
        <f>IF(AND(ISNUMBER(C585),ISNUMBER(D585),C585&lt;&gt;0),(C585-D585)/C585,"待補")</f>
        <v>0.005726299724728499</v>
      </c>
      <c r="G585" s="4" t="s">
        <v>155</v>
      </c>
      <c r="H585" s="4" t="s">
        <v>48</v>
      </c>
    </row>
    <row r="586" spans="1:8" ht="34" customHeight="1">
      <c r="A586" s="2" t="s">
        <v>145</v>
      </c>
      <c r="B586" s="2"/>
      <c r="C586" s="2"/>
      <c r="D586" s="2"/>
      <c r="E586" s="2"/>
      <c r="F586" s="2"/>
      <c r="G586" s="2"/>
      <c r="H586" s="2"/>
    </row>
    <row r="589" spans="1:8" ht="28" customHeight="1">
      <c r="A589" s="3" t="s">
        <v>156</v>
      </c>
      <c r="B589" s="3"/>
      <c r="C589" s="3"/>
      <c r="D589" s="3"/>
      <c r="E589" s="3"/>
      <c r="F589" s="3"/>
      <c r="G589" s="3"/>
      <c r="H589" s="3"/>
    </row>
    <row r="590" spans="1:8" ht="40" customHeight="1">
      <c r="A590" s="2" t="s">
        <v>157</v>
      </c>
      <c r="B590" s="2"/>
      <c r="C590" s="2"/>
      <c r="D590" s="2"/>
      <c r="E590" s="2"/>
      <c r="F590" s="2"/>
      <c r="G590" s="2"/>
      <c r="H590" s="2"/>
    </row>
    <row r="591" spans="1:8" ht="40" customHeight="1">
      <c r="A591" s="2" t="s">
        <v>140</v>
      </c>
      <c r="B591" s="2"/>
      <c r="C591" s="2"/>
      <c r="D591" s="2"/>
      <c r="E591" s="2"/>
      <c r="F591" s="2"/>
      <c r="G591" s="2"/>
      <c r="H591" s="2"/>
    </row>
    <row r="592" spans="1:8">
      <c r="A592" s="3" t="s">
        <v>6</v>
      </c>
      <c r="B592" s="3" t="s">
        <v>7</v>
      </c>
      <c r="C592" s="3" t="s">
        <v>8</v>
      </c>
      <c r="D592" s="3" t="s">
        <v>9</v>
      </c>
      <c r="E592" s="3" t="s">
        <v>10</v>
      </c>
      <c r="F592" s="3" t="s">
        <v>11</v>
      </c>
      <c r="G592" s="3" t="s">
        <v>12</v>
      </c>
      <c r="H592" s="3" t="s">
        <v>13</v>
      </c>
    </row>
    <row r="593" spans="1:8" ht="34" customHeight="1">
      <c r="A593" s="4" t="s">
        <v>14</v>
      </c>
      <c r="B593" s="4" t="s">
        <v>15</v>
      </c>
      <c r="C593" s="6">
        <v>75</v>
      </c>
      <c r="D593" s="6">
        <v>75</v>
      </c>
      <c r="E593" s="7">
        <f>IF(AND(ISNUMBER(C593),ISNUMBER(D593)),(D593-C593),"待補")</f>
        <v>0</v>
      </c>
      <c r="F593" s="8" t="s">
        <v>16</v>
      </c>
      <c r="G593" s="4" t="s">
        <v>141</v>
      </c>
      <c r="H593" s="4"/>
    </row>
    <row r="594" spans="1:8" ht="34" customHeight="1">
      <c r="A594" s="4" t="s">
        <v>18</v>
      </c>
      <c r="B594" s="4" t="s">
        <v>15</v>
      </c>
      <c r="C594" s="6">
        <v>63</v>
      </c>
      <c r="D594" s="6">
        <v>68</v>
      </c>
      <c r="E594" s="7">
        <f>IF(AND(ISNUMBER(C594),ISNUMBER(D594)),(D594-C594),"待補")</f>
        <v>5</v>
      </c>
      <c r="F594" s="8" t="s">
        <v>16</v>
      </c>
      <c r="G594" s="4" t="s">
        <v>141</v>
      </c>
      <c r="H594" s="4"/>
    </row>
    <row r="595" spans="1:8" ht="34" customHeight="1">
      <c r="A595" s="4" t="s">
        <v>19</v>
      </c>
      <c r="B595" s="4" t="s">
        <v>20</v>
      </c>
      <c r="C595" s="9">
        <v>0.84</v>
      </c>
      <c r="D595" s="9">
        <v>0.9066666666666666</v>
      </c>
      <c r="E595" s="10">
        <f>IF(AND(ISNUMBER(C595),ISNUMBER(D595)),(D595-C595)*100,"待補")</f>
        <v>6.666666666666665</v>
      </c>
      <c r="F595" s="8" t="s">
        <v>16</v>
      </c>
      <c r="G595" s="4" t="s">
        <v>141</v>
      </c>
      <c r="H595" s="4" t="s">
        <v>21</v>
      </c>
    </row>
    <row r="596" spans="1:8" ht="34" customHeight="1">
      <c r="A596" s="4" t="s">
        <v>22</v>
      </c>
      <c r="B596" s="4" t="s">
        <v>15</v>
      </c>
      <c r="C596" s="6">
        <v>66</v>
      </c>
      <c r="D596" s="6">
        <v>71</v>
      </c>
      <c r="E596" s="7">
        <f>IF(AND(ISNUMBER(C596),ISNUMBER(D596)),(D596-C596),"待補")</f>
        <v>5</v>
      </c>
      <c r="F596" s="8" t="s">
        <v>16</v>
      </c>
      <c r="G596" s="4" t="s">
        <v>141</v>
      </c>
      <c r="H596" s="4"/>
    </row>
    <row r="597" spans="1:8" ht="34" customHeight="1">
      <c r="A597" s="4" t="s">
        <v>23</v>
      </c>
      <c r="B597" s="4" t="s">
        <v>15</v>
      </c>
      <c r="C597" s="6">
        <v>9</v>
      </c>
      <c r="D597" s="6">
        <v>4</v>
      </c>
      <c r="E597" s="7">
        <f>IF(AND(ISNUMBER(C597),ISNUMBER(D597)),(D597-C597),"待補")</f>
        <v>-5</v>
      </c>
      <c r="F597" s="8" t="s">
        <v>16</v>
      </c>
      <c r="G597" s="4" t="s">
        <v>141</v>
      </c>
      <c r="H597" s="4"/>
    </row>
    <row r="598" spans="1:8" ht="34" customHeight="1">
      <c r="A598" s="4" t="s">
        <v>24</v>
      </c>
      <c r="B598" s="4" t="s">
        <v>25</v>
      </c>
      <c r="C598" s="7">
        <v>15.98190520154546</v>
      </c>
      <c r="D598" s="7">
        <v>10.93823871739437</v>
      </c>
      <c r="E598" s="7">
        <f>IF(AND(ISNUMBER(C598),ISNUMBER(D598)),(D598-C598),"待補")</f>
        <v>-5.043666484151089</v>
      </c>
      <c r="F598" s="8" t="s">
        <v>16</v>
      </c>
      <c r="G598" s="4" t="s">
        <v>158</v>
      </c>
      <c r="H598" s="4" t="s">
        <v>27</v>
      </c>
    </row>
    <row r="599" spans="1:8" ht="34" customHeight="1">
      <c r="A599" s="4" t="s">
        <v>28</v>
      </c>
      <c r="B599" s="4" t="s">
        <v>25</v>
      </c>
      <c r="C599" s="7">
        <v>7.153716524500001</v>
      </c>
      <c r="D599" s="7">
        <v>7.788629657</v>
      </c>
      <c r="E599" s="7">
        <f>IF(AND(ISNUMBER(C599),ISNUMBER(D599)),(D599-C599),"待補")</f>
        <v>0.6349131324999986</v>
      </c>
      <c r="F599" s="8" t="s">
        <v>16</v>
      </c>
      <c r="G599" s="4" t="s">
        <v>158</v>
      </c>
      <c r="H599" s="4" t="s">
        <v>27</v>
      </c>
    </row>
    <row r="600" spans="1:8" ht="34" customHeight="1">
      <c r="A600" s="4" t="s">
        <v>29</v>
      </c>
      <c r="B600" s="4" t="s">
        <v>25</v>
      </c>
      <c r="C600" s="7">
        <v>9.024764704476191</v>
      </c>
      <c r="D600" s="7">
        <v>9.098970229338235</v>
      </c>
      <c r="E600" s="7">
        <f>IF(AND(ISNUMBER(C600),ISNUMBER(D600)),(D600-C600),"待補")</f>
        <v>0.07420552486204457</v>
      </c>
      <c r="F600" s="8" t="s">
        <v>16</v>
      </c>
      <c r="G600" s="4" t="s">
        <v>159</v>
      </c>
      <c r="H600" s="4" t="s">
        <v>31</v>
      </c>
    </row>
    <row r="601" spans="1:8" ht="34" customHeight="1">
      <c r="A601" s="4" t="s">
        <v>32</v>
      </c>
      <c r="B601" s="4" t="s">
        <v>33</v>
      </c>
      <c r="C601" s="7">
        <v>0.8342280190004545</v>
      </c>
      <c r="D601" s="7">
        <v>0.6932365236236619</v>
      </c>
      <c r="E601" s="7">
        <f>IF(AND(ISNUMBER(C601),ISNUMBER(D601)),(D601-C601),"待補")</f>
        <v>-0.14099149537679256</v>
      </c>
      <c r="F601" s="8" t="s">
        <v>16</v>
      </c>
      <c r="G601" s="4" t="s">
        <v>141</v>
      </c>
      <c r="H601" s="4"/>
    </row>
    <row r="602" spans="1:8" ht="34" customHeight="1">
      <c r="A602" s="4" t="s">
        <v>34</v>
      </c>
      <c r="B602" s="4" t="s">
        <v>25</v>
      </c>
      <c r="C602" s="7">
        <v>14.60829021321667</v>
      </c>
      <c r="D602" s="7">
        <v>9.655981843160562</v>
      </c>
      <c r="E602" s="7">
        <f>IF(AND(ISNUMBER(C602),ISNUMBER(D602)),(D602-C602),"待補")</f>
        <v>-4.9523083700561035</v>
      </c>
      <c r="F602" s="8" t="s">
        <v>16</v>
      </c>
      <c r="G602" s="4" t="s">
        <v>141</v>
      </c>
      <c r="H602" s="4"/>
    </row>
    <row r="603" spans="1:8" ht="34" customHeight="1">
      <c r="A603" s="4" t="s">
        <v>35</v>
      </c>
      <c r="B603" s="4" t="s">
        <v>36</v>
      </c>
      <c r="C603" s="7">
        <v>2.18136476</v>
      </c>
      <c r="D603" s="7">
        <v>2.175371346666667</v>
      </c>
      <c r="E603" s="7">
        <f>IF(AND(ISNUMBER(C603),ISNUMBER(D603)),(D603-C603),"待補")</f>
        <v>-0.005993413333333475</v>
      </c>
      <c r="F603" s="9">
        <f>IF(AND(ISNUMBER(C603),ISNUMBER(D603),C603&lt;&gt;0),(C603-D603)/C603,"待補")</f>
        <v>0.0027475521028099284</v>
      </c>
      <c r="G603" s="4" t="s">
        <v>141</v>
      </c>
      <c r="H603" s="4" t="s">
        <v>37</v>
      </c>
    </row>
    <row r="604" spans="1:8" ht="34" customHeight="1">
      <c r="A604" s="4" t="s">
        <v>38</v>
      </c>
      <c r="B604" s="4" t="s">
        <v>39</v>
      </c>
      <c r="C604" s="7">
        <v>6.36</v>
      </c>
      <c r="D604" s="7">
        <v>8.933333333333334</v>
      </c>
      <c r="E604" s="7">
        <f>IF(AND(ISNUMBER(C604),ISNUMBER(D604)),(D604-C604),"待補")</f>
        <v>2.5733333333333333</v>
      </c>
      <c r="F604" s="8" t="s">
        <v>16</v>
      </c>
      <c r="G604" s="4" t="s">
        <v>141</v>
      </c>
      <c r="H604" s="4"/>
    </row>
    <row r="605" spans="1:8" ht="34" customHeight="1">
      <c r="A605" s="4" t="s">
        <v>40</v>
      </c>
      <c r="B605" s="4" t="s">
        <v>39</v>
      </c>
      <c r="C605" s="7">
        <v>6.36</v>
      </c>
      <c r="D605" s="7">
        <v>8.933333333333334</v>
      </c>
      <c r="E605" s="7">
        <f>IF(AND(ISNUMBER(C605),ISNUMBER(D605)),(D605-C605),"待補")</f>
        <v>2.5733333333333333</v>
      </c>
      <c r="F605" s="8" t="s">
        <v>16</v>
      </c>
      <c r="G605" s="4" t="s">
        <v>141</v>
      </c>
      <c r="H605" s="4" t="s">
        <v>41</v>
      </c>
    </row>
    <row r="606" spans="1:8">
      <c r="A606" s="4" t="s">
        <v>42</v>
      </c>
      <c r="B606" s="4" t="s">
        <v>15</v>
      </c>
      <c r="D606" s="6">
        <v>7</v>
      </c>
      <c r="H606" s="4" t="s">
        <v>43</v>
      </c>
    </row>
    <row r="607" spans="1:8">
      <c r="A607" s="4" t="s">
        <v>44</v>
      </c>
      <c r="B607" s="4" t="s">
        <v>15</v>
      </c>
      <c r="D607" s="6">
        <v>2</v>
      </c>
      <c r="H607" s="4" t="s">
        <v>43</v>
      </c>
    </row>
    <row r="608" spans="1:8">
      <c r="A608" s="4" t="s">
        <v>45</v>
      </c>
      <c r="B608" s="4" t="s">
        <v>15</v>
      </c>
      <c r="D608" s="6">
        <v>61</v>
      </c>
      <c r="H608" s="4" t="s">
        <v>43</v>
      </c>
    </row>
    <row r="609" spans="1:8">
      <c r="A609" s="4" t="s">
        <v>46</v>
      </c>
      <c r="B609" s="4" t="s">
        <v>25</v>
      </c>
      <c r="C609" s="7">
        <v>8.844934628655738</v>
      </c>
      <c r="D609" s="7">
        <v>8.417079955016394</v>
      </c>
      <c r="E609" s="7">
        <f>IF(AND(ISNUMBER(C609),ISNUMBER(D609)),D609-C609,"待補")</f>
        <v>-0.42785467363934404</v>
      </c>
      <c r="F609" s="9">
        <f>IF(AND(ISNUMBER(C609),ISNUMBER(D609),C609&lt;&gt;0),(C609-D609)/C609,"待補")</f>
        <v>0.04837284746607221</v>
      </c>
      <c r="G609" s="4" t="s">
        <v>160</v>
      </c>
      <c r="H609" s="4" t="s">
        <v>48</v>
      </c>
    </row>
    <row r="610" spans="1:8" ht="34" customHeight="1">
      <c r="A610" s="2" t="s">
        <v>145</v>
      </c>
      <c r="B610" s="2"/>
      <c r="C610" s="2"/>
      <c r="D610" s="2"/>
      <c r="E610" s="2"/>
      <c r="F610" s="2"/>
      <c r="G610" s="2"/>
      <c r="H610" s="2"/>
    </row>
    <row r="613" spans="1:8" ht="28" customHeight="1">
      <c r="A613" s="3" t="s">
        <v>161</v>
      </c>
      <c r="B613" s="3"/>
      <c r="C613" s="3"/>
      <c r="D613" s="3"/>
      <c r="E613" s="3"/>
      <c r="F613" s="3"/>
      <c r="G613" s="3"/>
      <c r="H613" s="3"/>
    </row>
    <row r="614" spans="1:8" ht="40" customHeight="1">
      <c r="A614" s="2" t="s">
        <v>157</v>
      </c>
      <c r="B614" s="2"/>
      <c r="C614" s="2"/>
      <c r="D614" s="2"/>
      <c r="E614" s="2"/>
      <c r="F614" s="2"/>
      <c r="G614" s="2"/>
      <c r="H614" s="2"/>
    </row>
    <row r="615" spans="1:8" ht="40" customHeight="1">
      <c r="A615" s="2" t="s">
        <v>140</v>
      </c>
      <c r="B615" s="2"/>
      <c r="C615" s="2"/>
      <c r="D615" s="2"/>
      <c r="E615" s="2"/>
      <c r="F615" s="2"/>
      <c r="G615" s="2"/>
      <c r="H615" s="2"/>
    </row>
    <row r="616" spans="1:8">
      <c r="A616" s="3" t="s">
        <v>6</v>
      </c>
      <c r="B616" s="3" t="s">
        <v>7</v>
      </c>
      <c r="C616" s="3" t="s">
        <v>8</v>
      </c>
      <c r="D616" s="3" t="s">
        <v>9</v>
      </c>
      <c r="E616" s="3" t="s">
        <v>10</v>
      </c>
      <c r="F616" s="3" t="s">
        <v>11</v>
      </c>
      <c r="G616" s="3" t="s">
        <v>12</v>
      </c>
      <c r="H616" s="3" t="s">
        <v>13</v>
      </c>
    </row>
    <row r="617" spans="1:8" ht="34" customHeight="1">
      <c r="A617" s="4" t="s">
        <v>14</v>
      </c>
      <c r="B617" s="4" t="s">
        <v>15</v>
      </c>
      <c r="C617" s="6">
        <v>75</v>
      </c>
      <c r="D617" s="6">
        <v>75</v>
      </c>
      <c r="E617" s="7">
        <f>IF(AND(ISNUMBER(C617),ISNUMBER(D617)),(D617-C617),"待補")</f>
        <v>0</v>
      </c>
      <c r="F617" s="8" t="s">
        <v>16</v>
      </c>
      <c r="G617" s="4" t="s">
        <v>141</v>
      </c>
      <c r="H617" s="4"/>
    </row>
    <row r="618" spans="1:8" ht="34" customHeight="1">
      <c r="A618" s="4" t="s">
        <v>18</v>
      </c>
      <c r="B618" s="4" t="s">
        <v>15</v>
      </c>
      <c r="C618" s="6">
        <v>61</v>
      </c>
      <c r="D618" s="6">
        <v>70</v>
      </c>
      <c r="E618" s="7">
        <f>IF(AND(ISNUMBER(C618),ISNUMBER(D618)),(D618-C618),"待補")</f>
        <v>9</v>
      </c>
      <c r="F618" s="8" t="s">
        <v>16</v>
      </c>
      <c r="G618" s="4" t="s">
        <v>141</v>
      </c>
      <c r="H618" s="4"/>
    </row>
    <row r="619" spans="1:8" ht="34" customHeight="1">
      <c r="A619" s="4" t="s">
        <v>19</v>
      </c>
      <c r="B619" s="4" t="s">
        <v>20</v>
      </c>
      <c r="C619" s="9">
        <v>0.8133333333333334</v>
      </c>
      <c r="D619" s="9">
        <v>0.9333333333333333</v>
      </c>
      <c r="E619" s="10">
        <f>IF(AND(ISNUMBER(C619),ISNUMBER(D619)),(D619-C619)*100,"待補")</f>
        <v>12.0</v>
      </c>
      <c r="F619" s="8" t="s">
        <v>16</v>
      </c>
      <c r="G619" s="4" t="s">
        <v>141</v>
      </c>
      <c r="H619" s="4" t="s">
        <v>21</v>
      </c>
    </row>
    <row r="620" spans="1:8" ht="34" customHeight="1">
      <c r="A620" s="4" t="s">
        <v>22</v>
      </c>
      <c r="B620" s="4" t="s">
        <v>15</v>
      </c>
      <c r="C620" s="6">
        <v>66</v>
      </c>
      <c r="D620" s="6">
        <v>71</v>
      </c>
      <c r="E620" s="7">
        <f>IF(AND(ISNUMBER(C620),ISNUMBER(D620)),(D620-C620),"待補")</f>
        <v>5</v>
      </c>
      <c r="F620" s="8" t="s">
        <v>16</v>
      </c>
      <c r="G620" s="4" t="s">
        <v>141</v>
      </c>
      <c r="H620" s="4"/>
    </row>
    <row r="621" spans="1:8" ht="34" customHeight="1">
      <c r="A621" s="4" t="s">
        <v>23</v>
      </c>
      <c r="B621" s="4" t="s">
        <v>15</v>
      </c>
      <c r="C621" s="6">
        <v>9</v>
      </c>
      <c r="D621" s="6">
        <v>4</v>
      </c>
      <c r="E621" s="7">
        <f>IF(AND(ISNUMBER(C621),ISNUMBER(D621)),(D621-C621),"待補")</f>
        <v>-5</v>
      </c>
      <c r="F621" s="8" t="s">
        <v>16</v>
      </c>
      <c r="G621" s="4" t="s">
        <v>141</v>
      </c>
      <c r="H621" s="4"/>
    </row>
    <row r="622" spans="1:8" ht="34" customHeight="1">
      <c r="A622" s="4" t="s">
        <v>24</v>
      </c>
      <c r="B622" s="4" t="s">
        <v>25</v>
      </c>
      <c r="C622" s="7">
        <v>12.95395787793939</v>
      </c>
      <c r="D622" s="7">
        <v>9.574786167535212</v>
      </c>
      <c r="E622" s="7">
        <f>IF(AND(ISNUMBER(C622),ISNUMBER(D622)),(D622-C622),"待補")</f>
        <v>-3.379171710404183</v>
      </c>
      <c r="F622" s="8" t="s">
        <v>16</v>
      </c>
      <c r="G622" s="4" t="s">
        <v>158</v>
      </c>
      <c r="H622" s="4" t="s">
        <v>27</v>
      </c>
    </row>
    <row r="623" spans="1:8" ht="34" customHeight="1">
      <c r="A623" s="4" t="s">
        <v>28</v>
      </c>
      <c r="B623" s="4" t="s">
        <v>25</v>
      </c>
      <c r="C623" s="7">
        <v>7.2553641785</v>
      </c>
      <c r="D623" s="7">
        <v>6.572597283</v>
      </c>
      <c r="E623" s="7">
        <f>IF(AND(ISNUMBER(C623),ISNUMBER(D623)),(D623-C623),"待補")</f>
        <v>-0.6827668954999995</v>
      </c>
      <c r="F623" s="8" t="s">
        <v>16</v>
      </c>
      <c r="G623" s="4" t="s">
        <v>158</v>
      </c>
      <c r="H623" s="4" t="s">
        <v>27</v>
      </c>
    </row>
    <row r="624" spans="1:8" ht="34" customHeight="1">
      <c r="A624" s="4" t="s">
        <v>29</v>
      </c>
      <c r="B624" s="4" t="s">
        <v>25</v>
      </c>
      <c r="C624" s="7">
        <v>9.045072380721312</v>
      </c>
      <c r="D624" s="7">
        <v>8.091074912785714</v>
      </c>
      <c r="E624" s="7">
        <f>IF(AND(ISNUMBER(C624),ISNUMBER(D624)),(D624-C624),"待補")</f>
        <v>-0.9539974679355971</v>
      </c>
      <c r="F624" s="8" t="s">
        <v>16</v>
      </c>
      <c r="G624" s="4" t="s">
        <v>162</v>
      </c>
      <c r="H624" s="4" t="s">
        <v>31</v>
      </c>
    </row>
    <row r="625" spans="1:8" ht="34" customHeight="1">
      <c r="A625" s="4" t="s">
        <v>32</v>
      </c>
      <c r="B625" s="4" t="s">
        <v>33</v>
      </c>
      <c r="C625" s="7">
        <v>0.8007894974504546</v>
      </c>
      <c r="D625" s="7">
        <v>0.5537963849971831</v>
      </c>
      <c r="E625" s="7">
        <f>IF(AND(ISNUMBER(C625),ISNUMBER(D625)),(D625-C625),"待補")</f>
        <v>-0.2469931124532715</v>
      </c>
      <c r="F625" s="8" t="s">
        <v>16</v>
      </c>
      <c r="G625" s="4" t="s">
        <v>141</v>
      </c>
      <c r="H625" s="4"/>
    </row>
    <row r="626" spans="1:8" ht="34" customHeight="1">
      <c r="A626" s="4" t="s">
        <v>34</v>
      </c>
      <c r="B626" s="4" t="s">
        <v>25</v>
      </c>
      <c r="C626" s="7">
        <v>11.43577672201515</v>
      </c>
      <c r="D626" s="7">
        <v>8.586379798215493</v>
      </c>
      <c r="E626" s="7">
        <f>IF(AND(ISNUMBER(C626),ISNUMBER(D626)),(D626-C626),"待補")</f>
        <v>-2.8493969237996577</v>
      </c>
      <c r="F626" s="8" t="s">
        <v>16</v>
      </c>
      <c r="G626" s="4" t="s">
        <v>141</v>
      </c>
      <c r="H626" s="4"/>
    </row>
    <row r="627" spans="1:8" ht="34" customHeight="1">
      <c r="A627" s="4" t="s">
        <v>35</v>
      </c>
      <c r="B627" s="4" t="s">
        <v>36</v>
      </c>
      <c r="C627" s="7">
        <v>2.924725</v>
      </c>
      <c r="D627" s="7">
        <v>2.689500226666667</v>
      </c>
      <c r="E627" s="7">
        <f>IF(AND(ISNUMBER(C627),ISNUMBER(D627)),(D627-C627),"待補")</f>
        <v>-0.23522477333333347</v>
      </c>
      <c r="F627" s="9">
        <f>IF(AND(ISNUMBER(C627),ISNUMBER(D627),C627&lt;&gt;0),(C627-D627)/C627,"待補")</f>
        <v>0.08042628737174724</v>
      </c>
      <c r="G627" s="4" t="s">
        <v>141</v>
      </c>
      <c r="H627" s="4" t="s">
        <v>37</v>
      </c>
    </row>
    <row r="628" spans="1:8" ht="34" customHeight="1">
      <c r="A628" s="4" t="s">
        <v>38</v>
      </c>
      <c r="B628" s="4" t="s">
        <v>39</v>
      </c>
      <c r="C628" s="7">
        <v>6.36</v>
      </c>
      <c r="D628" s="7">
        <v>8.933333333333334</v>
      </c>
      <c r="E628" s="7">
        <f>IF(AND(ISNUMBER(C628),ISNUMBER(D628)),(D628-C628),"待補")</f>
        <v>2.5733333333333333</v>
      </c>
      <c r="F628" s="8" t="s">
        <v>16</v>
      </c>
      <c r="G628" s="4" t="s">
        <v>141</v>
      </c>
      <c r="H628" s="4"/>
    </row>
    <row r="629" spans="1:8" ht="34" customHeight="1">
      <c r="A629" s="4" t="s">
        <v>40</v>
      </c>
      <c r="B629" s="4" t="s">
        <v>39</v>
      </c>
      <c r="C629" s="7">
        <v>6.36</v>
      </c>
      <c r="D629" s="7">
        <v>8.933333333333334</v>
      </c>
      <c r="E629" s="7">
        <f>IF(AND(ISNUMBER(C629),ISNUMBER(D629)),(D629-C629),"待補")</f>
        <v>2.5733333333333333</v>
      </c>
      <c r="F629" s="8" t="s">
        <v>16</v>
      </c>
      <c r="G629" s="4" t="s">
        <v>141</v>
      </c>
      <c r="H629" s="4" t="s">
        <v>41</v>
      </c>
    </row>
    <row r="630" spans="1:8" ht="34" customHeight="1">
      <c r="A630" s="4" t="s">
        <v>53</v>
      </c>
      <c r="B630" s="4" t="s">
        <v>39</v>
      </c>
      <c r="C630" s="7">
        <v>6.106666666666666</v>
      </c>
      <c r="D630" s="7">
        <v>8.68</v>
      </c>
      <c r="E630" s="7">
        <f>IF(AND(ISNUMBER(C630),ISNUMBER(D630)),(D630-C630),"待補")</f>
        <v>2.5733333333333333</v>
      </c>
      <c r="F630" s="8" t="s">
        <v>16</v>
      </c>
      <c r="G630" s="4" t="s">
        <v>141</v>
      </c>
      <c r="H630" s="4" t="s">
        <v>54</v>
      </c>
    </row>
    <row r="631" spans="1:8">
      <c r="A631" s="4" t="s">
        <v>42</v>
      </c>
      <c r="B631" s="4" t="s">
        <v>15</v>
      </c>
      <c r="D631" s="6">
        <v>10</v>
      </c>
      <c r="H631" s="4" t="s">
        <v>43</v>
      </c>
    </row>
    <row r="632" spans="1:8">
      <c r="A632" s="4" t="s">
        <v>44</v>
      </c>
      <c r="B632" s="4" t="s">
        <v>15</v>
      </c>
      <c r="D632" s="6">
        <v>1</v>
      </c>
      <c r="H632" s="4" t="s">
        <v>43</v>
      </c>
    </row>
    <row r="633" spans="1:8">
      <c r="A633" s="4" t="s">
        <v>45</v>
      </c>
      <c r="B633" s="4" t="s">
        <v>15</v>
      </c>
      <c r="D633" s="6">
        <v>60</v>
      </c>
      <c r="H633" s="4" t="s">
        <v>43</v>
      </c>
    </row>
    <row r="634" spans="1:8">
      <c r="A634" s="4" t="s">
        <v>46</v>
      </c>
      <c r="B634" s="4" t="s">
        <v>25</v>
      </c>
      <c r="C634" s="7">
        <v>8.8208800074</v>
      </c>
      <c r="D634" s="7">
        <v>7.49361511585</v>
      </c>
      <c r="E634" s="7">
        <f>IF(AND(ISNUMBER(C634),ISNUMBER(D634)),D634-C634,"待補")</f>
        <v>-1.3272648915500007</v>
      </c>
      <c r="F634" s="9">
        <f>IF(AND(ISNUMBER(C634),ISNUMBER(D634),C634&lt;&gt;0),(C634-D634)/C634,"待補")</f>
        <v>0.15046853493489692</v>
      </c>
      <c r="G634" s="4" t="s">
        <v>155</v>
      </c>
      <c r="H634" s="4" t="s">
        <v>48</v>
      </c>
    </row>
    <row r="635" spans="1:8" ht="34" customHeight="1">
      <c r="A635" s="2" t="s">
        <v>145</v>
      </c>
      <c r="B635" s="2"/>
      <c r="C635" s="2"/>
      <c r="D635" s="2"/>
      <c r="E635" s="2"/>
      <c r="F635" s="2"/>
      <c r="G635" s="2"/>
      <c r="H635" s="2"/>
    </row>
    <row r="638" spans="1:8" ht="28" customHeight="1">
      <c r="A638" s="3" t="s">
        <v>163</v>
      </c>
      <c r="B638" s="3"/>
      <c r="C638" s="3"/>
      <c r="D638" s="3"/>
      <c r="E638" s="3"/>
      <c r="F638" s="3"/>
      <c r="G638" s="3"/>
      <c r="H638" s="3"/>
    </row>
    <row r="639" spans="1:8" ht="40" customHeight="1">
      <c r="A639" s="2" t="s">
        <v>164</v>
      </c>
      <c r="B639" s="2"/>
      <c r="C639" s="2"/>
      <c r="D639" s="2"/>
      <c r="E639" s="2"/>
      <c r="F639" s="2"/>
      <c r="G639" s="2"/>
      <c r="H639" s="2"/>
    </row>
    <row r="640" spans="1:8" ht="40" customHeight="1">
      <c r="A640" s="2" t="s">
        <v>140</v>
      </c>
      <c r="B640" s="2"/>
      <c r="C640" s="2"/>
      <c r="D640" s="2"/>
      <c r="E640" s="2"/>
      <c r="F640" s="2"/>
      <c r="G640" s="2"/>
      <c r="H640" s="2"/>
    </row>
    <row r="641" spans="1:8">
      <c r="A641" s="3" t="s">
        <v>6</v>
      </c>
      <c r="B641" s="3" t="s">
        <v>7</v>
      </c>
      <c r="C641" s="3" t="s">
        <v>8</v>
      </c>
      <c r="D641" s="3" t="s">
        <v>9</v>
      </c>
      <c r="E641" s="3" t="s">
        <v>10</v>
      </c>
      <c r="F641" s="3" t="s">
        <v>11</v>
      </c>
      <c r="G641" s="3" t="s">
        <v>12</v>
      </c>
      <c r="H641" s="3" t="s">
        <v>13</v>
      </c>
    </row>
    <row r="642" spans="1:8" ht="34" customHeight="1">
      <c r="A642" s="4" t="s">
        <v>14</v>
      </c>
      <c r="B642" s="4" t="s">
        <v>15</v>
      </c>
      <c r="C642" s="6">
        <v>75</v>
      </c>
      <c r="D642" s="6">
        <v>75</v>
      </c>
      <c r="E642" s="7">
        <f>IF(AND(ISNUMBER(C642),ISNUMBER(D642)),(D642-C642),"待補")</f>
        <v>0</v>
      </c>
      <c r="F642" s="8" t="s">
        <v>16</v>
      </c>
      <c r="G642" s="4" t="s">
        <v>141</v>
      </c>
      <c r="H642" s="4"/>
    </row>
    <row r="643" spans="1:8" ht="34" customHeight="1">
      <c r="A643" s="4" t="s">
        <v>18</v>
      </c>
      <c r="B643" s="4" t="s">
        <v>15</v>
      </c>
      <c r="C643" s="6">
        <v>63</v>
      </c>
      <c r="D643" s="6">
        <v>67</v>
      </c>
      <c r="E643" s="7">
        <f>IF(AND(ISNUMBER(C643),ISNUMBER(D643)),(D643-C643),"待補")</f>
        <v>4</v>
      </c>
      <c r="F643" s="8" t="s">
        <v>16</v>
      </c>
      <c r="G643" s="4" t="s">
        <v>141</v>
      </c>
      <c r="H643" s="4"/>
    </row>
    <row r="644" spans="1:8" ht="34" customHeight="1">
      <c r="A644" s="4" t="s">
        <v>19</v>
      </c>
      <c r="B644" s="4" t="s">
        <v>20</v>
      </c>
      <c r="C644" s="9">
        <v>0.84</v>
      </c>
      <c r="D644" s="9">
        <v>0.8933333333333333</v>
      </c>
      <c r="E644" s="10">
        <f>IF(AND(ISNUMBER(C644),ISNUMBER(D644)),(D644-C644)*100,"待補")</f>
        <v>5.333333333333334</v>
      </c>
      <c r="F644" s="8" t="s">
        <v>16</v>
      </c>
      <c r="G644" s="4" t="s">
        <v>141</v>
      </c>
      <c r="H644" s="4" t="s">
        <v>21</v>
      </c>
    </row>
    <row r="645" spans="1:8" ht="34" customHeight="1">
      <c r="A645" s="4" t="s">
        <v>22</v>
      </c>
      <c r="B645" s="4" t="s">
        <v>15</v>
      </c>
      <c r="C645" s="6">
        <v>68</v>
      </c>
      <c r="D645" s="6">
        <v>71</v>
      </c>
      <c r="E645" s="7">
        <f>IF(AND(ISNUMBER(C645),ISNUMBER(D645)),(D645-C645),"待補")</f>
        <v>3</v>
      </c>
      <c r="F645" s="8" t="s">
        <v>16</v>
      </c>
      <c r="G645" s="4" t="s">
        <v>141</v>
      </c>
      <c r="H645" s="4"/>
    </row>
    <row r="646" spans="1:8" ht="34" customHeight="1">
      <c r="A646" s="4" t="s">
        <v>23</v>
      </c>
      <c r="B646" s="4" t="s">
        <v>15</v>
      </c>
      <c r="C646" s="6">
        <v>7</v>
      </c>
      <c r="D646" s="6">
        <v>4</v>
      </c>
      <c r="E646" s="7">
        <f>IF(AND(ISNUMBER(C646),ISNUMBER(D646)),(D646-C646),"待補")</f>
        <v>-3</v>
      </c>
      <c r="F646" s="8" t="s">
        <v>16</v>
      </c>
      <c r="G646" s="4" t="s">
        <v>141</v>
      </c>
      <c r="H646" s="4"/>
    </row>
    <row r="647" spans="1:8" ht="34" customHeight="1">
      <c r="A647" s="4" t="s">
        <v>24</v>
      </c>
      <c r="B647" s="4" t="s">
        <v>25</v>
      </c>
      <c r="C647" s="7">
        <v>14.53955476314706</v>
      </c>
      <c r="D647" s="7">
        <v>12.56976848657746</v>
      </c>
      <c r="E647" s="7">
        <f>IF(AND(ISNUMBER(C647),ISNUMBER(D647)),(D647-C647),"待補")</f>
        <v>-1.9697862765695948</v>
      </c>
      <c r="F647" s="8" t="s">
        <v>16</v>
      </c>
      <c r="G647" s="4" t="s">
        <v>165</v>
      </c>
      <c r="H647" s="4" t="s">
        <v>27</v>
      </c>
    </row>
    <row r="648" spans="1:8" ht="34" customHeight="1">
      <c r="A648" s="4" t="s">
        <v>28</v>
      </c>
      <c r="B648" s="4" t="s">
        <v>25</v>
      </c>
      <c r="C648" s="7">
        <v>7.078909595999999</v>
      </c>
      <c r="D648" s="7">
        <v>7.279481392999999</v>
      </c>
      <c r="E648" s="7">
        <f>IF(AND(ISNUMBER(C648),ISNUMBER(D648)),(D648-C648),"待補")</f>
        <v>0.20057179700000027</v>
      </c>
      <c r="F648" s="8" t="s">
        <v>16</v>
      </c>
      <c r="G648" s="4" t="s">
        <v>165</v>
      </c>
      <c r="H648" s="4" t="s">
        <v>27</v>
      </c>
    </row>
    <row r="649" spans="1:8" ht="34" customHeight="1">
      <c r="A649" s="4" t="s">
        <v>29</v>
      </c>
      <c r="B649" s="4" t="s">
        <v>25</v>
      </c>
      <c r="C649" s="7">
        <v>8.506313526095239</v>
      </c>
      <c r="D649" s="7">
        <v>9.226474874731343</v>
      </c>
      <c r="E649" s="7">
        <f>IF(AND(ISNUMBER(C649),ISNUMBER(D649)),(D649-C649),"待補")</f>
        <v>0.720161348636104</v>
      </c>
      <c r="F649" s="8" t="s">
        <v>16</v>
      </c>
      <c r="G649" s="4" t="s">
        <v>166</v>
      </c>
      <c r="H649" s="4" t="s">
        <v>31</v>
      </c>
    </row>
    <row r="650" spans="1:8" ht="34" customHeight="1">
      <c r="A650" s="4" t="s">
        <v>32</v>
      </c>
      <c r="B650" s="4" t="s">
        <v>33</v>
      </c>
      <c r="C650" s="7">
        <v>0.8819165110235294</v>
      </c>
      <c r="D650" s="7">
        <v>0.7766993565071831</v>
      </c>
      <c r="E650" s="7">
        <f>IF(AND(ISNUMBER(C650),ISNUMBER(D650)),(D650-C650),"待補")</f>
        <v>-0.10521715451634628</v>
      </c>
      <c r="F650" s="8" t="s">
        <v>16</v>
      </c>
      <c r="G650" s="4" t="s">
        <v>141</v>
      </c>
      <c r="H650" s="4"/>
    </row>
    <row r="651" spans="1:8" ht="34" customHeight="1">
      <c r="A651" s="4" t="s">
        <v>34</v>
      </c>
      <c r="B651" s="4" t="s">
        <v>25</v>
      </c>
      <c r="C651" s="7">
        <v>12.83738906188235</v>
      </c>
      <c r="D651" s="7">
        <v>11.24168820687183</v>
      </c>
      <c r="E651" s="7">
        <f>IF(AND(ISNUMBER(C651),ISNUMBER(D651)),(D651-C651),"待補")</f>
        <v>-1.5957008550105236</v>
      </c>
      <c r="F651" s="8" t="s">
        <v>16</v>
      </c>
      <c r="G651" s="4" t="s">
        <v>141</v>
      </c>
      <c r="H651" s="4"/>
    </row>
    <row r="652" spans="1:8" ht="34" customHeight="1">
      <c r="A652" s="4" t="s">
        <v>35</v>
      </c>
      <c r="B652" s="4" t="s">
        <v>36</v>
      </c>
      <c r="C652" s="7">
        <v>2.109900893333333</v>
      </c>
      <c r="D652" s="7">
        <v>2.19790208</v>
      </c>
      <c r="E652" s="7">
        <f>IF(AND(ISNUMBER(C652),ISNUMBER(D652)),(D652-C652),"待補")</f>
        <v>0.08800118666666679</v>
      </c>
      <c r="F652" s="9">
        <f>IF(AND(ISNUMBER(C652),ISNUMBER(D652),C652&lt;&gt;0),(C652-D652)/C652,"待補")</f>
        <v>-0.041708682594867215</v>
      </c>
      <c r="G652" s="4" t="s">
        <v>141</v>
      </c>
      <c r="H652" s="4" t="s">
        <v>37</v>
      </c>
    </row>
    <row r="653" spans="1:8" ht="34" customHeight="1">
      <c r="A653" s="4" t="s">
        <v>38</v>
      </c>
      <c r="B653" s="4" t="s">
        <v>39</v>
      </c>
      <c r="C653" s="7">
        <v>6.773333333333333</v>
      </c>
      <c r="D653" s="7">
        <v>9.133333333333333</v>
      </c>
      <c r="E653" s="7">
        <f>IF(AND(ISNUMBER(C653),ISNUMBER(D653)),(D653-C653),"待補")</f>
        <v>2.3599999999999994</v>
      </c>
      <c r="F653" s="8" t="s">
        <v>16</v>
      </c>
      <c r="G653" s="4" t="s">
        <v>141</v>
      </c>
      <c r="H653" s="4"/>
    </row>
    <row r="654" spans="1:8" ht="34" customHeight="1">
      <c r="A654" s="4" t="s">
        <v>40</v>
      </c>
      <c r="B654" s="4" t="s">
        <v>39</v>
      </c>
      <c r="C654" s="7">
        <v>6.76</v>
      </c>
      <c r="D654" s="7">
        <v>9.133333333333333</v>
      </c>
      <c r="E654" s="7">
        <f>IF(AND(ISNUMBER(C654),ISNUMBER(D654)),(D654-C654),"待補")</f>
        <v>2.373333333333333</v>
      </c>
      <c r="F654" s="8" t="s">
        <v>16</v>
      </c>
      <c r="G654" s="4" t="s">
        <v>141</v>
      </c>
      <c r="H654" s="4" t="s">
        <v>41</v>
      </c>
    </row>
    <row r="655" spans="1:8">
      <c r="A655" s="4" t="s">
        <v>42</v>
      </c>
      <c r="B655" s="4" t="s">
        <v>15</v>
      </c>
      <c r="D655" s="6">
        <v>10</v>
      </c>
      <c r="H655" s="4" t="s">
        <v>43</v>
      </c>
    </row>
    <row r="656" spans="1:8">
      <c r="A656" s="4" t="s">
        <v>44</v>
      </c>
      <c r="B656" s="4" t="s">
        <v>15</v>
      </c>
      <c r="D656" s="6">
        <v>6</v>
      </c>
      <c r="H656" s="4" t="s">
        <v>43</v>
      </c>
    </row>
    <row r="657" spans="1:8">
      <c r="A657" s="4" t="s">
        <v>45</v>
      </c>
      <c r="B657" s="4" t="s">
        <v>15</v>
      </c>
      <c r="D657" s="6">
        <v>57</v>
      </c>
      <c r="H657" s="4" t="s">
        <v>43</v>
      </c>
    </row>
    <row r="658" spans="1:8">
      <c r="A658" s="4" t="s">
        <v>46</v>
      </c>
      <c r="B658" s="4" t="s">
        <v>25</v>
      </c>
      <c r="C658" s="7">
        <v>8.531364298719298</v>
      </c>
      <c r="D658" s="7">
        <v>8.576468109526315</v>
      </c>
      <c r="E658" s="7">
        <f>IF(AND(ISNUMBER(C658),ISNUMBER(D658)),D658-C658,"待補")</f>
        <v>0.04510381080701786</v>
      </c>
      <c r="F658" s="9">
        <f>IF(AND(ISNUMBER(C658),ISNUMBER(D658),C658&lt;&gt;0),(C658-D658)/C658,"待補")</f>
        <v>-0.0052868227434372615</v>
      </c>
      <c r="G658" s="4" t="s">
        <v>167</v>
      </c>
      <c r="H658" s="4" t="s">
        <v>48</v>
      </c>
    </row>
    <row r="659" spans="1:8" ht="34" customHeight="1">
      <c r="A659" s="2" t="s">
        <v>145</v>
      </c>
      <c r="B659" s="2"/>
      <c r="C659" s="2"/>
      <c r="D659" s="2"/>
      <c r="E659" s="2"/>
      <c r="F659" s="2"/>
      <c r="G659" s="2"/>
      <c r="H659" s="2"/>
    </row>
    <row r="662" spans="1:8" ht="28" customHeight="1">
      <c r="A662" s="3" t="s">
        <v>168</v>
      </c>
      <c r="B662" s="3"/>
      <c r="C662" s="3"/>
      <c r="D662" s="3"/>
      <c r="E662" s="3"/>
      <c r="F662" s="3"/>
      <c r="G662" s="3"/>
      <c r="H662" s="3"/>
    </row>
    <row r="663" spans="1:8" ht="40" customHeight="1">
      <c r="A663" s="2" t="s">
        <v>164</v>
      </c>
      <c r="B663" s="2"/>
      <c r="C663" s="2"/>
      <c r="D663" s="2"/>
      <c r="E663" s="2"/>
      <c r="F663" s="2"/>
      <c r="G663" s="2"/>
      <c r="H663" s="2"/>
    </row>
    <row r="664" spans="1:8" ht="40" customHeight="1">
      <c r="A664" s="2" t="s">
        <v>140</v>
      </c>
      <c r="B664" s="2"/>
      <c r="C664" s="2"/>
      <c r="D664" s="2"/>
      <c r="E664" s="2"/>
      <c r="F664" s="2"/>
      <c r="G664" s="2"/>
      <c r="H664" s="2"/>
    </row>
    <row r="665" spans="1:8">
      <c r="A665" s="3" t="s">
        <v>6</v>
      </c>
      <c r="B665" s="3" t="s">
        <v>7</v>
      </c>
      <c r="C665" s="3" t="s">
        <v>8</v>
      </c>
      <c r="D665" s="3" t="s">
        <v>9</v>
      </c>
      <c r="E665" s="3" t="s">
        <v>10</v>
      </c>
      <c r="F665" s="3" t="s">
        <v>11</v>
      </c>
      <c r="G665" s="3" t="s">
        <v>12</v>
      </c>
      <c r="H665" s="3" t="s">
        <v>13</v>
      </c>
    </row>
    <row r="666" spans="1:8" ht="34" customHeight="1">
      <c r="A666" s="4" t="s">
        <v>14</v>
      </c>
      <c r="B666" s="4" t="s">
        <v>15</v>
      </c>
      <c r="C666" s="6">
        <v>75</v>
      </c>
      <c r="D666" s="6">
        <v>75</v>
      </c>
      <c r="E666" s="7">
        <f>IF(AND(ISNUMBER(C666),ISNUMBER(D666)),(D666-C666),"待補")</f>
        <v>0</v>
      </c>
      <c r="F666" s="8" t="s">
        <v>16</v>
      </c>
      <c r="G666" s="4" t="s">
        <v>141</v>
      </c>
      <c r="H666" s="4"/>
    </row>
    <row r="667" spans="1:8" ht="34" customHeight="1">
      <c r="A667" s="4" t="s">
        <v>18</v>
      </c>
      <c r="B667" s="4" t="s">
        <v>15</v>
      </c>
      <c r="C667" s="6">
        <v>65</v>
      </c>
      <c r="D667" s="6">
        <v>69</v>
      </c>
      <c r="E667" s="7">
        <f>IF(AND(ISNUMBER(C667),ISNUMBER(D667)),(D667-C667),"待補")</f>
        <v>4</v>
      </c>
      <c r="F667" s="8" t="s">
        <v>16</v>
      </c>
      <c r="G667" s="4" t="s">
        <v>141</v>
      </c>
      <c r="H667" s="4"/>
    </row>
    <row r="668" spans="1:8" ht="34" customHeight="1">
      <c r="A668" s="4" t="s">
        <v>19</v>
      </c>
      <c r="B668" s="4" t="s">
        <v>20</v>
      </c>
      <c r="C668" s="9">
        <v>0.8666666666666667</v>
      </c>
      <c r="D668" s="9">
        <v>0.92</v>
      </c>
      <c r="E668" s="10">
        <f>IF(AND(ISNUMBER(C668),ISNUMBER(D668)),(D668-C668)*100,"待補")</f>
        <v>5.333333333333334</v>
      </c>
      <c r="F668" s="8" t="s">
        <v>16</v>
      </c>
      <c r="G668" s="4" t="s">
        <v>141</v>
      </c>
      <c r="H668" s="4" t="s">
        <v>21</v>
      </c>
    </row>
    <row r="669" spans="1:8" ht="34" customHeight="1">
      <c r="A669" s="4" t="s">
        <v>22</v>
      </c>
      <c r="B669" s="4" t="s">
        <v>15</v>
      </c>
      <c r="C669" s="6">
        <v>68</v>
      </c>
      <c r="D669" s="6">
        <v>71</v>
      </c>
      <c r="E669" s="7">
        <f>IF(AND(ISNUMBER(C669),ISNUMBER(D669)),(D669-C669),"待補")</f>
        <v>3</v>
      </c>
      <c r="F669" s="8" t="s">
        <v>16</v>
      </c>
      <c r="G669" s="4" t="s">
        <v>141</v>
      </c>
      <c r="H669" s="4"/>
    </row>
    <row r="670" spans="1:8" ht="34" customHeight="1">
      <c r="A670" s="4" t="s">
        <v>23</v>
      </c>
      <c r="B670" s="4" t="s">
        <v>15</v>
      </c>
      <c r="C670" s="6">
        <v>7</v>
      </c>
      <c r="D670" s="6">
        <v>4</v>
      </c>
      <c r="E670" s="7">
        <f>IF(AND(ISNUMBER(C670),ISNUMBER(D670)),(D670-C670),"待補")</f>
        <v>-3</v>
      </c>
      <c r="F670" s="8" t="s">
        <v>16</v>
      </c>
      <c r="G670" s="4" t="s">
        <v>141</v>
      </c>
      <c r="H670" s="4"/>
    </row>
    <row r="671" spans="1:8" ht="34" customHeight="1">
      <c r="A671" s="4" t="s">
        <v>24</v>
      </c>
      <c r="B671" s="4" t="s">
        <v>25</v>
      </c>
      <c r="C671" s="7">
        <v>11.40430062222059</v>
      </c>
      <c r="D671" s="7">
        <v>11.17215759967606</v>
      </c>
      <c r="E671" s="7">
        <f>IF(AND(ISNUMBER(C671),ISNUMBER(D671)),(D671-C671),"待補")</f>
        <v>-0.23214302254453223</v>
      </c>
      <c r="F671" s="8" t="s">
        <v>16</v>
      </c>
      <c r="G671" s="4" t="s">
        <v>165</v>
      </c>
      <c r="H671" s="4" t="s">
        <v>27</v>
      </c>
    </row>
    <row r="672" spans="1:8" ht="34" customHeight="1">
      <c r="A672" s="4" t="s">
        <v>28</v>
      </c>
      <c r="B672" s="4" t="s">
        <v>25</v>
      </c>
      <c r="C672" s="7">
        <v>6.630230407</v>
      </c>
      <c r="D672" s="7">
        <v>6.271015372999999</v>
      </c>
      <c r="E672" s="7">
        <f>IF(AND(ISNUMBER(C672),ISNUMBER(D672)),(D672-C672),"待補")</f>
        <v>-0.3592150340000009</v>
      </c>
      <c r="F672" s="8" t="s">
        <v>16</v>
      </c>
      <c r="G672" s="4" t="s">
        <v>165</v>
      </c>
      <c r="H672" s="4" t="s">
        <v>27</v>
      </c>
    </row>
    <row r="673" spans="1:8" ht="34" customHeight="1">
      <c r="A673" s="4" t="s">
        <v>29</v>
      </c>
      <c r="B673" s="4" t="s">
        <v>25</v>
      </c>
      <c r="C673" s="7">
        <v>8.167160837092307</v>
      </c>
      <c r="D673" s="7">
        <v>8.292437715608695</v>
      </c>
      <c r="E673" s="7">
        <f>IF(AND(ISNUMBER(C673),ISNUMBER(D673)),(D673-C673),"待補")</f>
        <v>0.12527687851638802</v>
      </c>
      <c r="F673" s="8" t="s">
        <v>16</v>
      </c>
      <c r="G673" s="4" t="s">
        <v>169</v>
      </c>
      <c r="H673" s="4" t="s">
        <v>31</v>
      </c>
    </row>
    <row r="674" spans="1:8" ht="34" customHeight="1">
      <c r="A674" s="4" t="s">
        <v>32</v>
      </c>
      <c r="B674" s="4" t="s">
        <v>33</v>
      </c>
      <c r="C674" s="7">
        <v>0.6951690738455882</v>
      </c>
      <c r="D674" s="7">
        <v>0.6229290014033803</v>
      </c>
      <c r="E674" s="7">
        <f>IF(AND(ISNUMBER(C674),ISNUMBER(D674)),(D674-C674),"待補")</f>
        <v>-0.07224007244220798</v>
      </c>
      <c r="F674" s="8" t="s">
        <v>16</v>
      </c>
      <c r="G674" s="4" t="s">
        <v>141</v>
      </c>
      <c r="H674" s="4"/>
    </row>
    <row r="675" spans="1:8" ht="34" customHeight="1">
      <c r="A675" s="4" t="s">
        <v>34</v>
      </c>
      <c r="B675" s="4" t="s">
        <v>25</v>
      </c>
      <c r="C675" s="7">
        <v>10.01956322791177</v>
      </c>
      <c r="D675" s="7">
        <v>10.16681186320986</v>
      </c>
      <c r="E675" s="7">
        <f>IF(AND(ISNUMBER(C675),ISNUMBER(D675)),(D675-C675),"待補")</f>
        <v>0.14724863529809262</v>
      </c>
      <c r="F675" s="8" t="s">
        <v>16</v>
      </c>
      <c r="G675" s="4" t="s">
        <v>141</v>
      </c>
      <c r="H675" s="4"/>
    </row>
    <row r="676" spans="1:8" ht="34" customHeight="1">
      <c r="A676" s="4" t="s">
        <v>35</v>
      </c>
      <c r="B676" s="4" t="s">
        <v>36</v>
      </c>
      <c r="C676" s="7">
        <v>2.532242066666667</v>
      </c>
      <c r="D676" s="7">
        <v>2.727176253333333</v>
      </c>
      <c r="E676" s="7">
        <f>IF(AND(ISNUMBER(C676),ISNUMBER(D676)),(D676-C676),"待補")</f>
        <v>0.19493418666666695</v>
      </c>
      <c r="F676" s="9">
        <f>IF(AND(ISNUMBER(C676),ISNUMBER(D676),C676&lt;&gt;0),(C676-D676)/C676,"待補")</f>
        <v>-0.0769808657840006</v>
      </c>
      <c r="G676" s="4" t="s">
        <v>141</v>
      </c>
      <c r="H676" s="4" t="s">
        <v>37</v>
      </c>
    </row>
    <row r="677" spans="1:8" ht="34" customHeight="1">
      <c r="A677" s="4" t="s">
        <v>38</v>
      </c>
      <c r="B677" s="4" t="s">
        <v>39</v>
      </c>
      <c r="C677" s="7">
        <v>6.773333333333333</v>
      </c>
      <c r="D677" s="7">
        <v>9.133333333333333</v>
      </c>
      <c r="E677" s="7">
        <f>IF(AND(ISNUMBER(C677),ISNUMBER(D677)),(D677-C677),"待補")</f>
        <v>2.3599999999999994</v>
      </c>
      <c r="F677" s="8" t="s">
        <v>16</v>
      </c>
      <c r="G677" s="4" t="s">
        <v>141</v>
      </c>
      <c r="H677" s="4"/>
    </row>
    <row r="678" spans="1:8" ht="34" customHeight="1">
      <c r="A678" s="4" t="s">
        <v>40</v>
      </c>
      <c r="B678" s="4" t="s">
        <v>39</v>
      </c>
      <c r="C678" s="7">
        <v>6.76</v>
      </c>
      <c r="D678" s="7">
        <v>9.133333333333333</v>
      </c>
      <c r="E678" s="7">
        <f>IF(AND(ISNUMBER(C678),ISNUMBER(D678)),(D678-C678),"待補")</f>
        <v>2.373333333333333</v>
      </c>
      <c r="F678" s="8" t="s">
        <v>16</v>
      </c>
      <c r="G678" s="4" t="s">
        <v>141</v>
      </c>
      <c r="H678" s="4" t="s">
        <v>41</v>
      </c>
    </row>
    <row r="679" spans="1:8" ht="34" customHeight="1">
      <c r="A679" s="4" t="s">
        <v>53</v>
      </c>
      <c r="B679" s="4" t="s">
        <v>39</v>
      </c>
      <c r="C679" s="7">
        <v>6.533333333333333</v>
      </c>
      <c r="D679" s="7">
        <v>8.800000000000001</v>
      </c>
      <c r="E679" s="7">
        <f>IF(AND(ISNUMBER(C679),ISNUMBER(D679)),(D679-C679),"待補")</f>
        <v>2.2666666666666675</v>
      </c>
      <c r="F679" s="8" t="s">
        <v>16</v>
      </c>
      <c r="G679" s="4" t="s">
        <v>141</v>
      </c>
      <c r="H679" s="4" t="s">
        <v>54</v>
      </c>
    </row>
    <row r="680" spans="1:8">
      <c r="A680" s="4" t="s">
        <v>42</v>
      </c>
      <c r="B680" s="4" t="s">
        <v>15</v>
      </c>
      <c r="D680" s="6">
        <v>8</v>
      </c>
      <c r="H680" s="4" t="s">
        <v>43</v>
      </c>
    </row>
    <row r="681" spans="1:8">
      <c r="A681" s="4" t="s">
        <v>44</v>
      </c>
      <c r="B681" s="4" t="s">
        <v>15</v>
      </c>
      <c r="D681" s="6">
        <v>4</v>
      </c>
      <c r="H681" s="4" t="s">
        <v>43</v>
      </c>
    </row>
    <row r="682" spans="1:8">
      <c r="A682" s="4" t="s">
        <v>45</v>
      </c>
      <c r="B682" s="4" t="s">
        <v>15</v>
      </c>
      <c r="D682" s="6">
        <v>61</v>
      </c>
      <c r="H682" s="4" t="s">
        <v>43</v>
      </c>
    </row>
    <row r="683" spans="1:8">
      <c r="A683" s="4" t="s">
        <v>46</v>
      </c>
      <c r="B683" s="4" t="s">
        <v>25</v>
      </c>
      <c r="C683" s="7">
        <v>7.948491748049181</v>
      </c>
      <c r="D683" s="7">
        <v>7.49461343157377</v>
      </c>
      <c r="E683" s="7">
        <f>IF(AND(ISNUMBER(C683),ISNUMBER(D683)),D683-C683,"待補")</f>
        <v>-0.4538783164754104</v>
      </c>
      <c r="F683" s="9">
        <f>IF(AND(ISNUMBER(C683),ISNUMBER(D683),C683&lt;&gt;0),(C683-D683)/C683,"待補")</f>
        <v>0.05710244545285047</v>
      </c>
      <c r="G683" s="4" t="s">
        <v>160</v>
      </c>
      <c r="H683" s="4" t="s">
        <v>48</v>
      </c>
    </row>
    <row r="684" spans="1:8" ht="34" customHeight="1">
      <c r="A684" s="2" t="s">
        <v>145</v>
      </c>
      <c r="B684" s="2"/>
      <c r="C684" s="2"/>
      <c r="D684" s="2"/>
      <c r="E684" s="2"/>
      <c r="F684" s="2"/>
      <c r="G684" s="2"/>
      <c r="H684" s="2"/>
    </row>
    <row r="687" spans="1:8" ht="28" customHeight="1">
      <c r="A687" s="3" t="s">
        <v>170</v>
      </c>
      <c r="B687" s="3"/>
      <c r="C687" s="3"/>
      <c r="D687" s="3"/>
      <c r="E687" s="3"/>
      <c r="F687" s="3"/>
      <c r="G687" s="3"/>
      <c r="H687" s="3"/>
    </row>
    <row r="688" spans="1:8" ht="40" customHeight="1">
      <c r="A688" s="2" t="s">
        <v>171</v>
      </c>
      <c r="B688" s="2"/>
      <c r="C688" s="2"/>
      <c r="D688" s="2"/>
      <c r="E688" s="2"/>
      <c r="F688" s="2"/>
      <c r="G688" s="2"/>
      <c r="H688" s="2"/>
    </row>
    <row r="689" spans="1:8" ht="40" customHeight="1">
      <c r="A689" s="2" t="s">
        <v>140</v>
      </c>
      <c r="B689" s="2"/>
      <c r="C689" s="2"/>
      <c r="D689" s="2"/>
      <c r="E689" s="2"/>
      <c r="F689" s="2"/>
      <c r="G689" s="2"/>
      <c r="H689" s="2"/>
    </row>
    <row r="690" spans="1:8">
      <c r="A690" s="3" t="s">
        <v>6</v>
      </c>
      <c r="B690" s="3" t="s">
        <v>7</v>
      </c>
      <c r="C690" s="3" t="s">
        <v>8</v>
      </c>
      <c r="D690" s="3" t="s">
        <v>9</v>
      </c>
      <c r="E690" s="3" t="s">
        <v>10</v>
      </c>
      <c r="F690" s="3" t="s">
        <v>11</v>
      </c>
      <c r="G690" s="3" t="s">
        <v>12</v>
      </c>
      <c r="H690" s="3" t="s">
        <v>13</v>
      </c>
    </row>
    <row r="691" spans="1:8" ht="34" customHeight="1">
      <c r="A691" s="4" t="s">
        <v>14</v>
      </c>
      <c r="B691" s="4" t="s">
        <v>15</v>
      </c>
      <c r="C691" s="6">
        <v>75</v>
      </c>
      <c r="D691" s="6">
        <v>75</v>
      </c>
      <c r="E691" s="7">
        <f>IF(AND(ISNUMBER(C691),ISNUMBER(D691)),(D691-C691),"待補")</f>
        <v>0</v>
      </c>
      <c r="F691" s="8" t="s">
        <v>16</v>
      </c>
      <c r="G691" s="4" t="s">
        <v>141</v>
      </c>
      <c r="H691" s="4"/>
    </row>
    <row r="692" spans="1:8" ht="34" customHeight="1">
      <c r="A692" s="4" t="s">
        <v>18</v>
      </c>
      <c r="B692" s="4" t="s">
        <v>15</v>
      </c>
      <c r="C692" s="6">
        <v>63</v>
      </c>
      <c r="D692" s="6">
        <v>62</v>
      </c>
      <c r="E692" s="7">
        <f>IF(AND(ISNUMBER(C692),ISNUMBER(D692)),(D692-C692),"待補")</f>
        <v>-1</v>
      </c>
      <c r="F692" s="8" t="s">
        <v>16</v>
      </c>
      <c r="G692" s="4" t="s">
        <v>141</v>
      </c>
      <c r="H692" s="4"/>
    </row>
    <row r="693" spans="1:8" ht="34" customHeight="1">
      <c r="A693" s="4" t="s">
        <v>19</v>
      </c>
      <c r="B693" s="4" t="s">
        <v>20</v>
      </c>
      <c r="C693" s="9">
        <v>0.84</v>
      </c>
      <c r="D693" s="9">
        <v>0.8266666666666667</v>
      </c>
      <c r="E693" s="10">
        <f>IF(AND(ISNUMBER(C693),ISNUMBER(D693)),(D693-C693)*100,"待補")</f>
        <v>-1.3333333333333308</v>
      </c>
      <c r="F693" s="8" t="s">
        <v>16</v>
      </c>
      <c r="G693" s="4" t="s">
        <v>141</v>
      </c>
      <c r="H693" s="4" t="s">
        <v>21</v>
      </c>
    </row>
    <row r="694" spans="1:8" ht="34" customHeight="1">
      <c r="A694" s="4" t="s">
        <v>22</v>
      </c>
      <c r="B694" s="4" t="s">
        <v>15</v>
      </c>
      <c r="C694" s="6">
        <v>66</v>
      </c>
      <c r="D694" s="6">
        <v>66</v>
      </c>
      <c r="E694" s="7">
        <f>IF(AND(ISNUMBER(C694),ISNUMBER(D694)),(D694-C694),"待補")</f>
        <v>0</v>
      </c>
      <c r="F694" s="8" t="s">
        <v>16</v>
      </c>
      <c r="G694" s="4" t="s">
        <v>141</v>
      </c>
      <c r="H694" s="4"/>
    </row>
    <row r="695" spans="1:8" ht="34" customHeight="1">
      <c r="A695" s="4" t="s">
        <v>23</v>
      </c>
      <c r="B695" s="4" t="s">
        <v>15</v>
      </c>
      <c r="C695" s="6">
        <v>9</v>
      </c>
      <c r="D695" s="6">
        <v>9</v>
      </c>
      <c r="E695" s="7">
        <f>IF(AND(ISNUMBER(C695),ISNUMBER(D695)),(D695-C695),"待補")</f>
        <v>0</v>
      </c>
      <c r="F695" s="8" t="s">
        <v>16</v>
      </c>
      <c r="G695" s="4" t="s">
        <v>141</v>
      </c>
      <c r="H695" s="4"/>
    </row>
    <row r="696" spans="1:8" ht="34" customHeight="1">
      <c r="A696" s="4" t="s">
        <v>24</v>
      </c>
      <c r="B696" s="4" t="s">
        <v>25</v>
      </c>
      <c r="C696" s="7">
        <v>15.98190520154546</v>
      </c>
      <c r="D696" s="7">
        <v>14.25095720351515</v>
      </c>
      <c r="E696" s="7">
        <f>IF(AND(ISNUMBER(C696),ISNUMBER(D696)),(D696-C696),"待補")</f>
        <v>-1.7309479980303024</v>
      </c>
      <c r="F696" s="8" t="s">
        <v>16</v>
      </c>
      <c r="G696" s="4" t="s">
        <v>172</v>
      </c>
      <c r="H696" s="4" t="s">
        <v>27</v>
      </c>
    </row>
    <row r="697" spans="1:8" ht="34" customHeight="1">
      <c r="A697" s="4" t="s">
        <v>28</v>
      </c>
      <c r="B697" s="4" t="s">
        <v>25</v>
      </c>
      <c r="C697" s="7">
        <v>7.153716524500001</v>
      </c>
      <c r="D697" s="7">
        <v>6.366878471500001</v>
      </c>
      <c r="E697" s="7">
        <f>IF(AND(ISNUMBER(C697),ISNUMBER(D697)),(D697-C697),"待補")</f>
        <v>-0.7868380530000003</v>
      </c>
      <c r="F697" s="8" t="s">
        <v>16</v>
      </c>
      <c r="G697" s="4" t="s">
        <v>172</v>
      </c>
      <c r="H697" s="4" t="s">
        <v>27</v>
      </c>
    </row>
    <row r="698" spans="1:8" ht="34" customHeight="1">
      <c r="A698" s="4" t="s">
        <v>29</v>
      </c>
      <c r="B698" s="4" t="s">
        <v>25</v>
      </c>
      <c r="C698" s="7">
        <v>9.024764704476191</v>
      </c>
      <c r="D698" s="7">
        <v>8.773479801645161</v>
      </c>
      <c r="E698" s="7">
        <f>IF(AND(ISNUMBER(C698),ISNUMBER(D698)),(D698-C698),"待補")</f>
        <v>-0.25128490283102956</v>
      </c>
      <c r="F698" s="8" t="s">
        <v>16</v>
      </c>
      <c r="G698" s="4" t="s">
        <v>151</v>
      </c>
      <c r="H698" s="4" t="s">
        <v>31</v>
      </c>
    </row>
    <row r="699" spans="1:8" ht="34" customHeight="1">
      <c r="A699" s="4" t="s">
        <v>32</v>
      </c>
      <c r="B699" s="4" t="s">
        <v>33</v>
      </c>
      <c r="C699" s="7">
        <v>0.8342280190004545</v>
      </c>
      <c r="D699" s="7">
        <v>0.7228003846633333</v>
      </c>
      <c r="E699" s="7">
        <f>IF(AND(ISNUMBER(C699),ISNUMBER(D699)),(D699-C699),"待補")</f>
        <v>-0.11142763433712122</v>
      </c>
      <c r="F699" s="8" t="s">
        <v>16</v>
      </c>
      <c r="G699" s="4" t="s">
        <v>141</v>
      </c>
      <c r="H699" s="4"/>
    </row>
    <row r="700" spans="1:8" ht="34" customHeight="1">
      <c r="A700" s="4" t="s">
        <v>34</v>
      </c>
      <c r="B700" s="4" t="s">
        <v>25</v>
      </c>
      <c r="C700" s="7">
        <v>14.60829021321667</v>
      </c>
      <c r="D700" s="7">
        <v>13.09580673319697</v>
      </c>
      <c r="E700" s="7">
        <f>IF(AND(ISNUMBER(C700),ISNUMBER(D700)),(D700-C700),"待補")</f>
        <v>-1.5124834800196965</v>
      </c>
      <c r="F700" s="8" t="s">
        <v>16</v>
      </c>
      <c r="G700" s="4" t="s">
        <v>141</v>
      </c>
      <c r="H700" s="4"/>
    </row>
    <row r="701" spans="1:8" ht="34" customHeight="1">
      <c r="A701" s="4" t="s">
        <v>35</v>
      </c>
      <c r="B701" s="4" t="s">
        <v>36</v>
      </c>
      <c r="C701" s="7">
        <v>2.18136476</v>
      </c>
      <c r="D701" s="7">
        <v>2.077983986666667</v>
      </c>
      <c r="E701" s="7">
        <f>IF(AND(ISNUMBER(C701),ISNUMBER(D701)),(D701-C701),"待補")</f>
        <v>-0.1033807733333334</v>
      </c>
      <c r="F701" s="9">
        <f>IF(AND(ISNUMBER(C701),ISNUMBER(D701),C701&lt;&gt;0),(C701-D701)/C701,"待補")</f>
        <v>0.04739270351710156</v>
      </c>
      <c r="G701" s="4" t="s">
        <v>141</v>
      </c>
      <c r="H701" s="4" t="s">
        <v>37</v>
      </c>
    </row>
    <row r="702" spans="1:8" ht="34" customHeight="1">
      <c r="A702" s="4" t="s">
        <v>38</v>
      </c>
      <c r="B702" s="4" t="s">
        <v>39</v>
      </c>
      <c r="C702" s="7">
        <v>6.36</v>
      </c>
      <c r="D702" s="7">
        <v>6.986666666666666</v>
      </c>
      <c r="E702" s="7">
        <f>IF(AND(ISNUMBER(C702),ISNUMBER(D702)),(D702-C702),"待補")</f>
        <v>0.626666666666666</v>
      </c>
      <c r="F702" s="8" t="s">
        <v>16</v>
      </c>
      <c r="G702" s="4" t="s">
        <v>141</v>
      </c>
      <c r="H702" s="4"/>
    </row>
    <row r="703" spans="1:8" ht="34" customHeight="1">
      <c r="A703" s="4" t="s">
        <v>40</v>
      </c>
      <c r="B703" s="4" t="s">
        <v>39</v>
      </c>
      <c r="C703" s="7">
        <v>6.36</v>
      </c>
      <c r="D703" s="7">
        <v>6.986666666666666</v>
      </c>
      <c r="E703" s="7">
        <f>IF(AND(ISNUMBER(C703),ISNUMBER(D703)),(D703-C703),"待補")</f>
        <v>0.626666666666666</v>
      </c>
      <c r="F703" s="8" t="s">
        <v>16</v>
      </c>
      <c r="G703" s="4" t="s">
        <v>141</v>
      </c>
      <c r="H703" s="4" t="s">
        <v>41</v>
      </c>
    </row>
    <row r="704" spans="1:8">
      <c r="A704" s="4" t="s">
        <v>42</v>
      </c>
      <c r="B704" s="4" t="s">
        <v>15</v>
      </c>
      <c r="D704" s="6">
        <v>3</v>
      </c>
      <c r="H704" s="4" t="s">
        <v>43</v>
      </c>
    </row>
    <row r="705" spans="1:8">
      <c r="A705" s="4" t="s">
        <v>44</v>
      </c>
      <c r="B705" s="4" t="s">
        <v>15</v>
      </c>
      <c r="D705" s="6">
        <v>4</v>
      </c>
      <c r="H705" s="4" t="s">
        <v>43</v>
      </c>
    </row>
    <row r="706" spans="1:8">
      <c r="A706" s="4" t="s">
        <v>45</v>
      </c>
      <c r="B706" s="4" t="s">
        <v>15</v>
      </c>
      <c r="D706" s="6">
        <v>59</v>
      </c>
      <c r="H706" s="4" t="s">
        <v>43</v>
      </c>
    </row>
    <row r="707" spans="1:8">
      <c r="A707" s="4" t="s">
        <v>46</v>
      </c>
      <c r="B707" s="4" t="s">
        <v>25</v>
      </c>
      <c r="C707" s="7">
        <v>8.897692231932204</v>
      </c>
      <c r="D707" s="7">
        <v>8.688014024745764</v>
      </c>
      <c r="E707" s="7">
        <f>IF(AND(ISNUMBER(C707),ISNUMBER(D707)),D707-C707,"待補")</f>
        <v>-0.20967820718644087</v>
      </c>
      <c r="F707" s="9">
        <f>IF(AND(ISNUMBER(C707),ISNUMBER(D707),C707&lt;&gt;0),(C707-D707)/C707,"待補")</f>
        <v>0.02356545964064073</v>
      </c>
      <c r="G707" s="4" t="s">
        <v>173</v>
      </c>
      <c r="H707" s="4" t="s">
        <v>48</v>
      </c>
    </row>
    <row r="708" spans="1:8" ht="34" customHeight="1">
      <c r="A708" s="2" t="s">
        <v>145</v>
      </c>
      <c r="B708" s="2"/>
      <c r="C708" s="2"/>
      <c r="D708" s="2"/>
      <c r="E708" s="2"/>
      <c r="F708" s="2"/>
      <c r="G708" s="2"/>
      <c r="H708" s="2"/>
    </row>
    <row r="711" spans="1:8" ht="28" customHeight="1">
      <c r="A711" s="3" t="s">
        <v>174</v>
      </c>
      <c r="B711" s="3"/>
      <c r="C711" s="3"/>
      <c r="D711" s="3"/>
      <c r="E711" s="3"/>
      <c r="F711" s="3"/>
      <c r="G711" s="3"/>
      <c r="H711" s="3"/>
    </row>
    <row r="712" spans="1:8" ht="40" customHeight="1">
      <c r="A712" s="2" t="s">
        <v>171</v>
      </c>
      <c r="B712" s="2"/>
      <c r="C712" s="2"/>
      <c r="D712" s="2"/>
      <c r="E712" s="2"/>
      <c r="F712" s="2"/>
      <c r="G712" s="2"/>
      <c r="H712" s="2"/>
    </row>
    <row r="713" spans="1:8" ht="40" customHeight="1">
      <c r="A713" s="2" t="s">
        <v>140</v>
      </c>
      <c r="B713" s="2"/>
      <c r="C713" s="2"/>
      <c r="D713" s="2"/>
      <c r="E713" s="2"/>
      <c r="F713" s="2"/>
      <c r="G713" s="2"/>
      <c r="H713" s="2"/>
    </row>
    <row r="714" spans="1:8">
      <c r="A714" s="3" t="s">
        <v>6</v>
      </c>
      <c r="B714" s="3" t="s">
        <v>7</v>
      </c>
      <c r="C714" s="3" t="s">
        <v>8</v>
      </c>
      <c r="D714" s="3" t="s">
        <v>9</v>
      </c>
      <c r="E714" s="3" t="s">
        <v>10</v>
      </c>
      <c r="F714" s="3" t="s">
        <v>11</v>
      </c>
      <c r="G714" s="3" t="s">
        <v>12</v>
      </c>
      <c r="H714" s="3" t="s">
        <v>13</v>
      </c>
    </row>
    <row r="715" spans="1:8" ht="34" customHeight="1">
      <c r="A715" s="4" t="s">
        <v>14</v>
      </c>
      <c r="B715" s="4" t="s">
        <v>15</v>
      </c>
      <c r="C715" s="6">
        <v>75</v>
      </c>
      <c r="D715" s="6">
        <v>75</v>
      </c>
      <c r="E715" s="7">
        <f>IF(AND(ISNUMBER(C715),ISNUMBER(D715)),(D715-C715),"待補")</f>
        <v>0</v>
      </c>
      <c r="F715" s="8" t="s">
        <v>16</v>
      </c>
      <c r="G715" s="4" t="s">
        <v>141</v>
      </c>
      <c r="H715" s="4"/>
    </row>
    <row r="716" spans="1:8" ht="34" customHeight="1">
      <c r="A716" s="4" t="s">
        <v>18</v>
      </c>
      <c r="B716" s="4" t="s">
        <v>15</v>
      </c>
      <c r="C716" s="6">
        <v>61</v>
      </c>
      <c r="D716" s="6">
        <v>63</v>
      </c>
      <c r="E716" s="7">
        <f>IF(AND(ISNUMBER(C716),ISNUMBER(D716)),(D716-C716),"待補")</f>
        <v>2</v>
      </c>
      <c r="F716" s="8" t="s">
        <v>16</v>
      </c>
      <c r="G716" s="4" t="s">
        <v>141</v>
      </c>
      <c r="H716" s="4"/>
    </row>
    <row r="717" spans="1:8" ht="34" customHeight="1">
      <c r="A717" s="4" t="s">
        <v>19</v>
      </c>
      <c r="B717" s="4" t="s">
        <v>20</v>
      </c>
      <c r="C717" s="9">
        <v>0.8133333333333334</v>
      </c>
      <c r="D717" s="9">
        <v>0.84</v>
      </c>
      <c r="E717" s="10">
        <f>IF(AND(ISNUMBER(C717),ISNUMBER(D717)),(D717-C717)*100,"待補")</f>
        <v>2.6666666666666616</v>
      </c>
      <c r="F717" s="8" t="s">
        <v>16</v>
      </c>
      <c r="G717" s="4" t="s">
        <v>141</v>
      </c>
      <c r="H717" s="4" t="s">
        <v>21</v>
      </c>
    </row>
    <row r="718" spans="1:8" ht="34" customHeight="1">
      <c r="A718" s="4" t="s">
        <v>22</v>
      </c>
      <c r="B718" s="4" t="s">
        <v>15</v>
      </c>
      <c r="C718" s="6">
        <v>66</v>
      </c>
      <c r="D718" s="6">
        <v>66</v>
      </c>
      <c r="E718" s="7">
        <f>IF(AND(ISNUMBER(C718),ISNUMBER(D718)),(D718-C718),"待補")</f>
        <v>0</v>
      </c>
      <c r="F718" s="8" t="s">
        <v>16</v>
      </c>
      <c r="G718" s="4" t="s">
        <v>141</v>
      </c>
      <c r="H718" s="4"/>
    </row>
    <row r="719" spans="1:8" ht="34" customHeight="1">
      <c r="A719" s="4" t="s">
        <v>23</v>
      </c>
      <c r="B719" s="4" t="s">
        <v>15</v>
      </c>
      <c r="C719" s="6">
        <v>9</v>
      </c>
      <c r="D719" s="6">
        <v>9</v>
      </c>
      <c r="E719" s="7">
        <f>IF(AND(ISNUMBER(C719),ISNUMBER(D719)),(D719-C719),"待補")</f>
        <v>0</v>
      </c>
      <c r="F719" s="8" t="s">
        <v>16</v>
      </c>
      <c r="G719" s="4" t="s">
        <v>141</v>
      </c>
      <c r="H719" s="4"/>
    </row>
    <row r="720" spans="1:8" ht="34" customHeight="1">
      <c r="A720" s="4" t="s">
        <v>24</v>
      </c>
      <c r="B720" s="4" t="s">
        <v>25</v>
      </c>
      <c r="C720" s="7">
        <v>12.95395787793939</v>
      </c>
      <c r="D720" s="7">
        <v>13.78154941551515</v>
      </c>
      <c r="E720" s="7">
        <f>IF(AND(ISNUMBER(C720),ISNUMBER(D720)),(D720-C720),"待補")</f>
        <v>0.8275915375757563</v>
      </c>
      <c r="F720" s="8" t="s">
        <v>16</v>
      </c>
      <c r="G720" s="4" t="s">
        <v>172</v>
      </c>
      <c r="H720" s="4" t="s">
        <v>27</v>
      </c>
    </row>
    <row r="721" spans="1:8" ht="34" customHeight="1">
      <c r="A721" s="4" t="s">
        <v>28</v>
      </c>
      <c r="B721" s="4" t="s">
        <v>25</v>
      </c>
      <c r="C721" s="7">
        <v>7.2553641785</v>
      </c>
      <c r="D721" s="7">
        <v>6.456928923</v>
      </c>
      <c r="E721" s="7">
        <f>IF(AND(ISNUMBER(C721),ISNUMBER(D721)),(D721-C721),"待補")</f>
        <v>-0.7984352555000003</v>
      </c>
      <c r="F721" s="8" t="s">
        <v>16</v>
      </c>
      <c r="G721" s="4" t="s">
        <v>172</v>
      </c>
      <c r="H721" s="4" t="s">
        <v>27</v>
      </c>
    </row>
    <row r="722" spans="1:8" ht="34" customHeight="1">
      <c r="A722" s="4" t="s">
        <v>29</v>
      </c>
      <c r="B722" s="4" t="s">
        <v>25</v>
      </c>
      <c r="C722" s="7">
        <v>9.045072380721312</v>
      </c>
      <c r="D722" s="7">
        <v>8.842070833079365</v>
      </c>
      <c r="E722" s="7">
        <f>IF(AND(ISNUMBER(C722),ISNUMBER(D722)),(D722-C722),"待補")</f>
        <v>-0.20300154764194644</v>
      </c>
      <c r="F722" s="8" t="s">
        <v>16</v>
      </c>
      <c r="G722" s="4" t="s">
        <v>175</v>
      </c>
      <c r="H722" s="4" t="s">
        <v>31</v>
      </c>
    </row>
    <row r="723" spans="1:8" ht="34" customHeight="1">
      <c r="A723" s="4" t="s">
        <v>32</v>
      </c>
      <c r="B723" s="4" t="s">
        <v>33</v>
      </c>
      <c r="C723" s="7">
        <v>0.8007894974504546</v>
      </c>
      <c r="D723" s="7">
        <v>0.7012490396436364</v>
      </c>
      <c r="E723" s="7">
        <f>IF(AND(ISNUMBER(C723),ISNUMBER(D723)),(D723-C723),"待補")</f>
        <v>-0.0995404578068182</v>
      </c>
      <c r="F723" s="8" t="s">
        <v>16</v>
      </c>
      <c r="G723" s="4" t="s">
        <v>141</v>
      </c>
      <c r="H723" s="4"/>
    </row>
    <row r="724" spans="1:8" ht="34" customHeight="1">
      <c r="A724" s="4" t="s">
        <v>34</v>
      </c>
      <c r="B724" s="4" t="s">
        <v>25</v>
      </c>
      <c r="C724" s="7">
        <v>11.43577672201515</v>
      </c>
      <c r="D724" s="7">
        <v>12.63575964987879</v>
      </c>
      <c r="E724" s="7">
        <f>IF(AND(ISNUMBER(C724),ISNUMBER(D724)),(D724-C724),"待補")</f>
        <v>1.1999829278636387</v>
      </c>
      <c r="F724" s="8" t="s">
        <v>16</v>
      </c>
      <c r="G724" s="4" t="s">
        <v>141</v>
      </c>
      <c r="H724" s="4"/>
    </row>
    <row r="725" spans="1:8" ht="34" customHeight="1">
      <c r="A725" s="4" t="s">
        <v>35</v>
      </c>
      <c r="B725" s="4" t="s">
        <v>36</v>
      </c>
      <c r="C725" s="7">
        <v>2.924725</v>
      </c>
      <c r="D725" s="7">
        <v>2.496077346666667</v>
      </c>
      <c r="E725" s="7">
        <f>IF(AND(ISNUMBER(C725),ISNUMBER(D725)),(D725-C725),"待補")</f>
        <v>-0.42864765333333343</v>
      </c>
      <c r="F725" s="9">
        <f>IF(AND(ISNUMBER(C725),ISNUMBER(D725),C725&lt;&gt;0),(C725-D725)/C725,"待補")</f>
        <v>0.1465599854117339</v>
      </c>
      <c r="G725" s="4" t="s">
        <v>141</v>
      </c>
      <c r="H725" s="4" t="s">
        <v>37</v>
      </c>
    </row>
    <row r="726" spans="1:8" ht="34" customHeight="1">
      <c r="A726" s="4" t="s">
        <v>38</v>
      </c>
      <c r="B726" s="4" t="s">
        <v>39</v>
      </c>
      <c r="C726" s="7">
        <v>6.36</v>
      </c>
      <c r="D726" s="7">
        <v>6.986666666666666</v>
      </c>
      <c r="E726" s="7">
        <f>IF(AND(ISNUMBER(C726),ISNUMBER(D726)),(D726-C726),"待補")</f>
        <v>0.626666666666666</v>
      </c>
      <c r="F726" s="8" t="s">
        <v>16</v>
      </c>
      <c r="G726" s="4" t="s">
        <v>141</v>
      </c>
      <c r="H726" s="4"/>
    </row>
    <row r="727" spans="1:8" ht="34" customHeight="1">
      <c r="A727" s="4" t="s">
        <v>40</v>
      </c>
      <c r="B727" s="4" t="s">
        <v>39</v>
      </c>
      <c r="C727" s="7">
        <v>6.36</v>
      </c>
      <c r="D727" s="7">
        <v>6.986666666666666</v>
      </c>
      <c r="E727" s="7">
        <f>IF(AND(ISNUMBER(C727),ISNUMBER(D727)),(D727-C727),"待補")</f>
        <v>0.626666666666666</v>
      </c>
      <c r="F727" s="8" t="s">
        <v>16</v>
      </c>
      <c r="G727" s="4" t="s">
        <v>141</v>
      </c>
      <c r="H727" s="4" t="s">
        <v>41</v>
      </c>
    </row>
    <row r="728" spans="1:8" ht="34" customHeight="1">
      <c r="A728" s="4" t="s">
        <v>53</v>
      </c>
      <c r="B728" s="4" t="s">
        <v>39</v>
      </c>
      <c r="C728" s="7">
        <v>6.106666666666666</v>
      </c>
      <c r="D728" s="7">
        <v>6.76</v>
      </c>
      <c r="E728" s="7">
        <f>IF(AND(ISNUMBER(C728),ISNUMBER(D728)),(D728-C728),"待補")</f>
        <v>0.6533333333333333</v>
      </c>
      <c r="F728" s="8" t="s">
        <v>16</v>
      </c>
      <c r="G728" s="4" t="s">
        <v>141</v>
      </c>
      <c r="H728" s="4" t="s">
        <v>54</v>
      </c>
    </row>
    <row r="729" spans="1:8">
      <c r="A729" s="4" t="s">
        <v>42</v>
      </c>
      <c r="B729" s="4" t="s">
        <v>15</v>
      </c>
      <c r="D729" s="6">
        <v>4</v>
      </c>
      <c r="H729" s="4" t="s">
        <v>43</v>
      </c>
    </row>
    <row r="730" spans="1:8">
      <c r="A730" s="4" t="s">
        <v>44</v>
      </c>
      <c r="B730" s="4" t="s">
        <v>15</v>
      </c>
      <c r="D730" s="6">
        <v>2</v>
      </c>
      <c r="H730" s="4" t="s">
        <v>43</v>
      </c>
    </row>
    <row r="731" spans="1:8">
      <c r="A731" s="4" t="s">
        <v>45</v>
      </c>
      <c r="B731" s="4" t="s">
        <v>15</v>
      </c>
      <c r="D731" s="6">
        <v>59</v>
      </c>
      <c r="H731" s="4" t="s">
        <v>43</v>
      </c>
    </row>
    <row r="732" spans="1:8">
      <c r="A732" s="4" t="s">
        <v>46</v>
      </c>
      <c r="B732" s="4" t="s">
        <v>25</v>
      </c>
      <c r="C732" s="7">
        <v>8.941716293288135</v>
      </c>
      <c r="D732" s="7">
        <v>8.75181824877966</v>
      </c>
      <c r="E732" s="7">
        <f>IF(AND(ISNUMBER(C732),ISNUMBER(D732)),D732-C732,"待補")</f>
        <v>-0.18989804450847414</v>
      </c>
      <c r="F732" s="9">
        <f>IF(AND(ISNUMBER(C732),ISNUMBER(D732),C732&lt;&gt;0),(C732-D732)/C732,"待補")</f>
        <v>0.02123731488226887</v>
      </c>
      <c r="G732" s="4" t="s">
        <v>173</v>
      </c>
      <c r="H732" s="4" t="s">
        <v>48</v>
      </c>
    </row>
    <row r="733" spans="1:8" ht="34" customHeight="1">
      <c r="A733" s="2" t="s">
        <v>145</v>
      </c>
      <c r="B733" s="2"/>
      <c r="C733" s="2"/>
      <c r="D733" s="2"/>
      <c r="E733" s="2"/>
      <c r="F733" s="2"/>
      <c r="G733" s="2"/>
      <c r="H733" s="2"/>
    </row>
    <row r="736" spans="1:8" ht="28" customHeight="1">
      <c r="A736" s="3" t="s">
        <v>176</v>
      </c>
      <c r="B736" s="3"/>
      <c r="C736" s="3"/>
      <c r="D736" s="3"/>
      <c r="E736" s="3"/>
      <c r="F736" s="3"/>
      <c r="G736" s="3"/>
      <c r="H736" s="3"/>
    </row>
    <row r="737" spans="1:8" ht="40" customHeight="1">
      <c r="A737" s="2" t="s">
        <v>177</v>
      </c>
      <c r="B737" s="2"/>
      <c r="C737" s="2"/>
      <c r="D737" s="2"/>
      <c r="E737" s="2"/>
      <c r="F737" s="2"/>
      <c r="G737" s="2"/>
      <c r="H737" s="2"/>
    </row>
    <row r="738" spans="1:8" ht="40" customHeight="1">
      <c r="A738" s="2" t="s">
        <v>140</v>
      </c>
      <c r="B738" s="2"/>
      <c r="C738" s="2"/>
      <c r="D738" s="2"/>
      <c r="E738" s="2"/>
      <c r="F738" s="2"/>
      <c r="G738" s="2"/>
      <c r="H738" s="2"/>
    </row>
    <row r="739" spans="1:8">
      <c r="A739" s="3" t="s">
        <v>6</v>
      </c>
      <c r="B739" s="3" t="s">
        <v>7</v>
      </c>
      <c r="C739" s="3" t="s">
        <v>8</v>
      </c>
      <c r="D739" s="3" t="s">
        <v>9</v>
      </c>
      <c r="E739" s="3" t="s">
        <v>10</v>
      </c>
      <c r="F739" s="3" t="s">
        <v>11</v>
      </c>
      <c r="G739" s="3" t="s">
        <v>12</v>
      </c>
      <c r="H739" s="3" t="s">
        <v>13</v>
      </c>
    </row>
    <row r="740" spans="1:8" ht="34" customHeight="1">
      <c r="A740" s="4" t="s">
        <v>14</v>
      </c>
      <c r="B740" s="4" t="s">
        <v>15</v>
      </c>
      <c r="C740" s="6">
        <v>75</v>
      </c>
      <c r="D740" s="6">
        <v>75</v>
      </c>
      <c r="E740" s="7">
        <f>IF(AND(ISNUMBER(C740),ISNUMBER(D740)),(D740-C740),"待補")</f>
        <v>0</v>
      </c>
      <c r="F740" s="8" t="s">
        <v>16</v>
      </c>
      <c r="G740" s="4" t="s">
        <v>141</v>
      </c>
      <c r="H740" s="4"/>
    </row>
    <row r="741" spans="1:8" ht="34" customHeight="1">
      <c r="A741" s="4" t="s">
        <v>18</v>
      </c>
      <c r="B741" s="4" t="s">
        <v>15</v>
      </c>
      <c r="C741" s="6">
        <v>63</v>
      </c>
      <c r="D741" s="6">
        <v>59</v>
      </c>
      <c r="E741" s="7">
        <f>IF(AND(ISNUMBER(C741),ISNUMBER(D741)),(D741-C741),"待補")</f>
        <v>-4</v>
      </c>
      <c r="F741" s="8" t="s">
        <v>16</v>
      </c>
      <c r="G741" s="4" t="s">
        <v>141</v>
      </c>
      <c r="H741" s="4"/>
    </row>
    <row r="742" spans="1:8" ht="34" customHeight="1">
      <c r="A742" s="4" t="s">
        <v>19</v>
      </c>
      <c r="B742" s="4" t="s">
        <v>20</v>
      </c>
      <c r="C742" s="9">
        <v>0.84</v>
      </c>
      <c r="D742" s="9">
        <v>0.7866666666666666</v>
      </c>
      <c r="E742" s="10">
        <f>IF(AND(ISNUMBER(C742),ISNUMBER(D742)),(D742-C742)*100,"待補")</f>
        <v>-5.333333333333334</v>
      </c>
      <c r="F742" s="8" t="s">
        <v>16</v>
      </c>
      <c r="G742" s="4" t="s">
        <v>141</v>
      </c>
      <c r="H742" s="4" t="s">
        <v>21</v>
      </c>
    </row>
    <row r="743" spans="1:8" ht="34" customHeight="1">
      <c r="A743" s="4" t="s">
        <v>22</v>
      </c>
      <c r="B743" s="4" t="s">
        <v>15</v>
      </c>
      <c r="C743" s="6">
        <v>68</v>
      </c>
      <c r="D743" s="6">
        <v>68</v>
      </c>
      <c r="E743" s="7">
        <f>IF(AND(ISNUMBER(C743),ISNUMBER(D743)),(D743-C743),"待補")</f>
        <v>0</v>
      </c>
      <c r="F743" s="8" t="s">
        <v>16</v>
      </c>
      <c r="G743" s="4" t="s">
        <v>141</v>
      </c>
      <c r="H743" s="4"/>
    </row>
    <row r="744" spans="1:8" ht="34" customHeight="1">
      <c r="A744" s="4" t="s">
        <v>23</v>
      </c>
      <c r="B744" s="4" t="s">
        <v>15</v>
      </c>
      <c r="C744" s="6">
        <v>7</v>
      </c>
      <c r="D744" s="6">
        <v>7</v>
      </c>
      <c r="E744" s="7">
        <f>IF(AND(ISNUMBER(C744),ISNUMBER(D744)),(D744-C744),"待補")</f>
        <v>0</v>
      </c>
      <c r="F744" s="8" t="s">
        <v>16</v>
      </c>
      <c r="G744" s="4" t="s">
        <v>141</v>
      </c>
      <c r="H744" s="4"/>
    </row>
    <row r="745" spans="1:8" ht="34" customHeight="1">
      <c r="A745" s="4" t="s">
        <v>24</v>
      </c>
      <c r="B745" s="4" t="s">
        <v>25</v>
      </c>
      <c r="C745" s="7">
        <v>14.53955476314706</v>
      </c>
      <c r="D745" s="7">
        <v>19.95894181923383</v>
      </c>
      <c r="E745" s="7">
        <f>IF(AND(ISNUMBER(C745),ISNUMBER(D745)),(D745-C745),"待補")</f>
        <v>5.419387056086766</v>
      </c>
      <c r="F745" s="8" t="s">
        <v>16</v>
      </c>
      <c r="G745" s="4" t="s">
        <v>150</v>
      </c>
      <c r="H745" s="4" t="s">
        <v>27</v>
      </c>
    </row>
    <row r="746" spans="1:8" ht="34" customHeight="1">
      <c r="A746" s="4" t="s">
        <v>28</v>
      </c>
      <c r="B746" s="4" t="s">
        <v>25</v>
      </c>
      <c r="C746" s="7">
        <v>7.078909595999999</v>
      </c>
      <c r="D746" s="7">
        <v>7.884901461999999</v>
      </c>
      <c r="E746" s="7">
        <f>IF(AND(ISNUMBER(C746),ISNUMBER(D746)),(D746-C746),"待補")</f>
        <v>0.8059918660000003</v>
      </c>
      <c r="F746" s="8" t="s">
        <v>16</v>
      </c>
      <c r="G746" s="4" t="s">
        <v>150</v>
      </c>
      <c r="H746" s="4" t="s">
        <v>27</v>
      </c>
    </row>
    <row r="747" spans="1:8" ht="34" customHeight="1">
      <c r="A747" s="4" t="s">
        <v>29</v>
      </c>
      <c r="B747" s="4" t="s">
        <v>25</v>
      </c>
      <c r="C747" s="7">
        <v>8.506313526095239</v>
      </c>
      <c r="D747" s="7">
        <v>9.252636481150848</v>
      </c>
      <c r="E747" s="7">
        <f>IF(AND(ISNUMBER(C747),ISNUMBER(D747)),(D747-C747),"待補")</f>
        <v>0.746322955055609</v>
      </c>
      <c r="F747" s="8" t="s">
        <v>16</v>
      </c>
      <c r="G747" s="4" t="s">
        <v>178</v>
      </c>
      <c r="H747" s="4" t="s">
        <v>31</v>
      </c>
    </row>
    <row r="748" spans="1:8" ht="34" customHeight="1">
      <c r="A748" s="4" t="s">
        <v>32</v>
      </c>
      <c r="B748" s="4" t="s">
        <v>33</v>
      </c>
      <c r="C748" s="7">
        <v>0.8819165110235294</v>
      </c>
      <c r="D748" s="7">
        <v>1.047503257120882</v>
      </c>
      <c r="E748" s="7">
        <f>IF(AND(ISNUMBER(C748),ISNUMBER(D748)),(D748-C748),"待補")</f>
        <v>0.16558674609735302</v>
      </c>
      <c r="F748" s="8" t="s">
        <v>16</v>
      </c>
      <c r="G748" s="4" t="s">
        <v>141</v>
      </c>
      <c r="H748" s="4"/>
    </row>
    <row r="749" spans="1:8" ht="34" customHeight="1">
      <c r="A749" s="4" t="s">
        <v>34</v>
      </c>
      <c r="B749" s="4" t="s">
        <v>25</v>
      </c>
      <c r="C749" s="7">
        <v>12.83738906188235</v>
      </c>
      <c r="D749" s="7">
        <v>18.09187750499118</v>
      </c>
      <c r="E749" s="7">
        <f>IF(AND(ISNUMBER(C749),ISNUMBER(D749)),(D749-C749),"待補")</f>
        <v>5.254488443108825</v>
      </c>
      <c r="F749" s="8" t="s">
        <v>16</v>
      </c>
      <c r="G749" s="4" t="s">
        <v>141</v>
      </c>
      <c r="H749" s="4"/>
    </row>
    <row r="750" spans="1:8" ht="34" customHeight="1">
      <c r="A750" s="4" t="s">
        <v>35</v>
      </c>
      <c r="B750" s="4" t="s">
        <v>36</v>
      </c>
      <c r="C750" s="7">
        <v>2.109900893333333</v>
      </c>
      <c r="D750" s="7">
        <v>2.173661453333333</v>
      </c>
      <c r="E750" s="7">
        <f>IF(AND(ISNUMBER(C750),ISNUMBER(D750)),(D750-C750),"待補")</f>
        <v>0.06376055999999997</v>
      </c>
      <c r="F750" s="9">
        <f>IF(AND(ISNUMBER(C750),ISNUMBER(D750),C750&lt;&gt;0),(C750-D750)/C750,"待補")</f>
        <v>-0.030219694300080445</v>
      </c>
      <c r="G750" s="4" t="s">
        <v>141</v>
      </c>
      <c r="H750" s="4" t="s">
        <v>37</v>
      </c>
    </row>
    <row r="751" spans="1:8" ht="34" customHeight="1">
      <c r="A751" s="4" t="s">
        <v>38</v>
      </c>
      <c r="B751" s="4" t="s">
        <v>39</v>
      </c>
      <c r="C751" s="7">
        <v>6.773333333333333</v>
      </c>
      <c r="D751" s="7">
        <v>7.08</v>
      </c>
      <c r="E751" s="7">
        <f>IF(AND(ISNUMBER(C751),ISNUMBER(D751)),(D751-C751),"待補")</f>
        <v>0.30666666666666664</v>
      </c>
      <c r="F751" s="8" t="s">
        <v>16</v>
      </c>
      <c r="G751" s="4" t="s">
        <v>141</v>
      </c>
      <c r="H751" s="4"/>
    </row>
    <row r="752" spans="1:8" ht="34" customHeight="1">
      <c r="A752" s="4" t="s">
        <v>40</v>
      </c>
      <c r="B752" s="4" t="s">
        <v>39</v>
      </c>
      <c r="C752" s="7">
        <v>6.76</v>
      </c>
      <c r="D752" s="7">
        <v>7.013333333333334</v>
      </c>
      <c r="E752" s="7">
        <f>IF(AND(ISNUMBER(C752),ISNUMBER(D752)),(D752-C752),"待補")</f>
        <v>0.25333333333333385</v>
      </c>
      <c r="F752" s="8" t="s">
        <v>16</v>
      </c>
      <c r="G752" s="4" t="s">
        <v>141</v>
      </c>
      <c r="H752" s="4" t="s">
        <v>41</v>
      </c>
    </row>
    <row r="753" spans="1:8">
      <c r="A753" s="4" t="s">
        <v>42</v>
      </c>
      <c r="B753" s="4" t="s">
        <v>15</v>
      </c>
      <c r="D753" s="6">
        <v>4</v>
      </c>
      <c r="H753" s="4" t="s">
        <v>43</v>
      </c>
    </row>
    <row r="754" spans="1:8">
      <c r="A754" s="4" t="s">
        <v>44</v>
      </c>
      <c r="B754" s="4" t="s">
        <v>15</v>
      </c>
      <c r="D754" s="6">
        <v>8</v>
      </c>
      <c r="H754" s="4" t="s">
        <v>43</v>
      </c>
    </row>
    <row r="755" spans="1:8">
      <c r="A755" s="4" t="s">
        <v>45</v>
      </c>
      <c r="B755" s="4" t="s">
        <v>15</v>
      </c>
      <c r="D755" s="6">
        <v>55</v>
      </c>
      <c r="H755" s="4" t="s">
        <v>43</v>
      </c>
    </row>
    <row r="756" spans="1:8">
      <c r="A756" s="4" t="s">
        <v>46</v>
      </c>
      <c r="B756" s="4" t="s">
        <v>25</v>
      </c>
      <c r="C756" s="7">
        <v>8.80740890569091</v>
      </c>
      <c r="D756" s="7">
        <v>8.744743310470909</v>
      </c>
      <c r="E756" s="7">
        <f>IF(AND(ISNUMBER(C756),ISNUMBER(D756)),D756-C756,"待補")</f>
        <v>-0.06266559522000031</v>
      </c>
      <c r="F756" s="9">
        <f>IF(AND(ISNUMBER(C756),ISNUMBER(D756),C756&lt;&gt;0),(C756-D756)/C756,"待補")</f>
        <v>0.007115100013070691</v>
      </c>
      <c r="G756" s="4" t="s">
        <v>179</v>
      </c>
      <c r="H756" s="4" t="s">
        <v>48</v>
      </c>
    </row>
    <row r="757" spans="1:8" ht="34" customHeight="1">
      <c r="A757" s="2" t="s">
        <v>145</v>
      </c>
      <c r="B757" s="2"/>
      <c r="C757" s="2"/>
      <c r="D757" s="2"/>
      <c r="E757" s="2"/>
      <c r="F757" s="2"/>
      <c r="G757" s="2"/>
      <c r="H757" s="2"/>
    </row>
    <row r="760" spans="1:8" ht="28" customHeight="1">
      <c r="A760" s="3" t="s">
        <v>180</v>
      </c>
      <c r="B760" s="3"/>
      <c r="C760" s="3"/>
      <c r="D760" s="3"/>
      <c r="E760" s="3"/>
      <c r="F760" s="3"/>
      <c r="G760" s="3"/>
      <c r="H760" s="3"/>
    </row>
    <row r="761" spans="1:8" ht="40" customHeight="1">
      <c r="A761" s="2" t="s">
        <v>177</v>
      </c>
      <c r="B761" s="2"/>
      <c r="C761" s="2"/>
      <c r="D761" s="2"/>
      <c r="E761" s="2"/>
      <c r="F761" s="2"/>
      <c r="G761" s="2"/>
      <c r="H761" s="2"/>
    </row>
    <row r="762" spans="1:8" ht="40" customHeight="1">
      <c r="A762" s="2" t="s">
        <v>140</v>
      </c>
      <c r="B762" s="2"/>
      <c r="C762" s="2"/>
      <c r="D762" s="2"/>
      <c r="E762" s="2"/>
      <c r="F762" s="2"/>
      <c r="G762" s="2"/>
      <c r="H762" s="2"/>
    </row>
    <row r="763" spans="1:8">
      <c r="A763" s="3" t="s">
        <v>6</v>
      </c>
      <c r="B763" s="3" t="s">
        <v>7</v>
      </c>
      <c r="C763" s="3" t="s">
        <v>8</v>
      </c>
      <c r="D763" s="3" t="s">
        <v>9</v>
      </c>
      <c r="E763" s="3" t="s">
        <v>10</v>
      </c>
      <c r="F763" s="3" t="s">
        <v>11</v>
      </c>
      <c r="G763" s="3" t="s">
        <v>12</v>
      </c>
      <c r="H763" s="3" t="s">
        <v>13</v>
      </c>
    </row>
    <row r="764" spans="1:8" ht="34" customHeight="1">
      <c r="A764" s="4" t="s">
        <v>14</v>
      </c>
      <c r="B764" s="4" t="s">
        <v>15</v>
      </c>
      <c r="C764" s="6">
        <v>75</v>
      </c>
      <c r="D764" s="6">
        <v>75</v>
      </c>
      <c r="E764" s="7">
        <f>IF(AND(ISNUMBER(C764),ISNUMBER(D764)),(D764-C764),"待補")</f>
        <v>0</v>
      </c>
      <c r="F764" s="8" t="s">
        <v>16</v>
      </c>
      <c r="G764" s="4" t="s">
        <v>141</v>
      </c>
      <c r="H764" s="4"/>
    </row>
    <row r="765" spans="1:8" ht="34" customHeight="1">
      <c r="A765" s="4" t="s">
        <v>18</v>
      </c>
      <c r="B765" s="4" t="s">
        <v>15</v>
      </c>
      <c r="C765" s="6">
        <v>65</v>
      </c>
      <c r="D765" s="6">
        <v>63</v>
      </c>
      <c r="E765" s="7">
        <f>IF(AND(ISNUMBER(C765),ISNUMBER(D765)),(D765-C765),"待補")</f>
        <v>-2</v>
      </c>
      <c r="F765" s="8" t="s">
        <v>16</v>
      </c>
      <c r="G765" s="4" t="s">
        <v>141</v>
      </c>
      <c r="H765" s="4"/>
    </row>
    <row r="766" spans="1:8" ht="34" customHeight="1">
      <c r="A766" s="4" t="s">
        <v>19</v>
      </c>
      <c r="B766" s="4" t="s">
        <v>20</v>
      </c>
      <c r="C766" s="9">
        <v>0.8666666666666667</v>
      </c>
      <c r="D766" s="9">
        <v>0.84</v>
      </c>
      <c r="E766" s="10">
        <f>IF(AND(ISNUMBER(C766),ISNUMBER(D766)),(D766-C766)*100,"待補")</f>
        <v>-2.6666666666666727</v>
      </c>
      <c r="F766" s="8" t="s">
        <v>16</v>
      </c>
      <c r="G766" s="4" t="s">
        <v>141</v>
      </c>
      <c r="H766" s="4" t="s">
        <v>21</v>
      </c>
    </row>
    <row r="767" spans="1:8" ht="34" customHeight="1">
      <c r="A767" s="4" t="s">
        <v>22</v>
      </c>
      <c r="B767" s="4" t="s">
        <v>15</v>
      </c>
      <c r="C767" s="6">
        <v>68</v>
      </c>
      <c r="D767" s="6">
        <v>68</v>
      </c>
      <c r="E767" s="7">
        <f>IF(AND(ISNUMBER(C767),ISNUMBER(D767)),(D767-C767),"待補")</f>
        <v>0</v>
      </c>
      <c r="F767" s="8" t="s">
        <v>16</v>
      </c>
      <c r="G767" s="4" t="s">
        <v>141</v>
      </c>
      <c r="H767" s="4"/>
    </row>
    <row r="768" spans="1:8" ht="34" customHeight="1">
      <c r="A768" s="4" t="s">
        <v>23</v>
      </c>
      <c r="B768" s="4" t="s">
        <v>15</v>
      </c>
      <c r="C768" s="6">
        <v>7</v>
      </c>
      <c r="D768" s="6">
        <v>7</v>
      </c>
      <c r="E768" s="7">
        <f>IF(AND(ISNUMBER(C768),ISNUMBER(D768)),(D768-C768),"待補")</f>
        <v>0</v>
      </c>
      <c r="F768" s="8" t="s">
        <v>16</v>
      </c>
      <c r="G768" s="4" t="s">
        <v>141</v>
      </c>
      <c r="H768" s="4"/>
    </row>
    <row r="769" spans="1:8" ht="34" customHeight="1">
      <c r="A769" s="4" t="s">
        <v>24</v>
      </c>
      <c r="B769" s="4" t="s">
        <v>25</v>
      </c>
      <c r="C769" s="7">
        <v>11.40430062222059</v>
      </c>
      <c r="D769" s="7">
        <v>13.08429439038088</v>
      </c>
      <c r="E769" s="7">
        <f>IF(AND(ISNUMBER(C769),ISNUMBER(D769)),(D769-C769),"待補")</f>
        <v>1.679993768160294</v>
      </c>
      <c r="F769" s="8" t="s">
        <v>16</v>
      </c>
      <c r="G769" s="4" t="s">
        <v>150</v>
      </c>
      <c r="H769" s="4" t="s">
        <v>27</v>
      </c>
    </row>
    <row r="770" spans="1:8" ht="34" customHeight="1">
      <c r="A770" s="4" t="s">
        <v>28</v>
      </c>
      <c r="B770" s="4" t="s">
        <v>25</v>
      </c>
      <c r="C770" s="7">
        <v>6.630230407</v>
      </c>
      <c r="D770" s="7">
        <v>6.834528069999999</v>
      </c>
      <c r="E770" s="7">
        <f>IF(AND(ISNUMBER(C770),ISNUMBER(D770)),(D770-C770),"待補")</f>
        <v>0.2042976629999993</v>
      </c>
      <c r="F770" s="8" t="s">
        <v>16</v>
      </c>
      <c r="G770" s="4" t="s">
        <v>150</v>
      </c>
      <c r="H770" s="4" t="s">
        <v>27</v>
      </c>
    </row>
    <row r="771" spans="1:8" ht="34" customHeight="1">
      <c r="A771" s="4" t="s">
        <v>29</v>
      </c>
      <c r="B771" s="4" t="s">
        <v>25</v>
      </c>
      <c r="C771" s="7">
        <v>8.167160837092307</v>
      </c>
      <c r="D771" s="7">
        <v>8.740931705807936</v>
      </c>
      <c r="E771" s="7">
        <f>IF(AND(ISNUMBER(C771),ISNUMBER(D771)),(D771-C771),"待補")</f>
        <v>0.5737708687156289</v>
      </c>
      <c r="F771" s="8" t="s">
        <v>16</v>
      </c>
      <c r="G771" s="4" t="s">
        <v>181</v>
      </c>
      <c r="H771" s="4" t="s">
        <v>31</v>
      </c>
    </row>
    <row r="772" spans="1:8" ht="34" customHeight="1">
      <c r="A772" s="4" t="s">
        <v>32</v>
      </c>
      <c r="B772" s="4" t="s">
        <v>33</v>
      </c>
      <c r="C772" s="7">
        <v>0.6951690738455882</v>
      </c>
      <c r="D772" s="7">
        <v>0.7303769098502941</v>
      </c>
      <c r="E772" s="7">
        <f>IF(AND(ISNUMBER(C772),ISNUMBER(D772)),(D772-C772),"待補")</f>
        <v>0.035207836004705895</v>
      </c>
      <c r="F772" s="8" t="s">
        <v>16</v>
      </c>
      <c r="G772" s="4" t="s">
        <v>141</v>
      </c>
      <c r="H772" s="4"/>
    </row>
    <row r="773" spans="1:8" ht="34" customHeight="1">
      <c r="A773" s="4" t="s">
        <v>34</v>
      </c>
      <c r="B773" s="4" t="s">
        <v>25</v>
      </c>
      <c r="C773" s="7">
        <v>10.01956322791177</v>
      </c>
      <c r="D773" s="7">
        <v>11.74656025715294</v>
      </c>
      <c r="E773" s="7">
        <f>IF(AND(ISNUMBER(C773),ISNUMBER(D773)),(D773-C773),"待補")</f>
        <v>1.7269970292411756</v>
      </c>
      <c r="F773" s="8" t="s">
        <v>16</v>
      </c>
      <c r="G773" s="4" t="s">
        <v>141</v>
      </c>
      <c r="H773" s="4"/>
    </row>
    <row r="774" spans="1:8" ht="34" customHeight="1">
      <c r="A774" s="4" t="s">
        <v>35</v>
      </c>
      <c r="B774" s="4" t="s">
        <v>36</v>
      </c>
      <c r="C774" s="7">
        <v>2.532242066666667</v>
      </c>
      <c r="D774" s="7">
        <v>2.61354452</v>
      </c>
      <c r="E774" s="7">
        <f>IF(AND(ISNUMBER(C774),ISNUMBER(D774)),(D774-C774),"待補")</f>
        <v>0.08130245333333352</v>
      </c>
      <c r="F774" s="9">
        <f>IF(AND(ISNUMBER(C774),ISNUMBER(D774),C774&lt;&gt;0),(C774-D774)/C774,"待補")</f>
        <v>-0.032106904155634906</v>
      </c>
      <c r="G774" s="4" t="s">
        <v>141</v>
      </c>
      <c r="H774" s="4" t="s">
        <v>37</v>
      </c>
    </row>
    <row r="775" spans="1:8" ht="34" customHeight="1">
      <c r="A775" s="4" t="s">
        <v>38</v>
      </c>
      <c r="B775" s="4" t="s">
        <v>39</v>
      </c>
      <c r="C775" s="7">
        <v>6.773333333333333</v>
      </c>
      <c r="D775" s="7">
        <v>7.08</v>
      </c>
      <c r="E775" s="7">
        <f>IF(AND(ISNUMBER(C775),ISNUMBER(D775)),(D775-C775),"待補")</f>
        <v>0.30666666666666664</v>
      </c>
      <c r="F775" s="8" t="s">
        <v>16</v>
      </c>
      <c r="G775" s="4" t="s">
        <v>141</v>
      </c>
      <c r="H775" s="4"/>
    </row>
    <row r="776" spans="1:8" ht="34" customHeight="1">
      <c r="A776" s="4" t="s">
        <v>40</v>
      </c>
      <c r="B776" s="4" t="s">
        <v>39</v>
      </c>
      <c r="C776" s="7">
        <v>6.76</v>
      </c>
      <c r="D776" s="7">
        <v>7.013333333333334</v>
      </c>
      <c r="E776" s="7">
        <f>IF(AND(ISNUMBER(C776),ISNUMBER(D776)),(D776-C776),"待補")</f>
        <v>0.25333333333333385</v>
      </c>
      <c r="F776" s="8" t="s">
        <v>16</v>
      </c>
      <c r="G776" s="4" t="s">
        <v>141</v>
      </c>
      <c r="H776" s="4" t="s">
        <v>41</v>
      </c>
    </row>
    <row r="777" spans="1:8" ht="34" customHeight="1">
      <c r="A777" s="4" t="s">
        <v>53</v>
      </c>
      <c r="B777" s="4" t="s">
        <v>39</v>
      </c>
      <c r="C777" s="7">
        <v>6.533333333333333</v>
      </c>
      <c r="D777" s="7">
        <v>6.826666666666667</v>
      </c>
      <c r="E777" s="7">
        <f>IF(AND(ISNUMBER(C777),ISNUMBER(D777)),(D777-C777),"待補")</f>
        <v>0.2933333333333339</v>
      </c>
      <c r="F777" s="8" t="s">
        <v>16</v>
      </c>
      <c r="G777" s="4" t="s">
        <v>141</v>
      </c>
      <c r="H777" s="4" t="s">
        <v>54</v>
      </c>
    </row>
    <row r="778" spans="1:8">
      <c r="A778" s="4" t="s">
        <v>42</v>
      </c>
      <c r="B778" s="4" t="s">
        <v>15</v>
      </c>
      <c r="D778" s="6">
        <v>5</v>
      </c>
      <c r="H778" s="4" t="s">
        <v>43</v>
      </c>
    </row>
    <row r="779" spans="1:8">
      <c r="A779" s="4" t="s">
        <v>44</v>
      </c>
      <c r="B779" s="4" t="s">
        <v>15</v>
      </c>
      <c r="D779" s="6">
        <v>7</v>
      </c>
      <c r="H779" s="4" t="s">
        <v>43</v>
      </c>
    </row>
    <row r="780" spans="1:8">
      <c r="A780" s="4" t="s">
        <v>45</v>
      </c>
      <c r="B780" s="4" t="s">
        <v>15</v>
      </c>
      <c r="D780" s="6">
        <v>58</v>
      </c>
      <c r="H780" s="4" t="s">
        <v>43</v>
      </c>
    </row>
    <row r="781" spans="1:8">
      <c r="A781" s="4" t="s">
        <v>46</v>
      </c>
      <c r="B781" s="4" t="s">
        <v>25</v>
      </c>
      <c r="C781" s="7">
        <v>8.241903826</v>
      </c>
      <c r="D781" s="7">
        <v>7.666004480756897</v>
      </c>
      <c r="E781" s="7">
        <f>IF(AND(ISNUMBER(C781),ISNUMBER(D781)),D781-C781,"待補")</f>
        <v>-0.5758993452431027</v>
      </c>
      <c r="F781" s="9">
        <f>IF(AND(ISNUMBER(C781),ISNUMBER(D781),C781&lt;&gt;0),(C781-D781)/C781,"待補")</f>
        <v>0.06987455294326105</v>
      </c>
      <c r="G781" s="4" t="s">
        <v>144</v>
      </c>
      <c r="H781" s="4" t="s">
        <v>48</v>
      </c>
    </row>
    <row r="782" spans="1:8" ht="34" customHeight="1">
      <c r="A782" s="2" t="s">
        <v>145</v>
      </c>
      <c r="B782" s="2"/>
      <c r="C782" s="2"/>
      <c r="D782" s="2"/>
      <c r="E782" s="2"/>
      <c r="F782" s="2"/>
      <c r="G782" s="2"/>
      <c r="H782" s="2"/>
    </row>
    <row r="785" spans="1:8" ht="28" customHeight="1">
      <c r="A785" s="3" t="s">
        <v>182</v>
      </c>
      <c r="B785" s="3"/>
      <c r="C785" s="3"/>
      <c r="D785" s="3"/>
      <c r="E785" s="3"/>
      <c r="F785" s="3"/>
      <c r="G785" s="3"/>
      <c r="H785" s="3"/>
    </row>
    <row r="786" spans="1:8" ht="40" customHeight="1">
      <c r="A786" s="2" t="s">
        <v>183</v>
      </c>
      <c r="B786" s="2"/>
      <c r="C786" s="2"/>
      <c r="D786" s="2"/>
      <c r="E786" s="2"/>
      <c r="F786" s="2"/>
      <c r="G786" s="2"/>
      <c r="H786" s="2"/>
    </row>
    <row r="787" spans="1:8" ht="40" customHeight="1">
      <c r="A787" s="2" t="s">
        <v>140</v>
      </c>
      <c r="B787" s="2"/>
      <c r="C787" s="2"/>
      <c r="D787" s="2"/>
      <c r="E787" s="2"/>
      <c r="F787" s="2"/>
      <c r="G787" s="2"/>
      <c r="H787" s="2"/>
    </row>
    <row r="788" spans="1:8">
      <c r="A788" s="3" t="s">
        <v>6</v>
      </c>
      <c r="B788" s="3" t="s">
        <v>7</v>
      </c>
      <c r="C788" s="3" t="s">
        <v>8</v>
      </c>
      <c r="D788" s="3" t="s">
        <v>9</v>
      </c>
      <c r="E788" s="3" t="s">
        <v>10</v>
      </c>
      <c r="F788" s="3" t="s">
        <v>11</v>
      </c>
      <c r="G788" s="3" t="s">
        <v>12</v>
      </c>
      <c r="H788" s="3" t="s">
        <v>13</v>
      </c>
    </row>
    <row r="789" spans="1:8" ht="34" customHeight="1">
      <c r="A789" s="4" t="s">
        <v>14</v>
      </c>
      <c r="B789" s="4" t="s">
        <v>15</v>
      </c>
      <c r="C789" s="6">
        <v>75</v>
      </c>
      <c r="D789" s="6">
        <v>75</v>
      </c>
      <c r="E789" s="7">
        <f>IF(AND(ISNUMBER(C789),ISNUMBER(D789)),(D789-C789),"待補")</f>
        <v>0</v>
      </c>
      <c r="F789" s="8" t="s">
        <v>16</v>
      </c>
      <c r="G789" s="4" t="s">
        <v>141</v>
      </c>
      <c r="H789" s="4"/>
    </row>
    <row r="790" spans="1:8" ht="34" customHeight="1">
      <c r="A790" s="4" t="s">
        <v>18</v>
      </c>
      <c r="B790" s="4" t="s">
        <v>15</v>
      </c>
      <c r="C790" s="6">
        <v>63</v>
      </c>
      <c r="D790" s="6">
        <v>52</v>
      </c>
      <c r="E790" s="7">
        <f>IF(AND(ISNUMBER(C790),ISNUMBER(D790)),(D790-C790),"待補")</f>
        <v>-11</v>
      </c>
      <c r="F790" s="8" t="s">
        <v>16</v>
      </c>
      <c r="G790" s="4" t="s">
        <v>141</v>
      </c>
      <c r="H790" s="4"/>
    </row>
    <row r="791" spans="1:8" ht="34" customHeight="1">
      <c r="A791" s="4" t="s">
        <v>19</v>
      </c>
      <c r="B791" s="4" t="s">
        <v>20</v>
      </c>
      <c r="C791" s="9">
        <v>0.84</v>
      </c>
      <c r="D791" s="9">
        <v>0.6933333333333334</v>
      </c>
      <c r="E791" s="10">
        <f>IF(AND(ISNUMBER(C791),ISNUMBER(D791)),(D791-C791)*100,"待補")</f>
        <v>-14.66666666666666</v>
      </c>
      <c r="F791" s="8" t="s">
        <v>16</v>
      </c>
      <c r="G791" s="4" t="s">
        <v>141</v>
      </c>
      <c r="H791" s="4" t="s">
        <v>21</v>
      </c>
    </row>
    <row r="792" spans="1:8" ht="34" customHeight="1">
      <c r="A792" s="4" t="s">
        <v>22</v>
      </c>
      <c r="B792" s="4" t="s">
        <v>15</v>
      </c>
      <c r="C792" s="6">
        <v>66</v>
      </c>
      <c r="D792" s="6">
        <v>54</v>
      </c>
      <c r="E792" s="7">
        <f>IF(AND(ISNUMBER(C792),ISNUMBER(D792)),(D792-C792),"待補")</f>
        <v>-12</v>
      </c>
      <c r="F792" s="8" t="s">
        <v>16</v>
      </c>
      <c r="G792" s="4" t="s">
        <v>141</v>
      </c>
      <c r="H792" s="4"/>
    </row>
    <row r="793" spans="1:8" ht="34" customHeight="1">
      <c r="A793" s="4" t="s">
        <v>23</v>
      </c>
      <c r="B793" s="4" t="s">
        <v>15</v>
      </c>
      <c r="C793" s="6">
        <v>9</v>
      </c>
      <c r="D793" s="6">
        <v>21</v>
      </c>
      <c r="E793" s="7">
        <f>IF(AND(ISNUMBER(C793),ISNUMBER(D793)),(D793-C793),"待補")</f>
        <v>12</v>
      </c>
      <c r="F793" s="8" t="s">
        <v>16</v>
      </c>
      <c r="G793" s="4" t="s">
        <v>141</v>
      </c>
      <c r="H793" s="4"/>
    </row>
    <row r="794" spans="1:8" ht="34" customHeight="1">
      <c r="A794" s="4" t="s">
        <v>24</v>
      </c>
      <c r="B794" s="4" t="s">
        <v>25</v>
      </c>
      <c r="C794" s="7">
        <v>15.98190520154546</v>
      </c>
      <c r="D794" s="7">
        <v>15.75621513374074</v>
      </c>
      <c r="E794" s="7">
        <f>IF(AND(ISNUMBER(C794),ISNUMBER(D794)),(D794-C794),"待補")</f>
        <v>-0.22569006780471312</v>
      </c>
      <c r="F794" s="8" t="s">
        <v>16</v>
      </c>
      <c r="G794" s="4" t="s">
        <v>184</v>
      </c>
      <c r="H794" s="4" t="s">
        <v>27</v>
      </c>
    </row>
    <row r="795" spans="1:8" ht="34" customHeight="1">
      <c r="A795" s="4" t="s">
        <v>28</v>
      </c>
      <c r="B795" s="4" t="s">
        <v>25</v>
      </c>
      <c r="C795" s="7">
        <v>7.153716524500001</v>
      </c>
      <c r="D795" s="7">
        <v>7.054318095000001</v>
      </c>
      <c r="E795" s="7">
        <f>IF(AND(ISNUMBER(C795),ISNUMBER(D795)),(D795-C795),"待補")</f>
        <v>-0.09939842949999989</v>
      </c>
      <c r="F795" s="8" t="s">
        <v>16</v>
      </c>
      <c r="G795" s="4" t="s">
        <v>184</v>
      </c>
      <c r="H795" s="4" t="s">
        <v>27</v>
      </c>
    </row>
    <row r="796" spans="1:8" ht="34" customHeight="1">
      <c r="A796" s="4" t="s">
        <v>29</v>
      </c>
      <c r="B796" s="4" t="s">
        <v>25</v>
      </c>
      <c r="C796" s="7">
        <v>9.024764704476191</v>
      </c>
      <c r="D796" s="7">
        <v>8.383653488884615</v>
      </c>
      <c r="E796" s="7">
        <f>IF(AND(ISNUMBER(C796),ISNUMBER(D796)),(D796-C796),"待補")</f>
        <v>-0.6411112155915752</v>
      </c>
      <c r="F796" s="8" t="s">
        <v>16</v>
      </c>
      <c r="G796" s="4" t="s">
        <v>185</v>
      </c>
      <c r="H796" s="4" t="s">
        <v>31</v>
      </c>
    </row>
    <row r="797" spans="1:8" ht="34" customHeight="1">
      <c r="A797" s="4" t="s">
        <v>32</v>
      </c>
      <c r="B797" s="4" t="s">
        <v>33</v>
      </c>
      <c r="C797" s="7">
        <v>0.8342280190004545</v>
      </c>
      <c r="D797" s="7">
        <v>1.163890564361852</v>
      </c>
      <c r="E797" s="7">
        <f>IF(AND(ISNUMBER(C797),ISNUMBER(D797)),(D797-C797),"待補")</f>
        <v>0.3296625453613973</v>
      </c>
      <c r="F797" s="8" t="s">
        <v>16</v>
      </c>
      <c r="G797" s="4" t="s">
        <v>141</v>
      </c>
      <c r="H797" s="4"/>
    </row>
    <row r="798" spans="1:8" ht="34" customHeight="1">
      <c r="A798" s="4" t="s">
        <v>34</v>
      </c>
      <c r="B798" s="4" t="s">
        <v>25</v>
      </c>
      <c r="C798" s="7">
        <v>14.60829021321667</v>
      </c>
      <c r="D798" s="7">
        <v>13.54259292875926</v>
      </c>
      <c r="E798" s="7">
        <f>IF(AND(ISNUMBER(C798),ISNUMBER(D798)),(D798-C798),"待補")</f>
        <v>-1.065697284457407</v>
      </c>
      <c r="F798" s="8" t="s">
        <v>16</v>
      </c>
      <c r="G798" s="4" t="s">
        <v>141</v>
      </c>
      <c r="H798" s="4"/>
    </row>
    <row r="799" spans="1:8" ht="34" customHeight="1">
      <c r="A799" s="4" t="s">
        <v>35</v>
      </c>
      <c r="B799" s="4" t="s">
        <v>36</v>
      </c>
      <c r="C799" s="7">
        <v>2.18136476</v>
      </c>
      <c r="D799" s="7">
        <v>2.121804426666666</v>
      </c>
      <c r="E799" s="7">
        <f>IF(AND(ISNUMBER(C799),ISNUMBER(D799)),(D799-C799),"待補")</f>
        <v>-0.05956033333333366</v>
      </c>
      <c r="F799" s="9">
        <f>IF(AND(ISNUMBER(C799),ISNUMBER(D799),C799&lt;&gt;0),(C799-D799)/C799,"待補")</f>
        <v>0.027304160416222023</v>
      </c>
      <c r="G799" s="4" t="s">
        <v>141</v>
      </c>
      <c r="H799" s="4" t="s">
        <v>37</v>
      </c>
    </row>
    <row r="800" spans="1:8" ht="34" customHeight="1">
      <c r="A800" s="4" t="s">
        <v>38</v>
      </c>
      <c r="B800" s="4" t="s">
        <v>39</v>
      </c>
      <c r="C800" s="7">
        <v>6.36</v>
      </c>
      <c r="D800" s="7">
        <v>5.373333333333333</v>
      </c>
      <c r="E800" s="7">
        <f>IF(AND(ISNUMBER(C800),ISNUMBER(D800)),(D800-C800),"待補")</f>
        <v>-0.9866666666666672</v>
      </c>
      <c r="F800" s="8" t="s">
        <v>16</v>
      </c>
      <c r="G800" s="4" t="s">
        <v>141</v>
      </c>
      <c r="H800" s="4"/>
    </row>
    <row r="801" spans="1:8" ht="34" customHeight="1">
      <c r="A801" s="4" t="s">
        <v>40</v>
      </c>
      <c r="B801" s="4" t="s">
        <v>39</v>
      </c>
      <c r="C801" s="7">
        <v>6.36</v>
      </c>
      <c r="D801" s="7">
        <v>5.373333333333333</v>
      </c>
      <c r="E801" s="7">
        <f>IF(AND(ISNUMBER(C801),ISNUMBER(D801)),(D801-C801),"待補")</f>
        <v>-0.9866666666666672</v>
      </c>
      <c r="F801" s="8" t="s">
        <v>16</v>
      </c>
      <c r="G801" s="4" t="s">
        <v>141</v>
      </c>
      <c r="H801" s="4" t="s">
        <v>41</v>
      </c>
    </row>
    <row r="802" spans="1:8">
      <c r="A802" s="4" t="s">
        <v>42</v>
      </c>
      <c r="B802" s="4" t="s">
        <v>15</v>
      </c>
      <c r="D802" s="6">
        <v>3</v>
      </c>
      <c r="H802" s="4" t="s">
        <v>43</v>
      </c>
    </row>
    <row r="803" spans="1:8">
      <c r="A803" s="4" t="s">
        <v>44</v>
      </c>
      <c r="B803" s="4" t="s">
        <v>15</v>
      </c>
      <c r="D803" s="6">
        <v>14</v>
      </c>
      <c r="H803" s="4" t="s">
        <v>43</v>
      </c>
    </row>
    <row r="804" spans="1:8">
      <c r="A804" s="4" t="s">
        <v>45</v>
      </c>
      <c r="B804" s="4" t="s">
        <v>15</v>
      </c>
      <c r="D804" s="6">
        <v>49</v>
      </c>
      <c r="H804" s="4" t="s">
        <v>43</v>
      </c>
    </row>
    <row r="805" spans="1:8">
      <c r="A805" s="4" t="s">
        <v>46</v>
      </c>
      <c r="B805" s="4" t="s">
        <v>25</v>
      </c>
      <c r="C805" s="7">
        <v>8.059449974734694</v>
      </c>
      <c r="D805" s="7">
        <v>8.389939040510203</v>
      </c>
      <c r="E805" s="7">
        <f>IF(AND(ISNUMBER(C805),ISNUMBER(D805)),D805-C805,"待補")</f>
        <v>0.3304890657755105</v>
      </c>
      <c r="F805" s="9">
        <f>IF(AND(ISNUMBER(C805),ISNUMBER(D805),C805&lt;&gt;0),(C805-D805)/C805,"待補")</f>
        <v>-0.04100640450794408</v>
      </c>
      <c r="G805" s="4" t="s">
        <v>186</v>
      </c>
      <c r="H805" s="4" t="s">
        <v>48</v>
      </c>
    </row>
    <row r="806" spans="1:8" ht="34" customHeight="1">
      <c r="A806" s="2" t="s">
        <v>145</v>
      </c>
      <c r="B806" s="2"/>
      <c r="C806" s="2"/>
      <c r="D806" s="2"/>
      <c r="E806" s="2"/>
      <c r="F806" s="2"/>
      <c r="G806" s="2"/>
      <c r="H806" s="2"/>
    </row>
    <row r="809" spans="1:8" ht="28" customHeight="1">
      <c r="A809" s="3" t="s">
        <v>187</v>
      </c>
      <c r="B809" s="3"/>
      <c r="C809" s="3"/>
      <c r="D809" s="3"/>
      <c r="E809" s="3"/>
      <c r="F809" s="3"/>
      <c r="G809" s="3"/>
      <c r="H809" s="3"/>
    </row>
    <row r="810" spans="1:8" ht="40" customHeight="1">
      <c r="A810" s="2" t="s">
        <v>183</v>
      </c>
      <c r="B810" s="2"/>
      <c r="C810" s="2"/>
      <c r="D810" s="2"/>
      <c r="E810" s="2"/>
      <c r="F810" s="2"/>
      <c r="G810" s="2"/>
      <c r="H810" s="2"/>
    </row>
    <row r="811" spans="1:8" ht="40" customHeight="1">
      <c r="A811" s="2" t="s">
        <v>140</v>
      </c>
      <c r="B811" s="2"/>
      <c r="C811" s="2"/>
      <c r="D811" s="2"/>
      <c r="E811" s="2"/>
      <c r="F811" s="2"/>
      <c r="G811" s="2"/>
      <c r="H811" s="2"/>
    </row>
    <row r="812" spans="1:8">
      <c r="A812" s="3" t="s">
        <v>6</v>
      </c>
      <c r="B812" s="3" t="s">
        <v>7</v>
      </c>
      <c r="C812" s="3" t="s">
        <v>8</v>
      </c>
      <c r="D812" s="3" t="s">
        <v>9</v>
      </c>
      <c r="E812" s="3" t="s">
        <v>10</v>
      </c>
      <c r="F812" s="3" t="s">
        <v>11</v>
      </c>
      <c r="G812" s="3" t="s">
        <v>12</v>
      </c>
      <c r="H812" s="3" t="s">
        <v>13</v>
      </c>
    </row>
    <row r="813" spans="1:8" ht="34" customHeight="1">
      <c r="A813" s="4" t="s">
        <v>14</v>
      </c>
      <c r="B813" s="4" t="s">
        <v>15</v>
      </c>
      <c r="C813" s="6">
        <v>75</v>
      </c>
      <c r="D813" s="6">
        <v>75</v>
      </c>
      <c r="E813" s="7">
        <f>IF(AND(ISNUMBER(C813),ISNUMBER(D813)),(D813-C813),"待補")</f>
        <v>0</v>
      </c>
      <c r="F813" s="8" t="s">
        <v>16</v>
      </c>
      <c r="G813" s="4" t="s">
        <v>141</v>
      </c>
      <c r="H813" s="4"/>
    </row>
    <row r="814" spans="1:8" ht="34" customHeight="1">
      <c r="A814" s="4" t="s">
        <v>18</v>
      </c>
      <c r="B814" s="4" t="s">
        <v>15</v>
      </c>
      <c r="C814" s="6">
        <v>61</v>
      </c>
      <c r="D814" s="6">
        <v>50</v>
      </c>
      <c r="E814" s="7">
        <f>IF(AND(ISNUMBER(C814),ISNUMBER(D814)),(D814-C814),"待補")</f>
        <v>-11</v>
      </c>
      <c r="F814" s="8" t="s">
        <v>16</v>
      </c>
      <c r="G814" s="4" t="s">
        <v>141</v>
      </c>
      <c r="H814" s="4"/>
    </row>
    <row r="815" spans="1:8" ht="34" customHeight="1">
      <c r="A815" s="4" t="s">
        <v>19</v>
      </c>
      <c r="B815" s="4" t="s">
        <v>20</v>
      </c>
      <c r="C815" s="9">
        <v>0.8133333333333334</v>
      </c>
      <c r="D815" s="9">
        <v>0.6666666666666666</v>
      </c>
      <c r="E815" s="10">
        <f>IF(AND(ISNUMBER(C815),ISNUMBER(D815)),(D815-C815)*100,"待補")</f>
        <v>-14.666666666666671</v>
      </c>
      <c r="F815" s="8" t="s">
        <v>16</v>
      </c>
      <c r="G815" s="4" t="s">
        <v>141</v>
      </c>
      <c r="H815" s="4" t="s">
        <v>21</v>
      </c>
    </row>
    <row r="816" spans="1:8" ht="34" customHeight="1">
      <c r="A816" s="4" t="s">
        <v>22</v>
      </c>
      <c r="B816" s="4" t="s">
        <v>15</v>
      </c>
      <c r="C816" s="6">
        <v>66</v>
      </c>
      <c r="D816" s="6">
        <v>54</v>
      </c>
      <c r="E816" s="7">
        <f>IF(AND(ISNUMBER(C816),ISNUMBER(D816)),(D816-C816),"待補")</f>
        <v>-12</v>
      </c>
      <c r="F816" s="8" t="s">
        <v>16</v>
      </c>
      <c r="G816" s="4" t="s">
        <v>141</v>
      </c>
      <c r="H816" s="4"/>
    </row>
    <row r="817" spans="1:8" ht="34" customHeight="1">
      <c r="A817" s="4" t="s">
        <v>23</v>
      </c>
      <c r="B817" s="4" t="s">
        <v>15</v>
      </c>
      <c r="C817" s="6">
        <v>9</v>
      </c>
      <c r="D817" s="6">
        <v>21</v>
      </c>
      <c r="E817" s="7">
        <f>IF(AND(ISNUMBER(C817),ISNUMBER(D817)),(D817-C817),"待補")</f>
        <v>12</v>
      </c>
      <c r="F817" s="8" t="s">
        <v>16</v>
      </c>
      <c r="G817" s="4" t="s">
        <v>141</v>
      </c>
      <c r="H817" s="4"/>
    </row>
    <row r="818" spans="1:8" ht="34" customHeight="1">
      <c r="A818" s="4" t="s">
        <v>24</v>
      </c>
      <c r="B818" s="4" t="s">
        <v>25</v>
      </c>
      <c r="C818" s="7">
        <v>12.95395787793939</v>
      </c>
      <c r="D818" s="7">
        <v>17.00153249788889</v>
      </c>
      <c r="E818" s="7">
        <f>IF(AND(ISNUMBER(C818),ISNUMBER(D818)),(D818-C818),"待補")</f>
        <v>4.0475746199494935</v>
      </c>
      <c r="F818" s="8" t="s">
        <v>16</v>
      </c>
      <c r="G818" s="4" t="s">
        <v>184</v>
      </c>
      <c r="H818" s="4" t="s">
        <v>27</v>
      </c>
    </row>
    <row r="819" spans="1:8" ht="34" customHeight="1">
      <c r="A819" s="4" t="s">
        <v>28</v>
      </c>
      <c r="B819" s="4" t="s">
        <v>25</v>
      </c>
      <c r="C819" s="7">
        <v>7.2553641785</v>
      </c>
      <c r="D819" s="7">
        <v>6.687678572999999</v>
      </c>
      <c r="E819" s="7">
        <f>IF(AND(ISNUMBER(C819),ISNUMBER(D819)),(D819-C819),"待補")</f>
        <v>-0.5676856055000004</v>
      </c>
      <c r="F819" s="8" t="s">
        <v>16</v>
      </c>
      <c r="G819" s="4" t="s">
        <v>184</v>
      </c>
      <c r="H819" s="4" t="s">
        <v>27</v>
      </c>
    </row>
    <row r="820" spans="1:8" ht="34" customHeight="1">
      <c r="A820" s="4" t="s">
        <v>29</v>
      </c>
      <c r="B820" s="4" t="s">
        <v>25</v>
      </c>
      <c r="C820" s="7">
        <v>9.045072380721312</v>
      </c>
      <c r="D820" s="7">
        <v>8.11245103732</v>
      </c>
      <c r="E820" s="7">
        <f>IF(AND(ISNUMBER(C820),ISNUMBER(D820)),(D820-C820),"待補")</f>
        <v>-0.932621343401312</v>
      </c>
      <c r="F820" s="8" t="s">
        <v>16</v>
      </c>
      <c r="G820" s="4" t="s">
        <v>188</v>
      </c>
      <c r="H820" s="4" t="s">
        <v>31</v>
      </c>
    </row>
    <row r="821" spans="1:8" ht="34" customHeight="1">
      <c r="A821" s="4" t="s">
        <v>32</v>
      </c>
      <c r="B821" s="4" t="s">
        <v>33</v>
      </c>
      <c r="C821" s="7">
        <v>0.8007894974504546</v>
      </c>
      <c r="D821" s="7">
        <v>1.313000331097037</v>
      </c>
      <c r="E821" s="7">
        <f>IF(AND(ISNUMBER(C821),ISNUMBER(D821)),(D821-C821),"待補")</f>
        <v>0.5122108336465825</v>
      </c>
      <c r="F821" s="8" t="s">
        <v>16</v>
      </c>
      <c r="G821" s="4" t="s">
        <v>141</v>
      </c>
      <c r="H821" s="4"/>
    </row>
    <row r="822" spans="1:8" ht="34" customHeight="1">
      <c r="A822" s="4" t="s">
        <v>34</v>
      </c>
      <c r="B822" s="4" t="s">
        <v>25</v>
      </c>
      <c r="C822" s="7">
        <v>11.43577672201515</v>
      </c>
      <c r="D822" s="7">
        <v>14.48519839683333</v>
      </c>
      <c r="E822" s="7">
        <f>IF(AND(ISNUMBER(C822),ISNUMBER(D822)),(D822-C822),"待補")</f>
        <v>3.049421674818184</v>
      </c>
      <c r="F822" s="8" t="s">
        <v>16</v>
      </c>
      <c r="G822" s="4" t="s">
        <v>141</v>
      </c>
      <c r="H822" s="4"/>
    </row>
    <row r="823" spans="1:8" ht="34" customHeight="1">
      <c r="A823" s="4" t="s">
        <v>35</v>
      </c>
      <c r="B823" s="4" t="s">
        <v>36</v>
      </c>
      <c r="C823" s="7">
        <v>2.924725</v>
      </c>
      <c r="D823" s="7">
        <v>2.454065706666666</v>
      </c>
      <c r="E823" s="7">
        <f>IF(AND(ISNUMBER(C823),ISNUMBER(D823)),(D823-C823),"待補")</f>
        <v>-0.47065929333333356</v>
      </c>
      <c r="F823" s="9">
        <f>IF(AND(ISNUMBER(C823),ISNUMBER(D823),C823&lt;&gt;0),(C823-D823)/C823,"待補")</f>
        <v>0.16092428974803907</v>
      </c>
      <c r="G823" s="4" t="s">
        <v>141</v>
      </c>
      <c r="H823" s="4" t="s">
        <v>37</v>
      </c>
    </row>
    <row r="824" spans="1:8" ht="34" customHeight="1">
      <c r="A824" s="4" t="s">
        <v>38</v>
      </c>
      <c r="B824" s="4" t="s">
        <v>39</v>
      </c>
      <c r="C824" s="7">
        <v>6.36</v>
      </c>
      <c r="D824" s="7">
        <v>5.373333333333333</v>
      </c>
      <c r="E824" s="7">
        <f>IF(AND(ISNUMBER(C824),ISNUMBER(D824)),(D824-C824),"待補")</f>
        <v>-0.9866666666666672</v>
      </c>
      <c r="F824" s="8" t="s">
        <v>16</v>
      </c>
      <c r="G824" s="4" t="s">
        <v>141</v>
      </c>
      <c r="H824" s="4"/>
    </row>
    <row r="825" spans="1:8" ht="34" customHeight="1">
      <c r="A825" s="4" t="s">
        <v>40</v>
      </c>
      <c r="B825" s="4" t="s">
        <v>39</v>
      </c>
      <c r="C825" s="7">
        <v>6.36</v>
      </c>
      <c r="D825" s="7">
        <v>5.373333333333333</v>
      </c>
      <c r="E825" s="7">
        <f>IF(AND(ISNUMBER(C825),ISNUMBER(D825)),(D825-C825),"待補")</f>
        <v>-0.9866666666666672</v>
      </c>
      <c r="F825" s="8" t="s">
        <v>16</v>
      </c>
      <c r="G825" s="4" t="s">
        <v>141</v>
      </c>
      <c r="H825" s="4" t="s">
        <v>41</v>
      </c>
    </row>
    <row r="826" spans="1:8" ht="34" customHeight="1">
      <c r="A826" s="4" t="s">
        <v>53</v>
      </c>
      <c r="B826" s="4" t="s">
        <v>39</v>
      </c>
      <c r="C826" s="7">
        <v>6.106666666666666</v>
      </c>
      <c r="D826" s="7">
        <v>4.96</v>
      </c>
      <c r="E826" s="7">
        <f>IF(AND(ISNUMBER(C826),ISNUMBER(D826)),(D826-C826),"待補")</f>
        <v>-1.1466666666666665</v>
      </c>
      <c r="F826" s="8" t="s">
        <v>16</v>
      </c>
      <c r="G826" s="4" t="s">
        <v>141</v>
      </c>
      <c r="H826" s="4" t="s">
        <v>54</v>
      </c>
    </row>
    <row r="827" spans="1:8">
      <c r="A827" s="4" t="s">
        <v>42</v>
      </c>
      <c r="B827" s="4" t="s">
        <v>15</v>
      </c>
      <c r="D827" s="6">
        <v>3</v>
      </c>
      <c r="H827" s="4" t="s">
        <v>43</v>
      </c>
    </row>
    <row r="828" spans="1:8">
      <c r="A828" s="4" t="s">
        <v>44</v>
      </c>
      <c r="B828" s="4" t="s">
        <v>15</v>
      </c>
      <c r="D828" s="6">
        <v>14</v>
      </c>
      <c r="H828" s="4" t="s">
        <v>43</v>
      </c>
    </row>
    <row r="829" spans="1:8">
      <c r="A829" s="4" t="s">
        <v>45</v>
      </c>
      <c r="B829" s="4" t="s">
        <v>15</v>
      </c>
      <c r="D829" s="6">
        <v>47</v>
      </c>
      <c r="H829" s="4" t="s">
        <v>43</v>
      </c>
    </row>
    <row r="830" spans="1:8">
      <c r="A830" s="4" t="s">
        <v>46</v>
      </c>
      <c r="B830" s="4" t="s">
        <v>25</v>
      </c>
      <c r="C830" s="7">
        <v>7.911204783553191</v>
      </c>
      <c r="D830" s="7">
        <v>8.101693264446808</v>
      </c>
      <c r="E830" s="7">
        <f>IF(AND(ISNUMBER(C830),ISNUMBER(D830)),D830-C830,"待補")</f>
        <v>0.19048848089361775</v>
      </c>
      <c r="F830" s="9">
        <f>IF(AND(ISNUMBER(C830),ISNUMBER(D830),C830&lt;&gt;0),(C830-D830)/C830,"待補")</f>
        <v>-0.02407831501083491</v>
      </c>
      <c r="G830" s="4" t="s">
        <v>189</v>
      </c>
      <c r="H830" s="4" t="s">
        <v>48</v>
      </c>
    </row>
    <row r="831" spans="1:8" ht="34" customHeight="1">
      <c r="A831" s="2" t="s">
        <v>145</v>
      </c>
      <c r="B831" s="2"/>
      <c r="C831" s="2"/>
      <c r="D831" s="2"/>
      <c r="E831" s="2"/>
      <c r="F831" s="2"/>
      <c r="G831" s="2"/>
      <c r="H831" s="2"/>
    </row>
    <row r="834" spans="1:8" ht="28" customHeight="1">
      <c r="A834" s="3" t="s">
        <v>190</v>
      </c>
      <c r="B834" s="3"/>
      <c r="C834" s="3"/>
      <c r="D834" s="3"/>
      <c r="E834" s="3"/>
      <c r="F834" s="3"/>
      <c r="G834" s="3"/>
      <c r="H834" s="3"/>
    </row>
    <row r="835" spans="1:8" ht="40" customHeight="1">
      <c r="A835" s="2" t="s">
        <v>191</v>
      </c>
      <c r="B835" s="2"/>
      <c r="C835" s="2"/>
      <c r="D835" s="2"/>
      <c r="E835" s="2"/>
      <c r="F835" s="2"/>
      <c r="G835" s="2"/>
      <c r="H835" s="2"/>
    </row>
    <row r="836" spans="1:8" ht="40" customHeight="1">
      <c r="A836" s="2" t="s">
        <v>140</v>
      </c>
      <c r="B836" s="2"/>
      <c r="C836" s="2"/>
      <c r="D836" s="2"/>
      <c r="E836" s="2"/>
      <c r="F836" s="2"/>
      <c r="G836" s="2"/>
      <c r="H836" s="2"/>
    </row>
    <row r="837" spans="1:8">
      <c r="A837" s="3" t="s">
        <v>6</v>
      </c>
      <c r="B837" s="3" t="s">
        <v>7</v>
      </c>
      <c r="C837" s="3" t="s">
        <v>8</v>
      </c>
      <c r="D837" s="3" t="s">
        <v>9</v>
      </c>
      <c r="E837" s="3" t="s">
        <v>10</v>
      </c>
      <c r="F837" s="3" t="s">
        <v>11</v>
      </c>
      <c r="G837" s="3" t="s">
        <v>12</v>
      </c>
      <c r="H837" s="3" t="s">
        <v>13</v>
      </c>
    </row>
    <row r="838" spans="1:8" ht="34" customHeight="1">
      <c r="A838" s="4" t="s">
        <v>14</v>
      </c>
      <c r="B838" s="4" t="s">
        <v>15</v>
      </c>
      <c r="C838" s="6">
        <v>75</v>
      </c>
      <c r="D838" s="6">
        <v>75</v>
      </c>
      <c r="E838" s="7">
        <f>IF(AND(ISNUMBER(C838),ISNUMBER(D838)),(D838-C838),"待補")</f>
        <v>0</v>
      </c>
      <c r="F838" s="8" t="s">
        <v>16</v>
      </c>
      <c r="G838" s="4" t="s">
        <v>141</v>
      </c>
      <c r="H838" s="4"/>
    </row>
    <row r="839" spans="1:8" ht="34" customHeight="1">
      <c r="A839" s="4" t="s">
        <v>18</v>
      </c>
      <c r="B839" s="4" t="s">
        <v>15</v>
      </c>
      <c r="C839" s="6">
        <v>63</v>
      </c>
      <c r="D839" s="6">
        <v>57</v>
      </c>
      <c r="E839" s="7">
        <f>IF(AND(ISNUMBER(C839),ISNUMBER(D839)),(D839-C839),"待補")</f>
        <v>-6</v>
      </c>
      <c r="F839" s="8" t="s">
        <v>16</v>
      </c>
      <c r="G839" s="4" t="s">
        <v>141</v>
      </c>
      <c r="H839" s="4"/>
    </row>
    <row r="840" spans="1:8" ht="34" customHeight="1">
      <c r="A840" s="4" t="s">
        <v>19</v>
      </c>
      <c r="B840" s="4" t="s">
        <v>20</v>
      </c>
      <c r="C840" s="9">
        <v>0.84</v>
      </c>
      <c r="D840" s="9">
        <v>0.76</v>
      </c>
      <c r="E840" s="10">
        <f>IF(AND(ISNUMBER(C840),ISNUMBER(D840)),(D840-C840)*100,"待補")</f>
        <v>-7.9999999999999964</v>
      </c>
      <c r="F840" s="8" t="s">
        <v>16</v>
      </c>
      <c r="G840" s="4" t="s">
        <v>141</v>
      </c>
      <c r="H840" s="4" t="s">
        <v>21</v>
      </c>
    </row>
    <row r="841" spans="1:8" ht="34" customHeight="1">
      <c r="A841" s="4" t="s">
        <v>22</v>
      </c>
      <c r="B841" s="4" t="s">
        <v>15</v>
      </c>
      <c r="C841" s="6">
        <v>68</v>
      </c>
      <c r="D841" s="6">
        <v>59</v>
      </c>
      <c r="E841" s="7">
        <f>IF(AND(ISNUMBER(C841),ISNUMBER(D841)),(D841-C841),"待補")</f>
        <v>-9</v>
      </c>
      <c r="F841" s="8" t="s">
        <v>16</v>
      </c>
      <c r="G841" s="4" t="s">
        <v>141</v>
      </c>
      <c r="H841" s="4"/>
    </row>
    <row r="842" spans="1:8" ht="34" customHeight="1">
      <c r="A842" s="4" t="s">
        <v>23</v>
      </c>
      <c r="B842" s="4" t="s">
        <v>15</v>
      </c>
      <c r="C842" s="6">
        <v>7</v>
      </c>
      <c r="D842" s="6">
        <v>16</v>
      </c>
      <c r="E842" s="7">
        <f>IF(AND(ISNUMBER(C842),ISNUMBER(D842)),(D842-C842),"待補")</f>
        <v>9</v>
      </c>
      <c r="F842" s="8" t="s">
        <v>16</v>
      </c>
      <c r="G842" s="4" t="s">
        <v>141</v>
      </c>
      <c r="H842" s="4"/>
    </row>
    <row r="843" spans="1:8" ht="34" customHeight="1">
      <c r="A843" s="4" t="s">
        <v>24</v>
      </c>
      <c r="B843" s="4" t="s">
        <v>25</v>
      </c>
      <c r="C843" s="7">
        <v>14.53955476314706</v>
      </c>
      <c r="D843" s="7">
        <v>9.82447790001695</v>
      </c>
      <c r="E843" s="7">
        <f>IF(AND(ISNUMBER(C843),ISNUMBER(D843)),(D843-C843),"待補")</f>
        <v>-4.715076863130109</v>
      </c>
      <c r="F843" s="8" t="s">
        <v>16</v>
      </c>
      <c r="G843" s="4" t="s">
        <v>192</v>
      </c>
      <c r="H843" s="4" t="s">
        <v>27</v>
      </c>
    </row>
    <row r="844" spans="1:8" ht="34" customHeight="1">
      <c r="A844" s="4" t="s">
        <v>28</v>
      </c>
      <c r="B844" s="4" t="s">
        <v>25</v>
      </c>
      <c r="C844" s="7">
        <v>7.078909595999999</v>
      </c>
      <c r="D844" s="7">
        <v>6.996029209</v>
      </c>
      <c r="E844" s="7">
        <f>IF(AND(ISNUMBER(C844),ISNUMBER(D844)),(D844-C844),"待補")</f>
        <v>-0.08288038699999856</v>
      </c>
      <c r="F844" s="8" t="s">
        <v>16</v>
      </c>
      <c r="G844" s="4" t="s">
        <v>192</v>
      </c>
      <c r="H844" s="4" t="s">
        <v>27</v>
      </c>
    </row>
    <row r="845" spans="1:8" ht="34" customHeight="1">
      <c r="A845" s="4" t="s">
        <v>29</v>
      </c>
      <c r="B845" s="4" t="s">
        <v>25</v>
      </c>
      <c r="C845" s="7">
        <v>8.506313526095239</v>
      </c>
      <c r="D845" s="7">
        <v>8.59858139054386</v>
      </c>
      <c r="E845" s="7">
        <f>IF(AND(ISNUMBER(C845),ISNUMBER(D845)),(D845-C845),"待補")</f>
        <v>0.09226786444862078</v>
      </c>
      <c r="F845" s="8" t="s">
        <v>16</v>
      </c>
      <c r="G845" s="4" t="s">
        <v>193</v>
      </c>
      <c r="H845" s="4" t="s">
        <v>31</v>
      </c>
    </row>
    <row r="846" spans="1:8" ht="34" customHeight="1">
      <c r="A846" s="4" t="s">
        <v>32</v>
      </c>
      <c r="B846" s="4" t="s">
        <v>33</v>
      </c>
      <c r="C846" s="7">
        <v>0.8819165110235294</v>
      </c>
      <c r="D846" s="7">
        <v>0.7191000774325423</v>
      </c>
      <c r="E846" s="7">
        <f>IF(AND(ISNUMBER(C846),ISNUMBER(D846)),(D846-C846),"待補")</f>
        <v>-0.16281643359098708</v>
      </c>
      <c r="F846" s="8" t="s">
        <v>16</v>
      </c>
      <c r="G846" s="4" t="s">
        <v>141</v>
      </c>
      <c r="H846" s="4"/>
    </row>
    <row r="847" spans="1:8" ht="34" customHeight="1">
      <c r="A847" s="4" t="s">
        <v>34</v>
      </c>
      <c r="B847" s="4" t="s">
        <v>25</v>
      </c>
      <c r="C847" s="7">
        <v>12.83738906188235</v>
      </c>
      <c r="D847" s="7">
        <v>8.453853106796611</v>
      </c>
      <c r="E847" s="7">
        <f>IF(AND(ISNUMBER(C847),ISNUMBER(D847)),(D847-C847),"待補")</f>
        <v>-4.383535955085742</v>
      </c>
      <c r="F847" s="8" t="s">
        <v>16</v>
      </c>
      <c r="G847" s="4" t="s">
        <v>141</v>
      </c>
      <c r="H847" s="4"/>
    </row>
    <row r="848" spans="1:8" ht="34" customHeight="1">
      <c r="A848" s="4" t="s">
        <v>35</v>
      </c>
      <c r="B848" s="4" t="s">
        <v>36</v>
      </c>
      <c r="C848" s="7">
        <v>2.109900893333333</v>
      </c>
      <c r="D848" s="7">
        <v>2.310548253333333</v>
      </c>
      <c r="E848" s="7">
        <f>IF(AND(ISNUMBER(C848),ISNUMBER(D848)),(D848-C848),"待補")</f>
        <v>0.20064736000000005</v>
      </c>
      <c r="F848" s="9">
        <f>IF(AND(ISNUMBER(C848),ISNUMBER(D848),C848&lt;&gt;0),(C848-D848)/C848,"待補")</f>
        <v>-0.09509800229668927</v>
      </c>
      <c r="G848" s="4" t="s">
        <v>141</v>
      </c>
      <c r="H848" s="4" t="s">
        <v>37</v>
      </c>
    </row>
    <row r="849" spans="1:8" ht="34" customHeight="1">
      <c r="A849" s="4" t="s">
        <v>38</v>
      </c>
      <c r="B849" s="4" t="s">
        <v>39</v>
      </c>
      <c r="C849" s="7">
        <v>6.773333333333333</v>
      </c>
      <c r="D849" s="7">
        <v>6.266666666666667</v>
      </c>
      <c r="E849" s="7">
        <f>IF(AND(ISNUMBER(C849),ISNUMBER(D849)),(D849-C849),"待補")</f>
        <v>-0.5066666666666668</v>
      </c>
      <c r="F849" s="8" t="s">
        <v>16</v>
      </c>
      <c r="G849" s="4" t="s">
        <v>141</v>
      </c>
      <c r="H849" s="4"/>
    </row>
    <row r="850" spans="1:8" ht="34" customHeight="1">
      <c r="A850" s="4" t="s">
        <v>40</v>
      </c>
      <c r="B850" s="4" t="s">
        <v>39</v>
      </c>
      <c r="C850" s="7">
        <v>6.76</v>
      </c>
      <c r="D850" s="7">
        <v>6.266666666666667</v>
      </c>
      <c r="E850" s="7">
        <f>IF(AND(ISNUMBER(C850),ISNUMBER(D850)),(D850-C850),"待補")</f>
        <v>-0.4933333333333332</v>
      </c>
      <c r="F850" s="8" t="s">
        <v>16</v>
      </c>
      <c r="G850" s="4" t="s">
        <v>141</v>
      </c>
      <c r="H850" s="4" t="s">
        <v>41</v>
      </c>
    </row>
    <row r="851" spans="1:8">
      <c r="A851" s="4" t="s">
        <v>42</v>
      </c>
      <c r="B851" s="4" t="s">
        <v>15</v>
      </c>
      <c r="D851" s="6">
        <v>7</v>
      </c>
      <c r="H851" s="4" t="s">
        <v>43</v>
      </c>
    </row>
    <row r="852" spans="1:8">
      <c r="A852" s="4" t="s">
        <v>44</v>
      </c>
      <c r="B852" s="4" t="s">
        <v>15</v>
      </c>
      <c r="D852" s="6">
        <v>13</v>
      </c>
      <c r="H852" s="4" t="s">
        <v>43</v>
      </c>
    </row>
    <row r="853" spans="1:8">
      <c r="A853" s="4" t="s">
        <v>45</v>
      </c>
      <c r="B853" s="4" t="s">
        <v>15</v>
      </c>
      <c r="D853" s="6">
        <v>50</v>
      </c>
      <c r="H853" s="4" t="s">
        <v>43</v>
      </c>
    </row>
    <row r="854" spans="1:8">
      <c r="A854" s="4" t="s">
        <v>46</v>
      </c>
      <c r="B854" s="4" t="s">
        <v>25</v>
      </c>
      <c r="C854" s="7">
        <v>8.023621714239999</v>
      </c>
      <c r="D854" s="7">
        <v>8.736234416079999</v>
      </c>
      <c r="E854" s="7">
        <f>IF(AND(ISNUMBER(C854),ISNUMBER(D854)),D854-C854,"待補")</f>
        <v>0.7126127018399999</v>
      </c>
      <c r="F854" s="9">
        <f>IF(AND(ISNUMBER(C854),ISNUMBER(D854),C854&lt;&gt;0),(C854-D854)/C854,"待補")</f>
        <v>-0.08881434434717726</v>
      </c>
      <c r="G854" s="4" t="s">
        <v>194</v>
      </c>
      <c r="H854" s="4" t="s">
        <v>48</v>
      </c>
    </row>
    <row r="855" spans="1:8" ht="34" customHeight="1">
      <c r="A855" s="2" t="s">
        <v>145</v>
      </c>
      <c r="B855" s="2"/>
      <c r="C855" s="2"/>
      <c r="D855" s="2"/>
      <c r="E855" s="2"/>
      <c r="F855" s="2"/>
      <c r="G855" s="2"/>
      <c r="H855" s="2"/>
    </row>
    <row r="858" spans="1:8" ht="28" customHeight="1">
      <c r="A858" s="3" t="s">
        <v>195</v>
      </c>
      <c r="B858" s="3"/>
      <c r="C858" s="3"/>
      <c r="D858" s="3"/>
      <c r="E858" s="3"/>
      <c r="F858" s="3"/>
      <c r="G858" s="3"/>
      <c r="H858" s="3"/>
    </row>
    <row r="859" spans="1:8" ht="40" customHeight="1">
      <c r="A859" s="2" t="s">
        <v>191</v>
      </c>
      <c r="B859" s="2"/>
      <c r="C859" s="2"/>
      <c r="D859" s="2"/>
      <c r="E859" s="2"/>
      <c r="F859" s="2"/>
      <c r="G859" s="2"/>
      <c r="H859" s="2"/>
    </row>
    <row r="860" spans="1:8" ht="40" customHeight="1">
      <c r="A860" s="2" t="s">
        <v>140</v>
      </c>
      <c r="B860" s="2"/>
      <c r="C860" s="2"/>
      <c r="D860" s="2"/>
      <c r="E860" s="2"/>
      <c r="F860" s="2"/>
      <c r="G860" s="2"/>
      <c r="H860" s="2"/>
    </row>
    <row r="861" spans="1:8">
      <c r="A861" s="3" t="s">
        <v>6</v>
      </c>
      <c r="B861" s="3" t="s">
        <v>7</v>
      </c>
      <c r="C861" s="3" t="s">
        <v>8</v>
      </c>
      <c r="D861" s="3" t="s">
        <v>9</v>
      </c>
      <c r="E861" s="3" t="s">
        <v>10</v>
      </c>
      <c r="F861" s="3" t="s">
        <v>11</v>
      </c>
      <c r="G861" s="3" t="s">
        <v>12</v>
      </c>
      <c r="H861" s="3" t="s">
        <v>13</v>
      </c>
    </row>
    <row r="862" spans="1:8" ht="34" customHeight="1">
      <c r="A862" s="4" t="s">
        <v>14</v>
      </c>
      <c r="B862" s="4" t="s">
        <v>15</v>
      </c>
      <c r="C862" s="6">
        <v>75</v>
      </c>
      <c r="D862" s="6">
        <v>75</v>
      </c>
      <c r="E862" s="7">
        <f>IF(AND(ISNUMBER(C862),ISNUMBER(D862)),(D862-C862),"待補")</f>
        <v>0</v>
      </c>
      <c r="F862" s="8" t="s">
        <v>16</v>
      </c>
      <c r="G862" s="4" t="s">
        <v>141</v>
      </c>
      <c r="H862" s="4"/>
    </row>
    <row r="863" spans="1:8" ht="34" customHeight="1">
      <c r="A863" s="4" t="s">
        <v>18</v>
      </c>
      <c r="B863" s="4" t="s">
        <v>15</v>
      </c>
      <c r="C863" s="6">
        <v>65</v>
      </c>
      <c r="D863" s="6">
        <v>57</v>
      </c>
      <c r="E863" s="7">
        <f>IF(AND(ISNUMBER(C863),ISNUMBER(D863)),(D863-C863),"待補")</f>
        <v>-8</v>
      </c>
      <c r="F863" s="8" t="s">
        <v>16</v>
      </c>
      <c r="G863" s="4" t="s">
        <v>141</v>
      </c>
      <c r="H863" s="4"/>
    </row>
    <row r="864" spans="1:8" ht="34" customHeight="1">
      <c r="A864" s="4" t="s">
        <v>19</v>
      </c>
      <c r="B864" s="4" t="s">
        <v>20</v>
      </c>
      <c r="C864" s="9">
        <v>0.8666666666666667</v>
      </c>
      <c r="D864" s="9">
        <v>0.76</v>
      </c>
      <c r="E864" s="10">
        <f>IF(AND(ISNUMBER(C864),ISNUMBER(D864)),(D864-C864)*100,"待補")</f>
        <v>-10.666666666666668</v>
      </c>
      <c r="F864" s="8" t="s">
        <v>16</v>
      </c>
      <c r="G864" s="4" t="s">
        <v>141</v>
      </c>
      <c r="H864" s="4" t="s">
        <v>21</v>
      </c>
    </row>
    <row r="865" spans="1:8" ht="34" customHeight="1">
      <c r="A865" s="4" t="s">
        <v>22</v>
      </c>
      <c r="B865" s="4" t="s">
        <v>15</v>
      </c>
      <c r="C865" s="6">
        <v>68</v>
      </c>
      <c r="D865" s="6">
        <v>59</v>
      </c>
      <c r="E865" s="7">
        <f>IF(AND(ISNUMBER(C865),ISNUMBER(D865)),(D865-C865),"待補")</f>
        <v>-9</v>
      </c>
      <c r="F865" s="8" t="s">
        <v>16</v>
      </c>
      <c r="G865" s="4" t="s">
        <v>141</v>
      </c>
      <c r="H865" s="4"/>
    </row>
    <row r="866" spans="1:8" ht="34" customHeight="1">
      <c r="A866" s="4" t="s">
        <v>23</v>
      </c>
      <c r="B866" s="4" t="s">
        <v>15</v>
      </c>
      <c r="C866" s="6">
        <v>7</v>
      </c>
      <c r="D866" s="6">
        <v>16</v>
      </c>
      <c r="E866" s="7">
        <f>IF(AND(ISNUMBER(C866),ISNUMBER(D866)),(D866-C866),"待補")</f>
        <v>9</v>
      </c>
      <c r="F866" s="8" t="s">
        <v>16</v>
      </c>
      <c r="G866" s="4" t="s">
        <v>141</v>
      </c>
      <c r="H866" s="4"/>
    </row>
    <row r="867" spans="1:8" ht="34" customHeight="1">
      <c r="A867" s="4" t="s">
        <v>24</v>
      </c>
      <c r="B867" s="4" t="s">
        <v>25</v>
      </c>
      <c r="C867" s="7">
        <v>11.40430062222059</v>
      </c>
      <c r="D867" s="7">
        <v>9.997602146101695</v>
      </c>
      <c r="E867" s="7">
        <f>IF(AND(ISNUMBER(C867),ISNUMBER(D867)),(D867-C867),"待補")</f>
        <v>-1.406698476118894</v>
      </c>
      <c r="F867" s="8" t="s">
        <v>16</v>
      </c>
      <c r="G867" s="4" t="s">
        <v>192</v>
      </c>
      <c r="H867" s="4" t="s">
        <v>27</v>
      </c>
    </row>
    <row r="868" spans="1:8" ht="34" customHeight="1">
      <c r="A868" s="4" t="s">
        <v>28</v>
      </c>
      <c r="B868" s="4" t="s">
        <v>25</v>
      </c>
      <c r="C868" s="7">
        <v>6.630230407</v>
      </c>
      <c r="D868" s="7">
        <v>6.996029209</v>
      </c>
      <c r="E868" s="7">
        <f>IF(AND(ISNUMBER(C868),ISNUMBER(D868)),(D868-C868),"待補")</f>
        <v>0.3657988020000005</v>
      </c>
      <c r="F868" s="8" t="s">
        <v>16</v>
      </c>
      <c r="G868" s="4" t="s">
        <v>192</v>
      </c>
      <c r="H868" s="4" t="s">
        <v>27</v>
      </c>
    </row>
    <row r="869" spans="1:8" ht="34" customHeight="1">
      <c r="A869" s="4" t="s">
        <v>29</v>
      </c>
      <c r="B869" s="4" t="s">
        <v>25</v>
      </c>
      <c r="C869" s="7">
        <v>8.167160837092307</v>
      </c>
      <c r="D869" s="7">
        <v>8.583951592105263</v>
      </c>
      <c r="E869" s="7">
        <f>IF(AND(ISNUMBER(C869),ISNUMBER(D869)),(D869-C869),"待補")</f>
        <v>0.4167907550129559</v>
      </c>
      <c r="F869" s="8" t="s">
        <v>16</v>
      </c>
      <c r="G869" s="4" t="s">
        <v>196</v>
      </c>
      <c r="H869" s="4" t="s">
        <v>31</v>
      </c>
    </row>
    <row r="870" spans="1:8" ht="34" customHeight="1">
      <c r="A870" s="4" t="s">
        <v>32</v>
      </c>
      <c r="B870" s="4" t="s">
        <v>33</v>
      </c>
      <c r="C870" s="7">
        <v>0.6951690738455882</v>
      </c>
      <c r="D870" s="7">
        <v>0.6263456237766102</v>
      </c>
      <c r="E870" s="7">
        <f>IF(AND(ISNUMBER(C870),ISNUMBER(D870)),(D870-C870),"待補")</f>
        <v>-0.06882345006897805</v>
      </c>
      <c r="F870" s="8" t="s">
        <v>16</v>
      </c>
      <c r="G870" s="4" t="s">
        <v>141</v>
      </c>
      <c r="H870" s="4"/>
    </row>
    <row r="871" spans="1:8" ht="34" customHeight="1">
      <c r="A871" s="4" t="s">
        <v>34</v>
      </c>
      <c r="B871" s="4" t="s">
        <v>25</v>
      </c>
      <c r="C871" s="7">
        <v>10.01956322791177</v>
      </c>
      <c r="D871" s="7">
        <v>8.842397034101696</v>
      </c>
      <c r="E871" s="7">
        <f>IF(AND(ISNUMBER(C871),ISNUMBER(D871)),(D871-C871),"待補")</f>
        <v>-1.17716619381007</v>
      </c>
      <c r="F871" s="8" t="s">
        <v>16</v>
      </c>
      <c r="G871" s="4" t="s">
        <v>141</v>
      </c>
      <c r="H871" s="4"/>
    </row>
    <row r="872" spans="1:8" ht="34" customHeight="1">
      <c r="A872" s="4" t="s">
        <v>35</v>
      </c>
      <c r="B872" s="4" t="s">
        <v>36</v>
      </c>
      <c r="C872" s="7">
        <v>2.532242066666667</v>
      </c>
      <c r="D872" s="7">
        <v>2.70226656</v>
      </c>
      <c r="E872" s="7">
        <f>IF(AND(ISNUMBER(C872),ISNUMBER(D872)),(D872-C872),"待補")</f>
        <v>0.17002449333333347</v>
      </c>
      <c r="F872" s="9">
        <f>IF(AND(ISNUMBER(C872),ISNUMBER(D872),C872&lt;&gt;0),(C872-D872)/C872,"待補")</f>
        <v>-0.06714385467782168</v>
      </c>
      <c r="G872" s="4" t="s">
        <v>141</v>
      </c>
      <c r="H872" s="4" t="s">
        <v>37</v>
      </c>
    </row>
    <row r="873" spans="1:8" ht="34" customHeight="1">
      <c r="A873" s="4" t="s">
        <v>38</v>
      </c>
      <c r="B873" s="4" t="s">
        <v>39</v>
      </c>
      <c r="C873" s="7">
        <v>6.773333333333333</v>
      </c>
      <c r="D873" s="7">
        <v>6.266666666666667</v>
      </c>
      <c r="E873" s="7">
        <f>IF(AND(ISNUMBER(C873),ISNUMBER(D873)),(D873-C873),"待補")</f>
        <v>-0.5066666666666668</v>
      </c>
      <c r="F873" s="8" t="s">
        <v>16</v>
      </c>
      <c r="G873" s="4" t="s">
        <v>141</v>
      </c>
      <c r="H873" s="4"/>
    </row>
    <row r="874" spans="1:8" ht="34" customHeight="1">
      <c r="A874" s="4" t="s">
        <v>40</v>
      </c>
      <c r="B874" s="4" t="s">
        <v>39</v>
      </c>
      <c r="C874" s="7">
        <v>6.76</v>
      </c>
      <c r="D874" s="7">
        <v>6.266666666666667</v>
      </c>
      <c r="E874" s="7">
        <f>IF(AND(ISNUMBER(C874),ISNUMBER(D874)),(D874-C874),"待補")</f>
        <v>-0.4933333333333332</v>
      </c>
      <c r="F874" s="8" t="s">
        <v>16</v>
      </c>
      <c r="G874" s="4" t="s">
        <v>141</v>
      </c>
      <c r="H874" s="4" t="s">
        <v>41</v>
      </c>
    </row>
    <row r="875" spans="1:8" ht="34" customHeight="1">
      <c r="A875" s="4" t="s">
        <v>53</v>
      </c>
      <c r="B875" s="4" t="s">
        <v>39</v>
      </c>
      <c r="C875" s="7">
        <v>6.533333333333333</v>
      </c>
      <c r="D875" s="7">
        <v>5.906666666666666</v>
      </c>
      <c r="E875" s="7">
        <f>IF(AND(ISNUMBER(C875),ISNUMBER(D875)),(D875-C875),"待補")</f>
        <v>-0.6266666666666669</v>
      </c>
      <c r="F875" s="8" t="s">
        <v>16</v>
      </c>
      <c r="G875" s="4" t="s">
        <v>141</v>
      </c>
      <c r="H875" s="4" t="s">
        <v>54</v>
      </c>
    </row>
    <row r="876" spans="1:8">
      <c r="A876" s="4" t="s">
        <v>42</v>
      </c>
      <c r="B876" s="4" t="s">
        <v>15</v>
      </c>
      <c r="D876" s="6">
        <v>5</v>
      </c>
      <c r="H876" s="4" t="s">
        <v>43</v>
      </c>
    </row>
    <row r="877" spans="1:8">
      <c r="A877" s="4" t="s">
        <v>44</v>
      </c>
      <c r="B877" s="4" t="s">
        <v>15</v>
      </c>
      <c r="D877" s="6">
        <v>13</v>
      </c>
      <c r="H877" s="4" t="s">
        <v>43</v>
      </c>
    </row>
    <row r="878" spans="1:8">
      <c r="A878" s="4" t="s">
        <v>45</v>
      </c>
      <c r="B878" s="4" t="s">
        <v>15</v>
      </c>
      <c r="D878" s="6">
        <v>52</v>
      </c>
      <c r="H878" s="4" t="s">
        <v>43</v>
      </c>
    </row>
    <row r="879" spans="1:8">
      <c r="A879" s="4" t="s">
        <v>46</v>
      </c>
      <c r="B879" s="4" t="s">
        <v>25</v>
      </c>
      <c r="C879" s="7">
        <v>7.618245922673077</v>
      </c>
      <c r="D879" s="7">
        <v>8.558179071326922</v>
      </c>
      <c r="E879" s="7">
        <f>IF(AND(ISNUMBER(C879),ISNUMBER(D879)),D879-C879,"待補")</f>
        <v>0.9399331486538459</v>
      </c>
      <c r="F879" s="9">
        <f>IF(AND(ISNUMBER(C879),ISNUMBER(D879),C879&lt;&gt;0),(C879-D879)/C879,"待補")</f>
        <v>-0.12337920804793918</v>
      </c>
      <c r="G879" s="4" t="s">
        <v>197</v>
      </c>
      <c r="H879" s="4" t="s">
        <v>48</v>
      </c>
    </row>
    <row r="880" spans="1:8" ht="34" customHeight="1">
      <c r="A880" s="2" t="s">
        <v>145</v>
      </c>
      <c r="B880" s="2"/>
      <c r="C880" s="2"/>
      <c r="D880" s="2"/>
      <c r="E880" s="2"/>
      <c r="F880" s="2"/>
      <c r="G880" s="2"/>
      <c r="H880" s="2"/>
    </row>
    <row r="883" spans="1:8" ht="28" customHeight="1">
      <c r="A883" s="3" t="s">
        <v>198</v>
      </c>
      <c r="B883" s="3"/>
      <c r="C883" s="3"/>
      <c r="D883" s="3"/>
      <c r="E883" s="3"/>
      <c r="F883" s="3"/>
      <c r="G883" s="3"/>
      <c r="H883" s="3"/>
    </row>
    <row r="884" spans="1:8" ht="40" customHeight="1">
      <c r="A884" s="2" t="s">
        <v>199</v>
      </c>
      <c r="B884" s="2"/>
      <c r="C884" s="2"/>
      <c r="D884" s="2"/>
      <c r="E884" s="2"/>
      <c r="F884" s="2"/>
      <c r="G884" s="2"/>
      <c r="H884" s="2"/>
    </row>
    <row r="885" spans="1:8" ht="40" customHeight="1">
      <c r="A885" s="2" t="s">
        <v>140</v>
      </c>
      <c r="B885" s="2"/>
      <c r="C885" s="2"/>
      <c r="D885" s="2"/>
      <c r="E885" s="2"/>
      <c r="F885" s="2"/>
      <c r="G885" s="2"/>
      <c r="H885" s="2"/>
    </row>
    <row r="886" spans="1:8">
      <c r="A886" s="3" t="s">
        <v>6</v>
      </c>
      <c r="B886" s="3" t="s">
        <v>7</v>
      </c>
      <c r="C886" s="3" t="s">
        <v>8</v>
      </c>
      <c r="D886" s="3" t="s">
        <v>9</v>
      </c>
      <c r="E886" s="3" t="s">
        <v>10</v>
      </c>
      <c r="F886" s="3" t="s">
        <v>11</v>
      </c>
      <c r="G886" s="3" t="s">
        <v>12</v>
      </c>
      <c r="H886" s="3" t="s">
        <v>13</v>
      </c>
    </row>
    <row r="887" spans="1:8" ht="34" customHeight="1">
      <c r="A887" s="4" t="s">
        <v>14</v>
      </c>
      <c r="B887" s="4" t="s">
        <v>15</v>
      </c>
      <c r="C887" s="6">
        <v>75</v>
      </c>
      <c r="D887" s="6">
        <v>75</v>
      </c>
      <c r="E887" s="7">
        <f>IF(AND(ISNUMBER(C887),ISNUMBER(D887)),(D887-C887),"待補")</f>
        <v>0</v>
      </c>
      <c r="F887" s="8" t="s">
        <v>16</v>
      </c>
      <c r="G887" s="4" t="s">
        <v>141</v>
      </c>
      <c r="H887" s="4"/>
    </row>
    <row r="888" spans="1:8" ht="34" customHeight="1">
      <c r="A888" s="4" t="s">
        <v>18</v>
      </c>
      <c r="B888" s="4" t="s">
        <v>15</v>
      </c>
      <c r="C888" s="6">
        <v>63</v>
      </c>
      <c r="D888" s="6">
        <v>62</v>
      </c>
      <c r="E888" s="7">
        <f>IF(AND(ISNUMBER(C888),ISNUMBER(D888)),(D888-C888),"待補")</f>
        <v>-1</v>
      </c>
      <c r="F888" s="8" t="s">
        <v>16</v>
      </c>
      <c r="G888" s="4" t="s">
        <v>141</v>
      </c>
      <c r="H888" s="4"/>
    </row>
    <row r="889" spans="1:8" ht="34" customHeight="1">
      <c r="A889" s="4" t="s">
        <v>19</v>
      </c>
      <c r="B889" s="4" t="s">
        <v>20</v>
      </c>
      <c r="C889" s="9">
        <v>0.84</v>
      </c>
      <c r="D889" s="9">
        <v>0.8266666666666667</v>
      </c>
      <c r="E889" s="10">
        <f>IF(AND(ISNUMBER(C889),ISNUMBER(D889)),(D889-C889)*100,"待補")</f>
        <v>-1.3333333333333308</v>
      </c>
      <c r="F889" s="8" t="s">
        <v>16</v>
      </c>
      <c r="G889" s="4" t="s">
        <v>141</v>
      </c>
      <c r="H889" s="4" t="s">
        <v>21</v>
      </c>
    </row>
    <row r="890" spans="1:8" ht="34" customHeight="1">
      <c r="A890" s="4" t="s">
        <v>22</v>
      </c>
      <c r="B890" s="4" t="s">
        <v>15</v>
      </c>
      <c r="C890" s="6">
        <v>66</v>
      </c>
      <c r="D890" s="6">
        <v>65</v>
      </c>
      <c r="E890" s="7">
        <f>IF(AND(ISNUMBER(C890),ISNUMBER(D890)),(D890-C890),"待補")</f>
        <v>-1</v>
      </c>
      <c r="F890" s="8" t="s">
        <v>16</v>
      </c>
      <c r="G890" s="4" t="s">
        <v>141</v>
      </c>
      <c r="H890" s="4"/>
    </row>
    <row r="891" spans="1:8" ht="34" customHeight="1">
      <c r="A891" s="4" t="s">
        <v>23</v>
      </c>
      <c r="B891" s="4" t="s">
        <v>15</v>
      </c>
      <c r="C891" s="6">
        <v>9</v>
      </c>
      <c r="D891" s="6">
        <v>10</v>
      </c>
      <c r="E891" s="7">
        <f>IF(AND(ISNUMBER(C891),ISNUMBER(D891)),(D891-C891),"待補")</f>
        <v>1</v>
      </c>
      <c r="F891" s="8" t="s">
        <v>16</v>
      </c>
      <c r="G891" s="4" t="s">
        <v>141</v>
      </c>
      <c r="H891" s="4"/>
    </row>
    <row r="892" spans="1:8" ht="34" customHeight="1">
      <c r="A892" s="4" t="s">
        <v>24</v>
      </c>
      <c r="B892" s="4" t="s">
        <v>25</v>
      </c>
      <c r="C892" s="7">
        <v>15.98190520154546</v>
      </c>
      <c r="D892" s="7">
        <v>15.66187891973846</v>
      </c>
      <c r="E892" s="7">
        <f>IF(AND(ISNUMBER(C892),ISNUMBER(D892)),(D892-C892),"待補")</f>
        <v>-0.3200262818069941</v>
      </c>
      <c r="F892" s="8" t="s">
        <v>16</v>
      </c>
      <c r="G892" s="4" t="s">
        <v>200</v>
      </c>
      <c r="H892" s="4" t="s">
        <v>27</v>
      </c>
    </row>
    <row r="893" spans="1:8" ht="34" customHeight="1">
      <c r="A893" s="4" t="s">
        <v>28</v>
      </c>
      <c r="B893" s="4" t="s">
        <v>25</v>
      </c>
      <c r="C893" s="7">
        <v>7.153716524500001</v>
      </c>
      <c r="D893" s="7">
        <v>7.053865256</v>
      </c>
      <c r="E893" s="7">
        <f>IF(AND(ISNUMBER(C893),ISNUMBER(D893)),(D893-C893),"待補")</f>
        <v>-0.09985126850000103</v>
      </c>
      <c r="F893" s="8" t="s">
        <v>16</v>
      </c>
      <c r="G893" s="4" t="s">
        <v>200</v>
      </c>
      <c r="H893" s="4" t="s">
        <v>27</v>
      </c>
    </row>
    <row r="894" spans="1:8" ht="34" customHeight="1">
      <c r="A894" s="4" t="s">
        <v>29</v>
      </c>
      <c r="B894" s="4" t="s">
        <v>25</v>
      </c>
      <c r="C894" s="7">
        <v>9.024764704476191</v>
      </c>
      <c r="D894" s="7">
        <v>8.577041336500001</v>
      </c>
      <c r="E894" s="7">
        <f>IF(AND(ISNUMBER(C894),ISNUMBER(D894)),(D894-C894),"待補")</f>
        <v>-0.44772336797618983</v>
      </c>
      <c r="F894" s="8" t="s">
        <v>16</v>
      </c>
      <c r="G894" s="4" t="s">
        <v>151</v>
      </c>
      <c r="H894" s="4" t="s">
        <v>31</v>
      </c>
    </row>
    <row r="895" spans="1:8" ht="34" customHeight="1">
      <c r="A895" s="4" t="s">
        <v>32</v>
      </c>
      <c r="B895" s="4" t="s">
        <v>33</v>
      </c>
      <c r="C895" s="7">
        <v>0.8342280190004545</v>
      </c>
      <c r="D895" s="7">
        <v>0.8308735027358461</v>
      </c>
      <c r="E895" s="7">
        <f>IF(AND(ISNUMBER(C895),ISNUMBER(D895)),(D895-C895),"待補")</f>
        <v>-0.003354516264608365</v>
      </c>
      <c r="F895" s="8" t="s">
        <v>16</v>
      </c>
      <c r="G895" s="4" t="s">
        <v>141</v>
      </c>
      <c r="H895" s="4"/>
    </row>
    <row r="896" spans="1:8" ht="34" customHeight="1">
      <c r="A896" s="4" t="s">
        <v>34</v>
      </c>
      <c r="B896" s="4" t="s">
        <v>25</v>
      </c>
      <c r="C896" s="7">
        <v>14.60829021321667</v>
      </c>
      <c r="D896" s="7">
        <v>14.28680084263538</v>
      </c>
      <c r="E896" s="7">
        <f>IF(AND(ISNUMBER(C896),ISNUMBER(D896)),(D896-C896),"待補")</f>
        <v>-0.3214893705812827</v>
      </c>
      <c r="F896" s="8" t="s">
        <v>16</v>
      </c>
      <c r="G896" s="4" t="s">
        <v>141</v>
      </c>
      <c r="H896" s="4"/>
    </row>
    <row r="897" spans="1:8" ht="34" customHeight="1">
      <c r="A897" s="4" t="s">
        <v>35</v>
      </c>
      <c r="B897" s="4" t="s">
        <v>36</v>
      </c>
      <c r="C897" s="7">
        <v>2.18136476</v>
      </c>
      <c r="D897" s="7">
        <v>2.098197453333333</v>
      </c>
      <c r="E897" s="7">
        <f>IF(AND(ISNUMBER(C897),ISNUMBER(D897)),(D897-C897),"待補")</f>
        <v>-0.08316730666666672</v>
      </c>
      <c r="F897" s="9">
        <f>IF(AND(ISNUMBER(C897),ISNUMBER(D897),C897&lt;&gt;0),(C897-D897)/C897,"待補")</f>
        <v>0.03812627222723939</v>
      </c>
      <c r="G897" s="4" t="s">
        <v>141</v>
      </c>
      <c r="H897" s="4" t="s">
        <v>37</v>
      </c>
    </row>
    <row r="898" spans="1:8" ht="34" customHeight="1">
      <c r="A898" s="4" t="s">
        <v>38</v>
      </c>
      <c r="B898" s="4" t="s">
        <v>39</v>
      </c>
      <c r="C898" s="7">
        <v>6.36</v>
      </c>
      <c r="D898" s="7">
        <v>6.253333333333333</v>
      </c>
      <c r="E898" s="7">
        <f>IF(AND(ISNUMBER(C898),ISNUMBER(D898)),(D898-C898),"待補")</f>
        <v>-0.10666666666666735</v>
      </c>
      <c r="F898" s="8" t="s">
        <v>16</v>
      </c>
      <c r="G898" s="4" t="s">
        <v>141</v>
      </c>
      <c r="H898" s="4"/>
    </row>
    <row r="899" spans="1:8" ht="34" customHeight="1">
      <c r="A899" s="4" t="s">
        <v>40</v>
      </c>
      <c r="B899" s="4" t="s">
        <v>39</v>
      </c>
      <c r="C899" s="7">
        <v>6.36</v>
      </c>
      <c r="D899" s="7">
        <v>6.253333333333333</v>
      </c>
      <c r="E899" s="7">
        <f>IF(AND(ISNUMBER(C899),ISNUMBER(D899)),(D899-C899),"待補")</f>
        <v>-0.10666666666666735</v>
      </c>
      <c r="F899" s="8" t="s">
        <v>16</v>
      </c>
      <c r="G899" s="4" t="s">
        <v>141</v>
      </c>
      <c r="H899" s="4" t="s">
        <v>41</v>
      </c>
    </row>
    <row r="900" spans="1:8">
      <c r="A900" s="4" t="s">
        <v>42</v>
      </c>
      <c r="B900" s="4" t="s">
        <v>15</v>
      </c>
      <c r="D900" s="6">
        <v>1</v>
      </c>
      <c r="H900" s="4" t="s">
        <v>43</v>
      </c>
    </row>
    <row r="901" spans="1:8">
      <c r="A901" s="4" t="s">
        <v>44</v>
      </c>
      <c r="B901" s="4" t="s">
        <v>15</v>
      </c>
      <c r="D901" s="6">
        <v>2</v>
      </c>
      <c r="H901" s="4" t="s">
        <v>43</v>
      </c>
    </row>
    <row r="902" spans="1:8">
      <c r="A902" s="4" t="s">
        <v>45</v>
      </c>
      <c r="B902" s="4" t="s">
        <v>15</v>
      </c>
      <c r="D902" s="6">
        <v>61</v>
      </c>
      <c r="H902" s="4" t="s">
        <v>43</v>
      </c>
    </row>
    <row r="903" spans="1:8">
      <c r="A903" s="4" t="s">
        <v>46</v>
      </c>
      <c r="B903" s="4" t="s">
        <v>25</v>
      </c>
      <c r="C903" s="7">
        <v>8.512383952622951</v>
      </c>
      <c r="D903" s="7">
        <v>8.652471817803278</v>
      </c>
      <c r="E903" s="7">
        <f>IF(AND(ISNUMBER(C903),ISNUMBER(D903)),D903-C903,"待補")</f>
        <v>0.14008786518032723</v>
      </c>
      <c r="F903" s="9">
        <f>IF(AND(ISNUMBER(C903),ISNUMBER(D903),C903&lt;&gt;0),(C903-D903)/C903,"待補")</f>
        <v>-0.016456948601004006</v>
      </c>
      <c r="G903" s="4" t="s">
        <v>160</v>
      </c>
      <c r="H903" s="4" t="s">
        <v>48</v>
      </c>
    </row>
    <row r="904" spans="1:8" ht="34" customHeight="1">
      <c r="A904" s="2" t="s">
        <v>145</v>
      </c>
      <c r="B904" s="2"/>
      <c r="C904" s="2"/>
      <c r="D904" s="2"/>
      <c r="E904" s="2"/>
      <c r="F904" s="2"/>
      <c r="G904" s="2"/>
      <c r="H904" s="2"/>
    </row>
    <row r="907" spans="1:8" ht="28" customHeight="1">
      <c r="A907" s="3" t="s">
        <v>201</v>
      </c>
      <c r="B907" s="3"/>
      <c r="C907" s="3"/>
      <c r="D907" s="3"/>
      <c r="E907" s="3"/>
      <c r="F907" s="3"/>
      <c r="G907" s="3"/>
      <c r="H907" s="3"/>
    </row>
    <row r="908" spans="1:8" ht="40" customHeight="1">
      <c r="A908" s="2" t="s">
        <v>199</v>
      </c>
      <c r="B908" s="2"/>
      <c r="C908" s="2"/>
      <c r="D908" s="2"/>
      <c r="E908" s="2"/>
      <c r="F908" s="2"/>
      <c r="G908" s="2"/>
      <c r="H908" s="2"/>
    </row>
    <row r="909" spans="1:8" ht="40" customHeight="1">
      <c r="A909" s="2" t="s">
        <v>140</v>
      </c>
      <c r="B909" s="2"/>
      <c r="C909" s="2"/>
      <c r="D909" s="2"/>
      <c r="E909" s="2"/>
      <c r="F909" s="2"/>
      <c r="G909" s="2"/>
      <c r="H909" s="2"/>
    </row>
    <row r="910" spans="1:8">
      <c r="A910" s="3" t="s">
        <v>6</v>
      </c>
      <c r="B910" s="3" t="s">
        <v>7</v>
      </c>
      <c r="C910" s="3" t="s">
        <v>8</v>
      </c>
      <c r="D910" s="3" t="s">
        <v>9</v>
      </c>
      <c r="E910" s="3" t="s">
        <v>10</v>
      </c>
      <c r="F910" s="3" t="s">
        <v>11</v>
      </c>
      <c r="G910" s="3" t="s">
        <v>12</v>
      </c>
      <c r="H910" s="3" t="s">
        <v>13</v>
      </c>
    </row>
    <row r="911" spans="1:8" ht="34" customHeight="1">
      <c r="A911" s="4" t="s">
        <v>14</v>
      </c>
      <c r="B911" s="4" t="s">
        <v>15</v>
      </c>
      <c r="C911" s="6">
        <v>75</v>
      </c>
      <c r="D911" s="6">
        <v>75</v>
      </c>
      <c r="E911" s="7">
        <f>IF(AND(ISNUMBER(C911),ISNUMBER(D911)),(D911-C911),"待補")</f>
        <v>0</v>
      </c>
      <c r="F911" s="8" t="s">
        <v>16</v>
      </c>
      <c r="G911" s="4" t="s">
        <v>141</v>
      </c>
      <c r="H911" s="4"/>
    </row>
    <row r="912" spans="1:8" ht="34" customHeight="1">
      <c r="A912" s="4" t="s">
        <v>18</v>
      </c>
      <c r="B912" s="4" t="s">
        <v>15</v>
      </c>
      <c r="C912" s="6">
        <v>61</v>
      </c>
      <c r="D912" s="6">
        <v>60</v>
      </c>
      <c r="E912" s="7">
        <f>IF(AND(ISNUMBER(C912),ISNUMBER(D912)),(D912-C912),"待補")</f>
        <v>-1</v>
      </c>
      <c r="F912" s="8" t="s">
        <v>16</v>
      </c>
      <c r="G912" s="4" t="s">
        <v>141</v>
      </c>
      <c r="H912" s="4"/>
    </row>
    <row r="913" spans="1:8" ht="34" customHeight="1">
      <c r="A913" s="4" t="s">
        <v>19</v>
      </c>
      <c r="B913" s="4" t="s">
        <v>20</v>
      </c>
      <c r="C913" s="9">
        <v>0.8133333333333334</v>
      </c>
      <c r="D913" s="9">
        <v>0.8</v>
      </c>
      <c r="E913" s="10">
        <f>IF(AND(ISNUMBER(C913),ISNUMBER(D913)),(D913-C913)*100,"待補")</f>
        <v>-1.3333333333333308</v>
      </c>
      <c r="F913" s="8" t="s">
        <v>16</v>
      </c>
      <c r="G913" s="4" t="s">
        <v>141</v>
      </c>
      <c r="H913" s="4" t="s">
        <v>21</v>
      </c>
    </row>
    <row r="914" spans="1:8" ht="34" customHeight="1">
      <c r="A914" s="4" t="s">
        <v>22</v>
      </c>
      <c r="B914" s="4" t="s">
        <v>15</v>
      </c>
      <c r="C914" s="6">
        <v>66</v>
      </c>
      <c r="D914" s="6">
        <v>65</v>
      </c>
      <c r="E914" s="7">
        <f>IF(AND(ISNUMBER(C914),ISNUMBER(D914)),(D914-C914),"待補")</f>
        <v>-1</v>
      </c>
      <c r="F914" s="8" t="s">
        <v>16</v>
      </c>
      <c r="G914" s="4" t="s">
        <v>141</v>
      </c>
      <c r="H914" s="4"/>
    </row>
    <row r="915" spans="1:8" ht="34" customHeight="1">
      <c r="A915" s="4" t="s">
        <v>23</v>
      </c>
      <c r="B915" s="4" t="s">
        <v>15</v>
      </c>
      <c r="C915" s="6">
        <v>9</v>
      </c>
      <c r="D915" s="6">
        <v>10</v>
      </c>
      <c r="E915" s="7">
        <f>IF(AND(ISNUMBER(C915),ISNUMBER(D915)),(D915-C915),"待補")</f>
        <v>1</v>
      </c>
      <c r="F915" s="8" t="s">
        <v>16</v>
      </c>
      <c r="G915" s="4" t="s">
        <v>141</v>
      </c>
      <c r="H915" s="4"/>
    </row>
    <row r="916" spans="1:8" ht="34" customHeight="1">
      <c r="A916" s="4" t="s">
        <v>24</v>
      </c>
      <c r="B916" s="4" t="s">
        <v>25</v>
      </c>
      <c r="C916" s="7">
        <v>12.95395787793939</v>
      </c>
      <c r="D916" s="7">
        <v>12.55988721778462</v>
      </c>
      <c r="E916" s="7">
        <f>IF(AND(ISNUMBER(C916),ISNUMBER(D916)),(D916-C916),"待補")</f>
        <v>-0.3940706601547799</v>
      </c>
      <c r="F916" s="8" t="s">
        <v>16</v>
      </c>
      <c r="G916" s="4" t="s">
        <v>200</v>
      </c>
      <c r="H916" s="4" t="s">
        <v>27</v>
      </c>
    </row>
    <row r="917" spans="1:8" ht="34" customHeight="1">
      <c r="A917" s="4" t="s">
        <v>28</v>
      </c>
      <c r="B917" s="4" t="s">
        <v>25</v>
      </c>
      <c r="C917" s="7">
        <v>7.2553641785</v>
      </c>
      <c r="D917" s="7">
        <v>7.257160563999999</v>
      </c>
      <c r="E917" s="7">
        <f>IF(AND(ISNUMBER(C917),ISNUMBER(D917)),(D917-C917),"待補")</f>
        <v>0.0017963854999996087</v>
      </c>
      <c r="F917" s="8" t="s">
        <v>16</v>
      </c>
      <c r="G917" s="4" t="s">
        <v>200</v>
      </c>
      <c r="H917" s="4" t="s">
        <v>27</v>
      </c>
    </row>
    <row r="918" spans="1:8" ht="34" customHeight="1">
      <c r="A918" s="4" t="s">
        <v>29</v>
      </c>
      <c r="B918" s="4" t="s">
        <v>25</v>
      </c>
      <c r="C918" s="7">
        <v>9.045072380721312</v>
      </c>
      <c r="D918" s="7">
        <v>8.553014407266666</v>
      </c>
      <c r="E918" s="7">
        <f>IF(AND(ISNUMBER(C918),ISNUMBER(D918)),(D918-C918),"待補")</f>
        <v>-0.49205797345464575</v>
      </c>
      <c r="F918" s="8" t="s">
        <v>16</v>
      </c>
      <c r="G918" s="4" t="s">
        <v>202</v>
      </c>
      <c r="H918" s="4" t="s">
        <v>31</v>
      </c>
    </row>
    <row r="919" spans="1:8" ht="34" customHeight="1">
      <c r="A919" s="4" t="s">
        <v>32</v>
      </c>
      <c r="B919" s="4" t="s">
        <v>33</v>
      </c>
      <c r="C919" s="7">
        <v>0.8007894974504546</v>
      </c>
      <c r="D919" s="7">
        <v>0.7894862687866154</v>
      </c>
      <c r="E919" s="7">
        <f>IF(AND(ISNUMBER(C919),ISNUMBER(D919)),(D919-C919),"待補")</f>
        <v>-0.011303228663839149</v>
      </c>
      <c r="F919" s="8" t="s">
        <v>16</v>
      </c>
      <c r="G919" s="4" t="s">
        <v>141</v>
      </c>
      <c r="H919" s="4"/>
    </row>
    <row r="920" spans="1:8" ht="34" customHeight="1">
      <c r="A920" s="4" t="s">
        <v>34</v>
      </c>
      <c r="B920" s="4" t="s">
        <v>25</v>
      </c>
      <c r="C920" s="7">
        <v>11.43577672201515</v>
      </c>
      <c r="D920" s="7">
        <v>11.06109278023077</v>
      </c>
      <c r="E920" s="7">
        <f>IF(AND(ISNUMBER(C920),ISNUMBER(D920)),(D920-C920),"待補")</f>
        <v>-0.37468394178438125</v>
      </c>
      <c r="F920" s="8" t="s">
        <v>16</v>
      </c>
      <c r="G920" s="4" t="s">
        <v>141</v>
      </c>
      <c r="H920" s="4"/>
    </row>
    <row r="921" spans="1:8" ht="34" customHeight="1">
      <c r="A921" s="4" t="s">
        <v>35</v>
      </c>
      <c r="B921" s="4" t="s">
        <v>36</v>
      </c>
      <c r="C921" s="7">
        <v>2.924725</v>
      </c>
      <c r="D921" s="7">
        <v>2.491915693333334</v>
      </c>
      <c r="E921" s="7">
        <f>IF(AND(ISNUMBER(C921),ISNUMBER(D921)),(D921-C921),"待補")</f>
        <v>-0.4328093066666665</v>
      </c>
      <c r="F921" s="9">
        <f>IF(AND(ISNUMBER(C921),ISNUMBER(D921),C921&lt;&gt;0),(C921-D921)/C921,"待補")</f>
        <v>0.14798290665504157</v>
      </c>
      <c r="G921" s="4" t="s">
        <v>141</v>
      </c>
      <c r="H921" s="4" t="s">
        <v>37</v>
      </c>
    </row>
    <row r="922" spans="1:8" ht="34" customHeight="1">
      <c r="A922" s="4" t="s">
        <v>38</v>
      </c>
      <c r="B922" s="4" t="s">
        <v>39</v>
      </c>
      <c r="C922" s="7">
        <v>6.36</v>
      </c>
      <c r="D922" s="7">
        <v>6.253333333333333</v>
      </c>
      <c r="E922" s="7">
        <f>IF(AND(ISNUMBER(C922),ISNUMBER(D922)),(D922-C922),"待補")</f>
        <v>-0.10666666666666735</v>
      </c>
      <c r="F922" s="8" t="s">
        <v>16</v>
      </c>
      <c r="G922" s="4" t="s">
        <v>141</v>
      </c>
      <c r="H922" s="4"/>
    </row>
    <row r="923" spans="1:8" ht="34" customHeight="1">
      <c r="A923" s="4" t="s">
        <v>40</v>
      </c>
      <c r="B923" s="4" t="s">
        <v>39</v>
      </c>
      <c r="C923" s="7">
        <v>6.36</v>
      </c>
      <c r="D923" s="7">
        <v>6.253333333333333</v>
      </c>
      <c r="E923" s="7">
        <f>IF(AND(ISNUMBER(C923),ISNUMBER(D923)),(D923-C923),"待補")</f>
        <v>-0.10666666666666735</v>
      </c>
      <c r="F923" s="8" t="s">
        <v>16</v>
      </c>
      <c r="G923" s="4" t="s">
        <v>141</v>
      </c>
      <c r="H923" s="4" t="s">
        <v>41</v>
      </c>
    </row>
    <row r="924" spans="1:8" ht="34" customHeight="1">
      <c r="A924" s="4" t="s">
        <v>53</v>
      </c>
      <c r="B924" s="4" t="s">
        <v>39</v>
      </c>
      <c r="C924" s="7">
        <v>6.106666666666666</v>
      </c>
      <c r="D924" s="7">
        <v>6.013333333333334</v>
      </c>
      <c r="E924" s="7">
        <f>IF(AND(ISNUMBER(C924),ISNUMBER(D924)),(D924-C924),"待補")</f>
        <v>-0.09333333333333282</v>
      </c>
      <c r="F924" s="8" t="s">
        <v>16</v>
      </c>
      <c r="G924" s="4" t="s">
        <v>141</v>
      </c>
      <c r="H924" s="4" t="s">
        <v>54</v>
      </c>
    </row>
    <row r="925" spans="1:8">
      <c r="A925" s="4" t="s">
        <v>42</v>
      </c>
      <c r="B925" s="4" t="s">
        <v>15</v>
      </c>
      <c r="D925" s="6">
        <v>1</v>
      </c>
      <c r="H925" s="4" t="s">
        <v>43</v>
      </c>
    </row>
    <row r="926" spans="1:8">
      <c r="A926" s="4" t="s">
        <v>44</v>
      </c>
      <c r="B926" s="4" t="s">
        <v>15</v>
      </c>
      <c r="D926" s="6">
        <v>2</v>
      </c>
      <c r="H926" s="4" t="s">
        <v>43</v>
      </c>
    </row>
    <row r="927" spans="1:8">
      <c r="A927" s="4" t="s">
        <v>45</v>
      </c>
      <c r="B927" s="4" t="s">
        <v>15</v>
      </c>
      <c r="D927" s="6">
        <v>59</v>
      </c>
      <c r="H927" s="4" t="s">
        <v>43</v>
      </c>
    </row>
    <row r="928" spans="1:8">
      <c r="A928" s="4" t="s">
        <v>46</v>
      </c>
      <c r="B928" s="4" t="s">
        <v>25</v>
      </c>
      <c r="C928" s="7">
        <v>8.51601118562712</v>
      </c>
      <c r="D928" s="7">
        <v>8.630594617949154</v>
      </c>
      <c r="E928" s="7">
        <f>IF(AND(ISNUMBER(C928),ISNUMBER(D928)),D928-C928,"待補")</f>
        <v>0.11458343232203377</v>
      </c>
      <c r="F928" s="9">
        <f>IF(AND(ISNUMBER(C928),ISNUMBER(D928),C928&lt;&gt;0),(C928-D928)/C928,"待補")</f>
        <v>-0.01345505892658076</v>
      </c>
      <c r="G928" s="4" t="s">
        <v>173</v>
      </c>
      <c r="H928" s="4" t="s">
        <v>48</v>
      </c>
    </row>
    <row r="929" spans="1:8" ht="34" customHeight="1">
      <c r="A929" s="2" t="s">
        <v>145</v>
      </c>
      <c r="B929" s="2"/>
      <c r="C929" s="2"/>
      <c r="D929" s="2"/>
      <c r="E929" s="2"/>
      <c r="F929" s="2"/>
      <c r="G929" s="2"/>
      <c r="H929" s="2"/>
    </row>
    <row r="932" spans="1:8" ht="28" customHeight="1">
      <c r="A932" s="3" t="s">
        <v>203</v>
      </c>
      <c r="B932" s="3"/>
      <c r="C932" s="3"/>
      <c r="D932" s="3"/>
      <c r="E932" s="3"/>
      <c r="F932" s="3"/>
      <c r="G932" s="3"/>
      <c r="H932" s="3"/>
    </row>
    <row r="933" spans="1:8" ht="40" customHeight="1">
      <c r="A933" s="2" t="s">
        <v>204</v>
      </c>
      <c r="B933" s="2"/>
      <c r="C933" s="2"/>
      <c r="D933" s="2"/>
      <c r="E933" s="2"/>
      <c r="F933" s="2"/>
      <c r="G933" s="2"/>
      <c r="H933" s="2"/>
    </row>
    <row r="934" spans="1:8" ht="40" customHeight="1">
      <c r="A934" s="2" t="s">
        <v>140</v>
      </c>
      <c r="B934" s="2"/>
      <c r="C934" s="2"/>
      <c r="D934" s="2"/>
      <c r="E934" s="2"/>
      <c r="F934" s="2"/>
      <c r="G934" s="2"/>
      <c r="H934" s="2"/>
    </row>
    <row r="935" spans="1:8">
      <c r="A935" s="3" t="s">
        <v>6</v>
      </c>
      <c r="B935" s="3" t="s">
        <v>7</v>
      </c>
      <c r="C935" s="3" t="s">
        <v>8</v>
      </c>
      <c r="D935" s="3" t="s">
        <v>9</v>
      </c>
      <c r="E935" s="3" t="s">
        <v>10</v>
      </c>
      <c r="F935" s="3" t="s">
        <v>11</v>
      </c>
      <c r="G935" s="3" t="s">
        <v>12</v>
      </c>
      <c r="H935" s="3" t="s">
        <v>13</v>
      </c>
    </row>
    <row r="936" spans="1:8" ht="34" customHeight="1">
      <c r="A936" s="4" t="s">
        <v>14</v>
      </c>
      <c r="B936" s="4" t="s">
        <v>15</v>
      </c>
      <c r="C936" s="6">
        <v>75</v>
      </c>
      <c r="D936" s="6">
        <v>75</v>
      </c>
      <c r="E936" s="7">
        <f>IF(AND(ISNUMBER(C936),ISNUMBER(D936)),(D936-C936),"待補")</f>
        <v>0</v>
      </c>
      <c r="F936" s="8" t="s">
        <v>16</v>
      </c>
      <c r="G936" s="4" t="s">
        <v>141</v>
      </c>
      <c r="H936" s="4"/>
    </row>
    <row r="937" spans="1:8" ht="34" customHeight="1">
      <c r="A937" s="4" t="s">
        <v>18</v>
      </c>
      <c r="B937" s="4" t="s">
        <v>15</v>
      </c>
      <c r="C937" s="6">
        <v>63</v>
      </c>
      <c r="D937" s="6">
        <v>64</v>
      </c>
      <c r="E937" s="7">
        <f>IF(AND(ISNUMBER(C937),ISNUMBER(D937)),(D937-C937),"待補")</f>
        <v>1</v>
      </c>
      <c r="F937" s="8" t="s">
        <v>16</v>
      </c>
      <c r="G937" s="4" t="s">
        <v>141</v>
      </c>
      <c r="H937" s="4"/>
    </row>
    <row r="938" spans="1:8" ht="34" customHeight="1">
      <c r="A938" s="4" t="s">
        <v>19</v>
      </c>
      <c r="B938" s="4" t="s">
        <v>20</v>
      </c>
      <c r="C938" s="9">
        <v>0.84</v>
      </c>
      <c r="D938" s="9">
        <v>0.8533333333333334</v>
      </c>
      <c r="E938" s="10">
        <f>IF(AND(ISNUMBER(C938),ISNUMBER(D938)),(D938-C938)*100,"待補")</f>
        <v>1.333333333333342</v>
      </c>
      <c r="F938" s="8" t="s">
        <v>16</v>
      </c>
      <c r="G938" s="4" t="s">
        <v>141</v>
      </c>
      <c r="H938" s="4" t="s">
        <v>21</v>
      </c>
    </row>
    <row r="939" spans="1:8" ht="34" customHeight="1">
      <c r="A939" s="4" t="s">
        <v>22</v>
      </c>
      <c r="B939" s="4" t="s">
        <v>15</v>
      </c>
      <c r="C939" s="6">
        <v>68</v>
      </c>
      <c r="D939" s="6">
        <v>68</v>
      </c>
      <c r="E939" s="7">
        <f>IF(AND(ISNUMBER(C939),ISNUMBER(D939)),(D939-C939),"待補")</f>
        <v>0</v>
      </c>
      <c r="F939" s="8" t="s">
        <v>16</v>
      </c>
      <c r="G939" s="4" t="s">
        <v>141</v>
      </c>
      <c r="H939" s="4"/>
    </row>
    <row r="940" spans="1:8" ht="34" customHeight="1">
      <c r="A940" s="4" t="s">
        <v>23</v>
      </c>
      <c r="B940" s="4" t="s">
        <v>15</v>
      </c>
      <c r="C940" s="6">
        <v>7</v>
      </c>
      <c r="D940" s="6">
        <v>7</v>
      </c>
      <c r="E940" s="7">
        <f>IF(AND(ISNUMBER(C940),ISNUMBER(D940)),(D940-C940),"待補")</f>
        <v>0</v>
      </c>
      <c r="F940" s="8" t="s">
        <v>16</v>
      </c>
      <c r="G940" s="4" t="s">
        <v>141</v>
      </c>
      <c r="H940" s="4"/>
    </row>
    <row r="941" spans="1:8" ht="34" customHeight="1">
      <c r="A941" s="4" t="s">
        <v>24</v>
      </c>
      <c r="B941" s="4" t="s">
        <v>25</v>
      </c>
      <c r="C941" s="7">
        <v>14.53955476314706</v>
      </c>
      <c r="D941" s="7">
        <v>11.86743205672059</v>
      </c>
      <c r="E941" s="7">
        <f>IF(AND(ISNUMBER(C941),ISNUMBER(D941)),(D941-C941),"待補")</f>
        <v>-2.672122706426471</v>
      </c>
      <c r="F941" s="8" t="s">
        <v>16</v>
      </c>
      <c r="G941" s="4" t="s">
        <v>150</v>
      </c>
      <c r="H941" s="4" t="s">
        <v>27</v>
      </c>
    </row>
    <row r="942" spans="1:8" ht="34" customHeight="1">
      <c r="A942" s="4" t="s">
        <v>28</v>
      </c>
      <c r="B942" s="4" t="s">
        <v>25</v>
      </c>
      <c r="C942" s="7">
        <v>7.078909595999999</v>
      </c>
      <c r="D942" s="7">
        <v>7.344813731499999</v>
      </c>
      <c r="E942" s="7">
        <f>IF(AND(ISNUMBER(C942),ISNUMBER(D942)),(D942-C942),"待補")</f>
        <v>0.26590413550000047</v>
      </c>
      <c r="F942" s="8" t="s">
        <v>16</v>
      </c>
      <c r="G942" s="4" t="s">
        <v>150</v>
      </c>
      <c r="H942" s="4" t="s">
        <v>27</v>
      </c>
    </row>
    <row r="943" spans="1:8" ht="34" customHeight="1">
      <c r="A943" s="4" t="s">
        <v>29</v>
      </c>
      <c r="B943" s="4" t="s">
        <v>25</v>
      </c>
      <c r="C943" s="7">
        <v>8.506313526095239</v>
      </c>
      <c r="D943" s="7">
        <v>8.641302075109374</v>
      </c>
      <c r="E943" s="7">
        <f>IF(AND(ISNUMBER(C943),ISNUMBER(D943)),(D943-C943),"待補")</f>
        <v>0.13498854901413537</v>
      </c>
      <c r="F943" s="8" t="s">
        <v>16</v>
      </c>
      <c r="G943" s="4" t="s">
        <v>143</v>
      </c>
      <c r="H943" s="4" t="s">
        <v>31</v>
      </c>
    </row>
    <row r="944" spans="1:8" ht="34" customHeight="1">
      <c r="A944" s="4" t="s">
        <v>32</v>
      </c>
      <c r="B944" s="4" t="s">
        <v>33</v>
      </c>
      <c r="C944" s="7">
        <v>0.8819165110235294</v>
      </c>
      <c r="D944" s="7">
        <v>0.790211266657353</v>
      </c>
      <c r="E944" s="7">
        <f>IF(AND(ISNUMBER(C944),ISNUMBER(D944)),(D944-C944),"待補")</f>
        <v>-0.09170524436617644</v>
      </c>
      <c r="F944" s="8" t="s">
        <v>16</v>
      </c>
      <c r="G944" s="4" t="s">
        <v>141</v>
      </c>
      <c r="H944" s="4"/>
    </row>
    <row r="945" spans="1:8" ht="34" customHeight="1">
      <c r="A945" s="4" t="s">
        <v>34</v>
      </c>
      <c r="B945" s="4" t="s">
        <v>25</v>
      </c>
      <c r="C945" s="7">
        <v>12.83738906188235</v>
      </c>
      <c r="D945" s="7">
        <v>10.32371263395588</v>
      </c>
      <c r="E945" s="7">
        <f>IF(AND(ISNUMBER(C945),ISNUMBER(D945)),(D945-C945),"待補")</f>
        <v>-2.5136764279264714</v>
      </c>
      <c r="F945" s="8" t="s">
        <v>16</v>
      </c>
      <c r="G945" s="4" t="s">
        <v>141</v>
      </c>
      <c r="H945" s="4"/>
    </row>
    <row r="946" spans="1:8" ht="34" customHeight="1">
      <c r="A946" s="4" t="s">
        <v>35</v>
      </c>
      <c r="B946" s="4" t="s">
        <v>36</v>
      </c>
      <c r="C946" s="7">
        <v>2.109900893333333</v>
      </c>
      <c r="D946" s="7">
        <v>2.1076926</v>
      </c>
      <c r="E946" s="7">
        <f>IF(AND(ISNUMBER(C946),ISNUMBER(D946)),(D946-C946),"待補")</f>
        <v>-0.0022082933333331667</v>
      </c>
      <c r="F946" s="9">
        <f>IF(AND(ISNUMBER(C946),ISNUMBER(D946),C946&lt;&gt;0),(C946-D946)/C946,"待補")</f>
        <v>0.001046633678534724</v>
      </c>
      <c r="G946" s="4" t="s">
        <v>141</v>
      </c>
      <c r="H946" s="4" t="s">
        <v>37</v>
      </c>
    </row>
    <row r="947" spans="1:8" ht="34" customHeight="1">
      <c r="A947" s="4" t="s">
        <v>38</v>
      </c>
      <c r="B947" s="4" t="s">
        <v>39</v>
      </c>
      <c r="C947" s="7">
        <v>6.773333333333333</v>
      </c>
      <c r="D947" s="7">
        <v>6.786666666666667</v>
      </c>
      <c r="E947" s="7">
        <f>IF(AND(ISNUMBER(C947),ISNUMBER(D947)),(D947-C947),"待補")</f>
        <v>0.013333333333333641</v>
      </c>
      <c r="F947" s="8" t="s">
        <v>16</v>
      </c>
      <c r="G947" s="4" t="s">
        <v>141</v>
      </c>
      <c r="H947" s="4"/>
    </row>
    <row r="948" spans="1:8" ht="34" customHeight="1">
      <c r="A948" s="4" t="s">
        <v>40</v>
      </c>
      <c r="B948" s="4" t="s">
        <v>39</v>
      </c>
      <c r="C948" s="7">
        <v>6.76</v>
      </c>
      <c r="D948" s="7">
        <v>6.786666666666667</v>
      </c>
      <c r="E948" s="7">
        <f>IF(AND(ISNUMBER(C948),ISNUMBER(D948)),(D948-C948),"待補")</f>
        <v>0.026666666666667282</v>
      </c>
      <c r="F948" s="8" t="s">
        <v>16</v>
      </c>
      <c r="G948" s="4" t="s">
        <v>141</v>
      </c>
      <c r="H948" s="4" t="s">
        <v>41</v>
      </c>
    </row>
    <row r="949" spans="1:8">
      <c r="A949" s="4" t="s">
        <v>42</v>
      </c>
      <c r="B949" s="4" t="s">
        <v>15</v>
      </c>
      <c r="D949" s="6">
        <v>2</v>
      </c>
      <c r="H949" s="4" t="s">
        <v>43</v>
      </c>
    </row>
    <row r="950" spans="1:8">
      <c r="A950" s="4" t="s">
        <v>44</v>
      </c>
      <c r="B950" s="4" t="s">
        <v>15</v>
      </c>
      <c r="D950" s="6">
        <v>1</v>
      </c>
      <c r="H950" s="4" t="s">
        <v>43</v>
      </c>
    </row>
    <row r="951" spans="1:8">
      <c r="A951" s="4" t="s">
        <v>45</v>
      </c>
      <c r="B951" s="4" t="s">
        <v>15</v>
      </c>
      <c r="D951" s="6">
        <v>62</v>
      </c>
      <c r="H951" s="4" t="s">
        <v>43</v>
      </c>
    </row>
    <row r="952" spans="1:8">
      <c r="A952" s="4" t="s">
        <v>46</v>
      </c>
      <c r="B952" s="4" t="s">
        <v>25</v>
      </c>
      <c r="C952" s="7">
        <v>8.535853218903226</v>
      </c>
      <c r="D952" s="7">
        <v>8.535853218903226</v>
      </c>
      <c r="E952" s="7">
        <f>IF(AND(ISNUMBER(C952),ISNUMBER(D952)),D952-C952,"待補")</f>
        <v>0.0</v>
      </c>
      <c r="F952" s="9">
        <f>IF(AND(ISNUMBER(C952),ISNUMBER(D952),C952&lt;&gt;0),(C952-D952)/C952,"待補")</f>
        <v>0.0</v>
      </c>
      <c r="G952" s="4" t="s">
        <v>205</v>
      </c>
      <c r="H952" s="4" t="s">
        <v>48</v>
      </c>
    </row>
    <row r="953" spans="1:8" ht="34" customHeight="1">
      <c r="A953" s="2" t="s">
        <v>145</v>
      </c>
      <c r="B953" s="2"/>
      <c r="C953" s="2"/>
      <c r="D953" s="2"/>
      <c r="E953" s="2"/>
      <c r="F953" s="2"/>
      <c r="G953" s="2"/>
      <c r="H953" s="2"/>
    </row>
    <row r="956" spans="1:8" ht="28" customHeight="1">
      <c r="A956" s="3" t="s">
        <v>206</v>
      </c>
      <c r="B956" s="3"/>
      <c r="C956" s="3"/>
      <c r="D956" s="3"/>
      <c r="E956" s="3"/>
      <c r="F956" s="3"/>
      <c r="G956" s="3"/>
      <c r="H956" s="3"/>
    </row>
    <row r="957" spans="1:8" ht="40" customHeight="1">
      <c r="A957" s="2" t="s">
        <v>204</v>
      </c>
      <c r="B957" s="2"/>
      <c r="C957" s="2"/>
      <c r="D957" s="2"/>
      <c r="E957" s="2"/>
      <c r="F957" s="2"/>
      <c r="G957" s="2"/>
      <c r="H957" s="2"/>
    </row>
    <row r="958" spans="1:8" ht="40" customHeight="1">
      <c r="A958" s="2" t="s">
        <v>140</v>
      </c>
      <c r="B958" s="2"/>
      <c r="C958" s="2"/>
      <c r="D958" s="2"/>
      <c r="E958" s="2"/>
      <c r="F958" s="2"/>
      <c r="G958" s="2"/>
      <c r="H958" s="2"/>
    </row>
    <row r="959" spans="1:8">
      <c r="A959" s="3" t="s">
        <v>6</v>
      </c>
      <c r="B959" s="3" t="s">
        <v>7</v>
      </c>
      <c r="C959" s="3" t="s">
        <v>8</v>
      </c>
      <c r="D959" s="3" t="s">
        <v>9</v>
      </c>
      <c r="E959" s="3" t="s">
        <v>10</v>
      </c>
      <c r="F959" s="3" t="s">
        <v>11</v>
      </c>
      <c r="G959" s="3" t="s">
        <v>12</v>
      </c>
      <c r="H959" s="3" t="s">
        <v>13</v>
      </c>
    </row>
    <row r="960" spans="1:8" ht="34" customHeight="1">
      <c r="A960" s="4" t="s">
        <v>14</v>
      </c>
      <c r="B960" s="4" t="s">
        <v>15</v>
      </c>
      <c r="C960" s="6">
        <v>75</v>
      </c>
      <c r="D960" s="6">
        <v>75</v>
      </c>
      <c r="E960" s="7">
        <f>IF(AND(ISNUMBER(C960),ISNUMBER(D960)),(D960-C960),"待補")</f>
        <v>0</v>
      </c>
      <c r="F960" s="8" t="s">
        <v>16</v>
      </c>
      <c r="G960" s="4" t="s">
        <v>141</v>
      </c>
      <c r="H960" s="4"/>
    </row>
    <row r="961" spans="1:8" ht="34" customHeight="1">
      <c r="A961" s="4" t="s">
        <v>18</v>
      </c>
      <c r="B961" s="4" t="s">
        <v>15</v>
      </c>
      <c r="C961" s="6">
        <v>65</v>
      </c>
      <c r="D961" s="6">
        <v>65</v>
      </c>
      <c r="E961" s="7">
        <f>IF(AND(ISNUMBER(C961),ISNUMBER(D961)),(D961-C961),"待補")</f>
        <v>0</v>
      </c>
      <c r="F961" s="8" t="s">
        <v>16</v>
      </c>
      <c r="G961" s="4" t="s">
        <v>141</v>
      </c>
      <c r="H961" s="4"/>
    </row>
    <row r="962" spans="1:8" ht="34" customHeight="1">
      <c r="A962" s="4" t="s">
        <v>19</v>
      </c>
      <c r="B962" s="4" t="s">
        <v>20</v>
      </c>
      <c r="C962" s="9">
        <v>0.8666666666666667</v>
      </c>
      <c r="D962" s="9">
        <v>0.8666666666666667</v>
      </c>
      <c r="E962" s="10">
        <f>IF(AND(ISNUMBER(C962),ISNUMBER(D962)),(D962-C962)*100,"待補")</f>
        <v>0.0</v>
      </c>
      <c r="F962" s="8" t="s">
        <v>16</v>
      </c>
      <c r="G962" s="4" t="s">
        <v>141</v>
      </c>
      <c r="H962" s="4" t="s">
        <v>21</v>
      </c>
    </row>
    <row r="963" spans="1:8" ht="34" customHeight="1">
      <c r="A963" s="4" t="s">
        <v>22</v>
      </c>
      <c r="B963" s="4" t="s">
        <v>15</v>
      </c>
      <c r="C963" s="6">
        <v>68</v>
      </c>
      <c r="D963" s="6">
        <v>68</v>
      </c>
      <c r="E963" s="7">
        <f>IF(AND(ISNUMBER(C963),ISNUMBER(D963)),(D963-C963),"待補")</f>
        <v>0</v>
      </c>
      <c r="F963" s="8" t="s">
        <v>16</v>
      </c>
      <c r="G963" s="4" t="s">
        <v>141</v>
      </c>
      <c r="H963" s="4"/>
    </row>
    <row r="964" spans="1:8" ht="34" customHeight="1">
      <c r="A964" s="4" t="s">
        <v>23</v>
      </c>
      <c r="B964" s="4" t="s">
        <v>15</v>
      </c>
      <c r="C964" s="6">
        <v>7</v>
      </c>
      <c r="D964" s="6">
        <v>7</v>
      </c>
      <c r="E964" s="7">
        <f>IF(AND(ISNUMBER(C964),ISNUMBER(D964)),(D964-C964),"待補")</f>
        <v>0</v>
      </c>
      <c r="F964" s="8" t="s">
        <v>16</v>
      </c>
      <c r="G964" s="4" t="s">
        <v>141</v>
      </c>
      <c r="H964" s="4"/>
    </row>
    <row r="965" spans="1:8" ht="34" customHeight="1">
      <c r="A965" s="4" t="s">
        <v>24</v>
      </c>
      <c r="B965" s="4" t="s">
        <v>25</v>
      </c>
      <c r="C965" s="7">
        <v>11.40430062222059</v>
      </c>
      <c r="D965" s="7">
        <v>11.53574027998529</v>
      </c>
      <c r="E965" s="7">
        <f>IF(AND(ISNUMBER(C965),ISNUMBER(D965)),(D965-C965),"待補")</f>
        <v>0.13143965776470523</v>
      </c>
      <c r="F965" s="8" t="s">
        <v>16</v>
      </c>
      <c r="G965" s="4" t="s">
        <v>150</v>
      </c>
      <c r="H965" s="4" t="s">
        <v>27</v>
      </c>
    </row>
    <row r="966" spans="1:8" ht="34" customHeight="1">
      <c r="A966" s="4" t="s">
        <v>28</v>
      </c>
      <c r="B966" s="4" t="s">
        <v>25</v>
      </c>
      <c r="C966" s="7">
        <v>6.630230407</v>
      </c>
      <c r="D966" s="7">
        <v>6.728530238499999</v>
      </c>
      <c r="E966" s="7">
        <f>IF(AND(ISNUMBER(C966),ISNUMBER(D966)),(D966-C966),"待補")</f>
        <v>0.09829983149999943</v>
      </c>
      <c r="F966" s="8" t="s">
        <v>16</v>
      </c>
      <c r="G966" s="4" t="s">
        <v>150</v>
      </c>
      <c r="H966" s="4" t="s">
        <v>27</v>
      </c>
    </row>
    <row r="967" spans="1:8" ht="34" customHeight="1">
      <c r="A967" s="4" t="s">
        <v>29</v>
      </c>
      <c r="B967" s="4" t="s">
        <v>25</v>
      </c>
      <c r="C967" s="7">
        <v>8.167160837092307</v>
      </c>
      <c r="D967" s="7">
        <v>8.304666940600001</v>
      </c>
      <c r="E967" s="7">
        <f>IF(AND(ISNUMBER(C967),ISNUMBER(D967)),(D967-C967),"待補")</f>
        <v>0.1375061035076932</v>
      </c>
      <c r="F967" s="8" t="s">
        <v>16</v>
      </c>
      <c r="G967" s="4" t="s">
        <v>154</v>
      </c>
      <c r="H967" s="4" t="s">
        <v>31</v>
      </c>
    </row>
    <row r="968" spans="1:8" ht="34" customHeight="1">
      <c r="A968" s="4" t="s">
        <v>32</v>
      </c>
      <c r="B968" s="4" t="s">
        <v>33</v>
      </c>
      <c r="C968" s="7">
        <v>0.6951690738455882</v>
      </c>
      <c r="D968" s="7">
        <v>0.7063670432720588</v>
      </c>
      <c r="E968" s="7">
        <f>IF(AND(ISNUMBER(C968),ISNUMBER(D968)),(D968-C968),"待補")</f>
        <v>0.011197969426470555</v>
      </c>
      <c r="F968" s="8" t="s">
        <v>16</v>
      </c>
      <c r="G968" s="4" t="s">
        <v>141</v>
      </c>
      <c r="H968" s="4"/>
    </row>
    <row r="969" spans="1:8" ht="34" customHeight="1">
      <c r="A969" s="4" t="s">
        <v>34</v>
      </c>
      <c r="B969" s="4" t="s">
        <v>25</v>
      </c>
      <c r="C969" s="7">
        <v>10.01956322791177</v>
      </c>
      <c r="D969" s="7">
        <v>10.13612087017647</v>
      </c>
      <c r="E969" s="7">
        <f>IF(AND(ISNUMBER(C969),ISNUMBER(D969)),(D969-C969),"待補")</f>
        <v>0.11655764226470566</v>
      </c>
      <c r="F969" s="8" t="s">
        <v>16</v>
      </c>
      <c r="G969" s="4" t="s">
        <v>141</v>
      </c>
      <c r="H969" s="4"/>
    </row>
    <row r="970" spans="1:8" ht="34" customHeight="1">
      <c r="A970" s="4" t="s">
        <v>35</v>
      </c>
      <c r="B970" s="4" t="s">
        <v>36</v>
      </c>
      <c r="C970" s="7">
        <v>2.532242066666667</v>
      </c>
      <c r="D970" s="7">
        <v>2.533393373333333</v>
      </c>
      <c r="E970" s="7">
        <f>IF(AND(ISNUMBER(C970),ISNUMBER(D970)),(D970-C970),"待補")</f>
        <v>0.0011513066666668514</v>
      </c>
      <c r="F970" s="9">
        <f>IF(AND(ISNUMBER(C970),ISNUMBER(D970),C970&lt;&gt;0),(C970-D970)/C970,"待補")</f>
        <v>-0.0004546590082449667</v>
      </c>
      <c r="G970" s="4" t="s">
        <v>141</v>
      </c>
      <c r="H970" s="4" t="s">
        <v>37</v>
      </c>
    </row>
    <row r="971" spans="1:8" ht="34" customHeight="1">
      <c r="A971" s="4" t="s">
        <v>38</v>
      </c>
      <c r="B971" s="4" t="s">
        <v>39</v>
      </c>
      <c r="C971" s="7">
        <v>6.773333333333333</v>
      </c>
      <c r="D971" s="7">
        <v>6.786666666666667</v>
      </c>
      <c r="E971" s="7">
        <f>IF(AND(ISNUMBER(C971),ISNUMBER(D971)),(D971-C971),"待補")</f>
        <v>0.013333333333333641</v>
      </c>
      <c r="F971" s="8" t="s">
        <v>16</v>
      </c>
      <c r="G971" s="4" t="s">
        <v>141</v>
      </c>
      <c r="H971" s="4"/>
    </row>
    <row r="972" spans="1:8" ht="34" customHeight="1">
      <c r="A972" s="4" t="s">
        <v>40</v>
      </c>
      <c r="B972" s="4" t="s">
        <v>39</v>
      </c>
      <c r="C972" s="7">
        <v>6.76</v>
      </c>
      <c r="D972" s="7">
        <v>6.786666666666667</v>
      </c>
      <c r="E972" s="7">
        <f>IF(AND(ISNUMBER(C972),ISNUMBER(D972)),(D972-C972),"待補")</f>
        <v>0.026666666666667282</v>
      </c>
      <c r="F972" s="8" t="s">
        <v>16</v>
      </c>
      <c r="G972" s="4" t="s">
        <v>141</v>
      </c>
      <c r="H972" s="4" t="s">
        <v>41</v>
      </c>
    </row>
    <row r="973" spans="1:8" ht="34" customHeight="1">
      <c r="A973" s="4" t="s">
        <v>53</v>
      </c>
      <c r="B973" s="4" t="s">
        <v>39</v>
      </c>
      <c r="C973" s="7">
        <v>6.533333333333333</v>
      </c>
      <c r="D973" s="7">
        <v>6.573333333333333</v>
      </c>
      <c r="E973" s="7">
        <f>IF(AND(ISNUMBER(C973),ISNUMBER(D973)),(D973-C973),"待補")</f>
        <v>0.040000000000000036</v>
      </c>
      <c r="F973" s="8" t="s">
        <v>16</v>
      </c>
      <c r="G973" s="4" t="s">
        <v>141</v>
      </c>
      <c r="H973" s="4" t="s">
        <v>54</v>
      </c>
    </row>
    <row r="974" spans="1:8">
      <c r="A974" s="4" t="s">
        <v>42</v>
      </c>
      <c r="B974" s="4" t="s">
        <v>15</v>
      </c>
      <c r="D974" s="6">
        <v>1</v>
      </c>
      <c r="H974" s="4" t="s">
        <v>43</v>
      </c>
    </row>
    <row r="975" spans="1:8">
      <c r="A975" s="4" t="s">
        <v>44</v>
      </c>
      <c r="B975" s="4" t="s">
        <v>15</v>
      </c>
      <c r="D975" s="6">
        <v>1</v>
      </c>
      <c r="H975" s="4" t="s">
        <v>43</v>
      </c>
    </row>
    <row r="976" spans="1:8">
      <c r="A976" s="4" t="s">
        <v>45</v>
      </c>
      <c r="B976" s="4" t="s">
        <v>15</v>
      </c>
      <c r="D976" s="6">
        <v>64</v>
      </c>
      <c r="H976" s="4" t="s">
        <v>43</v>
      </c>
    </row>
    <row r="977" spans="1:8">
      <c r="A977" s="4" t="s">
        <v>46</v>
      </c>
      <c r="B977" s="4" t="s">
        <v>25</v>
      </c>
      <c r="C977" s="7">
        <v>8.190478153734375</v>
      </c>
      <c r="D977" s="7">
        <v>8.190478153734375</v>
      </c>
      <c r="E977" s="7">
        <f>IF(AND(ISNUMBER(C977),ISNUMBER(D977)),D977-C977,"待補")</f>
        <v>0.0</v>
      </c>
      <c r="F977" s="9">
        <f>IF(AND(ISNUMBER(C977),ISNUMBER(D977),C977&lt;&gt;0),(C977-D977)/C977,"待補")</f>
        <v>0.0</v>
      </c>
      <c r="G977" s="4" t="s">
        <v>207</v>
      </c>
      <c r="H977" s="4" t="s">
        <v>48</v>
      </c>
    </row>
    <row r="978" spans="1:8" ht="34" customHeight="1">
      <c r="A978" s="2" t="s">
        <v>145</v>
      </c>
      <c r="B978" s="2"/>
      <c r="C978" s="2"/>
      <c r="D978" s="2"/>
      <c r="E978" s="2"/>
      <c r="F978" s="2"/>
      <c r="G978" s="2"/>
      <c r="H978" s="2"/>
    </row>
    <row r="981" spans="1:8" ht="28" customHeight="1">
      <c r="A981" s="3" t="s">
        <v>208</v>
      </c>
      <c r="B981" s="3"/>
      <c r="C981" s="3"/>
      <c r="D981" s="3"/>
      <c r="E981" s="3"/>
      <c r="F981" s="3"/>
      <c r="G981" s="3"/>
      <c r="H981" s="3"/>
    </row>
    <row r="982" spans="1:8" ht="40" customHeight="1">
      <c r="A982" s="2" t="s">
        <v>209</v>
      </c>
      <c r="B982" s="2"/>
      <c r="C982" s="2"/>
      <c r="D982" s="2"/>
      <c r="E982" s="2"/>
      <c r="F982" s="2"/>
      <c r="G982" s="2"/>
      <c r="H982" s="2"/>
    </row>
    <row r="983" spans="1:8" ht="40" customHeight="1">
      <c r="A983" s="2" t="s">
        <v>140</v>
      </c>
      <c r="B983" s="2"/>
      <c r="C983" s="2"/>
      <c r="D983" s="2"/>
      <c r="E983" s="2"/>
      <c r="F983" s="2"/>
      <c r="G983" s="2"/>
      <c r="H983" s="2"/>
    </row>
    <row r="984" spans="1:8">
      <c r="A984" s="3" t="s">
        <v>6</v>
      </c>
      <c r="B984" s="3" t="s">
        <v>7</v>
      </c>
      <c r="C984" s="3" t="s">
        <v>8</v>
      </c>
      <c r="D984" s="3" t="s">
        <v>9</v>
      </c>
      <c r="E984" s="3" t="s">
        <v>10</v>
      </c>
      <c r="F984" s="3" t="s">
        <v>11</v>
      </c>
      <c r="G984" s="3" t="s">
        <v>12</v>
      </c>
      <c r="H984" s="3" t="s">
        <v>13</v>
      </c>
    </row>
    <row r="985" spans="1:8" ht="34" customHeight="1">
      <c r="A985" s="4" t="s">
        <v>14</v>
      </c>
      <c r="B985" s="4" t="s">
        <v>15</v>
      </c>
      <c r="C985" s="6">
        <v>75</v>
      </c>
      <c r="D985" s="6">
        <v>75</v>
      </c>
      <c r="E985" s="7">
        <f>IF(AND(ISNUMBER(C985),ISNUMBER(D985)),(D985-C985),"待補")</f>
        <v>0</v>
      </c>
      <c r="F985" s="8" t="s">
        <v>16</v>
      </c>
      <c r="G985" s="4" t="s">
        <v>141</v>
      </c>
      <c r="H985" s="4"/>
    </row>
    <row r="986" spans="1:8" ht="34" customHeight="1">
      <c r="A986" s="4" t="s">
        <v>18</v>
      </c>
      <c r="B986" s="4" t="s">
        <v>15</v>
      </c>
      <c r="C986" s="6">
        <v>63</v>
      </c>
      <c r="D986" s="6">
        <v>58</v>
      </c>
      <c r="E986" s="7">
        <f>IF(AND(ISNUMBER(C986),ISNUMBER(D986)),(D986-C986),"待補")</f>
        <v>-5</v>
      </c>
      <c r="F986" s="8" t="s">
        <v>16</v>
      </c>
      <c r="G986" s="4" t="s">
        <v>141</v>
      </c>
      <c r="H986" s="4"/>
    </row>
    <row r="987" spans="1:8" ht="34" customHeight="1">
      <c r="A987" s="4" t="s">
        <v>19</v>
      </c>
      <c r="B987" s="4" t="s">
        <v>20</v>
      </c>
      <c r="C987" s="9">
        <v>0.84</v>
      </c>
      <c r="D987" s="9">
        <v>0.7733333333333333</v>
      </c>
      <c r="E987" s="10">
        <f>IF(AND(ISNUMBER(C987),ISNUMBER(D987)),(D987-C987)*100,"待補")</f>
        <v>-6.666666666666665</v>
      </c>
      <c r="F987" s="8" t="s">
        <v>16</v>
      </c>
      <c r="G987" s="4" t="s">
        <v>141</v>
      </c>
      <c r="H987" s="4" t="s">
        <v>21</v>
      </c>
    </row>
    <row r="988" spans="1:8" ht="34" customHeight="1">
      <c r="A988" s="4" t="s">
        <v>22</v>
      </c>
      <c r="B988" s="4" t="s">
        <v>15</v>
      </c>
      <c r="C988" s="6">
        <v>66</v>
      </c>
      <c r="D988" s="6">
        <v>64</v>
      </c>
      <c r="E988" s="7">
        <f>IF(AND(ISNUMBER(C988),ISNUMBER(D988)),(D988-C988),"待補")</f>
        <v>-2</v>
      </c>
      <c r="F988" s="8" t="s">
        <v>16</v>
      </c>
      <c r="G988" s="4" t="s">
        <v>141</v>
      </c>
      <c r="H988" s="4"/>
    </row>
    <row r="989" spans="1:8" ht="34" customHeight="1">
      <c r="A989" s="4" t="s">
        <v>23</v>
      </c>
      <c r="B989" s="4" t="s">
        <v>15</v>
      </c>
      <c r="C989" s="6">
        <v>9</v>
      </c>
      <c r="D989" s="6">
        <v>11</v>
      </c>
      <c r="E989" s="7">
        <f>IF(AND(ISNUMBER(C989),ISNUMBER(D989)),(D989-C989),"待補")</f>
        <v>2</v>
      </c>
      <c r="F989" s="8" t="s">
        <v>16</v>
      </c>
      <c r="G989" s="4" t="s">
        <v>141</v>
      </c>
      <c r="H989" s="4"/>
    </row>
    <row r="990" spans="1:8" ht="34" customHeight="1">
      <c r="A990" s="4" t="s">
        <v>24</v>
      </c>
      <c r="B990" s="4" t="s">
        <v>25</v>
      </c>
      <c r="C990" s="7">
        <v>15.98190520154546</v>
      </c>
      <c r="D990" s="7">
        <v>12.95300050360937</v>
      </c>
      <c r="E990" s="7">
        <f>IF(AND(ISNUMBER(C990),ISNUMBER(D990)),(D990-C990),"待補")</f>
        <v>-3.028904697936081</v>
      </c>
      <c r="F990" s="8" t="s">
        <v>16</v>
      </c>
      <c r="G990" s="4" t="s">
        <v>210</v>
      </c>
      <c r="H990" s="4" t="s">
        <v>27</v>
      </c>
    </row>
    <row r="991" spans="1:8" ht="34" customHeight="1">
      <c r="A991" s="4" t="s">
        <v>28</v>
      </c>
      <c r="B991" s="4" t="s">
        <v>25</v>
      </c>
      <c r="C991" s="7">
        <v>7.153716524500001</v>
      </c>
      <c r="D991" s="7">
        <v>7.064675652499999</v>
      </c>
      <c r="E991" s="7">
        <f>IF(AND(ISNUMBER(C991),ISNUMBER(D991)),(D991-C991),"待補")</f>
        <v>-0.08904087200000177</v>
      </c>
      <c r="F991" s="8" t="s">
        <v>16</v>
      </c>
      <c r="G991" s="4" t="s">
        <v>210</v>
      </c>
      <c r="H991" s="4" t="s">
        <v>27</v>
      </c>
    </row>
    <row r="992" spans="1:8" ht="34" customHeight="1">
      <c r="A992" s="4" t="s">
        <v>29</v>
      </c>
      <c r="B992" s="4" t="s">
        <v>25</v>
      </c>
      <c r="C992" s="7">
        <v>9.024764704476191</v>
      </c>
      <c r="D992" s="7">
        <v>7.869807172431035</v>
      </c>
      <c r="E992" s="7">
        <f>IF(AND(ISNUMBER(C992),ISNUMBER(D992)),(D992-C992),"待補")</f>
        <v>-1.154957532045156</v>
      </c>
      <c r="F992" s="8" t="s">
        <v>16</v>
      </c>
      <c r="G992" s="4" t="s">
        <v>211</v>
      </c>
      <c r="H992" s="4" t="s">
        <v>31</v>
      </c>
    </row>
    <row r="993" spans="1:8" ht="34" customHeight="1">
      <c r="A993" s="4" t="s">
        <v>32</v>
      </c>
      <c r="B993" s="4" t="s">
        <v>33</v>
      </c>
      <c r="C993" s="7">
        <v>0.8342280190004545</v>
      </c>
      <c r="D993" s="7">
        <v>0.7724061220034375</v>
      </c>
      <c r="E993" s="7">
        <f>IF(AND(ISNUMBER(C993),ISNUMBER(D993)),(D993-C993),"待補")</f>
        <v>-0.06182189699701701</v>
      </c>
      <c r="F993" s="8" t="s">
        <v>16</v>
      </c>
      <c r="G993" s="4" t="s">
        <v>141</v>
      </c>
      <c r="H993" s="4"/>
    </row>
    <row r="994" spans="1:8" ht="34" customHeight="1">
      <c r="A994" s="4" t="s">
        <v>34</v>
      </c>
      <c r="B994" s="4" t="s">
        <v>25</v>
      </c>
      <c r="C994" s="7">
        <v>14.60829021321667</v>
      </c>
      <c r="D994" s="7">
        <v>11.447857759925</v>
      </c>
      <c r="E994" s="7">
        <f>IF(AND(ISNUMBER(C994),ISNUMBER(D994)),(D994-C994),"待補")</f>
        <v>-3.1604324532916657</v>
      </c>
      <c r="F994" s="8" t="s">
        <v>16</v>
      </c>
      <c r="G994" s="4" t="s">
        <v>141</v>
      </c>
      <c r="H994" s="4"/>
    </row>
    <row r="995" spans="1:8" ht="34" customHeight="1">
      <c r="A995" s="4" t="s">
        <v>35</v>
      </c>
      <c r="B995" s="4" t="s">
        <v>36</v>
      </c>
      <c r="C995" s="7">
        <v>2.18136476</v>
      </c>
      <c r="D995" s="7">
        <v>1.9884904</v>
      </c>
      <c r="E995" s="7">
        <f>IF(AND(ISNUMBER(C995),ISNUMBER(D995)),(D995-C995),"待補")</f>
        <v>-0.19287436000000002</v>
      </c>
      <c r="F995" s="9">
        <f>IF(AND(ISNUMBER(C995),ISNUMBER(D995),C995&lt;&gt;0),(C995-D995)/C995,"待補")</f>
        <v>0.08841912344820314</v>
      </c>
      <c r="G995" s="4" t="s">
        <v>141</v>
      </c>
      <c r="H995" s="4" t="s">
        <v>37</v>
      </c>
    </row>
    <row r="996" spans="1:8" ht="34" customHeight="1">
      <c r="A996" s="4" t="s">
        <v>38</v>
      </c>
      <c r="B996" s="4" t="s">
        <v>39</v>
      </c>
      <c r="C996" s="7">
        <v>6.36</v>
      </c>
      <c r="D996" s="7">
        <v>5.866666666666666</v>
      </c>
      <c r="E996" s="7">
        <f>IF(AND(ISNUMBER(C996),ISNUMBER(D996)),(D996-C996),"待補")</f>
        <v>-0.49333333333333407</v>
      </c>
      <c r="F996" s="8" t="s">
        <v>16</v>
      </c>
      <c r="G996" s="4" t="s">
        <v>141</v>
      </c>
      <c r="H996" s="4"/>
    </row>
    <row r="997" spans="1:8" ht="34" customHeight="1">
      <c r="A997" s="4" t="s">
        <v>40</v>
      </c>
      <c r="B997" s="4" t="s">
        <v>39</v>
      </c>
      <c r="C997" s="7">
        <v>6.36</v>
      </c>
      <c r="D997" s="7">
        <v>5.866666666666666</v>
      </c>
      <c r="E997" s="7">
        <f>IF(AND(ISNUMBER(C997),ISNUMBER(D997)),(D997-C997),"待補")</f>
        <v>-0.49333333333333407</v>
      </c>
      <c r="F997" s="8" t="s">
        <v>16</v>
      </c>
      <c r="G997" s="4" t="s">
        <v>141</v>
      </c>
      <c r="H997" s="4" t="s">
        <v>41</v>
      </c>
    </row>
    <row r="998" spans="1:8">
      <c r="A998" s="4" t="s">
        <v>42</v>
      </c>
      <c r="B998" s="4" t="s">
        <v>15</v>
      </c>
      <c r="D998" s="6">
        <v>5</v>
      </c>
      <c r="H998" s="4" t="s">
        <v>43</v>
      </c>
    </row>
    <row r="999" spans="1:8">
      <c r="A999" s="4" t="s">
        <v>44</v>
      </c>
      <c r="B999" s="4" t="s">
        <v>15</v>
      </c>
      <c r="D999" s="6">
        <v>10</v>
      </c>
      <c r="H999" s="4" t="s">
        <v>43</v>
      </c>
    </row>
    <row r="1000" spans="1:8">
      <c r="A1000" s="4" t="s">
        <v>45</v>
      </c>
      <c r="B1000" s="4" t="s">
        <v>15</v>
      </c>
      <c r="D1000" s="6">
        <v>53</v>
      </c>
      <c r="H1000" s="4" t="s">
        <v>43</v>
      </c>
    </row>
    <row r="1001" spans="1:8">
      <c r="A1001" s="4" t="s">
        <v>46</v>
      </c>
      <c r="B1001" s="4" t="s">
        <v>25</v>
      </c>
      <c r="C1001" s="7">
        <v>7.595545638924528</v>
      </c>
      <c r="D1001" s="7">
        <v>7.473587238301888</v>
      </c>
      <c r="E1001" s="7">
        <f>IF(AND(ISNUMBER(C1001),ISNUMBER(D1001)),D1001-C1001,"待補")</f>
        <v>-0.1219584006226404</v>
      </c>
      <c r="F1001" s="9">
        <f>IF(AND(ISNUMBER(C1001),ISNUMBER(D1001),C1001&lt;&gt;0),(C1001-D1001)/C1001,"待補")</f>
        <v>0.016056568733870288</v>
      </c>
      <c r="G1001" s="4" t="s">
        <v>212</v>
      </c>
      <c r="H1001" s="4" t="s">
        <v>48</v>
      </c>
    </row>
    <row r="1002" spans="1:8" ht="34" customHeight="1">
      <c r="A1002" s="2" t="s">
        <v>145</v>
      </c>
      <c r="B1002" s="2"/>
      <c r="C1002" s="2"/>
      <c r="D1002" s="2"/>
      <c r="E1002" s="2"/>
      <c r="F1002" s="2"/>
      <c r="G1002" s="2"/>
      <c r="H1002" s="2"/>
    </row>
    <row r="1005" spans="1:8" ht="28" customHeight="1">
      <c r="A1005" s="3" t="s">
        <v>213</v>
      </c>
      <c r="B1005" s="3"/>
      <c r="C1005" s="3"/>
      <c r="D1005" s="3"/>
      <c r="E1005" s="3"/>
      <c r="F1005" s="3"/>
      <c r="G1005" s="3"/>
      <c r="H1005" s="3"/>
    </row>
    <row r="1006" spans="1:8" ht="40" customHeight="1">
      <c r="A1006" s="2" t="s">
        <v>209</v>
      </c>
      <c r="B1006" s="2"/>
      <c r="C1006" s="2"/>
      <c r="D1006" s="2"/>
      <c r="E1006" s="2"/>
      <c r="F1006" s="2"/>
      <c r="G1006" s="2"/>
      <c r="H1006" s="2"/>
    </row>
    <row r="1007" spans="1:8" ht="40" customHeight="1">
      <c r="A1007" s="2" t="s">
        <v>140</v>
      </c>
      <c r="B1007" s="2"/>
      <c r="C1007" s="2"/>
      <c r="D1007" s="2"/>
      <c r="E1007" s="2"/>
      <c r="F1007" s="2"/>
      <c r="G1007" s="2"/>
      <c r="H1007" s="2"/>
    </row>
    <row r="1008" spans="1:8">
      <c r="A1008" s="3" t="s">
        <v>6</v>
      </c>
      <c r="B1008" s="3" t="s">
        <v>7</v>
      </c>
      <c r="C1008" s="3" t="s">
        <v>8</v>
      </c>
      <c r="D1008" s="3" t="s">
        <v>9</v>
      </c>
      <c r="E1008" s="3" t="s">
        <v>10</v>
      </c>
      <c r="F1008" s="3" t="s">
        <v>11</v>
      </c>
      <c r="G1008" s="3" t="s">
        <v>12</v>
      </c>
      <c r="H1008" s="3" t="s">
        <v>13</v>
      </c>
    </row>
    <row r="1009" spans="1:8" ht="34" customHeight="1">
      <c r="A1009" s="4" t="s">
        <v>14</v>
      </c>
      <c r="B1009" s="4" t="s">
        <v>15</v>
      </c>
      <c r="C1009" s="6">
        <v>75</v>
      </c>
      <c r="D1009" s="6">
        <v>75</v>
      </c>
      <c r="E1009" s="7">
        <f>IF(AND(ISNUMBER(C1009),ISNUMBER(D1009)),(D1009-C1009),"待補")</f>
        <v>0</v>
      </c>
      <c r="F1009" s="8" t="s">
        <v>16</v>
      </c>
      <c r="G1009" s="4" t="s">
        <v>141</v>
      </c>
      <c r="H1009" s="4"/>
    </row>
    <row r="1010" spans="1:8" ht="34" customHeight="1">
      <c r="A1010" s="4" t="s">
        <v>18</v>
      </c>
      <c r="B1010" s="4" t="s">
        <v>15</v>
      </c>
      <c r="C1010" s="6">
        <v>61</v>
      </c>
      <c r="D1010" s="6">
        <v>57</v>
      </c>
      <c r="E1010" s="7">
        <f>IF(AND(ISNUMBER(C1010),ISNUMBER(D1010)),(D1010-C1010),"待補")</f>
        <v>-4</v>
      </c>
      <c r="F1010" s="8" t="s">
        <v>16</v>
      </c>
      <c r="G1010" s="4" t="s">
        <v>141</v>
      </c>
      <c r="H1010" s="4"/>
    </row>
    <row r="1011" spans="1:8" ht="34" customHeight="1">
      <c r="A1011" s="4" t="s">
        <v>19</v>
      </c>
      <c r="B1011" s="4" t="s">
        <v>20</v>
      </c>
      <c r="C1011" s="9">
        <v>0.8133333333333334</v>
      </c>
      <c r="D1011" s="9">
        <v>0.76</v>
      </c>
      <c r="E1011" s="10">
        <f>IF(AND(ISNUMBER(C1011),ISNUMBER(D1011)),(D1011-C1011)*100,"待補")</f>
        <v>-5.333333333333334</v>
      </c>
      <c r="F1011" s="8" t="s">
        <v>16</v>
      </c>
      <c r="G1011" s="4" t="s">
        <v>141</v>
      </c>
      <c r="H1011" s="4" t="s">
        <v>21</v>
      </c>
    </row>
    <row r="1012" spans="1:8" ht="34" customHeight="1">
      <c r="A1012" s="4" t="s">
        <v>22</v>
      </c>
      <c r="B1012" s="4" t="s">
        <v>15</v>
      </c>
      <c r="C1012" s="6">
        <v>66</v>
      </c>
      <c r="D1012" s="6">
        <v>64</v>
      </c>
      <c r="E1012" s="7">
        <f>IF(AND(ISNUMBER(C1012),ISNUMBER(D1012)),(D1012-C1012),"待補")</f>
        <v>-2</v>
      </c>
      <c r="F1012" s="8" t="s">
        <v>16</v>
      </c>
      <c r="G1012" s="4" t="s">
        <v>141</v>
      </c>
      <c r="H1012" s="4"/>
    </row>
    <row r="1013" spans="1:8" ht="34" customHeight="1">
      <c r="A1013" s="4" t="s">
        <v>23</v>
      </c>
      <c r="B1013" s="4" t="s">
        <v>15</v>
      </c>
      <c r="C1013" s="6">
        <v>9</v>
      </c>
      <c r="D1013" s="6">
        <v>11</v>
      </c>
      <c r="E1013" s="7">
        <f>IF(AND(ISNUMBER(C1013),ISNUMBER(D1013)),(D1013-C1013),"待補")</f>
        <v>2</v>
      </c>
      <c r="F1013" s="8" t="s">
        <v>16</v>
      </c>
      <c r="G1013" s="4" t="s">
        <v>141</v>
      </c>
      <c r="H1013" s="4"/>
    </row>
    <row r="1014" spans="1:8" ht="34" customHeight="1">
      <c r="A1014" s="4" t="s">
        <v>24</v>
      </c>
      <c r="B1014" s="4" t="s">
        <v>25</v>
      </c>
      <c r="C1014" s="7">
        <v>12.95395787793939</v>
      </c>
      <c r="D1014" s="7">
        <v>16.3472900964375</v>
      </c>
      <c r="E1014" s="7">
        <f>IF(AND(ISNUMBER(C1014),ISNUMBER(D1014)),(D1014-C1014),"待補")</f>
        <v>3.393332218498106</v>
      </c>
      <c r="F1014" s="8" t="s">
        <v>16</v>
      </c>
      <c r="G1014" s="4" t="s">
        <v>210</v>
      </c>
      <c r="H1014" s="4" t="s">
        <v>27</v>
      </c>
    </row>
    <row r="1015" spans="1:8" ht="34" customHeight="1">
      <c r="A1015" s="4" t="s">
        <v>28</v>
      </c>
      <c r="B1015" s="4" t="s">
        <v>25</v>
      </c>
      <c r="C1015" s="7">
        <v>7.2553641785</v>
      </c>
      <c r="D1015" s="7">
        <v>6.844959241</v>
      </c>
      <c r="E1015" s="7">
        <f>IF(AND(ISNUMBER(C1015),ISNUMBER(D1015)),(D1015-C1015),"待補")</f>
        <v>-0.41040493750000007</v>
      </c>
      <c r="F1015" s="8" t="s">
        <v>16</v>
      </c>
      <c r="G1015" s="4" t="s">
        <v>210</v>
      </c>
      <c r="H1015" s="4" t="s">
        <v>27</v>
      </c>
    </row>
    <row r="1016" spans="1:8" ht="34" customHeight="1">
      <c r="A1016" s="4" t="s">
        <v>29</v>
      </c>
      <c r="B1016" s="4" t="s">
        <v>25</v>
      </c>
      <c r="C1016" s="7">
        <v>9.045072380721312</v>
      </c>
      <c r="D1016" s="7">
        <v>7.68607158231579</v>
      </c>
      <c r="E1016" s="7">
        <f>IF(AND(ISNUMBER(C1016),ISNUMBER(D1016)),(D1016-C1016),"待補")</f>
        <v>-1.3590007984055212</v>
      </c>
      <c r="F1016" s="8" t="s">
        <v>16</v>
      </c>
      <c r="G1016" s="4" t="s">
        <v>214</v>
      </c>
      <c r="H1016" s="4" t="s">
        <v>31</v>
      </c>
    </row>
    <row r="1017" spans="1:8" ht="34" customHeight="1">
      <c r="A1017" s="4" t="s">
        <v>32</v>
      </c>
      <c r="B1017" s="4" t="s">
        <v>33</v>
      </c>
      <c r="C1017" s="7">
        <v>0.8007894974504546</v>
      </c>
      <c r="D1017" s="7">
        <v>0.8979315008815625</v>
      </c>
      <c r="E1017" s="7">
        <f>IF(AND(ISNUMBER(C1017),ISNUMBER(D1017)),(D1017-C1017),"待補")</f>
        <v>0.0971420034311079</v>
      </c>
      <c r="F1017" s="8" t="s">
        <v>16</v>
      </c>
      <c r="G1017" s="4" t="s">
        <v>141</v>
      </c>
      <c r="H1017" s="4"/>
    </row>
    <row r="1018" spans="1:8" ht="34" customHeight="1">
      <c r="A1018" s="4" t="s">
        <v>34</v>
      </c>
      <c r="B1018" s="4" t="s">
        <v>25</v>
      </c>
      <c r="C1018" s="7">
        <v>11.43577672201515</v>
      </c>
      <c r="D1018" s="7">
        <v>14.89121944455</v>
      </c>
      <c r="E1018" s="7">
        <f>IF(AND(ISNUMBER(C1018),ISNUMBER(D1018)),(D1018-C1018),"待補")</f>
        <v>3.4554427225348494</v>
      </c>
      <c r="F1018" s="8" t="s">
        <v>16</v>
      </c>
      <c r="G1018" s="4" t="s">
        <v>141</v>
      </c>
      <c r="H1018" s="4"/>
    </row>
    <row r="1019" spans="1:8" ht="34" customHeight="1">
      <c r="A1019" s="4" t="s">
        <v>35</v>
      </c>
      <c r="B1019" s="4" t="s">
        <v>36</v>
      </c>
      <c r="C1019" s="7">
        <v>2.924725</v>
      </c>
      <c r="D1019" s="7">
        <v>2.357483</v>
      </c>
      <c r="E1019" s="7">
        <f>IF(AND(ISNUMBER(C1019),ISNUMBER(D1019)),(D1019-C1019),"待補")</f>
        <v>-0.5672420000000002</v>
      </c>
      <c r="F1019" s="9">
        <f>IF(AND(ISNUMBER(C1019),ISNUMBER(D1019),C1019&lt;&gt;0),(C1019-D1019)/C1019,"待補")</f>
        <v>0.1939471232338084</v>
      </c>
      <c r="G1019" s="4" t="s">
        <v>141</v>
      </c>
      <c r="H1019" s="4" t="s">
        <v>37</v>
      </c>
    </row>
    <row r="1020" spans="1:8" ht="34" customHeight="1">
      <c r="A1020" s="4" t="s">
        <v>38</v>
      </c>
      <c r="B1020" s="4" t="s">
        <v>39</v>
      </c>
      <c r="C1020" s="7">
        <v>6.36</v>
      </c>
      <c r="D1020" s="7">
        <v>5.866666666666666</v>
      </c>
      <c r="E1020" s="7">
        <f>IF(AND(ISNUMBER(C1020),ISNUMBER(D1020)),(D1020-C1020),"待補")</f>
        <v>-0.49333333333333407</v>
      </c>
      <c r="F1020" s="8" t="s">
        <v>16</v>
      </c>
      <c r="G1020" s="4" t="s">
        <v>141</v>
      </c>
      <c r="H1020" s="4"/>
    </row>
    <row r="1021" spans="1:8" ht="34" customHeight="1">
      <c r="A1021" s="4" t="s">
        <v>40</v>
      </c>
      <c r="B1021" s="4" t="s">
        <v>39</v>
      </c>
      <c r="C1021" s="7">
        <v>6.36</v>
      </c>
      <c r="D1021" s="7">
        <v>5.866666666666666</v>
      </c>
      <c r="E1021" s="7">
        <f>IF(AND(ISNUMBER(C1021),ISNUMBER(D1021)),(D1021-C1021),"待補")</f>
        <v>-0.49333333333333407</v>
      </c>
      <c r="F1021" s="8" t="s">
        <v>16</v>
      </c>
      <c r="G1021" s="4" t="s">
        <v>141</v>
      </c>
      <c r="H1021" s="4" t="s">
        <v>41</v>
      </c>
    </row>
    <row r="1022" spans="1:8" ht="34" customHeight="1">
      <c r="A1022" s="4" t="s">
        <v>53</v>
      </c>
      <c r="B1022" s="4" t="s">
        <v>39</v>
      </c>
      <c r="C1022" s="7">
        <v>6.106666666666666</v>
      </c>
      <c r="D1022" s="7">
        <v>5.546666666666667</v>
      </c>
      <c r="E1022" s="7">
        <f>IF(AND(ISNUMBER(C1022),ISNUMBER(D1022)),(D1022-C1022),"待補")</f>
        <v>-0.5599999999999996</v>
      </c>
      <c r="F1022" s="8" t="s">
        <v>16</v>
      </c>
      <c r="G1022" s="4" t="s">
        <v>141</v>
      </c>
      <c r="H1022" s="4" t="s">
        <v>54</v>
      </c>
    </row>
    <row r="1023" spans="1:8">
      <c r="A1023" s="4" t="s">
        <v>42</v>
      </c>
      <c r="B1023" s="4" t="s">
        <v>15</v>
      </c>
      <c r="D1023" s="6">
        <v>7</v>
      </c>
      <c r="H1023" s="4" t="s">
        <v>43</v>
      </c>
    </row>
    <row r="1024" spans="1:8">
      <c r="A1024" s="4" t="s">
        <v>44</v>
      </c>
      <c r="B1024" s="4" t="s">
        <v>15</v>
      </c>
      <c r="D1024" s="6">
        <v>11</v>
      </c>
      <c r="H1024" s="4" t="s">
        <v>43</v>
      </c>
    </row>
    <row r="1025" spans="1:8">
      <c r="A1025" s="4" t="s">
        <v>45</v>
      </c>
      <c r="B1025" s="4" t="s">
        <v>15</v>
      </c>
      <c r="D1025" s="6">
        <v>50</v>
      </c>
      <c r="H1025" s="4" t="s">
        <v>43</v>
      </c>
    </row>
    <row r="1026" spans="1:8">
      <c r="A1026" s="4" t="s">
        <v>46</v>
      </c>
      <c r="B1026" s="4" t="s">
        <v>25</v>
      </c>
      <c r="C1026" s="7">
        <v>7.4733291491</v>
      </c>
      <c r="D1026" s="7">
        <v>7.30757641924</v>
      </c>
      <c r="E1026" s="7">
        <f>IF(AND(ISNUMBER(C1026),ISNUMBER(D1026)),D1026-C1026,"待補")</f>
        <v>-0.16575272985999978</v>
      </c>
      <c r="F1026" s="9">
        <f>IF(AND(ISNUMBER(C1026),ISNUMBER(D1026),C1026&lt;&gt;0),(C1026-D1026)/C1026,"待補")</f>
        <v>0.02217923586036099</v>
      </c>
      <c r="G1026" s="4" t="s">
        <v>194</v>
      </c>
      <c r="H1026" s="4" t="s">
        <v>48</v>
      </c>
    </row>
    <row r="1027" spans="1:8" ht="34" customHeight="1">
      <c r="A1027" s="2" t="s">
        <v>145</v>
      </c>
      <c r="B1027" s="2"/>
      <c r="C1027" s="2"/>
      <c r="D1027" s="2"/>
      <c r="E1027" s="2"/>
      <c r="F1027" s="2"/>
      <c r="G1027" s="2"/>
      <c r="H1027" s="2"/>
    </row>
    <row r="1030" spans="1:8" ht="28" customHeight="1">
      <c r="A1030" s="3" t="s">
        <v>215</v>
      </c>
      <c r="B1030" s="3"/>
      <c r="C1030" s="3"/>
      <c r="D1030" s="3"/>
      <c r="E1030" s="3"/>
      <c r="F1030" s="3"/>
      <c r="G1030" s="3"/>
      <c r="H1030" s="3"/>
    </row>
    <row r="1031" spans="1:8" ht="40" customHeight="1">
      <c r="A1031" s="2" t="s">
        <v>216</v>
      </c>
      <c r="B1031" s="2"/>
      <c r="C1031" s="2"/>
      <c r="D1031" s="2"/>
      <c r="E1031" s="2"/>
      <c r="F1031" s="2"/>
      <c r="G1031" s="2"/>
      <c r="H1031" s="2"/>
    </row>
    <row r="1032" spans="1:8" ht="40" customHeight="1">
      <c r="A1032" s="2" t="s">
        <v>140</v>
      </c>
      <c r="B1032" s="2"/>
      <c r="C1032" s="2"/>
      <c r="D1032" s="2"/>
      <c r="E1032" s="2"/>
      <c r="F1032" s="2"/>
      <c r="G1032" s="2"/>
      <c r="H1032" s="2"/>
    </row>
    <row r="1033" spans="1:8">
      <c r="A1033" s="3" t="s">
        <v>6</v>
      </c>
      <c r="B1033" s="3" t="s">
        <v>7</v>
      </c>
      <c r="C1033" s="3" t="s">
        <v>8</v>
      </c>
      <c r="D1033" s="3" t="s">
        <v>9</v>
      </c>
      <c r="E1033" s="3" t="s">
        <v>10</v>
      </c>
      <c r="F1033" s="3" t="s">
        <v>11</v>
      </c>
      <c r="G1033" s="3" t="s">
        <v>12</v>
      </c>
      <c r="H1033" s="3" t="s">
        <v>13</v>
      </c>
    </row>
    <row r="1034" spans="1:8" ht="34" customHeight="1">
      <c r="A1034" s="4" t="s">
        <v>14</v>
      </c>
      <c r="B1034" s="4" t="s">
        <v>15</v>
      </c>
      <c r="C1034" s="6">
        <v>75</v>
      </c>
      <c r="D1034" s="6">
        <v>75</v>
      </c>
      <c r="E1034" s="7">
        <f>IF(AND(ISNUMBER(C1034),ISNUMBER(D1034)),(D1034-C1034),"待補")</f>
        <v>0</v>
      </c>
      <c r="F1034" s="8" t="s">
        <v>16</v>
      </c>
      <c r="G1034" s="4" t="s">
        <v>141</v>
      </c>
      <c r="H1034" s="4"/>
    </row>
    <row r="1035" spans="1:8" ht="34" customHeight="1">
      <c r="A1035" s="4" t="s">
        <v>18</v>
      </c>
      <c r="B1035" s="4" t="s">
        <v>15</v>
      </c>
      <c r="C1035" s="6">
        <v>63</v>
      </c>
      <c r="D1035" s="6">
        <v>54</v>
      </c>
      <c r="E1035" s="7">
        <f>IF(AND(ISNUMBER(C1035),ISNUMBER(D1035)),(D1035-C1035),"待補")</f>
        <v>-9</v>
      </c>
      <c r="F1035" s="8" t="s">
        <v>16</v>
      </c>
      <c r="G1035" s="4" t="s">
        <v>141</v>
      </c>
      <c r="H1035" s="4"/>
    </row>
    <row r="1036" spans="1:8" ht="34" customHeight="1">
      <c r="A1036" s="4" t="s">
        <v>19</v>
      </c>
      <c r="B1036" s="4" t="s">
        <v>20</v>
      </c>
      <c r="C1036" s="9">
        <v>0.84</v>
      </c>
      <c r="D1036" s="9">
        <v>0.72</v>
      </c>
      <c r="E1036" s="10">
        <f>IF(AND(ISNUMBER(C1036),ISNUMBER(D1036)),(D1036-C1036)*100,"待補")</f>
        <v>-12.0</v>
      </c>
      <c r="F1036" s="8" t="s">
        <v>16</v>
      </c>
      <c r="G1036" s="4" t="s">
        <v>141</v>
      </c>
      <c r="H1036" s="4" t="s">
        <v>21</v>
      </c>
    </row>
    <row r="1037" spans="1:8" ht="34" customHeight="1">
      <c r="A1037" s="4" t="s">
        <v>22</v>
      </c>
      <c r="B1037" s="4" t="s">
        <v>15</v>
      </c>
      <c r="C1037" s="6">
        <v>68</v>
      </c>
      <c r="D1037" s="6">
        <v>61</v>
      </c>
      <c r="E1037" s="7">
        <f>IF(AND(ISNUMBER(C1037),ISNUMBER(D1037)),(D1037-C1037),"待補")</f>
        <v>-7</v>
      </c>
      <c r="F1037" s="8" t="s">
        <v>16</v>
      </c>
      <c r="G1037" s="4" t="s">
        <v>141</v>
      </c>
      <c r="H1037" s="4"/>
    </row>
    <row r="1038" spans="1:8" ht="34" customHeight="1">
      <c r="A1038" s="4" t="s">
        <v>23</v>
      </c>
      <c r="B1038" s="4" t="s">
        <v>15</v>
      </c>
      <c r="C1038" s="6">
        <v>7</v>
      </c>
      <c r="D1038" s="6">
        <v>14</v>
      </c>
      <c r="E1038" s="7">
        <f>IF(AND(ISNUMBER(C1038),ISNUMBER(D1038)),(D1038-C1038),"待補")</f>
        <v>7</v>
      </c>
      <c r="F1038" s="8" t="s">
        <v>16</v>
      </c>
      <c r="G1038" s="4" t="s">
        <v>141</v>
      </c>
      <c r="H1038" s="4"/>
    </row>
    <row r="1039" spans="1:8" ht="34" customHeight="1">
      <c r="A1039" s="4" t="s">
        <v>24</v>
      </c>
      <c r="B1039" s="4" t="s">
        <v>25</v>
      </c>
      <c r="C1039" s="7">
        <v>14.53955476314706</v>
      </c>
      <c r="D1039" s="7">
        <v>13.409751301</v>
      </c>
      <c r="E1039" s="7">
        <f>IF(AND(ISNUMBER(C1039),ISNUMBER(D1039)),(D1039-C1039),"待補")</f>
        <v>-1.1298034621470592</v>
      </c>
      <c r="F1039" s="8" t="s">
        <v>16</v>
      </c>
      <c r="G1039" s="4" t="s">
        <v>217</v>
      </c>
      <c r="H1039" s="4" t="s">
        <v>27</v>
      </c>
    </row>
    <row r="1040" spans="1:8" ht="34" customHeight="1">
      <c r="A1040" s="4" t="s">
        <v>28</v>
      </c>
      <c r="B1040" s="4" t="s">
        <v>25</v>
      </c>
      <c r="C1040" s="7">
        <v>7.078909595999999</v>
      </c>
      <c r="D1040" s="7">
        <v>7.908023053</v>
      </c>
      <c r="E1040" s="7">
        <f>IF(AND(ISNUMBER(C1040),ISNUMBER(D1040)),(D1040-C1040),"待補")</f>
        <v>0.8291134570000009</v>
      </c>
      <c r="F1040" s="8" t="s">
        <v>16</v>
      </c>
      <c r="G1040" s="4" t="s">
        <v>217</v>
      </c>
      <c r="H1040" s="4" t="s">
        <v>27</v>
      </c>
    </row>
    <row r="1041" spans="1:8" ht="34" customHeight="1">
      <c r="A1041" s="4" t="s">
        <v>29</v>
      </c>
      <c r="B1041" s="4" t="s">
        <v>25</v>
      </c>
      <c r="C1041" s="7">
        <v>8.506313526095239</v>
      </c>
      <c r="D1041" s="7">
        <v>9.213120185388888</v>
      </c>
      <c r="E1041" s="7">
        <f>IF(AND(ISNUMBER(C1041),ISNUMBER(D1041)),(D1041-C1041),"待補")</f>
        <v>0.7068066592936493</v>
      </c>
      <c r="F1041" s="8" t="s">
        <v>16</v>
      </c>
      <c r="G1041" s="4" t="s">
        <v>218</v>
      </c>
      <c r="H1041" s="4" t="s">
        <v>31</v>
      </c>
    </row>
    <row r="1042" spans="1:8" ht="34" customHeight="1">
      <c r="A1042" s="4" t="s">
        <v>32</v>
      </c>
      <c r="B1042" s="4" t="s">
        <v>33</v>
      </c>
      <c r="C1042" s="7">
        <v>0.8819165110235294</v>
      </c>
      <c r="D1042" s="7">
        <v>0.8061174735291803</v>
      </c>
      <c r="E1042" s="7">
        <f>IF(AND(ISNUMBER(C1042),ISNUMBER(D1042)),(D1042-C1042),"待補")</f>
        <v>-0.07579903749434913</v>
      </c>
      <c r="F1042" s="8" t="s">
        <v>16</v>
      </c>
      <c r="G1042" s="4" t="s">
        <v>141</v>
      </c>
      <c r="H1042" s="4"/>
    </row>
    <row r="1043" spans="1:8" ht="34" customHeight="1">
      <c r="A1043" s="4" t="s">
        <v>34</v>
      </c>
      <c r="B1043" s="4" t="s">
        <v>25</v>
      </c>
      <c r="C1043" s="7">
        <v>12.83738906188235</v>
      </c>
      <c r="D1043" s="7">
        <v>12.02704346083607</v>
      </c>
      <c r="E1043" s="7">
        <f>IF(AND(ISNUMBER(C1043),ISNUMBER(D1043)),(D1043-C1043),"待補")</f>
        <v>-0.8103456010462864</v>
      </c>
      <c r="F1043" s="8" t="s">
        <v>16</v>
      </c>
      <c r="G1043" s="4" t="s">
        <v>141</v>
      </c>
      <c r="H1043" s="4"/>
    </row>
    <row r="1044" spans="1:8" ht="34" customHeight="1">
      <c r="A1044" s="4" t="s">
        <v>35</v>
      </c>
      <c r="B1044" s="4" t="s">
        <v>36</v>
      </c>
      <c r="C1044" s="7">
        <v>2.109900893333333</v>
      </c>
      <c r="D1044" s="7">
        <v>1.96259612</v>
      </c>
      <c r="E1044" s="7">
        <f>IF(AND(ISNUMBER(C1044),ISNUMBER(D1044)),(D1044-C1044),"待補")</f>
        <v>-0.14730477333333325</v>
      </c>
      <c r="F1044" s="9">
        <f>IF(AND(ISNUMBER(C1044),ISNUMBER(D1044),C1044&lt;&gt;0),(C1044-D1044)/C1044,"待補")</f>
        <v>0.0698159680384861</v>
      </c>
      <c r="G1044" s="4" t="s">
        <v>141</v>
      </c>
      <c r="H1044" s="4" t="s">
        <v>37</v>
      </c>
    </row>
    <row r="1045" spans="1:8" ht="34" customHeight="1">
      <c r="A1045" s="4" t="s">
        <v>38</v>
      </c>
      <c r="B1045" s="4" t="s">
        <v>39</v>
      </c>
      <c r="C1045" s="7">
        <v>6.773333333333333</v>
      </c>
      <c r="D1045" s="7">
        <v>5.893333333333334</v>
      </c>
      <c r="E1045" s="7">
        <f>IF(AND(ISNUMBER(C1045),ISNUMBER(D1045)),(D1045-C1045),"待補")</f>
        <v>-0.8799999999999999</v>
      </c>
      <c r="F1045" s="8" t="s">
        <v>16</v>
      </c>
      <c r="G1045" s="4" t="s">
        <v>141</v>
      </c>
      <c r="H1045" s="4"/>
    </row>
    <row r="1046" spans="1:8" ht="34" customHeight="1">
      <c r="A1046" s="4" t="s">
        <v>40</v>
      </c>
      <c r="B1046" s="4" t="s">
        <v>39</v>
      </c>
      <c r="C1046" s="7">
        <v>6.76</v>
      </c>
      <c r="D1046" s="7">
        <v>5.893333333333334</v>
      </c>
      <c r="E1046" s="7">
        <f>IF(AND(ISNUMBER(C1046),ISNUMBER(D1046)),(D1046-C1046),"待補")</f>
        <v>-0.8666666666666663</v>
      </c>
      <c r="F1046" s="8" t="s">
        <v>16</v>
      </c>
      <c r="G1046" s="4" t="s">
        <v>141</v>
      </c>
      <c r="H1046" s="4" t="s">
        <v>41</v>
      </c>
    </row>
    <row r="1047" spans="1:8">
      <c r="A1047" s="4" t="s">
        <v>42</v>
      </c>
      <c r="B1047" s="4" t="s">
        <v>15</v>
      </c>
      <c r="D1047" s="6">
        <v>4</v>
      </c>
      <c r="H1047" s="4" t="s">
        <v>43</v>
      </c>
    </row>
    <row r="1048" spans="1:8">
      <c r="A1048" s="4" t="s">
        <v>44</v>
      </c>
      <c r="B1048" s="4" t="s">
        <v>15</v>
      </c>
      <c r="D1048" s="6">
        <v>13</v>
      </c>
      <c r="H1048" s="4" t="s">
        <v>43</v>
      </c>
    </row>
    <row r="1049" spans="1:8">
      <c r="A1049" s="4" t="s">
        <v>45</v>
      </c>
      <c r="B1049" s="4" t="s">
        <v>15</v>
      </c>
      <c r="D1049" s="6">
        <v>50</v>
      </c>
      <c r="H1049" s="4" t="s">
        <v>43</v>
      </c>
    </row>
    <row r="1050" spans="1:8">
      <c r="A1050" s="4" t="s">
        <v>46</v>
      </c>
      <c r="B1050" s="4" t="s">
        <v>25</v>
      </c>
      <c r="C1050" s="7">
        <v>7.783780007500001</v>
      </c>
      <c r="D1050" s="7">
        <v>8.83080967698</v>
      </c>
      <c r="E1050" s="7">
        <f>IF(AND(ISNUMBER(C1050),ISNUMBER(D1050)),D1050-C1050,"待補")</f>
        <v>1.0470296694799999</v>
      </c>
      <c r="F1050" s="9">
        <f>IF(AND(ISNUMBER(C1050),ISNUMBER(D1050),C1050&lt;&gt;0),(C1050-D1050)/C1050,"待補")</f>
        <v>-0.13451429362997705</v>
      </c>
      <c r="G1050" s="4" t="s">
        <v>194</v>
      </c>
      <c r="H1050" s="4" t="s">
        <v>48</v>
      </c>
    </row>
    <row r="1051" spans="1:8" ht="34" customHeight="1">
      <c r="A1051" s="2" t="s">
        <v>145</v>
      </c>
      <c r="B1051" s="2"/>
      <c r="C1051" s="2"/>
      <c r="D1051" s="2"/>
      <c r="E1051" s="2"/>
      <c r="F1051" s="2"/>
      <c r="G1051" s="2"/>
      <c r="H1051" s="2"/>
    </row>
    <row r="1054" spans="1:8" ht="28" customHeight="1">
      <c r="A1054" s="3" t="s">
        <v>219</v>
      </c>
      <c r="B1054" s="3"/>
      <c r="C1054" s="3"/>
      <c r="D1054" s="3"/>
      <c r="E1054" s="3"/>
      <c r="F1054" s="3"/>
      <c r="G1054" s="3"/>
      <c r="H1054" s="3"/>
    </row>
    <row r="1055" spans="1:8" ht="40" customHeight="1">
      <c r="A1055" s="2" t="s">
        <v>216</v>
      </c>
      <c r="B1055" s="2"/>
      <c r="C1055" s="2"/>
      <c r="D1055" s="2"/>
      <c r="E1055" s="2"/>
      <c r="F1055" s="2"/>
      <c r="G1055" s="2"/>
      <c r="H1055" s="2"/>
    </row>
    <row r="1056" spans="1:8" ht="40" customHeight="1">
      <c r="A1056" s="2" t="s">
        <v>140</v>
      </c>
      <c r="B1056" s="2"/>
      <c r="C1056" s="2"/>
      <c r="D1056" s="2"/>
      <c r="E1056" s="2"/>
      <c r="F1056" s="2"/>
      <c r="G1056" s="2"/>
      <c r="H1056" s="2"/>
    </row>
    <row r="1057" spans="1:8">
      <c r="A1057" s="3" t="s">
        <v>6</v>
      </c>
      <c r="B1057" s="3" t="s">
        <v>7</v>
      </c>
      <c r="C1057" s="3" t="s">
        <v>8</v>
      </c>
      <c r="D1057" s="3" t="s">
        <v>9</v>
      </c>
      <c r="E1057" s="3" t="s">
        <v>10</v>
      </c>
      <c r="F1057" s="3" t="s">
        <v>11</v>
      </c>
      <c r="G1057" s="3" t="s">
        <v>12</v>
      </c>
      <c r="H1057" s="3" t="s">
        <v>13</v>
      </c>
    </row>
    <row r="1058" spans="1:8" ht="34" customHeight="1">
      <c r="A1058" s="4" t="s">
        <v>14</v>
      </c>
      <c r="B1058" s="4" t="s">
        <v>15</v>
      </c>
      <c r="C1058" s="6">
        <v>75</v>
      </c>
      <c r="D1058" s="6">
        <v>75</v>
      </c>
      <c r="E1058" s="7">
        <f>IF(AND(ISNUMBER(C1058),ISNUMBER(D1058)),(D1058-C1058),"待補")</f>
        <v>0</v>
      </c>
      <c r="F1058" s="8" t="s">
        <v>16</v>
      </c>
      <c r="G1058" s="4" t="s">
        <v>141</v>
      </c>
      <c r="H1058" s="4"/>
    </row>
    <row r="1059" spans="1:8" ht="34" customHeight="1">
      <c r="A1059" s="4" t="s">
        <v>18</v>
      </c>
      <c r="B1059" s="4" t="s">
        <v>15</v>
      </c>
      <c r="C1059" s="6">
        <v>65</v>
      </c>
      <c r="D1059" s="6">
        <v>58</v>
      </c>
      <c r="E1059" s="7">
        <f>IF(AND(ISNUMBER(C1059),ISNUMBER(D1059)),(D1059-C1059),"待補")</f>
        <v>-7</v>
      </c>
      <c r="F1059" s="8" t="s">
        <v>16</v>
      </c>
      <c r="G1059" s="4" t="s">
        <v>141</v>
      </c>
      <c r="H1059" s="4"/>
    </row>
    <row r="1060" spans="1:8" ht="34" customHeight="1">
      <c r="A1060" s="4" t="s">
        <v>19</v>
      </c>
      <c r="B1060" s="4" t="s">
        <v>20</v>
      </c>
      <c r="C1060" s="9">
        <v>0.8666666666666667</v>
      </c>
      <c r="D1060" s="9">
        <v>0.7733333333333333</v>
      </c>
      <c r="E1060" s="10">
        <f>IF(AND(ISNUMBER(C1060),ISNUMBER(D1060)),(D1060-C1060)*100,"待補")</f>
        <v>-9.333333333333337</v>
      </c>
      <c r="F1060" s="8" t="s">
        <v>16</v>
      </c>
      <c r="G1060" s="4" t="s">
        <v>141</v>
      </c>
      <c r="H1060" s="4" t="s">
        <v>21</v>
      </c>
    </row>
    <row r="1061" spans="1:8" ht="34" customHeight="1">
      <c r="A1061" s="4" t="s">
        <v>22</v>
      </c>
      <c r="B1061" s="4" t="s">
        <v>15</v>
      </c>
      <c r="C1061" s="6">
        <v>68</v>
      </c>
      <c r="D1061" s="6">
        <v>61</v>
      </c>
      <c r="E1061" s="7">
        <f>IF(AND(ISNUMBER(C1061),ISNUMBER(D1061)),(D1061-C1061),"待補")</f>
        <v>-7</v>
      </c>
      <c r="F1061" s="8" t="s">
        <v>16</v>
      </c>
      <c r="G1061" s="4" t="s">
        <v>141</v>
      </c>
      <c r="H1061" s="4"/>
    </row>
    <row r="1062" spans="1:8" ht="34" customHeight="1">
      <c r="A1062" s="4" t="s">
        <v>23</v>
      </c>
      <c r="B1062" s="4" t="s">
        <v>15</v>
      </c>
      <c r="C1062" s="6">
        <v>7</v>
      </c>
      <c r="D1062" s="6">
        <v>14</v>
      </c>
      <c r="E1062" s="7">
        <f>IF(AND(ISNUMBER(C1062),ISNUMBER(D1062)),(D1062-C1062),"待補")</f>
        <v>7</v>
      </c>
      <c r="F1062" s="8" t="s">
        <v>16</v>
      </c>
      <c r="G1062" s="4" t="s">
        <v>141</v>
      </c>
      <c r="H1062" s="4"/>
    </row>
    <row r="1063" spans="1:8" ht="34" customHeight="1">
      <c r="A1063" s="4" t="s">
        <v>24</v>
      </c>
      <c r="B1063" s="4" t="s">
        <v>25</v>
      </c>
      <c r="C1063" s="7">
        <v>11.40430062222059</v>
      </c>
      <c r="D1063" s="7">
        <v>11.8858428137541</v>
      </c>
      <c r="E1063" s="7">
        <f>IF(AND(ISNUMBER(C1063),ISNUMBER(D1063)),(D1063-C1063),"待補")</f>
        <v>0.4815421915335083</v>
      </c>
      <c r="F1063" s="8" t="s">
        <v>16</v>
      </c>
      <c r="G1063" s="4" t="s">
        <v>217</v>
      </c>
      <c r="H1063" s="4" t="s">
        <v>27</v>
      </c>
    </row>
    <row r="1064" spans="1:8" ht="34" customHeight="1">
      <c r="A1064" s="4" t="s">
        <v>28</v>
      </c>
      <c r="B1064" s="4" t="s">
        <v>25</v>
      </c>
      <c r="C1064" s="7">
        <v>6.630230407</v>
      </c>
      <c r="D1064" s="7">
        <v>7.342492638</v>
      </c>
      <c r="E1064" s="7">
        <f>IF(AND(ISNUMBER(C1064),ISNUMBER(D1064)),(D1064-C1064),"待補")</f>
        <v>0.7122622310000004</v>
      </c>
      <c r="F1064" s="8" t="s">
        <v>16</v>
      </c>
      <c r="G1064" s="4" t="s">
        <v>217</v>
      </c>
      <c r="H1064" s="4" t="s">
        <v>27</v>
      </c>
    </row>
    <row r="1065" spans="1:8" ht="34" customHeight="1">
      <c r="A1065" s="4" t="s">
        <v>29</v>
      </c>
      <c r="B1065" s="4" t="s">
        <v>25</v>
      </c>
      <c r="C1065" s="7">
        <v>8.167160837092307</v>
      </c>
      <c r="D1065" s="7">
        <v>9.126737957568967</v>
      </c>
      <c r="E1065" s="7">
        <f>IF(AND(ISNUMBER(C1065),ISNUMBER(D1065)),(D1065-C1065),"待補")</f>
        <v>0.9595771204766592</v>
      </c>
      <c r="F1065" s="8" t="s">
        <v>16</v>
      </c>
      <c r="G1065" s="4" t="s">
        <v>220</v>
      </c>
      <c r="H1065" s="4" t="s">
        <v>31</v>
      </c>
    </row>
    <row r="1066" spans="1:8" ht="34" customHeight="1">
      <c r="A1066" s="4" t="s">
        <v>32</v>
      </c>
      <c r="B1066" s="4" t="s">
        <v>33</v>
      </c>
      <c r="C1066" s="7">
        <v>0.6951690738455882</v>
      </c>
      <c r="D1066" s="7">
        <v>0.6551426004095082</v>
      </c>
      <c r="E1066" s="7">
        <f>IF(AND(ISNUMBER(C1066),ISNUMBER(D1066)),(D1066-C1066),"待補")</f>
        <v>-0.04002647343608001</v>
      </c>
      <c r="F1066" s="8" t="s">
        <v>16</v>
      </c>
      <c r="G1066" s="4" t="s">
        <v>141</v>
      </c>
      <c r="H1066" s="4"/>
    </row>
    <row r="1067" spans="1:8" ht="34" customHeight="1">
      <c r="A1067" s="4" t="s">
        <v>34</v>
      </c>
      <c r="B1067" s="4" t="s">
        <v>25</v>
      </c>
      <c r="C1067" s="7">
        <v>10.01956322791177</v>
      </c>
      <c r="D1067" s="7">
        <v>10.8013155582623</v>
      </c>
      <c r="E1067" s="7">
        <f>IF(AND(ISNUMBER(C1067),ISNUMBER(D1067)),(D1067-C1067),"待補")</f>
        <v>0.78175233035053</v>
      </c>
      <c r="F1067" s="8" t="s">
        <v>16</v>
      </c>
      <c r="G1067" s="4" t="s">
        <v>141</v>
      </c>
      <c r="H1067" s="4"/>
    </row>
    <row r="1068" spans="1:8" ht="34" customHeight="1">
      <c r="A1068" s="4" t="s">
        <v>35</v>
      </c>
      <c r="B1068" s="4" t="s">
        <v>36</v>
      </c>
      <c r="C1068" s="7">
        <v>2.532242066666667</v>
      </c>
      <c r="D1068" s="7">
        <v>2.33149448</v>
      </c>
      <c r="E1068" s="7">
        <f>IF(AND(ISNUMBER(C1068),ISNUMBER(D1068)),(D1068-C1068),"待補")</f>
        <v>-0.2007475866666666</v>
      </c>
      <c r="F1068" s="9">
        <f>IF(AND(ISNUMBER(C1068),ISNUMBER(D1068),C1068&lt;&gt;0),(C1068-D1068)/C1068,"待補")</f>
        <v>0.07927661786731234</v>
      </c>
      <c r="G1068" s="4" t="s">
        <v>141</v>
      </c>
      <c r="H1068" s="4" t="s">
        <v>37</v>
      </c>
    </row>
    <row r="1069" spans="1:8" ht="34" customHeight="1">
      <c r="A1069" s="4" t="s">
        <v>38</v>
      </c>
      <c r="B1069" s="4" t="s">
        <v>39</v>
      </c>
      <c r="C1069" s="7">
        <v>6.773333333333333</v>
      </c>
      <c r="D1069" s="7">
        <v>5.893333333333334</v>
      </c>
      <c r="E1069" s="7">
        <f>IF(AND(ISNUMBER(C1069),ISNUMBER(D1069)),(D1069-C1069),"待補")</f>
        <v>-0.8799999999999999</v>
      </c>
      <c r="F1069" s="8" t="s">
        <v>16</v>
      </c>
      <c r="G1069" s="4" t="s">
        <v>141</v>
      </c>
      <c r="H1069" s="4"/>
    </row>
    <row r="1070" spans="1:8" ht="34" customHeight="1">
      <c r="A1070" s="4" t="s">
        <v>40</v>
      </c>
      <c r="B1070" s="4" t="s">
        <v>39</v>
      </c>
      <c r="C1070" s="7">
        <v>6.76</v>
      </c>
      <c r="D1070" s="7">
        <v>5.893333333333334</v>
      </c>
      <c r="E1070" s="7">
        <f>IF(AND(ISNUMBER(C1070),ISNUMBER(D1070)),(D1070-C1070),"待補")</f>
        <v>-0.8666666666666663</v>
      </c>
      <c r="F1070" s="8" t="s">
        <v>16</v>
      </c>
      <c r="G1070" s="4" t="s">
        <v>141</v>
      </c>
      <c r="H1070" s="4" t="s">
        <v>41</v>
      </c>
    </row>
    <row r="1071" spans="1:8" ht="34" customHeight="1">
      <c r="A1071" s="4" t="s">
        <v>53</v>
      </c>
      <c r="B1071" s="4" t="s">
        <v>39</v>
      </c>
      <c r="C1071" s="7">
        <v>6.533333333333333</v>
      </c>
      <c r="D1071" s="7">
        <v>5.613333333333333</v>
      </c>
      <c r="E1071" s="7">
        <f>IF(AND(ISNUMBER(C1071),ISNUMBER(D1071)),(D1071-C1071),"待補")</f>
        <v>-0.9199999999999999</v>
      </c>
      <c r="F1071" s="8" t="s">
        <v>16</v>
      </c>
      <c r="G1071" s="4" t="s">
        <v>141</v>
      </c>
      <c r="H1071" s="4" t="s">
        <v>54</v>
      </c>
    </row>
    <row r="1072" spans="1:8">
      <c r="A1072" s="4" t="s">
        <v>42</v>
      </c>
      <c r="B1072" s="4" t="s">
        <v>15</v>
      </c>
      <c r="D1072" s="6">
        <v>3</v>
      </c>
      <c r="H1072" s="4" t="s">
        <v>43</v>
      </c>
    </row>
    <row r="1073" spans="1:8">
      <c r="A1073" s="4" t="s">
        <v>44</v>
      </c>
      <c r="B1073" s="4" t="s">
        <v>15</v>
      </c>
      <c r="D1073" s="6">
        <v>10</v>
      </c>
      <c r="H1073" s="4" t="s">
        <v>43</v>
      </c>
    </row>
    <row r="1074" spans="1:8">
      <c r="A1074" s="4" t="s">
        <v>45</v>
      </c>
      <c r="B1074" s="4" t="s">
        <v>15</v>
      </c>
      <c r="D1074" s="6">
        <v>55</v>
      </c>
      <c r="H1074" s="4" t="s">
        <v>43</v>
      </c>
    </row>
    <row r="1075" spans="1:8">
      <c r="A1075" s="4" t="s">
        <v>46</v>
      </c>
      <c r="B1075" s="4" t="s">
        <v>25</v>
      </c>
      <c r="C1075" s="7">
        <v>7.731559078509092</v>
      </c>
      <c r="D1075" s="7">
        <v>8.765960782890909</v>
      </c>
      <c r="E1075" s="7">
        <f>IF(AND(ISNUMBER(C1075),ISNUMBER(D1075)),D1075-C1075,"待補")</f>
        <v>1.034401704381818</v>
      </c>
      <c r="F1075" s="9">
        <f>IF(AND(ISNUMBER(C1075),ISNUMBER(D1075),C1075&lt;&gt;0),(C1075-D1075)/C1075,"待補")</f>
        <v>-0.13378953635070537</v>
      </c>
      <c r="G1075" s="4" t="s">
        <v>179</v>
      </c>
      <c r="H1075" s="4" t="s">
        <v>48</v>
      </c>
    </row>
    <row r="1076" spans="1:8" ht="34" customHeight="1">
      <c r="A1076" s="2" t="s">
        <v>145</v>
      </c>
      <c r="B1076" s="2"/>
      <c r="C1076" s="2"/>
      <c r="D1076" s="2"/>
      <c r="E1076" s="2"/>
      <c r="F1076" s="2"/>
      <c r="G1076" s="2"/>
      <c r="H1076" s="2"/>
    </row>
    <row r="1079" spans="1:8" ht="28" customHeight="1">
      <c r="A1079" s="3" t="s">
        <v>221</v>
      </c>
      <c r="B1079" s="3"/>
      <c r="C1079" s="3"/>
      <c r="D1079" s="3"/>
      <c r="E1079" s="3"/>
      <c r="F1079" s="3"/>
      <c r="G1079" s="3"/>
      <c r="H1079" s="3"/>
    </row>
    <row r="1080" spans="1:8" ht="40" customHeight="1">
      <c r="A1080" s="2" t="s">
        <v>222</v>
      </c>
      <c r="B1080" s="2"/>
      <c r="C1080" s="2"/>
      <c r="D1080" s="2"/>
      <c r="E1080" s="2"/>
      <c r="F1080" s="2"/>
      <c r="G1080" s="2"/>
      <c r="H1080" s="2"/>
    </row>
    <row r="1081" spans="1:8" ht="40" customHeight="1">
      <c r="A1081" s="2" t="s">
        <v>140</v>
      </c>
      <c r="B1081" s="2"/>
      <c r="C1081" s="2"/>
      <c r="D1081" s="2"/>
      <c r="E1081" s="2"/>
      <c r="F1081" s="2"/>
      <c r="G1081" s="2"/>
      <c r="H1081" s="2"/>
    </row>
    <row r="1082" spans="1:8">
      <c r="A1082" s="3" t="s">
        <v>6</v>
      </c>
      <c r="B1082" s="3" t="s">
        <v>7</v>
      </c>
      <c r="C1082" s="3" t="s">
        <v>8</v>
      </c>
      <c r="D1082" s="3" t="s">
        <v>9</v>
      </c>
      <c r="E1082" s="3" t="s">
        <v>10</v>
      </c>
      <c r="F1082" s="3" t="s">
        <v>11</v>
      </c>
      <c r="G1082" s="3" t="s">
        <v>12</v>
      </c>
      <c r="H1082" s="3" t="s">
        <v>13</v>
      </c>
    </row>
    <row r="1083" spans="1:8" ht="34" customHeight="1">
      <c r="A1083" s="4" t="s">
        <v>14</v>
      </c>
      <c r="B1083" s="4" t="s">
        <v>15</v>
      </c>
      <c r="C1083" s="6">
        <v>75</v>
      </c>
      <c r="D1083" s="6">
        <v>75</v>
      </c>
      <c r="E1083" s="7">
        <f>IF(AND(ISNUMBER(C1083),ISNUMBER(D1083)),(D1083-C1083),"待補")</f>
        <v>0</v>
      </c>
      <c r="F1083" s="8" t="s">
        <v>16</v>
      </c>
      <c r="G1083" s="4" t="s">
        <v>141</v>
      </c>
      <c r="H1083" s="4"/>
    </row>
    <row r="1084" spans="1:8" ht="34" customHeight="1">
      <c r="A1084" s="4" t="s">
        <v>18</v>
      </c>
      <c r="B1084" s="4" t="s">
        <v>15</v>
      </c>
      <c r="C1084" s="6">
        <v>63</v>
      </c>
      <c r="D1084" s="6">
        <v>60</v>
      </c>
      <c r="E1084" s="7">
        <f>IF(AND(ISNUMBER(C1084),ISNUMBER(D1084)),(D1084-C1084),"待補")</f>
        <v>-3</v>
      </c>
      <c r="F1084" s="8" t="s">
        <v>16</v>
      </c>
      <c r="G1084" s="4" t="s">
        <v>141</v>
      </c>
      <c r="H1084" s="4"/>
    </row>
    <row r="1085" spans="1:8" ht="34" customHeight="1">
      <c r="A1085" s="4" t="s">
        <v>19</v>
      </c>
      <c r="B1085" s="4" t="s">
        <v>20</v>
      </c>
      <c r="C1085" s="9">
        <v>0.84</v>
      </c>
      <c r="D1085" s="9">
        <v>0.8</v>
      </c>
      <c r="E1085" s="10">
        <f>IF(AND(ISNUMBER(C1085),ISNUMBER(D1085)),(D1085-C1085)*100,"待補")</f>
        <v>-3.9999999999999925</v>
      </c>
      <c r="F1085" s="8" t="s">
        <v>16</v>
      </c>
      <c r="G1085" s="4" t="s">
        <v>141</v>
      </c>
      <c r="H1085" s="4" t="s">
        <v>21</v>
      </c>
    </row>
    <row r="1086" spans="1:8" ht="34" customHeight="1">
      <c r="A1086" s="4" t="s">
        <v>22</v>
      </c>
      <c r="B1086" s="4" t="s">
        <v>15</v>
      </c>
      <c r="C1086" s="6">
        <v>66</v>
      </c>
      <c r="D1086" s="6">
        <v>61</v>
      </c>
      <c r="E1086" s="7">
        <f>IF(AND(ISNUMBER(C1086),ISNUMBER(D1086)),(D1086-C1086),"待補")</f>
        <v>-5</v>
      </c>
      <c r="F1086" s="8" t="s">
        <v>16</v>
      </c>
      <c r="G1086" s="4" t="s">
        <v>141</v>
      </c>
      <c r="H1086" s="4"/>
    </row>
    <row r="1087" spans="1:8" ht="34" customHeight="1">
      <c r="A1087" s="4" t="s">
        <v>23</v>
      </c>
      <c r="B1087" s="4" t="s">
        <v>15</v>
      </c>
      <c r="C1087" s="6">
        <v>9</v>
      </c>
      <c r="D1087" s="6">
        <v>14</v>
      </c>
      <c r="E1087" s="7">
        <f>IF(AND(ISNUMBER(C1087),ISNUMBER(D1087)),(D1087-C1087),"待補")</f>
        <v>5</v>
      </c>
      <c r="F1087" s="8" t="s">
        <v>16</v>
      </c>
      <c r="G1087" s="4" t="s">
        <v>141</v>
      </c>
      <c r="H1087" s="4"/>
    </row>
    <row r="1088" spans="1:8" ht="34" customHeight="1">
      <c r="A1088" s="4" t="s">
        <v>24</v>
      </c>
      <c r="B1088" s="4" t="s">
        <v>25</v>
      </c>
      <c r="C1088" s="7">
        <v>15.98190520154546</v>
      </c>
      <c r="D1088" s="7">
        <v>11.72483368783607</v>
      </c>
      <c r="E1088" s="7">
        <f>IF(AND(ISNUMBER(C1088),ISNUMBER(D1088)),(D1088-C1088),"待補")</f>
        <v>-4.2570715137093895</v>
      </c>
      <c r="F1088" s="8" t="s">
        <v>16</v>
      </c>
      <c r="G1088" s="4" t="s">
        <v>223</v>
      </c>
      <c r="H1088" s="4" t="s">
        <v>27</v>
      </c>
    </row>
    <row r="1089" spans="1:8" ht="34" customHeight="1">
      <c r="A1089" s="4" t="s">
        <v>28</v>
      </c>
      <c r="B1089" s="4" t="s">
        <v>25</v>
      </c>
      <c r="C1089" s="7">
        <v>7.153716524500001</v>
      </c>
      <c r="D1089" s="7">
        <v>7.610941223000001</v>
      </c>
      <c r="E1089" s="7">
        <f>IF(AND(ISNUMBER(C1089),ISNUMBER(D1089)),(D1089-C1089),"待補")</f>
        <v>0.45722469850000014</v>
      </c>
      <c r="F1089" s="8" t="s">
        <v>16</v>
      </c>
      <c r="G1089" s="4" t="s">
        <v>223</v>
      </c>
      <c r="H1089" s="4" t="s">
        <v>27</v>
      </c>
    </row>
    <row r="1090" spans="1:8" ht="34" customHeight="1">
      <c r="A1090" s="4" t="s">
        <v>29</v>
      </c>
      <c r="B1090" s="4" t="s">
        <v>25</v>
      </c>
      <c r="C1090" s="7">
        <v>9.024764704476191</v>
      </c>
      <c r="D1090" s="7">
        <v>10.4915468268</v>
      </c>
      <c r="E1090" s="7">
        <f>IF(AND(ISNUMBER(C1090),ISNUMBER(D1090)),(D1090-C1090),"待補")</f>
        <v>1.4667821223238082</v>
      </c>
      <c r="F1090" s="8" t="s">
        <v>16</v>
      </c>
      <c r="G1090" s="4" t="s">
        <v>224</v>
      </c>
      <c r="H1090" s="4" t="s">
        <v>31</v>
      </c>
    </row>
    <row r="1091" spans="1:8" ht="34" customHeight="1">
      <c r="A1091" s="4" t="s">
        <v>32</v>
      </c>
      <c r="B1091" s="4" t="s">
        <v>33</v>
      </c>
      <c r="C1091" s="7">
        <v>0.8342280190004545</v>
      </c>
      <c r="D1091" s="7">
        <v>0.6900471208659017</v>
      </c>
      <c r="E1091" s="7">
        <f>IF(AND(ISNUMBER(C1091),ISNUMBER(D1091)),(D1091-C1091),"待補")</f>
        <v>-0.14418089813455282</v>
      </c>
      <c r="F1091" s="8" t="s">
        <v>16</v>
      </c>
      <c r="G1091" s="4" t="s">
        <v>141</v>
      </c>
      <c r="H1091" s="4"/>
    </row>
    <row r="1092" spans="1:8" ht="34" customHeight="1">
      <c r="A1092" s="4" t="s">
        <v>34</v>
      </c>
      <c r="B1092" s="4" t="s">
        <v>25</v>
      </c>
      <c r="C1092" s="7">
        <v>14.60829021321667</v>
      </c>
      <c r="D1092" s="7">
        <v>10.55494045423279</v>
      </c>
      <c r="E1092" s="7">
        <f>IF(AND(ISNUMBER(C1092),ISNUMBER(D1092)),(D1092-C1092),"待補")</f>
        <v>-4.053349758983879</v>
      </c>
      <c r="F1092" s="8" t="s">
        <v>16</v>
      </c>
      <c r="G1092" s="4" t="s">
        <v>141</v>
      </c>
      <c r="H1092" s="4"/>
    </row>
    <row r="1093" spans="1:8" ht="34" customHeight="1">
      <c r="A1093" s="4" t="s">
        <v>35</v>
      </c>
      <c r="B1093" s="4" t="s">
        <v>36</v>
      </c>
      <c r="C1093" s="7">
        <v>2.18136476</v>
      </c>
      <c r="D1093" s="7">
        <v>1.770072066666667</v>
      </c>
      <c r="E1093" s="7">
        <f>IF(AND(ISNUMBER(C1093),ISNUMBER(D1093)),(D1093-C1093),"待補")</f>
        <v>-0.4112926933333334</v>
      </c>
      <c r="F1093" s="9">
        <f>IF(AND(ISNUMBER(C1093),ISNUMBER(D1093),C1093&lt;&gt;0),(C1093-D1093)/C1093,"待補")</f>
        <v>0.1885483349118253</v>
      </c>
      <c r="G1093" s="4" t="s">
        <v>141</v>
      </c>
      <c r="H1093" s="4" t="s">
        <v>37</v>
      </c>
    </row>
    <row r="1094" spans="1:8" ht="34" customHeight="1">
      <c r="A1094" s="4" t="s">
        <v>38</v>
      </c>
      <c r="B1094" s="4" t="s">
        <v>39</v>
      </c>
      <c r="C1094" s="7">
        <v>6.36</v>
      </c>
      <c r="D1094" s="7">
        <v>6.533333333333333</v>
      </c>
      <c r="E1094" s="7">
        <f>IF(AND(ISNUMBER(C1094),ISNUMBER(D1094)),(D1094-C1094),"待補")</f>
        <v>0.1733333333333329</v>
      </c>
      <c r="F1094" s="8" t="s">
        <v>16</v>
      </c>
      <c r="G1094" s="4" t="s">
        <v>141</v>
      </c>
      <c r="H1094" s="4"/>
    </row>
    <row r="1095" spans="1:8" ht="34" customHeight="1">
      <c r="A1095" s="4" t="s">
        <v>40</v>
      </c>
      <c r="B1095" s="4" t="s">
        <v>39</v>
      </c>
      <c r="C1095" s="7">
        <v>6.36</v>
      </c>
      <c r="D1095" s="7">
        <v>6.533333333333333</v>
      </c>
      <c r="E1095" s="7">
        <f>IF(AND(ISNUMBER(C1095),ISNUMBER(D1095)),(D1095-C1095),"待補")</f>
        <v>0.1733333333333329</v>
      </c>
      <c r="F1095" s="8" t="s">
        <v>16</v>
      </c>
      <c r="G1095" s="4" t="s">
        <v>141</v>
      </c>
      <c r="H1095" s="4" t="s">
        <v>41</v>
      </c>
    </row>
    <row r="1096" spans="1:8">
      <c r="A1096" s="4" t="s">
        <v>42</v>
      </c>
      <c r="B1096" s="4" t="s">
        <v>15</v>
      </c>
      <c r="D1096" s="6">
        <v>4</v>
      </c>
      <c r="H1096" s="4" t="s">
        <v>43</v>
      </c>
    </row>
    <row r="1097" spans="1:8">
      <c r="A1097" s="4" t="s">
        <v>44</v>
      </c>
      <c r="B1097" s="4" t="s">
        <v>15</v>
      </c>
      <c r="D1097" s="6">
        <v>7</v>
      </c>
      <c r="H1097" s="4" t="s">
        <v>43</v>
      </c>
    </row>
    <row r="1098" spans="1:8">
      <c r="A1098" s="4" t="s">
        <v>45</v>
      </c>
      <c r="B1098" s="4" t="s">
        <v>15</v>
      </c>
      <c r="D1098" s="6">
        <v>56</v>
      </c>
      <c r="H1098" s="4" t="s">
        <v>43</v>
      </c>
    </row>
    <row r="1099" spans="1:8">
      <c r="A1099" s="4" t="s">
        <v>46</v>
      </c>
      <c r="B1099" s="4" t="s">
        <v>25</v>
      </c>
      <c r="C1099" s="7">
        <v>8.323546374035715</v>
      </c>
      <c r="D1099" s="7">
        <v>9.965104664142856</v>
      </c>
      <c r="E1099" s="7">
        <f>IF(AND(ISNUMBER(C1099),ISNUMBER(D1099)),D1099-C1099,"待補")</f>
        <v>1.6415582901071424</v>
      </c>
      <c r="F1099" s="9">
        <f>IF(AND(ISNUMBER(C1099),ISNUMBER(D1099),C1099&lt;&gt;0),(C1099-D1099)/C1099,"待補")</f>
        <v>-0.19721861528011458</v>
      </c>
      <c r="G1099" s="4" t="s">
        <v>152</v>
      </c>
      <c r="H1099" s="4" t="s">
        <v>48</v>
      </c>
    </row>
    <row r="1100" spans="1:8" ht="34" customHeight="1">
      <c r="A1100" s="2" t="s">
        <v>145</v>
      </c>
      <c r="B1100" s="2"/>
      <c r="C1100" s="2"/>
      <c r="D1100" s="2"/>
      <c r="E1100" s="2"/>
      <c r="F1100" s="2"/>
      <c r="G1100" s="2"/>
      <c r="H1100" s="2"/>
    </row>
    <row r="1103" spans="1:8" ht="28" customHeight="1">
      <c r="A1103" s="3" t="s">
        <v>225</v>
      </c>
      <c r="B1103" s="3"/>
      <c r="C1103" s="3"/>
      <c r="D1103" s="3"/>
      <c r="E1103" s="3"/>
      <c r="F1103" s="3"/>
      <c r="G1103" s="3"/>
      <c r="H1103" s="3"/>
    </row>
    <row r="1104" spans="1:8" ht="40" customHeight="1">
      <c r="A1104" s="2" t="s">
        <v>222</v>
      </c>
      <c r="B1104" s="2"/>
      <c r="C1104" s="2"/>
      <c r="D1104" s="2"/>
      <c r="E1104" s="2"/>
      <c r="F1104" s="2"/>
      <c r="G1104" s="2"/>
      <c r="H1104" s="2"/>
    </row>
    <row r="1105" spans="1:8" ht="40" customHeight="1">
      <c r="A1105" s="2" t="s">
        <v>140</v>
      </c>
      <c r="B1105" s="2"/>
      <c r="C1105" s="2"/>
      <c r="D1105" s="2"/>
      <c r="E1105" s="2"/>
      <c r="F1105" s="2"/>
      <c r="G1105" s="2"/>
      <c r="H1105" s="2"/>
    </row>
    <row r="1106" spans="1:8">
      <c r="A1106" s="3" t="s">
        <v>6</v>
      </c>
      <c r="B1106" s="3" t="s">
        <v>7</v>
      </c>
      <c r="C1106" s="3" t="s">
        <v>8</v>
      </c>
      <c r="D1106" s="3" t="s">
        <v>9</v>
      </c>
      <c r="E1106" s="3" t="s">
        <v>10</v>
      </c>
      <c r="F1106" s="3" t="s">
        <v>11</v>
      </c>
      <c r="G1106" s="3" t="s">
        <v>12</v>
      </c>
      <c r="H1106" s="3" t="s">
        <v>13</v>
      </c>
    </row>
    <row r="1107" spans="1:8" ht="34" customHeight="1">
      <c r="A1107" s="4" t="s">
        <v>14</v>
      </c>
      <c r="B1107" s="4" t="s">
        <v>15</v>
      </c>
      <c r="C1107" s="6">
        <v>75</v>
      </c>
      <c r="D1107" s="6">
        <v>75</v>
      </c>
      <c r="E1107" s="7">
        <f>IF(AND(ISNUMBER(C1107),ISNUMBER(D1107)),(D1107-C1107),"待補")</f>
        <v>0</v>
      </c>
      <c r="F1107" s="8" t="s">
        <v>16</v>
      </c>
      <c r="G1107" s="4" t="s">
        <v>141</v>
      </c>
      <c r="H1107" s="4"/>
    </row>
    <row r="1108" spans="1:8" ht="34" customHeight="1">
      <c r="A1108" s="4" t="s">
        <v>18</v>
      </c>
      <c r="B1108" s="4" t="s">
        <v>15</v>
      </c>
      <c r="C1108" s="6">
        <v>61</v>
      </c>
      <c r="D1108" s="6">
        <v>60</v>
      </c>
      <c r="E1108" s="7">
        <f>IF(AND(ISNUMBER(C1108),ISNUMBER(D1108)),(D1108-C1108),"待補")</f>
        <v>-1</v>
      </c>
      <c r="F1108" s="8" t="s">
        <v>16</v>
      </c>
      <c r="G1108" s="4" t="s">
        <v>141</v>
      </c>
      <c r="H1108" s="4"/>
    </row>
    <row r="1109" spans="1:8" ht="34" customHeight="1">
      <c r="A1109" s="4" t="s">
        <v>19</v>
      </c>
      <c r="B1109" s="4" t="s">
        <v>20</v>
      </c>
      <c r="C1109" s="9">
        <v>0.8133333333333334</v>
      </c>
      <c r="D1109" s="9">
        <v>0.8</v>
      </c>
      <c r="E1109" s="10">
        <f>IF(AND(ISNUMBER(C1109),ISNUMBER(D1109)),(D1109-C1109)*100,"待補")</f>
        <v>-1.3333333333333308</v>
      </c>
      <c r="F1109" s="8" t="s">
        <v>16</v>
      </c>
      <c r="G1109" s="4" t="s">
        <v>141</v>
      </c>
      <c r="H1109" s="4" t="s">
        <v>21</v>
      </c>
    </row>
    <row r="1110" spans="1:8" ht="34" customHeight="1">
      <c r="A1110" s="4" t="s">
        <v>22</v>
      </c>
      <c r="B1110" s="4" t="s">
        <v>15</v>
      </c>
      <c r="C1110" s="6">
        <v>66</v>
      </c>
      <c r="D1110" s="6">
        <v>61</v>
      </c>
      <c r="E1110" s="7">
        <f>IF(AND(ISNUMBER(C1110),ISNUMBER(D1110)),(D1110-C1110),"待補")</f>
        <v>-5</v>
      </c>
      <c r="F1110" s="8" t="s">
        <v>16</v>
      </c>
      <c r="G1110" s="4" t="s">
        <v>141</v>
      </c>
      <c r="H1110" s="4"/>
    </row>
    <row r="1111" spans="1:8" ht="34" customHeight="1">
      <c r="A1111" s="4" t="s">
        <v>23</v>
      </c>
      <c r="B1111" s="4" t="s">
        <v>15</v>
      </c>
      <c r="C1111" s="6">
        <v>9</v>
      </c>
      <c r="D1111" s="6">
        <v>14</v>
      </c>
      <c r="E1111" s="7">
        <f>IF(AND(ISNUMBER(C1111),ISNUMBER(D1111)),(D1111-C1111),"待補")</f>
        <v>5</v>
      </c>
      <c r="F1111" s="8" t="s">
        <v>16</v>
      </c>
      <c r="G1111" s="4" t="s">
        <v>141</v>
      </c>
      <c r="H1111" s="4"/>
    </row>
    <row r="1112" spans="1:8" ht="34" customHeight="1">
      <c r="A1112" s="4" t="s">
        <v>24</v>
      </c>
      <c r="B1112" s="4" t="s">
        <v>25</v>
      </c>
      <c r="C1112" s="7">
        <v>12.95395787793939</v>
      </c>
      <c r="D1112" s="7">
        <v>11.27703205573771</v>
      </c>
      <c r="E1112" s="7">
        <f>IF(AND(ISNUMBER(C1112),ISNUMBER(D1112)),(D1112-C1112),"待補")</f>
        <v>-1.6769258222016887</v>
      </c>
      <c r="F1112" s="8" t="s">
        <v>16</v>
      </c>
      <c r="G1112" s="4" t="s">
        <v>223</v>
      </c>
      <c r="H1112" s="4" t="s">
        <v>27</v>
      </c>
    </row>
    <row r="1113" spans="1:8" ht="34" customHeight="1">
      <c r="A1113" s="4" t="s">
        <v>28</v>
      </c>
      <c r="B1113" s="4" t="s">
        <v>25</v>
      </c>
      <c r="C1113" s="7">
        <v>7.2553641785</v>
      </c>
      <c r="D1113" s="7">
        <v>7.053865256</v>
      </c>
      <c r="E1113" s="7">
        <f>IF(AND(ISNUMBER(C1113),ISNUMBER(D1113)),(D1113-C1113),"待補")</f>
        <v>-0.2014989224999999</v>
      </c>
      <c r="F1113" s="8" t="s">
        <v>16</v>
      </c>
      <c r="G1113" s="4" t="s">
        <v>223</v>
      </c>
      <c r="H1113" s="4" t="s">
        <v>27</v>
      </c>
    </row>
    <row r="1114" spans="1:8" ht="34" customHeight="1">
      <c r="A1114" s="4" t="s">
        <v>29</v>
      </c>
      <c r="B1114" s="4" t="s">
        <v>25</v>
      </c>
      <c r="C1114" s="7">
        <v>9.045072380721312</v>
      </c>
      <c r="D1114" s="7">
        <v>10.03628183416667</v>
      </c>
      <c r="E1114" s="7">
        <f>IF(AND(ISNUMBER(C1114),ISNUMBER(D1114)),(D1114-C1114),"待補")</f>
        <v>0.9912094534453555</v>
      </c>
      <c r="F1114" s="8" t="s">
        <v>16</v>
      </c>
      <c r="G1114" s="4" t="s">
        <v>202</v>
      </c>
      <c r="H1114" s="4" t="s">
        <v>31</v>
      </c>
    </row>
    <row r="1115" spans="1:8" ht="34" customHeight="1">
      <c r="A1115" s="4" t="s">
        <v>32</v>
      </c>
      <c r="B1115" s="4" t="s">
        <v>33</v>
      </c>
      <c r="C1115" s="7">
        <v>0.8007894974504546</v>
      </c>
      <c r="D1115" s="7">
        <v>0.6633869228921312</v>
      </c>
      <c r="E1115" s="7">
        <f>IF(AND(ISNUMBER(C1115),ISNUMBER(D1115)),(D1115-C1115),"待補")</f>
        <v>-0.1374025745583234</v>
      </c>
      <c r="F1115" s="8" t="s">
        <v>16</v>
      </c>
      <c r="G1115" s="4" t="s">
        <v>141</v>
      </c>
      <c r="H1115" s="4"/>
    </row>
    <row r="1116" spans="1:8" ht="34" customHeight="1">
      <c r="A1116" s="4" t="s">
        <v>34</v>
      </c>
      <c r="B1116" s="4" t="s">
        <v>25</v>
      </c>
      <c r="C1116" s="7">
        <v>11.43577672201515</v>
      </c>
      <c r="D1116" s="7">
        <v>10.17510693551148</v>
      </c>
      <c r="E1116" s="7">
        <f>IF(AND(ISNUMBER(C1116),ISNUMBER(D1116)),(D1116-C1116),"待補")</f>
        <v>-1.2606697865036747</v>
      </c>
      <c r="F1116" s="8" t="s">
        <v>16</v>
      </c>
      <c r="G1116" s="4" t="s">
        <v>141</v>
      </c>
      <c r="H1116" s="4"/>
    </row>
    <row r="1117" spans="1:8" ht="34" customHeight="1">
      <c r="A1117" s="4" t="s">
        <v>35</v>
      </c>
      <c r="B1117" s="4" t="s">
        <v>36</v>
      </c>
      <c r="C1117" s="7">
        <v>2.924725</v>
      </c>
      <c r="D1117" s="7">
        <v>2.168153813333333</v>
      </c>
      <c r="E1117" s="7">
        <f>IF(AND(ISNUMBER(C1117),ISNUMBER(D1117)),(D1117-C1117),"待補")</f>
        <v>-0.7565711866666667</v>
      </c>
      <c r="F1117" s="9">
        <f>IF(AND(ISNUMBER(C1117),ISNUMBER(D1117),C1117&lt;&gt;0),(C1117-D1117)/C1117,"待補")</f>
        <v>0.2586811364031376</v>
      </c>
      <c r="G1117" s="4" t="s">
        <v>141</v>
      </c>
      <c r="H1117" s="4" t="s">
        <v>37</v>
      </c>
    </row>
    <row r="1118" spans="1:8" ht="34" customHeight="1">
      <c r="A1118" s="4" t="s">
        <v>38</v>
      </c>
      <c r="B1118" s="4" t="s">
        <v>39</v>
      </c>
      <c r="C1118" s="7">
        <v>6.36</v>
      </c>
      <c r="D1118" s="7">
        <v>6.533333333333333</v>
      </c>
      <c r="E1118" s="7">
        <f>IF(AND(ISNUMBER(C1118),ISNUMBER(D1118)),(D1118-C1118),"待補")</f>
        <v>0.1733333333333329</v>
      </c>
      <c r="F1118" s="8" t="s">
        <v>16</v>
      </c>
      <c r="G1118" s="4" t="s">
        <v>141</v>
      </c>
      <c r="H1118" s="4"/>
    </row>
    <row r="1119" spans="1:8" ht="34" customHeight="1">
      <c r="A1119" s="4" t="s">
        <v>40</v>
      </c>
      <c r="B1119" s="4" t="s">
        <v>39</v>
      </c>
      <c r="C1119" s="7">
        <v>6.36</v>
      </c>
      <c r="D1119" s="7">
        <v>6.533333333333333</v>
      </c>
      <c r="E1119" s="7">
        <f>IF(AND(ISNUMBER(C1119),ISNUMBER(D1119)),(D1119-C1119),"待補")</f>
        <v>0.1733333333333329</v>
      </c>
      <c r="F1119" s="8" t="s">
        <v>16</v>
      </c>
      <c r="G1119" s="4" t="s">
        <v>141</v>
      </c>
      <c r="H1119" s="4" t="s">
        <v>41</v>
      </c>
    </row>
    <row r="1120" spans="1:8" ht="34" customHeight="1">
      <c r="A1120" s="4" t="s">
        <v>53</v>
      </c>
      <c r="B1120" s="4" t="s">
        <v>39</v>
      </c>
      <c r="C1120" s="7">
        <v>6.106666666666666</v>
      </c>
      <c r="D1120" s="7">
        <v>6.226666666666667</v>
      </c>
      <c r="E1120" s="7">
        <f>IF(AND(ISNUMBER(C1120),ISNUMBER(D1120)),(D1120-C1120),"待補")</f>
        <v>0.1200000000000001</v>
      </c>
      <c r="F1120" s="8" t="s">
        <v>16</v>
      </c>
      <c r="G1120" s="4" t="s">
        <v>141</v>
      </c>
      <c r="H1120" s="4" t="s">
        <v>54</v>
      </c>
    </row>
    <row r="1121" spans="1:8">
      <c r="A1121" s="4" t="s">
        <v>42</v>
      </c>
      <c r="B1121" s="4" t="s">
        <v>15</v>
      </c>
      <c r="D1121" s="6">
        <v>4</v>
      </c>
      <c r="H1121" s="4" t="s">
        <v>43</v>
      </c>
    </row>
    <row r="1122" spans="1:8">
      <c r="A1122" s="4" t="s">
        <v>44</v>
      </c>
      <c r="B1122" s="4" t="s">
        <v>15</v>
      </c>
      <c r="D1122" s="6">
        <v>5</v>
      </c>
      <c r="H1122" s="4" t="s">
        <v>43</v>
      </c>
    </row>
    <row r="1123" spans="1:8">
      <c r="A1123" s="4" t="s">
        <v>45</v>
      </c>
      <c r="B1123" s="4" t="s">
        <v>15</v>
      </c>
      <c r="D1123" s="6">
        <v>56</v>
      </c>
      <c r="H1123" s="4" t="s">
        <v>43</v>
      </c>
    </row>
    <row r="1124" spans="1:8">
      <c r="A1124" s="4" t="s">
        <v>46</v>
      </c>
      <c r="B1124" s="4" t="s">
        <v>25</v>
      </c>
      <c r="C1124" s="7">
        <v>8.401168787339286</v>
      </c>
      <c r="D1124" s="7">
        <v>9.477320743464286</v>
      </c>
      <c r="E1124" s="7">
        <f>IF(AND(ISNUMBER(C1124),ISNUMBER(D1124)),D1124-C1124,"待補")</f>
        <v>1.0761519561250001</v>
      </c>
      <c r="F1124" s="9">
        <f>IF(AND(ISNUMBER(C1124),ISNUMBER(D1124),C1124&lt;&gt;0),(C1124-D1124)/C1124,"待補")</f>
        <v>-0.1280955047286731</v>
      </c>
      <c r="G1124" s="4" t="s">
        <v>152</v>
      </c>
      <c r="H1124" s="4" t="s">
        <v>48</v>
      </c>
    </row>
    <row r="1125" spans="1:8" ht="34" customHeight="1">
      <c r="A1125" s="2" t="s">
        <v>145</v>
      </c>
      <c r="B1125" s="2"/>
      <c r="C1125" s="2"/>
      <c r="D1125" s="2"/>
      <c r="E1125" s="2"/>
      <c r="F1125" s="2"/>
      <c r="G1125" s="2"/>
      <c r="H1125" s="2"/>
    </row>
    <row r="1128" spans="1:8" ht="28" customHeight="1">
      <c r="A1128" s="3" t="s">
        <v>226</v>
      </c>
      <c r="B1128" s="3"/>
      <c r="C1128" s="3"/>
      <c r="D1128" s="3"/>
      <c r="E1128" s="3"/>
      <c r="F1128" s="3"/>
      <c r="G1128" s="3"/>
      <c r="H1128" s="3"/>
    </row>
    <row r="1129" spans="1:8" ht="40" customHeight="1">
      <c r="A1129" s="2" t="s">
        <v>227</v>
      </c>
      <c r="B1129" s="2"/>
      <c r="C1129" s="2"/>
      <c r="D1129" s="2"/>
      <c r="E1129" s="2"/>
      <c r="F1129" s="2"/>
      <c r="G1129" s="2"/>
      <c r="H1129" s="2"/>
    </row>
    <row r="1130" spans="1:8" ht="40" customHeight="1">
      <c r="A1130" s="2" t="s">
        <v>140</v>
      </c>
      <c r="B1130" s="2"/>
      <c r="C1130" s="2"/>
      <c r="D1130" s="2"/>
      <c r="E1130" s="2"/>
      <c r="F1130" s="2"/>
      <c r="G1130" s="2"/>
      <c r="H1130" s="2"/>
    </row>
    <row r="1131" spans="1:8">
      <c r="A1131" s="3" t="s">
        <v>6</v>
      </c>
      <c r="B1131" s="3" t="s">
        <v>7</v>
      </c>
      <c r="C1131" s="3" t="s">
        <v>8</v>
      </c>
      <c r="D1131" s="3" t="s">
        <v>9</v>
      </c>
      <c r="E1131" s="3" t="s">
        <v>10</v>
      </c>
      <c r="F1131" s="3" t="s">
        <v>11</v>
      </c>
      <c r="G1131" s="3" t="s">
        <v>12</v>
      </c>
      <c r="H1131" s="3" t="s">
        <v>13</v>
      </c>
    </row>
    <row r="1132" spans="1:8" ht="34" customHeight="1">
      <c r="A1132" s="4" t="s">
        <v>14</v>
      </c>
      <c r="B1132" s="4" t="s">
        <v>15</v>
      </c>
      <c r="C1132" s="6">
        <v>75</v>
      </c>
      <c r="D1132" s="6">
        <v>75</v>
      </c>
      <c r="E1132" s="7">
        <f>IF(AND(ISNUMBER(C1132),ISNUMBER(D1132)),(D1132-C1132),"待補")</f>
        <v>0</v>
      </c>
      <c r="F1132" s="8" t="s">
        <v>16</v>
      </c>
      <c r="G1132" s="4" t="s">
        <v>141</v>
      </c>
      <c r="H1132" s="4"/>
    </row>
    <row r="1133" spans="1:8" ht="34" customHeight="1">
      <c r="A1133" s="4" t="s">
        <v>18</v>
      </c>
      <c r="B1133" s="4" t="s">
        <v>15</v>
      </c>
      <c r="C1133" s="6">
        <v>63</v>
      </c>
      <c r="D1133" s="6">
        <v>63</v>
      </c>
      <c r="E1133" s="7">
        <f>IF(AND(ISNUMBER(C1133),ISNUMBER(D1133)),(D1133-C1133),"待補")</f>
        <v>0</v>
      </c>
      <c r="F1133" s="8" t="s">
        <v>16</v>
      </c>
      <c r="G1133" s="4" t="s">
        <v>141</v>
      </c>
      <c r="H1133" s="4"/>
    </row>
    <row r="1134" spans="1:8" ht="34" customHeight="1">
      <c r="A1134" s="4" t="s">
        <v>19</v>
      </c>
      <c r="B1134" s="4" t="s">
        <v>20</v>
      </c>
      <c r="C1134" s="9">
        <v>0.84</v>
      </c>
      <c r="D1134" s="9">
        <v>0.84</v>
      </c>
      <c r="E1134" s="10">
        <f>IF(AND(ISNUMBER(C1134),ISNUMBER(D1134)),(D1134-C1134)*100,"待補")</f>
        <v>0.0</v>
      </c>
      <c r="F1134" s="8" t="s">
        <v>16</v>
      </c>
      <c r="G1134" s="4" t="s">
        <v>141</v>
      </c>
      <c r="H1134" s="4" t="s">
        <v>21</v>
      </c>
    </row>
    <row r="1135" spans="1:8" ht="34" customHeight="1">
      <c r="A1135" s="4" t="s">
        <v>22</v>
      </c>
      <c r="B1135" s="4" t="s">
        <v>15</v>
      </c>
      <c r="C1135" s="6">
        <v>68</v>
      </c>
      <c r="D1135" s="6">
        <v>66</v>
      </c>
      <c r="E1135" s="7">
        <f>IF(AND(ISNUMBER(C1135),ISNUMBER(D1135)),(D1135-C1135),"待補")</f>
        <v>-2</v>
      </c>
      <c r="F1135" s="8" t="s">
        <v>16</v>
      </c>
      <c r="G1135" s="4" t="s">
        <v>141</v>
      </c>
      <c r="H1135" s="4"/>
    </row>
    <row r="1136" spans="1:8" ht="34" customHeight="1">
      <c r="A1136" s="4" t="s">
        <v>23</v>
      </c>
      <c r="B1136" s="4" t="s">
        <v>15</v>
      </c>
      <c r="C1136" s="6">
        <v>7</v>
      </c>
      <c r="D1136" s="6">
        <v>9</v>
      </c>
      <c r="E1136" s="7">
        <f>IF(AND(ISNUMBER(C1136),ISNUMBER(D1136)),(D1136-C1136),"待補")</f>
        <v>2</v>
      </c>
      <c r="F1136" s="8" t="s">
        <v>16</v>
      </c>
      <c r="G1136" s="4" t="s">
        <v>141</v>
      </c>
      <c r="H1136" s="4"/>
    </row>
    <row r="1137" spans="1:8" ht="34" customHeight="1">
      <c r="A1137" s="4" t="s">
        <v>24</v>
      </c>
      <c r="B1137" s="4" t="s">
        <v>25</v>
      </c>
      <c r="C1137" s="7">
        <v>14.53955476314706</v>
      </c>
      <c r="D1137" s="7">
        <v>9.390996318954546</v>
      </c>
      <c r="E1137" s="7">
        <f>IF(AND(ISNUMBER(C1137),ISNUMBER(D1137)),(D1137-C1137),"待補")</f>
        <v>-5.148558444192513</v>
      </c>
      <c r="F1137" s="8" t="s">
        <v>16</v>
      </c>
      <c r="G1137" s="4" t="s">
        <v>228</v>
      </c>
      <c r="H1137" s="4" t="s">
        <v>27</v>
      </c>
    </row>
    <row r="1138" spans="1:8" ht="34" customHeight="1">
      <c r="A1138" s="4" t="s">
        <v>28</v>
      </c>
      <c r="B1138" s="4" t="s">
        <v>25</v>
      </c>
      <c r="C1138" s="7">
        <v>7.078909595999999</v>
      </c>
      <c r="D1138" s="7">
        <v>6.6008144625</v>
      </c>
      <c r="E1138" s="7">
        <f>IF(AND(ISNUMBER(C1138),ISNUMBER(D1138)),(D1138-C1138),"待補")</f>
        <v>-0.4780951334999992</v>
      </c>
      <c r="F1138" s="8" t="s">
        <v>16</v>
      </c>
      <c r="G1138" s="4" t="s">
        <v>228</v>
      </c>
      <c r="H1138" s="4" t="s">
        <v>27</v>
      </c>
    </row>
    <row r="1139" spans="1:8" ht="34" customHeight="1">
      <c r="A1139" s="4" t="s">
        <v>29</v>
      </c>
      <c r="B1139" s="4" t="s">
        <v>25</v>
      </c>
      <c r="C1139" s="7">
        <v>8.506313526095239</v>
      </c>
      <c r="D1139" s="7">
        <v>8.877804522079364</v>
      </c>
      <c r="E1139" s="7">
        <f>IF(AND(ISNUMBER(C1139),ISNUMBER(D1139)),(D1139-C1139),"待補")</f>
        <v>0.37149099598412505</v>
      </c>
      <c r="F1139" s="8" t="s">
        <v>16</v>
      </c>
      <c r="G1139" s="4" t="s">
        <v>229</v>
      </c>
      <c r="H1139" s="4" t="s">
        <v>31</v>
      </c>
    </row>
    <row r="1140" spans="1:8" ht="34" customHeight="1">
      <c r="A1140" s="4" t="s">
        <v>32</v>
      </c>
      <c r="B1140" s="4" t="s">
        <v>33</v>
      </c>
      <c r="C1140" s="7">
        <v>0.8819165110235294</v>
      </c>
      <c r="D1140" s="7">
        <v>0.6520198941233334</v>
      </c>
      <c r="E1140" s="7">
        <f>IF(AND(ISNUMBER(C1140),ISNUMBER(D1140)),(D1140-C1140),"待補")</f>
        <v>-0.22989661690019603</v>
      </c>
      <c r="F1140" s="8" t="s">
        <v>16</v>
      </c>
      <c r="G1140" s="4" t="s">
        <v>141</v>
      </c>
      <c r="H1140" s="4"/>
    </row>
    <row r="1141" spans="1:8" ht="34" customHeight="1">
      <c r="A1141" s="4" t="s">
        <v>34</v>
      </c>
      <c r="B1141" s="4" t="s">
        <v>25</v>
      </c>
      <c r="C1141" s="7">
        <v>12.83738906188235</v>
      </c>
      <c r="D1141" s="7">
        <v>8.110728016560605</v>
      </c>
      <c r="E1141" s="7">
        <f>IF(AND(ISNUMBER(C1141),ISNUMBER(D1141)),(D1141-C1141),"待補")</f>
        <v>-4.726661045321748</v>
      </c>
      <c r="F1141" s="8" t="s">
        <v>16</v>
      </c>
      <c r="G1141" s="4" t="s">
        <v>141</v>
      </c>
      <c r="H1141" s="4"/>
    </row>
    <row r="1142" spans="1:8" ht="34" customHeight="1">
      <c r="A1142" s="4" t="s">
        <v>35</v>
      </c>
      <c r="B1142" s="4" t="s">
        <v>36</v>
      </c>
      <c r="C1142" s="7">
        <v>2.109900893333333</v>
      </c>
      <c r="D1142" s="7">
        <v>1.83160388</v>
      </c>
      <c r="E1142" s="7">
        <f>IF(AND(ISNUMBER(C1142),ISNUMBER(D1142)),(D1142-C1142),"待補")</f>
        <v>-0.2782970133333331</v>
      </c>
      <c r="F1142" s="9">
        <f>IF(AND(ISNUMBER(C1142),ISNUMBER(D1142),C1142&lt;&gt;0),(C1142-D1142)/C1142,"待補")</f>
        <v>0.13190051448040518</v>
      </c>
      <c r="G1142" s="4" t="s">
        <v>141</v>
      </c>
      <c r="H1142" s="4" t="s">
        <v>37</v>
      </c>
    </row>
    <row r="1143" spans="1:8" ht="34" customHeight="1">
      <c r="A1143" s="4" t="s">
        <v>38</v>
      </c>
      <c r="B1143" s="4" t="s">
        <v>39</v>
      </c>
      <c r="C1143" s="7">
        <v>6.773333333333333</v>
      </c>
      <c r="D1143" s="7">
        <v>7.013333333333334</v>
      </c>
      <c r="E1143" s="7">
        <f>IF(AND(ISNUMBER(C1143),ISNUMBER(D1143)),(D1143-C1143),"待補")</f>
        <v>0.2400000000000002</v>
      </c>
      <c r="F1143" s="8" t="s">
        <v>16</v>
      </c>
      <c r="G1143" s="4" t="s">
        <v>141</v>
      </c>
      <c r="H1143" s="4"/>
    </row>
    <row r="1144" spans="1:8" ht="34" customHeight="1">
      <c r="A1144" s="4" t="s">
        <v>40</v>
      </c>
      <c r="B1144" s="4" t="s">
        <v>39</v>
      </c>
      <c r="C1144" s="7">
        <v>6.76</v>
      </c>
      <c r="D1144" s="7">
        <v>7.013333333333334</v>
      </c>
      <c r="E1144" s="7">
        <f>IF(AND(ISNUMBER(C1144),ISNUMBER(D1144)),(D1144-C1144),"待補")</f>
        <v>0.25333333333333385</v>
      </c>
      <c r="F1144" s="8" t="s">
        <v>16</v>
      </c>
      <c r="G1144" s="4" t="s">
        <v>141</v>
      </c>
      <c r="H1144" s="4" t="s">
        <v>41</v>
      </c>
    </row>
    <row r="1145" spans="1:8">
      <c r="A1145" s="4" t="s">
        <v>42</v>
      </c>
      <c r="B1145" s="4" t="s">
        <v>15</v>
      </c>
      <c r="D1145" s="6">
        <v>6</v>
      </c>
      <c r="H1145" s="4" t="s">
        <v>43</v>
      </c>
    </row>
    <row r="1146" spans="1:8">
      <c r="A1146" s="4" t="s">
        <v>44</v>
      </c>
      <c r="B1146" s="4" t="s">
        <v>15</v>
      </c>
      <c r="D1146" s="6">
        <v>6</v>
      </c>
      <c r="H1146" s="4" t="s">
        <v>43</v>
      </c>
    </row>
    <row r="1147" spans="1:8">
      <c r="A1147" s="4" t="s">
        <v>45</v>
      </c>
      <c r="B1147" s="4" t="s">
        <v>15</v>
      </c>
      <c r="D1147" s="6">
        <v>57</v>
      </c>
      <c r="H1147" s="4" t="s">
        <v>43</v>
      </c>
    </row>
    <row r="1148" spans="1:8">
      <c r="A1148" s="4" t="s">
        <v>46</v>
      </c>
      <c r="B1148" s="4" t="s">
        <v>25</v>
      </c>
      <c r="C1148" s="7">
        <v>8.556089864350877</v>
      </c>
      <c r="D1148" s="7">
        <v>8.23437751882456</v>
      </c>
      <c r="E1148" s="7">
        <f>IF(AND(ISNUMBER(C1148),ISNUMBER(D1148)),D1148-C1148,"待補")</f>
        <v>-0.3217123455263163</v>
      </c>
      <c r="F1148" s="9">
        <f>IF(AND(ISNUMBER(C1148),ISNUMBER(D1148),C1148&lt;&gt;0),(C1148-D1148)/C1148,"待補")</f>
        <v>0.037600393477251484</v>
      </c>
      <c r="G1148" s="4" t="s">
        <v>167</v>
      </c>
      <c r="H1148" s="4" t="s">
        <v>48</v>
      </c>
    </row>
    <row r="1149" spans="1:8" ht="34" customHeight="1">
      <c r="A1149" s="2" t="s">
        <v>145</v>
      </c>
      <c r="B1149" s="2"/>
      <c r="C1149" s="2"/>
      <c r="D1149" s="2"/>
      <c r="E1149" s="2"/>
      <c r="F1149" s="2"/>
      <c r="G1149" s="2"/>
      <c r="H1149" s="2"/>
    </row>
    <row r="1152" spans="1:8" ht="28" customHeight="1">
      <c r="A1152" s="3" t="s">
        <v>230</v>
      </c>
      <c r="B1152" s="3"/>
      <c r="C1152" s="3"/>
      <c r="D1152" s="3"/>
      <c r="E1152" s="3"/>
      <c r="F1152" s="3"/>
      <c r="G1152" s="3"/>
      <c r="H1152" s="3"/>
    </row>
    <row r="1153" spans="1:8" ht="40" customHeight="1">
      <c r="A1153" s="2" t="s">
        <v>227</v>
      </c>
      <c r="B1153" s="2"/>
      <c r="C1153" s="2"/>
      <c r="D1153" s="2"/>
      <c r="E1153" s="2"/>
      <c r="F1153" s="2"/>
      <c r="G1153" s="2"/>
      <c r="H1153" s="2"/>
    </row>
    <row r="1154" spans="1:8" ht="40" customHeight="1">
      <c r="A1154" s="2" t="s">
        <v>140</v>
      </c>
      <c r="B1154" s="2"/>
      <c r="C1154" s="2"/>
      <c r="D1154" s="2"/>
      <c r="E1154" s="2"/>
      <c r="F1154" s="2"/>
      <c r="G1154" s="2"/>
      <c r="H1154" s="2"/>
    </row>
    <row r="1155" spans="1:8">
      <c r="A1155" s="3" t="s">
        <v>6</v>
      </c>
      <c r="B1155" s="3" t="s">
        <v>7</v>
      </c>
      <c r="C1155" s="3" t="s">
        <v>8</v>
      </c>
      <c r="D1155" s="3" t="s">
        <v>9</v>
      </c>
      <c r="E1155" s="3" t="s">
        <v>10</v>
      </c>
      <c r="F1155" s="3" t="s">
        <v>11</v>
      </c>
      <c r="G1155" s="3" t="s">
        <v>12</v>
      </c>
      <c r="H1155" s="3" t="s">
        <v>13</v>
      </c>
    </row>
    <row r="1156" spans="1:8" ht="34" customHeight="1">
      <c r="A1156" s="4" t="s">
        <v>14</v>
      </c>
      <c r="B1156" s="4" t="s">
        <v>15</v>
      </c>
      <c r="C1156" s="6">
        <v>75</v>
      </c>
      <c r="D1156" s="6">
        <v>75</v>
      </c>
      <c r="E1156" s="7">
        <f>IF(AND(ISNUMBER(C1156),ISNUMBER(D1156)),(D1156-C1156),"待補")</f>
        <v>0</v>
      </c>
      <c r="F1156" s="8" t="s">
        <v>16</v>
      </c>
      <c r="G1156" s="4" t="s">
        <v>141</v>
      </c>
      <c r="H1156" s="4"/>
    </row>
    <row r="1157" spans="1:8" ht="34" customHeight="1">
      <c r="A1157" s="4" t="s">
        <v>18</v>
      </c>
      <c r="B1157" s="4" t="s">
        <v>15</v>
      </c>
      <c r="C1157" s="6">
        <v>65</v>
      </c>
      <c r="D1157" s="6">
        <v>64</v>
      </c>
      <c r="E1157" s="7">
        <f>IF(AND(ISNUMBER(C1157),ISNUMBER(D1157)),(D1157-C1157),"待補")</f>
        <v>-1</v>
      </c>
      <c r="F1157" s="8" t="s">
        <v>16</v>
      </c>
      <c r="G1157" s="4" t="s">
        <v>141</v>
      </c>
      <c r="H1157" s="4"/>
    </row>
    <row r="1158" spans="1:8" ht="34" customHeight="1">
      <c r="A1158" s="4" t="s">
        <v>19</v>
      </c>
      <c r="B1158" s="4" t="s">
        <v>20</v>
      </c>
      <c r="C1158" s="9">
        <v>0.8666666666666667</v>
      </c>
      <c r="D1158" s="9">
        <v>0.8533333333333334</v>
      </c>
      <c r="E1158" s="10">
        <f>IF(AND(ISNUMBER(C1158),ISNUMBER(D1158)),(D1158-C1158)*100,"待補")</f>
        <v>-1.3333333333333308</v>
      </c>
      <c r="F1158" s="8" t="s">
        <v>16</v>
      </c>
      <c r="G1158" s="4" t="s">
        <v>141</v>
      </c>
      <c r="H1158" s="4" t="s">
        <v>21</v>
      </c>
    </row>
    <row r="1159" spans="1:8" ht="34" customHeight="1">
      <c r="A1159" s="4" t="s">
        <v>22</v>
      </c>
      <c r="B1159" s="4" t="s">
        <v>15</v>
      </c>
      <c r="C1159" s="6">
        <v>68</v>
      </c>
      <c r="D1159" s="6">
        <v>66</v>
      </c>
      <c r="E1159" s="7">
        <f>IF(AND(ISNUMBER(C1159),ISNUMBER(D1159)),(D1159-C1159),"待補")</f>
        <v>-2</v>
      </c>
      <c r="F1159" s="8" t="s">
        <v>16</v>
      </c>
      <c r="G1159" s="4" t="s">
        <v>141</v>
      </c>
      <c r="H1159" s="4"/>
    </row>
    <row r="1160" spans="1:8" ht="34" customHeight="1">
      <c r="A1160" s="4" t="s">
        <v>23</v>
      </c>
      <c r="B1160" s="4" t="s">
        <v>15</v>
      </c>
      <c r="C1160" s="6">
        <v>7</v>
      </c>
      <c r="D1160" s="6">
        <v>9</v>
      </c>
      <c r="E1160" s="7">
        <f>IF(AND(ISNUMBER(C1160),ISNUMBER(D1160)),(D1160-C1160),"待補")</f>
        <v>2</v>
      </c>
      <c r="F1160" s="8" t="s">
        <v>16</v>
      </c>
      <c r="G1160" s="4" t="s">
        <v>141</v>
      </c>
      <c r="H1160" s="4"/>
    </row>
    <row r="1161" spans="1:8" ht="34" customHeight="1">
      <c r="A1161" s="4" t="s">
        <v>24</v>
      </c>
      <c r="B1161" s="4" t="s">
        <v>25</v>
      </c>
      <c r="C1161" s="7">
        <v>11.40430062222059</v>
      </c>
      <c r="D1161" s="7">
        <v>10.4489180569697</v>
      </c>
      <c r="E1161" s="7">
        <f>IF(AND(ISNUMBER(C1161),ISNUMBER(D1161)),(D1161-C1161),"待補")</f>
        <v>-0.9553825652508916</v>
      </c>
      <c r="F1161" s="8" t="s">
        <v>16</v>
      </c>
      <c r="G1161" s="4" t="s">
        <v>228</v>
      </c>
      <c r="H1161" s="4" t="s">
        <v>27</v>
      </c>
    </row>
    <row r="1162" spans="1:8" ht="34" customHeight="1">
      <c r="A1162" s="4" t="s">
        <v>28</v>
      </c>
      <c r="B1162" s="4" t="s">
        <v>25</v>
      </c>
      <c r="C1162" s="7">
        <v>6.630230407</v>
      </c>
      <c r="D1162" s="7">
        <v>6.5472973245</v>
      </c>
      <c r="E1162" s="7">
        <f>IF(AND(ISNUMBER(C1162),ISNUMBER(D1162)),(D1162-C1162),"待補")</f>
        <v>-0.08293308250000031</v>
      </c>
      <c r="F1162" s="8" t="s">
        <v>16</v>
      </c>
      <c r="G1162" s="4" t="s">
        <v>228</v>
      </c>
      <c r="H1162" s="4" t="s">
        <v>27</v>
      </c>
    </row>
    <row r="1163" spans="1:8" ht="34" customHeight="1">
      <c r="A1163" s="4" t="s">
        <v>29</v>
      </c>
      <c r="B1163" s="4" t="s">
        <v>25</v>
      </c>
      <c r="C1163" s="7">
        <v>8.167160837092307</v>
      </c>
      <c r="D1163" s="7">
        <v>8.311235475625001</v>
      </c>
      <c r="E1163" s="7">
        <f>IF(AND(ISNUMBER(C1163),ISNUMBER(D1163)),(D1163-C1163),"待補")</f>
        <v>0.1440746385326932</v>
      </c>
      <c r="F1163" s="8" t="s">
        <v>16</v>
      </c>
      <c r="G1163" s="4" t="s">
        <v>231</v>
      </c>
      <c r="H1163" s="4" t="s">
        <v>31</v>
      </c>
    </row>
    <row r="1164" spans="1:8" ht="34" customHeight="1">
      <c r="A1164" s="4" t="s">
        <v>32</v>
      </c>
      <c r="B1164" s="4" t="s">
        <v>33</v>
      </c>
      <c r="C1164" s="7">
        <v>0.6951690738455882</v>
      </c>
      <c r="D1164" s="7">
        <v>0.6948384101116667</v>
      </c>
      <c r="E1164" s="7">
        <f>IF(AND(ISNUMBER(C1164),ISNUMBER(D1164)),(D1164-C1164),"待補")</f>
        <v>-0.00033066373392154347</v>
      </c>
      <c r="F1164" s="8" t="s">
        <v>16</v>
      </c>
      <c r="G1164" s="4" t="s">
        <v>141</v>
      </c>
      <c r="H1164" s="4"/>
    </row>
    <row r="1165" spans="1:8" ht="34" customHeight="1">
      <c r="A1165" s="4" t="s">
        <v>34</v>
      </c>
      <c r="B1165" s="4" t="s">
        <v>25</v>
      </c>
      <c r="C1165" s="7">
        <v>10.01956322791177</v>
      </c>
      <c r="D1165" s="7">
        <v>9.205707807439394</v>
      </c>
      <c r="E1165" s="7">
        <f>IF(AND(ISNUMBER(C1165),ISNUMBER(D1165)),(D1165-C1165),"待補")</f>
        <v>-0.8138554204723718</v>
      </c>
      <c r="F1165" s="8" t="s">
        <v>16</v>
      </c>
      <c r="G1165" s="4" t="s">
        <v>141</v>
      </c>
      <c r="H1165" s="4"/>
    </row>
    <row r="1166" spans="1:8" ht="34" customHeight="1">
      <c r="A1166" s="4" t="s">
        <v>35</v>
      </c>
      <c r="B1166" s="4" t="s">
        <v>36</v>
      </c>
      <c r="C1166" s="7">
        <v>2.532242066666667</v>
      </c>
      <c r="D1166" s="7">
        <v>2.27969704</v>
      </c>
      <c r="E1166" s="7">
        <f>IF(AND(ISNUMBER(C1166),ISNUMBER(D1166)),(D1166-C1166),"待補")</f>
        <v>-0.25254502666666667</v>
      </c>
      <c r="F1166" s="9">
        <f>IF(AND(ISNUMBER(C1166),ISNUMBER(D1166),C1166&lt;&gt;0),(C1166-D1166)/C1166,"待補")</f>
        <v>0.09973178709534115</v>
      </c>
      <c r="G1166" s="4" t="s">
        <v>141</v>
      </c>
      <c r="H1166" s="4" t="s">
        <v>37</v>
      </c>
    </row>
    <row r="1167" spans="1:8" ht="34" customHeight="1">
      <c r="A1167" s="4" t="s">
        <v>38</v>
      </c>
      <c r="B1167" s="4" t="s">
        <v>39</v>
      </c>
      <c r="C1167" s="7">
        <v>6.773333333333333</v>
      </c>
      <c r="D1167" s="7">
        <v>7.013333333333334</v>
      </c>
      <c r="E1167" s="7">
        <f>IF(AND(ISNUMBER(C1167),ISNUMBER(D1167)),(D1167-C1167),"待補")</f>
        <v>0.2400000000000002</v>
      </c>
      <c r="F1167" s="8" t="s">
        <v>16</v>
      </c>
      <c r="G1167" s="4" t="s">
        <v>141</v>
      </c>
      <c r="H1167" s="4"/>
    </row>
    <row r="1168" spans="1:8" ht="34" customHeight="1">
      <c r="A1168" s="4" t="s">
        <v>40</v>
      </c>
      <c r="B1168" s="4" t="s">
        <v>39</v>
      </c>
      <c r="C1168" s="7">
        <v>6.76</v>
      </c>
      <c r="D1168" s="7">
        <v>7.013333333333334</v>
      </c>
      <c r="E1168" s="7">
        <f>IF(AND(ISNUMBER(C1168),ISNUMBER(D1168)),(D1168-C1168),"待補")</f>
        <v>0.25333333333333385</v>
      </c>
      <c r="F1168" s="8" t="s">
        <v>16</v>
      </c>
      <c r="G1168" s="4" t="s">
        <v>141</v>
      </c>
      <c r="H1168" s="4" t="s">
        <v>41</v>
      </c>
    </row>
    <row r="1169" spans="1:8" ht="34" customHeight="1">
      <c r="A1169" s="4" t="s">
        <v>53</v>
      </c>
      <c r="B1169" s="4" t="s">
        <v>39</v>
      </c>
      <c r="C1169" s="7">
        <v>6.533333333333333</v>
      </c>
      <c r="D1169" s="7">
        <v>6.8</v>
      </c>
      <c r="E1169" s="7">
        <f>IF(AND(ISNUMBER(C1169),ISNUMBER(D1169)),(D1169-C1169),"待補")</f>
        <v>0.2666666666666666</v>
      </c>
      <c r="F1169" s="8" t="s">
        <v>16</v>
      </c>
      <c r="G1169" s="4" t="s">
        <v>141</v>
      </c>
      <c r="H1169" s="4" t="s">
        <v>54</v>
      </c>
    </row>
    <row r="1170" spans="1:8">
      <c r="A1170" s="4" t="s">
        <v>42</v>
      </c>
      <c r="B1170" s="4" t="s">
        <v>15</v>
      </c>
      <c r="D1170" s="6">
        <v>5</v>
      </c>
      <c r="H1170" s="4" t="s">
        <v>43</v>
      </c>
    </row>
    <row r="1171" spans="1:8">
      <c r="A1171" s="4" t="s">
        <v>44</v>
      </c>
      <c r="B1171" s="4" t="s">
        <v>15</v>
      </c>
      <c r="D1171" s="6">
        <v>6</v>
      </c>
      <c r="H1171" s="4" t="s">
        <v>43</v>
      </c>
    </row>
    <row r="1172" spans="1:8">
      <c r="A1172" s="4" t="s">
        <v>45</v>
      </c>
      <c r="B1172" s="4" t="s">
        <v>15</v>
      </c>
      <c r="D1172" s="6">
        <v>59</v>
      </c>
      <c r="H1172" s="4" t="s">
        <v>43</v>
      </c>
    </row>
    <row r="1173" spans="1:8">
      <c r="A1173" s="4" t="s">
        <v>46</v>
      </c>
      <c r="B1173" s="4" t="s">
        <v>25</v>
      </c>
      <c r="C1173" s="7">
        <v>8.256858277830508</v>
      </c>
      <c r="D1173" s="7">
        <v>7.639355115322035</v>
      </c>
      <c r="E1173" s="7">
        <f>IF(AND(ISNUMBER(C1173),ISNUMBER(D1173)),D1173-C1173,"待補")</f>
        <v>-0.6175031625084746</v>
      </c>
      <c r="F1173" s="9">
        <f>IF(AND(ISNUMBER(C1173),ISNUMBER(D1173),C1173&lt;&gt;0),(C1173-D1173)/C1173,"待補")</f>
        <v>0.0747866975222837</v>
      </c>
      <c r="G1173" s="4" t="s">
        <v>173</v>
      </c>
      <c r="H1173" s="4" t="s">
        <v>48</v>
      </c>
    </row>
    <row r="1174" spans="1:8" ht="34" customHeight="1">
      <c r="A1174" s="2" t="s">
        <v>145</v>
      </c>
      <c r="B1174" s="2"/>
      <c r="C1174" s="2"/>
      <c r="D1174" s="2"/>
      <c r="E1174" s="2"/>
      <c r="F1174" s="2"/>
      <c r="G1174" s="2"/>
      <c r="H1174" s="2"/>
    </row>
    <row r="1177" spans="1:8" ht="28" customHeight="1">
      <c r="A1177" s="3" t="s">
        <v>232</v>
      </c>
      <c r="B1177" s="3"/>
      <c r="C1177" s="3"/>
      <c r="D1177" s="3"/>
      <c r="E1177" s="3"/>
      <c r="F1177" s="3"/>
      <c r="G1177" s="3"/>
      <c r="H1177" s="3"/>
    </row>
    <row r="1178" spans="1:8" ht="40" customHeight="1">
      <c r="A1178" s="2" t="s">
        <v>233</v>
      </c>
      <c r="B1178" s="2"/>
      <c r="C1178" s="2"/>
      <c r="D1178" s="2"/>
      <c r="E1178" s="2"/>
      <c r="F1178" s="2"/>
      <c r="G1178" s="2"/>
      <c r="H1178" s="2"/>
    </row>
    <row r="1179" spans="1:8" ht="40" customHeight="1">
      <c r="A1179" s="2" t="s">
        <v>140</v>
      </c>
      <c r="B1179" s="2"/>
      <c r="C1179" s="2"/>
      <c r="D1179" s="2"/>
      <c r="E1179" s="2"/>
      <c r="F1179" s="2"/>
      <c r="G1179" s="2"/>
      <c r="H1179" s="2"/>
    </row>
    <row r="1180" spans="1:8">
      <c r="A1180" s="3" t="s">
        <v>6</v>
      </c>
      <c r="B1180" s="3" t="s">
        <v>7</v>
      </c>
      <c r="C1180" s="3" t="s">
        <v>8</v>
      </c>
      <c r="D1180" s="3" t="s">
        <v>9</v>
      </c>
      <c r="E1180" s="3" t="s">
        <v>10</v>
      </c>
      <c r="F1180" s="3" t="s">
        <v>11</v>
      </c>
      <c r="G1180" s="3" t="s">
        <v>12</v>
      </c>
      <c r="H1180" s="3" t="s">
        <v>13</v>
      </c>
    </row>
    <row r="1181" spans="1:8" ht="34" customHeight="1">
      <c r="A1181" s="4" t="s">
        <v>14</v>
      </c>
      <c r="B1181" s="4" t="s">
        <v>15</v>
      </c>
      <c r="C1181" s="6">
        <v>75</v>
      </c>
      <c r="D1181" s="6">
        <v>75</v>
      </c>
      <c r="E1181" s="7">
        <f>IF(AND(ISNUMBER(C1181),ISNUMBER(D1181)),(D1181-C1181),"待補")</f>
        <v>0</v>
      </c>
      <c r="F1181" s="8" t="s">
        <v>16</v>
      </c>
      <c r="G1181" s="4" t="s">
        <v>141</v>
      </c>
      <c r="H1181" s="4"/>
    </row>
    <row r="1182" spans="1:8" ht="34" customHeight="1">
      <c r="A1182" s="4" t="s">
        <v>18</v>
      </c>
      <c r="B1182" s="4" t="s">
        <v>15</v>
      </c>
      <c r="C1182" s="6">
        <v>63</v>
      </c>
      <c r="D1182" s="6">
        <v>58</v>
      </c>
      <c r="E1182" s="7">
        <f>IF(AND(ISNUMBER(C1182),ISNUMBER(D1182)),(D1182-C1182),"待補")</f>
        <v>-5</v>
      </c>
      <c r="F1182" s="8" t="s">
        <v>16</v>
      </c>
      <c r="G1182" s="4" t="s">
        <v>141</v>
      </c>
      <c r="H1182" s="4"/>
    </row>
    <row r="1183" spans="1:8" ht="34" customHeight="1">
      <c r="A1183" s="4" t="s">
        <v>19</v>
      </c>
      <c r="B1183" s="4" t="s">
        <v>20</v>
      </c>
      <c r="C1183" s="9">
        <v>0.84</v>
      </c>
      <c r="D1183" s="9">
        <v>0.7733333333333333</v>
      </c>
      <c r="E1183" s="10">
        <f>IF(AND(ISNUMBER(C1183),ISNUMBER(D1183)),(D1183-C1183)*100,"待補")</f>
        <v>-6.666666666666665</v>
      </c>
      <c r="F1183" s="8" t="s">
        <v>16</v>
      </c>
      <c r="G1183" s="4" t="s">
        <v>141</v>
      </c>
      <c r="H1183" s="4" t="s">
        <v>21</v>
      </c>
    </row>
    <row r="1184" spans="1:8" ht="34" customHeight="1">
      <c r="A1184" s="4" t="s">
        <v>22</v>
      </c>
      <c r="B1184" s="4" t="s">
        <v>15</v>
      </c>
      <c r="C1184" s="6">
        <v>66</v>
      </c>
      <c r="D1184" s="6">
        <v>61</v>
      </c>
      <c r="E1184" s="7">
        <f>IF(AND(ISNUMBER(C1184),ISNUMBER(D1184)),(D1184-C1184),"待補")</f>
        <v>-5</v>
      </c>
      <c r="F1184" s="8" t="s">
        <v>16</v>
      </c>
      <c r="G1184" s="4" t="s">
        <v>141</v>
      </c>
      <c r="H1184" s="4"/>
    </row>
    <row r="1185" spans="1:8" ht="34" customHeight="1">
      <c r="A1185" s="4" t="s">
        <v>23</v>
      </c>
      <c r="B1185" s="4" t="s">
        <v>15</v>
      </c>
      <c r="C1185" s="6">
        <v>9</v>
      </c>
      <c r="D1185" s="6">
        <v>14</v>
      </c>
      <c r="E1185" s="7">
        <f>IF(AND(ISNUMBER(C1185),ISNUMBER(D1185)),(D1185-C1185),"待補")</f>
        <v>5</v>
      </c>
      <c r="F1185" s="8" t="s">
        <v>16</v>
      </c>
      <c r="G1185" s="4" t="s">
        <v>141</v>
      </c>
      <c r="H1185" s="4"/>
    </row>
    <row r="1186" spans="1:8" ht="34" customHeight="1">
      <c r="A1186" s="4" t="s">
        <v>24</v>
      </c>
      <c r="B1186" s="4" t="s">
        <v>25</v>
      </c>
      <c r="C1186" s="7">
        <v>15.98190520154546</v>
      </c>
      <c r="D1186" s="7">
        <v>12.46352049763934</v>
      </c>
      <c r="E1186" s="7">
        <f>IF(AND(ISNUMBER(C1186),ISNUMBER(D1186)),(D1186-C1186),"待補")</f>
        <v>-3.5183847039061114</v>
      </c>
      <c r="F1186" s="8" t="s">
        <v>16</v>
      </c>
      <c r="G1186" s="4" t="s">
        <v>223</v>
      </c>
      <c r="H1186" s="4" t="s">
        <v>27</v>
      </c>
    </row>
    <row r="1187" spans="1:8" ht="34" customHeight="1">
      <c r="A1187" s="4" t="s">
        <v>28</v>
      </c>
      <c r="B1187" s="4" t="s">
        <v>25</v>
      </c>
      <c r="C1187" s="7">
        <v>7.153716524500001</v>
      </c>
      <c r="D1187" s="7">
        <v>7.85602795</v>
      </c>
      <c r="E1187" s="7">
        <f>IF(AND(ISNUMBER(C1187),ISNUMBER(D1187)),(D1187-C1187),"待補")</f>
        <v>0.7023114254999987</v>
      </c>
      <c r="F1187" s="8" t="s">
        <v>16</v>
      </c>
      <c r="G1187" s="4" t="s">
        <v>223</v>
      </c>
      <c r="H1187" s="4" t="s">
        <v>27</v>
      </c>
    </row>
    <row r="1188" spans="1:8" ht="34" customHeight="1">
      <c r="A1188" s="4" t="s">
        <v>29</v>
      </c>
      <c r="B1188" s="4" t="s">
        <v>25</v>
      </c>
      <c r="C1188" s="7">
        <v>9.024764704476191</v>
      </c>
      <c r="D1188" s="7">
        <v>10.01860980958621</v>
      </c>
      <c r="E1188" s="7">
        <f>IF(AND(ISNUMBER(C1188),ISNUMBER(D1188)),(D1188-C1188),"待補")</f>
        <v>0.993845105110017</v>
      </c>
      <c r="F1188" s="8" t="s">
        <v>16</v>
      </c>
      <c r="G1188" s="4" t="s">
        <v>211</v>
      </c>
      <c r="H1188" s="4" t="s">
        <v>31</v>
      </c>
    </row>
    <row r="1189" spans="1:8" ht="34" customHeight="1">
      <c r="A1189" s="4" t="s">
        <v>32</v>
      </c>
      <c r="B1189" s="4" t="s">
        <v>33</v>
      </c>
      <c r="C1189" s="7">
        <v>0.8342280190004545</v>
      </c>
      <c r="D1189" s="7">
        <v>0.7249744505704918</v>
      </c>
      <c r="E1189" s="7">
        <f>IF(AND(ISNUMBER(C1189),ISNUMBER(D1189)),(D1189-C1189),"待補")</f>
        <v>-0.1092535684299627</v>
      </c>
      <c r="F1189" s="8" t="s">
        <v>16</v>
      </c>
      <c r="G1189" s="4" t="s">
        <v>141</v>
      </c>
      <c r="H1189" s="4"/>
    </row>
    <row r="1190" spans="1:8" ht="34" customHeight="1">
      <c r="A1190" s="4" t="s">
        <v>34</v>
      </c>
      <c r="B1190" s="4" t="s">
        <v>25</v>
      </c>
      <c r="C1190" s="7">
        <v>14.60829021321667</v>
      </c>
      <c r="D1190" s="7">
        <v>11.27401603253115</v>
      </c>
      <c r="E1190" s="7">
        <f>IF(AND(ISNUMBER(C1190),ISNUMBER(D1190)),(D1190-C1190),"待補")</f>
        <v>-3.3342741806855187</v>
      </c>
      <c r="F1190" s="8" t="s">
        <v>16</v>
      </c>
      <c r="G1190" s="4" t="s">
        <v>141</v>
      </c>
      <c r="H1190" s="4"/>
    </row>
    <row r="1191" spans="1:8" ht="34" customHeight="1">
      <c r="A1191" s="4" t="s">
        <v>35</v>
      </c>
      <c r="B1191" s="4" t="s">
        <v>36</v>
      </c>
      <c r="C1191" s="7">
        <v>2.18136476</v>
      </c>
      <c r="D1191" s="7">
        <v>1.624470933333333</v>
      </c>
      <c r="E1191" s="7">
        <f>IF(AND(ISNUMBER(C1191),ISNUMBER(D1191)),(D1191-C1191),"待補")</f>
        <v>-0.5568938266666668</v>
      </c>
      <c r="F1191" s="9">
        <f>IF(AND(ISNUMBER(C1191),ISNUMBER(D1191),C1191&lt;&gt;0),(C1191-D1191)/C1191,"待補")</f>
        <v>0.25529605909039566</v>
      </c>
      <c r="G1191" s="4" t="s">
        <v>141</v>
      </c>
      <c r="H1191" s="4" t="s">
        <v>37</v>
      </c>
    </row>
    <row r="1192" spans="1:8" ht="34" customHeight="1">
      <c r="A1192" s="4" t="s">
        <v>38</v>
      </c>
      <c r="B1192" s="4" t="s">
        <v>39</v>
      </c>
      <c r="C1192" s="7">
        <v>6.36</v>
      </c>
      <c r="D1192" s="7">
        <v>6.76</v>
      </c>
      <c r="E1192" s="7">
        <f>IF(AND(ISNUMBER(C1192),ISNUMBER(D1192)),(D1192-C1192),"待補")</f>
        <v>0.39999999999999947</v>
      </c>
      <c r="F1192" s="8" t="s">
        <v>16</v>
      </c>
      <c r="G1192" s="4" t="s">
        <v>141</v>
      </c>
      <c r="H1192" s="4"/>
    </row>
    <row r="1193" spans="1:8" ht="34" customHeight="1">
      <c r="A1193" s="4" t="s">
        <v>40</v>
      </c>
      <c r="B1193" s="4" t="s">
        <v>39</v>
      </c>
      <c r="C1193" s="7">
        <v>6.36</v>
      </c>
      <c r="D1193" s="7">
        <v>6.76</v>
      </c>
      <c r="E1193" s="7">
        <f>IF(AND(ISNUMBER(C1193),ISNUMBER(D1193)),(D1193-C1193),"待補")</f>
        <v>0.39999999999999947</v>
      </c>
      <c r="F1193" s="8" t="s">
        <v>16</v>
      </c>
      <c r="G1193" s="4" t="s">
        <v>141</v>
      </c>
      <c r="H1193" s="4" t="s">
        <v>41</v>
      </c>
    </row>
    <row r="1194" spans="1:8">
      <c r="A1194" s="4" t="s">
        <v>42</v>
      </c>
      <c r="B1194" s="4" t="s">
        <v>15</v>
      </c>
      <c r="D1194" s="6">
        <v>5</v>
      </c>
      <c r="H1194" s="4" t="s">
        <v>43</v>
      </c>
    </row>
    <row r="1195" spans="1:8">
      <c r="A1195" s="4" t="s">
        <v>44</v>
      </c>
      <c r="B1195" s="4" t="s">
        <v>15</v>
      </c>
      <c r="D1195" s="6">
        <v>10</v>
      </c>
      <c r="H1195" s="4" t="s">
        <v>43</v>
      </c>
    </row>
    <row r="1196" spans="1:8">
      <c r="A1196" s="4" t="s">
        <v>45</v>
      </c>
      <c r="B1196" s="4" t="s">
        <v>15</v>
      </c>
      <c r="D1196" s="6">
        <v>53</v>
      </c>
      <c r="H1196" s="4" t="s">
        <v>43</v>
      </c>
    </row>
    <row r="1197" spans="1:8">
      <c r="A1197" s="4" t="s">
        <v>46</v>
      </c>
      <c r="B1197" s="4" t="s">
        <v>25</v>
      </c>
      <c r="C1197" s="7">
        <v>7.742531437509434</v>
      </c>
      <c r="D1197" s="7">
        <v>9.254486951358491</v>
      </c>
      <c r="E1197" s="7">
        <f>IF(AND(ISNUMBER(C1197),ISNUMBER(D1197)),D1197-C1197,"待補")</f>
        <v>1.511955513849056</v>
      </c>
      <c r="F1197" s="9">
        <f>IF(AND(ISNUMBER(C1197),ISNUMBER(D1197),C1197&lt;&gt;0),(C1197-D1197)/C1197,"待補")</f>
        <v>-0.19527922179614832</v>
      </c>
      <c r="G1197" s="4" t="s">
        <v>212</v>
      </c>
      <c r="H1197" s="4" t="s">
        <v>48</v>
      </c>
    </row>
    <row r="1198" spans="1:8" ht="34" customHeight="1">
      <c r="A1198" s="2" t="s">
        <v>145</v>
      </c>
      <c r="B1198" s="2"/>
      <c r="C1198" s="2"/>
      <c r="D1198" s="2"/>
      <c r="E1198" s="2"/>
      <c r="F1198" s="2"/>
      <c r="G1198" s="2"/>
      <c r="H1198" s="2"/>
    </row>
    <row r="1201" spans="1:8" ht="28" customHeight="1">
      <c r="A1201" s="3" t="s">
        <v>234</v>
      </c>
      <c r="B1201" s="3"/>
      <c r="C1201" s="3"/>
      <c r="D1201" s="3"/>
      <c r="E1201" s="3"/>
      <c r="F1201" s="3"/>
      <c r="G1201" s="3"/>
      <c r="H1201" s="3"/>
    </row>
    <row r="1202" spans="1:8" ht="40" customHeight="1">
      <c r="A1202" s="2" t="s">
        <v>233</v>
      </c>
      <c r="B1202" s="2"/>
      <c r="C1202" s="2"/>
      <c r="D1202" s="2"/>
      <c r="E1202" s="2"/>
      <c r="F1202" s="2"/>
      <c r="G1202" s="2"/>
      <c r="H1202" s="2"/>
    </row>
    <row r="1203" spans="1:8" ht="40" customHeight="1">
      <c r="A1203" s="2" t="s">
        <v>140</v>
      </c>
      <c r="B1203" s="2"/>
      <c r="C1203" s="2"/>
      <c r="D1203" s="2"/>
      <c r="E1203" s="2"/>
      <c r="F1203" s="2"/>
      <c r="G1203" s="2"/>
      <c r="H1203" s="2"/>
    </row>
    <row r="1204" spans="1:8">
      <c r="A1204" s="3" t="s">
        <v>6</v>
      </c>
      <c r="B1204" s="3" t="s">
        <v>7</v>
      </c>
      <c r="C1204" s="3" t="s">
        <v>8</v>
      </c>
      <c r="D1204" s="3" t="s">
        <v>9</v>
      </c>
      <c r="E1204" s="3" t="s">
        <v>10</v>
      </c>
      <c r="F1204" s="3" t="s">
        <v>11</v>
      </c>
      <c r="G1204" s="3" t="s">
        <v>12</v>
      </c>
      <c r="H1204" s="3" t="s">
        <v>13</v>
      </c>
    </row>
    <row r="1205" spans="1:8" ht="34" customHeight="1">
      <c r="A1205" s="4" t="s">
        <v>14</v>
      </c>
      <c r="B1205" s="4" t="s">
        <v>15</v>
      </c>
      <c r="C1205" s="6">
        <v>75</v>
      </c>
      <c r="D1205" s="6">
        <v>75</v>
      </c>
      <c r="E1205" s="7">
        <f>IF(AND(ISNUMBER(C1205),ISNUMBER(D1205)),(D1205-C1205),"待補")</f>
        <v>0</v>
      </c>
      <c r="F1205" s="8" t="s">
        <v>16</v>
      </c>
      <c r="G1205" s="4" t="s">
        <v>141</v>
      </c>
      <c r="H1205" s="4"/>
    </row>
    <row r="1206" spans="1:8" ht="34" customHeight="1">
      <c r="A1206" s="4" t="s">
        <v>18</v>
      </c>
      <c r="B1206" s="4" t="s">
        <v>15</v>
      </c>
      <c r="C1206" s="6">
        <v>61</v>
      </c>
      <c r="D1206" s="6">
        <v>58</v>
      </c>
      <c r="E1206" s="7">
        <f>IF(AND(ISNUMBER(C1206),ISNUMBER(D1206)),(D1206-C1206),"待補")</f>
        <v>-3</v>
      </c>
      <c r="F1206" s="8" t="s">
        <v>16</v>
      </c>
      <c r="G1206" s="4" t="s">
        <v>141</v>
      </c>
      <c r="H1206" s="4"/>
    </row>
    <row r="1207" spans="1:8" ht="34" customHeight="1">
      <c r="A1207" s="4" t="s">
        <v>19</v>
      </c>
      <c r="B1207" s="4" t="s">
        <v>20</v>
      </c>
      <c r="C1207" s="9">
        <v>0.8133333333333334</v>
      </c>
      <c r="D1207" s="9">
        <v>0.7733333333333333</v>
      </c>
      <c r="E1207" s="10">
        <f>IF(AND(ISNUMBER(C1207),ISNUMBER(D1207)),(D1207-C1207)*100,"待補")</f>
        <v>-4.0000000000000036</v>
      </c>
      <c r="F1207" s="8" t="s">
        <v>16</v>
      </c>
      <c r="G1207" s="4" t="s">
        <v>141</v>
      </c>
      <c r="H1207" s="4" t="s">
        <v>21</v>
      </c>
    </row>
    <row r="1208" spans="1:8" ht="34" customHeight="1">
      <c r="A1208" s="4" t="s">
        <v>22</v>
      </c>
      <c r="B1208" s="4" t="s">
        <v>15</v>
      </c>
      <c r="C1208" s="6">
        <v>66</v>
      </c>
      <c r="D1208" s="6">
        <v>61</v>
      </c>
      <c r="E1208" s="7">
        <f>IF(AND(ISNUMBER(C1208),ISNUMBER(D1208)),(D1208-C1208),"待補")</f>
        <v>-5</v>
      </c>
      <c r="F1208" s="8" t="s">
        <v>16</v>
      </c>
      <c r="G1208" s="4" t="s">
        <v>141</v>
      </c>
      <c r="H1208" s="4"/>
    </row>
    <row r="1209" spans="1:8" ht="34" customHeight="1">
      <c r="A1209" s="4" t="s">
        <v>23</v>
      </c>
      <c r="B1209" s="4" t="s">
        <v>15</v>
      </c>
      <c r="C1209" s="6">
        <v>9</v>
      </c>
      <c r="D1209" s="6">
        <v>14</v>
      </c>
      <c r="E1209" s="7">
        <f>IF(AND(ISNUMBER(C1209),ISNUMBER(D1209)),(D1209-C1209),"待補")</f>
        <v>5</v>
      </c>
      <c r="F1209" s="8" t="s">
        <v>16</v>
      </c>
      <c r="G1209" s="4" t="s">
        <v>141</v>
      </c>
      <c r="H1209" s="4"/>
    </row>
    <row r="1210" spans="1:8" ht="34" customHeight="1">
      <c r="A1210" s="4" t="s">
        <v>24</v>
      </c>
      <c r="B1210" s="4" t="s">
        <v>25</v>
      </c>
      <c r="C1210" s="7">
        <v>12.95395787793939</v>
      </c>
      <c r="D1210" s="7">
        <v>13.01977665872131</v>
      </c>
      <c r="E1210" s="7">
        <f>IF(AND(ISNUMBER(C1210),ISNUMBER(D1210)),(D1210-C1210),"待補")</f>
        <v>0.06581878078191572</v>
      </c>
      <c r="F1210" s="8" t="s">
        <v>16</v>
      </c>
      <c r="G1210" s="4" t="s">
        <v>223</v>
      </c>
      <c r="H1210" s="4" t="s">
        <v>27</v>
      </c>
    </row>
    <row r="1211" spans="1:8" ht="34" customHeight="1">
      <c r="A1211" s="4" t="s">
        <v>28</v>
      </c>
      <c r="B1211" s="4" t="s">
        <v>25</v>
      </c>
      <c r="C1211" s="7">
        <v>7.2553641785</v>
      </c>
      <c r="D1211" s="7">
        <v>7.85602795</v>
      </c>
      <c r="E1211" s="7">
        <f>IF(AND(ISNUMBER(C1211),ISNUMBER(D1211)),(D1211-C1211),"待補")</f>
        <v>0.6006637714999998</v>
      </c>
      <c r="F1211" s="8" t="s">
        <v>16</v>
      </c>
      <c r="G1211" s="4" t="s">
        <v>223</v>
      </c>
      <c r="H1211" s="4" t="s">
        <v>27</v>
      </c>
    </row>
    <row r="1212" spans="1:8" ht="34" customHeight="1">
      <c r="A1212" s="4" t="s">
        <v>29</v>
      </c>
      <c r="B1212" s="4" t="s">
        <v>25</v>
      </c>
      <c r="C1212" s="7">
        <v>9.045072380721312</v>
      </c>
      <c r="D1212" s="7">
        <v>9.997014983655173</v>
      </c>
      <c r="E1212" s="7">
        <f>IF(AND(ISNUMBER(C1212),ISNUMBER(D1212)),(D1212-C1212),"待補")</f>
        <v>0.9519426029338618</v>
      </c>
      <c r="F1212" s="8" t="s">
        <v>16</v>
      </c>
      <c r="G1212" s="4" t="s">
        <v>235</v>
      </c>
      <c r="H1212" s="4" t="s">
        <v>31</v>
      </c>
    </row>
    <row r="1213" spans="1:8" ht="34" customHeight="1">
      <c r="A1213" s="4" t="s">
        <v>32</v>
      </c>
      <c r="B1213" s="4" t="s">
        <v>33</v>
      </c>
      <c r="C1213" s="7">
        <v>0.8007894974504546</v>
      </c>
      <c r="D1213" s="7">
        <v>0.7945532221245901</v>
      </c>
      <c r="E1213" s="7">
        <f>IF(AND(ISNUMBER(C1213),ISNUMBER(D1213)),(D1213-C1213),"待補")</f>
        <v>-0.00623627532586446</v>
      </c>
      <c r="F1213" s="8" t="s">
        <v>16</v>
      </c>
      <c r="G1213" s="4" t="s">
        <v>141</v>
      </c>
      <c r="H1213" s="4"/>
    </row>
    <row r="1214" spans="1:8" ht="34" customHeight="1">
      <c r="A1214" s="4" t="s">
        <v>34</v>
      </c>
      <c r="B1214" s="4" t="s">
        <v>25</v>
      </c>
      <c r="C1214" s="7">
        <v>11.43577672201515</v>
      </c>
      <c r="D1214" s="7">
        <v>11.71810933503934</v>
      </c>
      <c r="E1214" s="7">
        <f>IF(AND(ISNUMBER(C1214),ISNUMBER(D1214)),(D1214-C1214),"待補")</f>
        <v>0.28233261302419344</v>
      </c>
      <c r="F1214" s="8" t="s">
        <v>16</v>
      </c>
      <c r="G1214" s="4" t="s">
        <v>141</v>
      </c>
      <c r="H1214" s="4"/>
    </row>
    <row r="1215" spans="1:8" ht="34" customHeight="1">
      <c r="A1215" s="4" t="s">
        <v>35</v>
      </c>
      <c r="B1215" s="4" t="s">
        <v>36</v>
      </c>
      <c r="C1215" s="7">
        <v>2.924725</v>
      </c>
      <c r="D1215" s="7">
        <v>2.021091146666667</v>
      </c>
      <c r="E1215" s="7">
        <f>IF(AND(ISNUMBER(C1215),ISNUMBER(D1215)),(D1215-C1215),"待補")</f>
        <v>-0.9036338533333335</v>
      </c>
      <c r="F1215" s="9">
        <f>IF(AND(ISNUMBER(C1215),ISNUMBER(D1215),C1215&lt;&gt;0),(C1215-D1215)/C1215,"待補")</f>
        <v>0.30896369858134815</v>
      </c>
      <c r="G1215" s="4" t="s">
        <v>141</v>
      </c>
      <c r="H1215" s="4" t="s">
        <v>37</v>
      </c>
    </row>
    <row r="1216" spans="1:8" ht="34" customHeight="1">
      <c r="A1216" s="4" t="s">
        <v>38</v>
      </c>
      <c r="B1216" s="4" t="s">
        <v>39</v>
      </c>
      <c r="C1216" s="7">
        <v>6.36</v>
      </c>
      <c r="D1216" s="7">
        <v>6.76</v>
      </c>
      <c r="E1216" s="7">
        <f>IF(AND(ISNUMBER(C1216),ISNUMBER(D1216)),(D1216-C1216),"待補")</f>
        <v>0.39999999999999947</v>
      </c>
      <c r="F1216" s="8" t="s">
        <v>16</v>
      </c>
      <c r="G1216" s="4" t="s">
        <v>141</v>
      </c>
      <c r="H1216" s="4"/>
    </row>
    <row r="1217" spans="1:8" ht="34" customHeight="1">
      <c r="A1217" s="4" t="s">
        <v>40</v>
      </c>
      <c r="B1217" s="4" t="s">
        <v>39</v>
      </c>
      <c r="C1217" s="7">
        <v>6.36</v>
      </c>
      <c r="D1217" s="7">
        <v>6.76</v>
      </c>
      <c r="E1217" s="7">
        <f>IF(AND(ISNUMBER(C1217),ISNUMBER(D1217)),(D1217-C1217),"待補")</f>
        <v>0.39999999999999947</v>
      </c>
      <c r="F1217" s="8" t="s">
        <v>16</v>
      </c>
      <c r="G1217" s="4" t="s">
        <v>141</v>
      </c>
      <c r="H1217" s="4" t="s">
        <v>41</v>
      </c>
    </row>
    <row r="1218" spans="1:8" ht="34" customHeight="1">
      <c r="A1218" s="4" t="s">
        <v>53</v>
      </c>
      <c r="B1218" s="4" t="s">
        <v>39</v>
      </c>
      <c r="C1218" s="7">
        <v>6.106666666666666</v>
      </c>
      <c r="D1218" s="7">
        <v>6.466666666666667</v>
      </c>
      <c r="E1218" s="7">
        <f>IF(AND(ISNUMBER(C1218),ISNUMBER(D1218)),(D1218-C1218),"待補")</f>
        <v>0.3600000000000003</v>
      </c>
      <c r="F1218" s="8" t="s">
        <v>16</v>
      </c>
      <c r="G1218" s="4" t="s">
        <v>141</v>
      </c>
      <c r="H1218" s="4" t="s">
        <v>54</v>
      </c>
    </row>
    <row r="1219" spans="1:8">
      <c r="A1219" s="4" t="s">
        <v>42</v>
      </c>
      <c r="B1219" s="4" t="s">
        <v>15</v>
      </c>
      <c r="D1219" s="6">
        <v>5</v>
      </c>
      <c r="H1219" s="4" t="s">
        <v>43</v>
      </c>
    </row>
    <row r="1220" spans="1:8">
      <c r="A1220" s="4" t="s">
        <v>44</v>
      </c>
      <c r="B1220" s="4" t="s">
        <v>15</v>
      </c>
      <c r="D1220" s="6">
        <v>8</v>
      </c>
      <c r="H1220" s="4" t="s">
        <v>43</v>
      </c>
    </row>
    <row r="1221" spans="1:8">
      <c r="A1221" s="4" t="s">
        <v>45</v>
      </c>
      <c r="B1221" s="4" t="s">
        <v>15</v>
      </c>
      <c r="D1221" s="6">
        <v>53</v>
      </c>
      <c r="H1221" s="4" t="s">
        <v>43</v>
      </c>
    </row>
    <row r="1222" spans="1:8">
      <c r="A1222" s="4" t="s">
        <v>46</v>
      </c>
      <c r="B1222" s="4" t="s">
        <v>25</v>
      </c>
      <c r="C1222" s="7">
        <v>7.568469834716981</v>
      </c>
      <c r="D1222" s="7">
        <v>9.230854877698114</v>
      </c>
      <c r="E1222" s="7">
        <f>IF(AND(ISNUMBER(C1222),ISNUMBER(D1222)),D1222-C1222,"待補")</f>
        <v>1.662385042981132</v>
      </c>
      <c r="F1222" s="9">
        <f>IF(AND(ISNUMBER(C1222),ISNUMBER(D1222),C1222&lt;&gt;0),(C1222-D1222)/C1222,"待補")</f>
        <v>-0.21964612124840371</v>
      </c>
      <c r="G1222" s="4" t="s">
        <v>212</v>
      </c>
      <c r="H1222" s="4" t="s">
        <v>48</v>
      </c>
    </row>
    <row r="1223" spans="1:8" ht="34" customHeight="1">
      <c r="A1223" s="2" t="s">
        <v>145</v>
      </c>
      <c r="B1223" s="2"/>
      <c r="C1223" s="2"/>
      <c r="D1223" s="2"/>
      <c r="E1223" s="2"/>
      <c r="F1223" s="2"/>
      <c r="G1223" s="2"/>
      <c r="H1223" s="2"/>
    </row>
    <row r="1226" spans="1:8" ht="28" customHeight="1">
      <c r="A1226" s="3" t="s">
        <v>236</v>
      </c>
      <c r="B1226" s="3"/>
      <c r="C1226" s="3"/>
      <c r="D1226" s="3"/>
      <c r="E1226" s="3"/>
      <c r="F1226" s="3"/>
      <c r="G1226" s="3"/>
      <c r="H1226" s="3"/>
    </row>
    <row r="1227" spans="1:8" ht="40" customHeight="1">
      <c r="A1227" s="2" t="s">
        <v>237</v>
      </c>
      <c r="B1227" s="2"/>
      <c r="C1227" s="2"/>
      <c r="D1227" s="2"/>
      <c r="E1227" s="2"/>
      <c r="F1227" s="2"/>
      <c r="G1227" s="2"/>
      <c r="H1227" s="2"/>
    </row>
    <row r="1228" spans="1:8" ht="40" customHeight="1">
      <c r="A1228" s="2" t="s">
        <v>140</v>
      </c>
      <c r="B1228" s="2"/>
      <c r="C1228" s="2"/>
      <c r="D1228" s="2"/>
      <c r="E1228" s="2"/>
      <c r="F1228" s="2"/>
      <c r="G1228" s="2"/>
      <c r="H1228" s="2"/>
    </row>
    <row r="1229" spans="1:8">
      <c r="A1229" s="3" t="s">
        <v>6</v>
      </c>
      <c r="B1229" s="3" t="s">
        <v>7</v>
      </c>
      <c r="C1229" s="3" t="s">
        <v>8</v>
      </c>
      <c r="D1229" s="3" t="s">
        <v>9</v>
      </c>
      <c r="E1229" s="3" t="s">
        <v>10</v>
      </c>
      <c r="F1229" s="3" t="s">
        <v>11</v>
      </c>
      <c r="G1229" s="3" t="s">
        <v>12</v>
      </c>
      <c r="H1229" s="3" t="s">
        <v>13</v>
      </c>
    </row>
    <row r="1230" spans="1:8" ht="34" customHeight="1">
      <c r="A1230" s="4" t="s">
        <v>14</v>
      </c>
      <c r="B1230" s="4" t="s">
        <v>15</v>
      </c>
      <c r="C1230" s="6">
        <v>75</v>
      </c>
      <c r="D1230" s="6">
        <v>75</v>
      </c>
      <c r="E1230" s="7">
        <f>IF(AND(ISNUMBER(C1230),ISNUMBER(D1230)),(D1230-C1230),"待補")</f>
        <v>0</v>
      </c>
      <c r="F1230" s="8" t="s">
        <v>16</v>
      </c>
      <c r="G1230" s="4" t="s">
        <v>141</v>
      </c>
      <c r="H1230" s="4"/>
    </row>
    <row r="1231" spans="1:8" ht="34" customHeight="1">
      <c r="A1231" s="4" t="s">
        <v>18</v>
      </c>
      <c r="B1231" s="4" t="s">
        <v>15</v>
      </c>
      <c r="C1231" s="6">
        <v>63</v>
      </c>
      <c r="D1231" s="6">
        <v>63</v>
      </c>
      <c r="E1231" s="7">
        <f>IF(AND(ISNUMBER(C1231),ISNUMBER(D1231)),(D1231-C1231),"待補")</f>
        <v>0</v>
      </c>
      <c r="F1231" s="8" t="s">
        <v>16</v>
      </c>
      <c r="G1231" s="4" t="s">
        <v>141</v>
      </c>
      <c r="H1231" s="4"/>
    </row>
    <row r="1232" spans="1:8" ht="34" customHeight="1">
      <c r="A1232" s="4" t="s">
        <v>19</v>
      </c>
      <c r="B1232" s="4" t="s">
        <v>20</v>
      </c>
      <c r="C1232" s="9">
        <v>0.84</v>
      </c>
      <c r="D1232" s="9">
        <v>0.84</v>
      </c>
      <c r="E1232" s="10">
        <f>IF(AND(ISNUMBER(C1232),ISNUMBER(D1232)),(D1232-C1232)*100,"待補")</f>
        <v>0.0</v>
      </c>
      <c r="F1232" s="8" t="s">
        <v>16</v>
      </c>
      <c r="G1232" s="4" t="s">
        <v>141</v>
      </c>
      <c r="H1232" s="4" t="s">
        <v>21</v>
      </c>
    </row>
    <row r="1233" spans="1:8" ht="34" customHeight="1">
      <c r="A1233" s="4" t="s">
        <v>22</v>
      </c>
      <c r="B1233" s="4" t="s">
        <v>15</v>
      </c>
      <c r="C1233" s="6">
        <v>68</v>
      </c>
      <c r="D1233" s="6">
        <v>69</v>
      </c>
      <c r="E1233" s="7">
        <f>IF(AND(ISNUMBER(C1233),ISNUMBER(D1233)),(D1233-C1233),"待補")</f>
        <v>1</v>
      </c>
      <c r="F1233" s="8" t="s">
        <v>16</v>
      </c>
      <c r="G1233" s="4" t="s">
        <v>141</v>
      </c>
      <c r="H1233" s="4"/>
    </row>
    <row r="1234" spans="1:8" ht="34" customHeight="1">
      <c r="A1234" s="4" t="s">
        <v>23</v>
      </c>
      <c r="B1234" s="4" t="s">
        <v>15</v>
      </c>
      <c r="C1234" s="6">
        <v>7</v>
      </c>
      <c r="D1234" s="6">
        <v>6</v>
      </c>
      <c r="E1234" s="7">
        <f>IF(AND(ISNUMBER(C1234),ISNUMBER(D1234)),(D1234-C1234),"待補")</f>
        <v>-1</v>
      </c>
      <c r="F1234" s="8" t="s">
        <v>16</v>
      </c>
      <c r="G1234" s="4" t="s">
        <v>141</v>
      </c>
      <c r="H1234" s="4"/>
    </row>
    <row r="1235" spans="1:8" ht="34" customHeight="1">
      <c r="A1235" s="4" t="s">
        <v>24</v>
      </c>
      <c r="B1235" s="4" t="s">
        <v>25</v>
      </c>
      <c r="C1235" s="7">
        <v>14.53955476314706</v>
      </c>
      <c r="D1235" s="7">
        <v>12.46334348865217</v>
      </c>
      <c r="E1235" s="7">
        <f>IF(AND(ISNUMBER(C1235),ISNUMBER(D1235)),(D1235-C1235),"待補")</f>
        <v>-2.076211274494886</v>
      </c>
      <c r="F1235" s="8" t="s">
        <v>16</v>
      </c>
      <c r="G1235" s="4" t="s">
        <v>238</v>
      </c>
      <c r="H1235" s="4" t="s">
        <v>27</v>
      </c>
    </row>
    <row r="1236" spans="1:8" ht="34" customHeight="1">
      <c r="A1236" s="4" t="s">
        <v>28</v>
      </c>
      <c r="B1236" s="4" t="s">
        <v>25</v>
      </c>
      <c r="C1236" s="7">
        <v>7.078909595999999</v>
      </c>
      <c r="D1236" s="7">
        <v>7.125858683</v>
      </c>
      <c r="E1236" s="7">
        <f>IF(AND(ISNUMBER(C1236),ISNUMBER(D1236)),(D1236-C1236),"待補")</f>
        <v>0.04694908700000067</v>
      </c>
      <c r="F1236" s="8" t="s">
        <v>16</v>
      </c>
      <c r="G1236" s="4" t="s">
        <v>238</v>
      </c>
      <c r="H1236" s="4" t="s">
        <v>27</v>
      </c>
    </row>
    <row r="1237" spans="1:8" ht="34" customHeight="1">
      <c r="A1237" s="4" t="s">
        <v>29</v>
      </c>
      <c r="B1237" s="4" t="s">
        <v>25</v>
      </c>
      <c r="C1237" s="7">
        <v>8.506313526095239</v>
      </c>
      <c r="D1237" s="7">
        <v>9.826067732650793</v>
      </c>
      <c r="E1237" s="7">
        <f>IF(AND(ISNUMBER(C1237),ISNUMBER(D1237)),(D1237-C1237),"待補")</f>
        <v>1.3197542065555545</v>
      </c>
      <c r="F1237" s="8" t="s">
        <v>16</v>
      </c>
      <c r="G1237" s="4" t="s">
        <v>229</v>
      </c>
      <c r="H1237" s="4" t="s">
        <v>31</v>
      </c>
    </row>
    <row r="1238" spans="1:8" ht="34" customHeight="1">
      <c r="A1238" s="4" t="s">
        <v>32</v>
      </c>
      <c r="B1238" s="4" t="s">
        <v>33</v>
      </c>
      <c r="C1238" s="7">
        <v>0.8819165110235294</v>
      </c>
      <c r="D1238" s="7">
        <v>0.7818786968702899</v>
      </c>
      <c r="E1238" s="7">
        <f>IF(AND(ISNUMBER(C1238),ISNUMBER(D1238)),(D1238-C1238),"待補")</f>
        <v>-0.10003781415323953</v>
      </c>
      <c r="F1238" s="8" t="s">
        <v>16</v>
      </c>
      <c r="G1238" s="4" t="s">
        <v>141</v>
      </c>
      <c r="H1238" s="4"/>
    </row>
    <row r="1239" spans="1:8" ht="34" customHeight="1">
      <c r="A1239" s="4" t="s">
        <v>34</v>
      </c>
      <c r="B1239" s="4" t="s">
        <v>25</v>
      </c>
      <c r="C1239" s="7">
        <v>12.83738906188235</v>
      </c>
      <c r="D1239" s="7">
        <v>11.00774501036232</v>
      </c>
      <c r="E1239" s="7">
        <f>IF(AND(ISNUMBER(C1239),ISNUMBER(D1239)),(D1239-C1239),"待補")</f>
        <v>-1.8296440515200345</v>
      </c>
      <c r="F1239" s="8" t="s">
        <v>16</v>
      </c>
      <c r="G1239" s="4" t="s">
        <v>141</v>
      </c>
      <c r="H1239" s="4"/>
    </row>
    <row r="1240" spans="1:8" ht="34" customHeight="1">
      <c r="A1240" s="4" t="s">
        <v>35</v>
      </c>
      <c r="B1240" s="4" t="s">
        <v>36</v>
      </c>
      <c r="C1240" s="7">
        <v>2.109900893333333</v>
      </c>
      <c r="D1240" s="7">
        <v>1.60268712</v>
      </c>
      <c r="E1240" s="7">
        <f>IF(AND(ISNUMBER(C1240),ISNUMBER(D1240)),(D1240-C1240),"待補")</f>
        <v>-0.5072137733333333</v>
      </c>
      <c r="F1240" s="9">
        <f>IF(AND(ISNUMBER(C1240),ISNUMBER(D1240),C1240&lt;&gt;0),(C1240-D1240)/C1240,"待補")</f>
        <v>0.24039696600725644</v>
      </c>
      <c r="G1240" s="4" t="s">
        <v>141</v>
      </c>
      <c r="H1240" s="4" t="s">
        <v>37</v>
      </c>
    </row>
    <row r="1241" spans="1:8" ht="34" customHeight="1">
      <c r="A1241" s="4" t="s">
        <v>38</v>
      </c>
      <c r="B1241" s="4" t="s">
        <v>39</v>
      </c>
      <c r="C1241" s="7">
        <v>6.773333333333333</v>
      </c>
      <c r="D1241" s="7">
        <v>7.533333333333333</v>
      </c>
      <c r="E1241" s="7">
        <f>IF(AND(ISNUMBER(C1241),ISNUMBER(D1241)),(D1241-C1241),"待補")</f>
        <v>0.7599999999999998</v>
      </c>
      <c r="F1241" s="8" t="s">
        <v>16</v>
      </c>
      <c r="G1241" s="4" t="s">
        <v>141</v>
      </c>
      <c r="H1241" s="4"/>
    </row>
    <row r="1242" spans="1:8" ht="34" customHeight="1">
      <c r="A1242" s="4" t="s">
        <v>40</v>
      </c>
      <c r="B1242" s="4" t="s">
        <v>39</v>
      </c>
      <c r="C1242" s="7">
        <v>6.76</v>
      </c>
      <c r="D1242" s="7">
        <v>7.533333333333333</v>
      </c>
      <c r="E1242" s="7">
        <f>IF(AND(ISNUMBER(C1242),ISNUMBER(D1242)),(D1242-C1242),"待補")</f>
        <v>0.7733333333333334</v>
      </c>
      <c r="F1242" s="8" t="s">
        <v>16</v>
      </c>
      <c r="G1242" s="4" t="s">
        <v>141</v>
      </c>
      <c r="H1242" s="4" t="s">
        <v>41</v>
      </c>
    </row>
    <row r="1243" spans="1:8">
      <c r="A1243" s="4" t="s">
        <v>42</v>
      </c>
      <c r="B1243" s="4" t="s">
        <v>15</v>
      </c>
      <c r="D1243" s="6">
        <v>7</v>
      </c>
      <c r="H1243" s="4" t="s">
        <v>43</v>
      </c>
    </row>
    <row r="1244" spans="1:8">
      <c r="A1244" s="4" t="s">
        <v>44</v>
      </c>
      <c r="B1244" s="4" t="s">
        <v>15</v>
      </c>
      <c r="D1244" s="6">
        <v>7</v>
      </c>
      <c r="H1244" s="4" t="s">
        <v>43</v>
      </c>
    </row>
    <row r="1245" spans="1:8">
      <c r="A1245" s="4" t="s">
        <v>45</v>
      </c>
      <c r="B1245" s="4" t="s">
        <v>15</v>
      </c>
      <c r="D1245" s="6">
        <v>56</v>
      </c>
      <c r="H1245" s="4" t="s">
        <v>43</v>
      </c>
    </row>
    <row r="1246" spans="1:8">
      <c r="A1246" s="4" t="s">
        <v>46</v>
      </c>
      <c r="B1246" s="4" t="s">
        <v>25</v>
      </c>
      <c r="C1246" s="7">
        <v>8.367050629339285</v>
      </c>
      <c r="D1246" s="7">
        <v>8.848654552696429</v>
      </c>
      <c r="E1246" s="7">
        <f>IF(AND(ISNUMBER(C1246),ISNUMBER(D1246)),D1246-C1246,"待補")</f>
        <v>0.4816039233571434</v>
      </c>
      <c r="F1246" s="9">
        <f>IF(AND(ISNUMBER(C1246),ISNUMBER(D1246),C1246&lt;&gt;0),(C1246-D1246)/C1246,"待補")</f>
        <v>-0.0575595803936439</v>
      </c>
      <c r="G1246" s="4" t="s">
        <v>152</v>
      </c>
      <c r="H1246" s="4" t="s">
        <v>48</v>
      </c>
    </row>
    <row r="1247" spans="1:8" ht="34" customHeight="1">
      <c r="A1247" s="2" t="s">
        <v>145</v>
      </c>
      <c r="B1247" s="2"/>
      <c r="C1247" s="2"/>
      <c r="D1247" s="2"/>
      <c r="E1247" s="2"/>
      <c r="F1247" s="2"/>
      <c r="G1247" s="2"/>
      <c r="H1247" s="2"/>
    </row>
    <row r="1250" spans="1:8" ht="28" customHeight="1">
      <c r="A1250" s="3" t="s">
        <v>239</v>
      </c>
      <c r="B1250" s="3"/>
      <c r="C1250" s="3"/>
      <c r="D1250" s="3"/>
      <c r="E1250" s="3"/>
      <c r="F1250" s="3"/>
      <c r="G1250" s="3"/>
      <c r="H1250" s="3"/>
    </row>
    <row r="1251" spans="1:8" ht="40" customHeight="1">
      <c r="A1251" s="2" t="s">
        <v>237</v>
      </c>
      <c r="B1251" s="2"/>
      <c r="C1251" s="2"/>
      <c r="D1251" s="2"/>
      <c r="E1251" s="2"/>
      <c r="F1251" s="2"/>
      <c r="G1251" s="2"/>
      <c r="H1251" s="2"/>
    </row>
    <row r="1252" spans="1:8" ht="40" customHeight="1">
      <c r="A1252" s="2" t="s">
        <v>140</v>
      </c>
      <c r="B1252" s="2"/>
      <c r="C1252" s="2"/>
      <c r="D1252" s="2"/>
      <c r="E1252" s="2"/>
      <c r="F1252" s="2"/>
      <c r="G1252" s="2"/>
      <c r="H1252" s="2"/>
    </row>
    <row r="1253" spans="1:8">
      <c r="A1253" s="3" t="s">
        <v>6</v>
      </c>
      <c r="B1253" s="3" t="s">
        <v>7</v>
      </c>
      <c r="C1253" s="3" t="s">
        <v>8</v>
      </c>
      <c r="D1253" s="3" t="s">
        <v>9</v>
      </c>
      <c r="E1253" s="3" t="s">
        <v>10</v>
      </c>
      <c r="F1253" s="3" t="s">
        <v>11</v>
      </c>
      <c r="G1253" s="3" t="s">
        <v>12</v>
      </c>
      <c r="H1253" s="3" t="s">
        <v>13</v>
      </c>
    </row>
    <row r="1254" spans="1:8" ht="34" customHeight="1">
      <c r="A1254" s="4" t="s">
        <v>14</v>
      </c>
      <c r="B1254" s="4" t="s">
        <v>15</v>
      </c>
      <c r="C1254" s="6">
        <v>75</v>
      </c>
      <c r="D1254" s="6">
        <v>75</v>
      </c>
      <c r="E1254" s="7">
        <f>IF(AND(ISNUMBER(C1254),ISNUMBER(D1254)),(D1254-C1254),"待補")</f>
        <v>0</v>
      </c>
      <c r="F1254" s="8" t="s">
        <v>16</v>
      </c>
      <c r="G1254" s="4" t="s">
        <v>141</v>
      </c>
      <c r="H1254" s="4"/>
    </row>
    <row r="1255" spans="1:8" ht="34" customHeight="1">
      <c r="A1255" s="4" t="s">
        <v>18</v>
      </c>
      <c r="B1255" s="4" t="s">
        <v>15</v>
      </c>
      <c r="C1255" s="6">
        <v>65</v>
      </c>
      <c r="D1255" s="6">
        <v>65</v>
      </c>
      <c r="E1255" s="7">
        <f>IF(AND(ISNUMBER(C1255),ISNUMBER(D1255)),(D1255-C1255),"待補")</f>
        <v>0</v>
      </c>
      <c r="F1255" s="8" t="s">
        <v>16</v>
      </c>
      <c r="G1255" s="4" t="s">
        <v>141</v>
      </c>
      <c r="H1255" s="4"/>
    </row>
    <row r="1256" spans="1:8" ht="34" customHeight="1">
      <c r="A1256" s="4" t="s">
        <v>19</v>
      </c>
      <c r="B1256" s="4" t="s">
        <v>20</v>
      </c>
      <c r="C1256" s="9">
        <v>0.8666666666666667</v>
      </c>
      <c r="D1256" s="9">
        <v>0.8666666666666667</v>
      </c>
      <c r="E1256" s="10">
        <f>IF(AND(ISNUMBER(C1256),ISNUMBER(D1256)),(D1256-C1256)*100,"待補")</f>
        <v>0.0</v>
      </c>
      <c r="F1256" s="8" t="s">
        <v>16</v>
      </c>
      <c r="G1256" s="4" t="s">
        <v>141</v>
      </c>
      <c r="H1256" s="4" t="s">
        <v>21</v>
      </c>
    </row>
    <row r="1257" spans="1:8" ht="34" customHeight="1">
      <c r="A1257" s="4" t="s">
        <v>22</v>
      </c>
      <c r="B1257" s="4" t="s">
        <v>15</v>
      </c>
      <c r="C1257" s="6">
        <v>68</v>
      </c>
      <c r="D1257" s="6">
        <v>69</v>
      </c>
      <c r="E1257" s="7">
        <f>IF(AND(ISNUMBER(C1257),ISNUMBER(D1257)),(D1257-C1257),"待補")</f>
        <v>1</v>
      </c>
      <c r="F1257" s="8" t="s">
        <v>16</v>
      </c>
      <c r="G1257" s="4" t="s">
        <v>141</v>
      </c>
      <c r="H1257" s="4"/>
    </row>
    <row r="1258" spans="1:8" ht="34" customHeight="1">
      <c r="A1258" s="4" t="s">
        <v>23</v>
      </c>
      <c r="B1258" s="4" t="s">
        <v>15</v>
      </c>
      <c r="C1258" s="6">
        <v>7</v>
      </c>
      <c r="D1258" s="6">
        <v>6</v>
      </c>
      <c r="E1258" s="7">
        <f>IF(AND(ISNUMBER(C1258),ISNUMBER(D1258)),(D1258-C1258),"待補")</f>
        <v>-1</v>
      </c>
      <c r="F1258" s="8" t="s">
        <v>16</v>
      </c>
      <c r="G1258" s="4" t="s">
        <v>141</v>
      </c>
      <c r="H1258" s="4"/>
    </row>
    <row r="1259" spans="1:8" ht="34" customHeight="1">
      <c r="A1259" s="4" t="s">
        <v>24</v>
      </c>
      <c r="B1259" s="4" t="s">
        <v>25</v>
      </c>
      <c r="C1259" s="7">
        <v>11.40430062222059</v>
      </c>
      <c r="D1259" s="7">
        <v>11.8793090596087</v>
      </c>
      <c r="E1259" s="7">
        <f>IF(AND(ISNUMBER(C1259),ISNUMBER(D1259)),(D1259-C1259),"待補")</f>
        <v>0.47500843738810694</v>
      </c>
      <c r="F1259" s="8" t="s">
        <v>16</v>
      </c>
      <c r="G1259" s="4" t="s">
        <v>238</v>
      </c>
      <c r="H1259" s="4" t="s">
        <v>27</v>
      </c>
    </row>
    <row r="1260" spans="1:8" ht="34" customHeight="1">
      <c r="A1260" s="4" t="s">
        <v>28</v>
      </c>
      <c r="B1260" s="4" t="s">
        <v>25</v>
      </c>
      <c r="C1260" s="7">
        <v>6.630230407</v>
      </c>
      <c r="D1260" s="7">
        <v>6.734286431</v>
      </c>
      <c r="E1260" s="7">
        <f>IF(AND(ISNUMBER(C1260),ISNUMBER(D1260)),(D1260-C1260),"待補")</f>
        <v>0.10405602400000014</v>
      </c>
      <c r="F1260" s="8" t="s">
        <v>16</v>
      </c>
      <c r="G1260" s="4" t="s">
        <v>238</v>
      </c>
      <c r="H1260" s="4" t="s">
        <v>27</v>
      </c>
    </row>
    <row r="1261" spans="1:8" ht="34" customHeight="1">
      <c r="A1261" s="4" t="s">
        <v>29</v>
      </c>
      <c r="B1261" s="4" t="s">
        <v>25</v>
      </c>
      <c r="C1261" s="7">
        <v>8.167160837092307</v>
      </c>
      <c r="D1261" s="7">
        <v>8.832252968661539</v>
      </c>
      <c r="E1261" s="7">
        <f>IF(AND(ISNUMBER(C1261),ISNUMBER(D1261)),(D1261-C1261),"待補")</f>
        <v>0.6650921315692315</v>
      </c>
      <c r="F1261" s="8" t="s">
        <v>16</v>
      </c>
      <c r="G1261" s="4" t="s">
        <v>154</v>
      </c>
      <c r="H1261" s="4" t="s">
        <v>31</v>
      </c>
    </row>
    <row r="1262" spans="1:8" ht="34" customHeight="1">
      <c r="A1262" s="4" t="s">
        <v>32</v>
      </c>
      <c r="B1262" s="4" t="s">
        <v>33</v>
      </c>
      <c r="C1262" s="7">
        <v>0.6951690738455882</v>
      </c>
      <c r="D1262" s="7">
        <v>0.6654063378518841</v>
      </c>
      <c r="E1262" s="7">
        <f>IF(AND(ISNUMBER(C1262),ISNUMBER(D1262)),(D1262-C1262),"待補")</f>
        <v>-0.02976273599370416</v>
      </c>
      <c r="F1262" s="8" t="s">
        <v>16</v>
      </c>
      <c r="G1262" s="4" t="s">
        <v>141</v>
      </c>
      <c r="H1262" s="4"/>
    </row>
    <row r="1263" spans="1:8" ht="34" customHeight="1">
      <c r="A1263" s="4" t="s">
        <v>34</v>
      </c>
      <c r="B1263" s="4" t="s">
        <v>25</v>
      </c>
      <c r="C1263" s="7">
        <v>10.01956322791177</v>
      </c>
      <c r="D1263" s="7">
        <v>10.75811500085507</v>
      </c>
      <c r="E1263" s="7">
        <f>IF(AND(ISNUMBER(C1263),ISNUMBER(D1263)),(D1263-C1263),"待補")</f>
        <v>0.7385517729433069</v>
      </c>
      <c r="F1263" s="8" t="s">
        <v>16</v>
      </c>
      <c r="G1263" s="4" t="s">
        <v>141</v>
      </c>
      <c r="H1263" s="4"/>
    </row>
    <row r="1264" spans="1:8" ht="34" customHeight="1">
      <c r="A1264" s="4" t="s">
        <v>35</v>
      </c>
      <c r="B1264" s="4" t="s">
        <v>36</v>
      </c>
      <c r="C1264" s="7">
        <v>2.532242066666667</v>
      </c>
      <c r="D1264" s="7">
        <v>2.048881253333333</v>
      </c>
      <c r="E1264" s="7">
        <f>IF(AND(ISNUMBER(C1264),ISNUMBER(D1264)),(D1264-C1264),"待補")</f>
        <v>-0.48336081333333336</v>
      </c>
      <c r="F1264" s="9">
        <f>IF(AND(ISNUMBER(C1264),ISNUMBER(D1264),C1264&lt;&gt;0),(C1264-D1264)/C1264,"待補")</f>
        <v>0.19088254622102876</v>
      </c>
      <c r="G1264" s="4" t="s">
        <v>141</v>
      </c>
      <c r="H1264" s="4" t="s">
        <v>37</v>
      </c>
    </row>
    <row r="1265" spans="1:8" ht="34" customHeight="1">
      <c r="A1265" s="4" t="s">
        <v>38</v>
      </c>
      <c r="B1265" s="4" t="s">
        <v>39</v>
      </c>
      <c r="C1265" s="7">
        <v>6.773333333333333</v>
      </c>
      <c r="D1265" s="7">
        <v>7.533333333333333</v>
      </c>
      <c r="E1265" s="7">
        <f>IF(AND(ISNUMBER(C1265),ISNUMBER(D1265)),(D1265-C1265),"待補")</f>
        <v>0.7599999999999998</v>
      </c>
      <c r="F1265" s="8" t="s">
        <v>16</v>
      </c>
      <c r="G1265" s="4" t="s">
        <v>141</v>
      </c>
      <c r="H1265" s="4"/>
    </row>
    <row r="1266" spans="1:8" ht="34" customHeight="1">
      <c r="A1266" s="4" t="s">
        <v>40</v>
      </c>
      <c r="B1266" s="4" t="s">
        <v>39</v>
      </c>
      <c r="C1266" s="7">
        <v>6.76</v>
      </c>
      <c r="D1266" s="7">
        <v>7.533333333333333</v>
      </c>
      <c r="E1266" s="7">
        <f>IF(AND(ISNUMBER(C1266),ISNUMBER(D1266)),(D1266-C1266),"待補")</f>
        <v>0.7733333333333334</v>
      </c>
      <c r="F1266" s="8" t="s">
        <v>16</v>
      </c>
      <c r="G1266" s="4" t="s">
        <v>141</v>
      </c>
      <c r="H1266" s="4" t="s">
        <v>41</v>
      </c>
    </row>
    <row r="1267" spans="1:8" ht="34" customHeight="1">
      <c r="A1267" s="4" t="s">
        <v>53</v>
      </c>
      <c r="B1267" s="4" t="s">
        <v>39</v>
      </c>
      <c r="C1267" s="7">
        <v>6.533333333333333</v>
      </c>
      <c r="D1267" s="7">
        <v>7.306666666666667</v>
      </c>
      <c r="E1267" s="7">
        <f>IF(AND(ISNUMBER(C1267),ISNUMBER(D1267)),(D1267-C1267),"待補")</f>
        <v>0.7733333333333334</v>
      </c>
      <c r="F1267" s="8" t="s">
        <v>16</v>
      </c>
      <c r="G1267" s="4" t="s">
        <v>141</v>
      </c>
      <c r="H1267" s="4" t="s">
        <v>54</v>
      </c>
    </row>
    <row r="1268" spans="1:8">
      <c r="A1268" s="4" t="s">
        <v>42</v>
      </c>
      <c r="B1268" s="4" t="s">
        <v>15</v>
      </c>
      <c r="D1268" s="6">
        <v>5</v>
      </c>
      <c r="H1268" s="4" t="s">
        <v>43</v>
      </c>
    </row>
    <row r="1269" spans="1:8">
      <c r="A1269" s="4" t="s">
        <v>44</v>
      </c>
      <c r="B1269" s="4" t="s">
        <v>15</v>
      </c>
      <c r="D1269" s="6">
        <v>5</v>
      </c>
      <c r="H1269" s="4" t="s">
        <v>43</v>
      </c>
    </row>
    <row r="1270" spans="1:8">
      <c r="A1270" s="4" t="s">
        <v>45</v>
      </c>
      <c r="B1270" s="4" t="s">
        <v>15</v>
      </c>
      <c r="D1270" s="6">
        <v>60</v>
      </c>
      <c r="H1270" s="4" t="s">
        <v>43</v>
      </c>
    </row>
    <row r="1271" spans="1:8">
      <c r="A1271" s="4" t="s">
        <v>46</v>
      </c>
      <c r="B1271" s="4" t="s">
        <v>25</v>
      </c>
      <c r="C1271" s="7">
        <v>8.032534221866666</v>
      </c>
      <c r="D1271" s="7">
        <v>8.314906632033333</v>
      </c>
      <c r="E1271" s="7">
        <f>IF(AND(ISNUMBER(C1271),ISNUMBER(D1271)),D1271-C1271,"待補")</f>
        <v>0.2823724101666675</v>
      </c>
      <c r="F1271" s="9">
        <f>IF(AND(ISNUMBER(C1271),ISNUMBER(D1271),C1271&lt;&gt;0),(C1271-D1271)/C1271,"待補")</f>
        <v>-0.03515358943606809</v>
      </c>
      <c r="G1271" s="4" t="s">
        <v>155</v>
      </c>
      <c r="H1271" s="4" t="s">
        <v>48</v>
      </c>
    </row>
    <row r="1272" spans="1:8" ht="34" customHeight="1">
      <c r="A1272" s="2" t="s">
        <v>145</v>
      </c>
      <c r="B1272" s="2"/>
      <c r="C1272" s="2"/>
      <c r="D1272" s="2"/>
      <c r="E1272" s="2"/>
      <c r="F1272" s="2"/>
      <c r="G1272" s="2"/>
      <c r="H1272" s="2"/>
    </row>
    <row r="1275" spans="1:8" ht="28" customHeight="1">
      <c r="A1275" s="3" t="s">
        <v>240</v>
      </c>
      <c r="B1275" s="3"/>
      <c r="C1275" s="3"/>
      <c r="D1275" s="3"/>
      <c r="E1275" s="3"/>
      <c r="F1275" s="3"/>
      <c r="G1275" s="3"/>
      <c r="H1275" s="3"/>
    </row>
    <row r="1276" spans="1:8" ht="40" customHeight="1">
      <c r="A1276" s="2" t="s">
        <v>241</v>
      </c>
      <c r="B1276" s="2"/>
      <c r="C1276" s="2"/>
      <c r="D1276" s="2"/>
      <c r="E1276" s="2"/>
      <c r="F1276" s="2"/>
      <c r="G1276" s="2"/>
      <c r="H1276" s="2"/>
    </row>
    <row r="1277" spans="1:8" ht="40" customHeight="1">
      <c r="A1277" s="2" t="s">
        <v>242</v>
      </c>
      <c r="B1277" s="2"/>
      <c r="C1277" s="2"/>
      <c r="D1277" s="2"/>
      <c r="E1277" s="2"/>
      <c r="F1277" s="2"/>
      <c r="G1277" s="2"/>
      <c r="H1277" s="2"/>
    </row>
    <row r="1278" spans="1:8">
      <c r="A1278" s="3" t="s">
        <v>6</v>
      </c>
      <c r="B1278" s="3" t="s">
        <v>7</v>
      </c>
      <c r="C1278" s="3" t="s">
        <v>8</v>
      </c>
      <c r="D1278" s="3" t="s">
        <v>9</v>
      </c>
      <c r="E1278" s="3" t="s">
        <v>10</v>
      </c>
      <c r="F1278" s="3" t="s">
        <v>11</v>
      </c>
      <c r="G1278" s="3" t="s">
        <v>12</v>
      </c>
      <c r="H1278" s="3" t="s">
        <v>13</v>
      </c>
    </row>
    <row r="1279" spans="1:8" ht="34" customHeight="1">
      <c r="A1279" s="4" t="s">
        <v>14</v>
      </c>
      <c r="B1279" s="4" t="s">
        <v>15</v>
      </c>
      <c r="C1279" s="6">
        <v>100</v>
      </c>
      <c r="D1279" s="6">
        <v>100</v>
      </c>
      <c r="E1279" s="7">
        <f>IF(AND(ISNUMBER(C1279),ISNUMBER(D1279)),(D1279-C1279),"待補")</f>
        <v>0</v>
      </c>
      <c r="F1279" s="8" t="s">
        <v>16</v>
      </c>
      <c r="G1279" s="4" t="s">
        <v>243</v>
      </c>
      <c r="H1279" s="4"/>
    </row>
    <row r="1280" spans="1:8" ht="34" customHeight="1">
      <c r="A1280" s="4" t="s">
        <v>18</v>
      </c>
      <c r="B1280" s="4" t="s">
        <v>15</v>
      </c>
      <c r="C1280" s="6">
        <v>100</v>
      </c>
      <c r="D1280" s="6">
        <v>100</v>
      </c>
      <c r="E1280" s="7">
        <f>IF(AND(ISNUMBER(C1280),ISNUMBER(D1280)),(D1280-C1280),"待補")</f>
        <v>0</v>
      </c>
      <c r="F1280" s="8" t="s">
        <v>16</v>
      </c>
      <c r="G1280" s="4" t="s">
        <v>243</v>
      </c>
      <c r="H1280" s="4"/>
    </row>
    <row r="1281" spans="1:8" ht="34" customHeight="1">
      <c r="A1281" s="4" t="s">
        <v>19</v>
      </c>
      <c r="B1281" s="4" t="s">
        <v>20</v>
      </c>
      <c r="C1281" s="9">
        <v>1</v>
      </c>
      <c r="D1281" s="9">
        <v>1</v>
      </c>
      <c r="E1281" s="10">
        <f>IF(AND(ISNUMBER(C1281),ISNUMBER(D1281)),(D1281-C1281)*100,"待補")</f>
        <v>0.0</v>
      </c>
      <c r="F1281" s="8" t="s">
        <v>16</v>
      </c>
      <c r="G1281" s="4" t="s">
        <v>243</v>
      </c>
      <c r="H1281" s="4" t="s">
        <v>21</v>
      </c>
    </row>
    <row r="1282" spans="1:8" ht="34" customHeight="1">
      <c r="A1282" s="4" t="s">
        <v>22</v>
      </c>
      <c r="B1282" s="4" t="s">
        <v>15</v>
      </c>
      <c r="C1282" s="6">
        <v>100</v>
      </c>
      <c r="D1282" s="6">
        <v>100</v>
      </c>
      <c r="E1282" s="7">
        <f>IF(AND(ISNUMBER(C1282),ISNUMBER(D1282)),(D1282-C1282),"待補")</f>
        <v>0</v>
      </c>
      <c r="F1282" s="8" t="s">
        <v>16</v>
      </c>
      <c r="G1282" s="4" t="s">
        <v>243</v>
      </c>
      <c r="H1282" s="4"/>
    </row>
    <row r="1283" spans="1:8" ht="34" customHeight="1">
      <c r="A1283" s="4" t="s">
        <v>23</v>
      </c>
      <c r="B1283" s="4" t="s">
        <v>15</v>
      </c>
      <c r="C1283" s="6">
        <v>0</v>
      </c>
      <c r="D1283" s="6">
        <v>0</v>
      </c>
      <c r="E1283" s="7">
        <f>IF(AND(ISNUMBER(C1283),ISNUMBER(D1283)),(D1283-C1283),"待補")</f>
        <v>0</v>
      </c>
      <c r="F1283" s="8" t="s">
        <v>16</v>
      </c>
      <c r="G1283" s="4" t="s">
        <v>243</v>
      </c>
      <c r="H1283" s="4"/>
    </row>
    <row r="1284" spans="1:8" ht="34" customHeight="1">
      <c r="A1284" s="4" t="s">
        <v>24</v>
      </c>
      <c r="B1284" s="4" t="s">
        <v>25</v>
      </c>
      <c r="C1284" s="7">
        <v>16.81264811104687</v>
      </c>
      <c r="D1284" s="7">
        <v>17.42353110611136</v>
      </c>
      <c r="E1284" s="7">
        <f>IF(AND(ISNUMBER(C1284),ISNUMBER(D1284)),(D1284-C1284),"待補")</f>
        <v>0.6108829950644896</v>
      </c>
      <c r="F1284" s="9">
        <f>IF(AND(ISNUMBER(C1284),ISNUMBER(D1284),C1284&lt;&gt;0),(C1284-D1284)/C1284,"待補")</f>
        <v>-0.03633472793991951</v>
      </c>
      <c r="G1284" s="4" t="s">
        <v>244</v>
      </c>
      <c r="H1284" s="4" t="s">
        <v>27</v>
      </c>
    </row>
    <row r="1285" spans="1:8" ht="34" customHeight="1">
      <c r="A1285" s="4" t="s">
        <v>28</v>
      </c>
      <c r="B1285" s="4" t="s">
        <v>25</v>
      </c>
      <c r="C1285" s="7">
        <v>15.81141393254522</v>
      </c>
      <c r="D1285" s="7">
        <v>16.77981453927864</v>
      </c>
      <c r="E1285" s="7">
        <f>IF(AND(ISNUMBER(C1285),ISNUMBER(D1285)),(D1285-C1285),"待補")</f>
        <v>0.9684006067334145</v>
      </c>
      <c r="F1285" s="9">
        <f>IF(AND(ISNUMBER(C1285),ISNUMBER(D1285),C1285&lt;&gt;0),(C1285-D1285)/C1285,"待補")</f>
        <v>-0.06124693280846437</v>
      </c>
      <c r="G1285" s="4" t="s">
        <v>244</v>
      </c>
      <c r="H1285" s="4" t="s">
        <v>27</v>
      </c>
    </row>
    <row r="1286" spans="1:8" ht="34" customHeight="1">
      <c r="A1286" s="4" t="s">
        <v>29</v>
      </c>
      <c r="B1286" s="4" t="s">
        <v>25</v>
      </c>
      <c r="C1286" s="7">
        <v>16.81264811104687</v>
      </c>
      <c r="D1286" s="7">
        <v>17.42353110611136</v>
      </c>
      <c r="E1286" s="7">
        <f>IF(AND(ISNUMBER(C1286),ISNUMBER(D1286)),(D1286-C1286),"待補")</f>
        <v>0.6108829950644896</v>
      </c>
      <c r="F1286" s="8" t="s">
        <v>16</v>
      </c>
      <c r="G1286" s="4" t="s">
        <v>245</v>
      </c>
      <c r="H1286" s="4" t="s">
        <v>31</v>
      </c>
    </row>
    <row r="1287" spans="1:8" ht="34" customHeight="1">
      <c r="A1287" s="4" t="s">
        <v>32</v>
      </c>
      <c r="B1287" s="4" t="s">
        <v>33</v>
      </c>
      <c r="C1287" s="7">
        <v>0.6535133432834969</v>
      </c>
      <c r="D1287" s="7">
        <v>0.689562769163795</v>
      </c>
      <c r="E1287" s="7">
        <f>IF(AND(ISNUMBER(C1287),ISNUMBER(D1287)),(D1287-C1287),"待補")</f>
        <v>0.036049425880298136</v>
      </c>
      <c r="F1287" s="8" t="s">
        <v>16</v>
      </c>
      <c r="G1287" s="4" t="s">
        <v>243</v>
      </c>
      <c r="H1287" s="4"/>
    </row>
    <row r="1288" spans="1:8" ht="34" customHeight="1">
      <c r="A1288" s="4" t="s">
        <v>34</v>
      </c>
      <c r="B1288" s="4" t="s">
        <v>25</v>
      </c>
      <c r="C1288" s="7">
        <v>14.65900137135919</v>
      </c>
      <c r="D1288" s="7">
        <v>15.26499562068555</v>
      </c>
      <c r="E1288" s="7">
        <f>IF(AND(ISNUMBER(C1288),ISNUMBER(D1288)),(D1288-C1288),"待補")</f>
        <v>0.6059942493263684</v>
      </c>
      <c r="F1288" s="8" t="s">
        <v>16</v>
      </c>
      <c r="G1288" s="4" t="s">
        <v>243</v>
      </c>
      <c r="H1288" s="4"/>
    </row>
    <row r="1289" spans="1:8" ht="34" customHeight="1">
      <c r="A1289" s="4" t="s">
        <v>35</v>
      </c>
      <c r="B1289" s="4" t="s">
        <v>36</v>
      </c>
      <c r="C1289" s="7">
        <v>7.99219146</v>
      </c>
      <c r="D1289" s="7">
        <v>9.366650740000001</v>
      </c>
      <c r="E1289" s="7">
        <f>IF(AND(ISNUMBER(C1289),ISNUMBER(D1289)),(D1289-C1289),"待補")</f>
        <v>1.3744592800000008</v>
      </c>
      <c r="F1289" s="9">
        <f>IF(AND(ISNUMBER(C1289),ISNUMBER(D1289),C1289&lt;&gt;0),(C1289-D1289)/C1289,"待補")</f>
        <v>-0.17197526947133482</v>
      </c>
      <c r="G1289" s="4" t="s">
        <v>243</v>
      </c>
      <c r="H1289" s="4" t="s">
        <v>37</v>
      </c>
    </row>
    <row r="1290" spans="1:8" ht="34" customHeight="1">
      <c r="A1290" s="4" t="s">
        <v>246</v>
      </c>
      <c r="B1290" s="4" t="s">
        <v>76</v>
      </c>
      <c r="C1290" s="7">
        <v>1</v>
      </c>
      <c r="D1290" s="7">
        <v>1</v>
      </c>
      <c r="E1290" s="7">
        <f>IF(AND(ISNUMBER(C1290),ISNUMBER(D1290)),(D1290-C1290),"待補")</f>
        <v>0.0</v>
      </c>
      <c r="F1290" s="8" t="s">
        <v>16</v>
      </c>
      <c r="G1290" s="4" t="s">
        <v>243</v>
      </c>
      <c r="H1290" s="4"/>
    </row>
    <row r="1291" spans="1:8" ht="34" customHeight="1">
      <c r="A1291" s="4" t="s">
        <v>247</v>
      </c>
      <c r="B1291" s="4" t="s">
        <v>76</v>
      </c>
      <c r="C1291" s="7">
        <v>0</v>
      </c>
      <c r="D1291" s="7">
        <v>0</v>
      </c>
      <c r="E1291" s="7">
        <f>IF(AND(ISNUMBER(C1291),ISNUMBER(D1291)),(D1291-C1291),"待補")</f>
        <v>0.0</v>
      </c>
      <c r="F1291" s="8" t="s">
        <v>16</v>
      </c>
      <c r="G1291" s="4" t="s">
        <v>243</v>
      </c>
      <c r="H1291" s="4"/>
    </row>
    <row r="1292" spans="1:8" ht="34" customHeight="1">
      <c r="A1292" s="4" t="s">
        <v>248</v>
      </c>
      <c r="B1292" s="4" t="s">
        <v>36</v>
      </c>
      <c r="C1292" s="7">
        <v>3.664E-05</v>
      </c>
      <c r="D1292" s="7">
        <v>3.395E-05</v>
      </c>
      <c r="E1292" s="7">
        <f>IF(AND(ISNUMBER(C1292),ISNUMBER(D1292)),(D1292-C1292),"待補")</f>
        <v>-2.690000000000003e-06</v>
      </c>
      <c r="F1292" s="8" t="s">
        <v>16</v>
      </c>
      <c r="G1292" s="4" t="s">
        <v>243</v>
      </c>
      <c r="H1292" s="4"/>
    </row>
    <row r="1293" spans="1:8">
      <c r="A1293" s="4" t="s">
        <v>42</v>
      </c>
      <c r="B1293" s="4" t="s">
        <v>15</v>
      </c>
      <c r="D1293" s="6">
        <v>0</v>
      </c>
      <c r="H1293" s="4" t="s">
        <v>43</v>
      </c>
    </row>
    <row r="1294" spans="1:8">
      <c r="A1294" s="4" t="s">
        <v>44</v>
      </c>
      <c r="B1294" s="4" t="s">
        <v>15</v>
      </c>
      <c r="D1294" s="6">
        <v>0</v>
      </c>
      <c r="H1294" s="4" t="s">
        <v>43</v>
      </c>
    </row>
    <row r="1295" spans="1:8">
      <c r="A1295" s="4" t="s">
        <v>45</v>
      </c>
      <c r="B1295" s="4" t="s">
        <v>15</v>
      </c>
      <c r="D1295" s="6">
        <v>100</v>
      </c>
      <c r="H1295" s="4" t="s">
        <v>43</v>
      </c>
    </row>
    <row r="1296" spans="1:8">
      <c r="A1296" s="4" t="s">
        <v>46</v>
      </c>
      <c r="B1296" s="4" t="s">
        <v>25</v>
      </c>
      <c r="C1296" s="7">
        <v>16.81264811104687</v>
      </c>
      <c r="D1296" s="7">
        <v>17.42353110611136</v>
      </c>
      <c r="E1296" s="7">
        <f>IF(AND(ISNUMBER(C1296),ISNUMBER(D1296)),D1296-C1296,"待補")</f>
        <v>0.6108829950644906</v>
      </c>
      <c r="F1296" s="9">
        <f>IF(AND(ISNUMBER(C1296),ISNUMBER(D1296),C1296&lt;&gt;0),(C1296-D1296)/C1296,"待補")</f>
        <v>-0.03633472793991957</v>
      </c>
      <c r="G1296" s="4" t="s">
        <v>249</v>
      </c>
      <c r="H1296" s="4" t="s">
        <v>48</v>
      </c>
    </row>
    <row r="1297" spans="1:8" ht="34" customHeight="1">
      <c r="A1297" s="2" t="s">
        <v>250</v>
      </c>
      <c r="B1297" s="2"/>
      <c r="C1297" s="2"/>
      <c r="D1297" s="2"/>
      <c r="E1297" s="2"/>
      <c r="F1297" s="2"/>
      <c r="G1297" s="2"/>
      <c r="H1297" s="2"/>
    </row>
    <row r="1300" spans="1:8" ht="28" customHeight="1">
      <c r="A1300" s="3" t="s">
        <v>251</v>
      </c>
      <c r="B1300" s="3"/>
      <c r="C1300" s="3"/>
      <c r="D1300" s="3"/>
      <c r="E1300" s="3"/>
      <c r="F1300" s="3"/>
      <c r="G1300" s="3"/>
      <c r="H1300" s="3"/>
    </row>
    <row r="1301" spans="1:8" ht="40" customHeight="1">
      <c r="A1301" s="2" t="s">
        <v>252</v>
      </c>
      <c r="B1301" s="2"/>
      <c r="C1301" s="2"/>
      <c r="D1301" s="2"/>
      <c r="E1301" s="2"/>
      <c r="F1301" s="2"/>
      <c r="G1301" s="2"/>
      <c r="H1301" s="2"/>
    </row>
    <row r="1302" spans="1:8" ht="40" customHeight="1">
      <c r="A1302" s="2" t="s">
        <v>242</v>
      </c>
      <c r="B1302" s="2"/>
      <c r="C1302" s="2"/>
      <c r="D1302" s="2"/>
      <c r="E1302" s="2"/>
      <c r="F1302" s="2"/>
      <c r="G1302" s="2"/>
      <c r="H1302" s="2"/>
    </row>
    <row r="1303" spans="1:8">
      <c r="A1303" s="3" t="s">
        <v>6</v>
      </c>
      <c r="B1303" s="3" t="s">
        <v>7</v>
      </c>
      <c r="C1303" s="3" t="s">
        <v>8</v>
      </c>
      <c r="D1303" s="3" t="s">
        <v>9</v>
      </c>
      <c r="E1303" s="3" t="s">
        <v>10</v>
      </c>
      <c r="F1303" s="3" t="s">
        <v>11</v>
      </c>
      <c r="G1303" s="3" t="s">
        <v>12</v>
      </c>
      <c r="H1303" s="3" t="s">
        <v>13</v>
      </c>
    </row>
    <row r="1304" spans="1:8" ht="34" customHeight="1">
      <c r="A1304" s="4" t="s">
        <v>14</v>
      </c>
      <c r="B1304" s="4" t="s">
        <v>15</v>
      </c>
      <c r="C1304" s="6">
        <v>100</v>
      </c>
      <c r="D1304" s="6">
        <v>100</v>
      </c>
      <c r="E1304" s="7">
        <f>IF(AND(ISNUMBER(C1304),ISNUMBER(D1304)),(D1304-C1304),"待補")</f>
        <v>0</v>
      </c>
      <c r="F1304" s="8" t="s">
        <v>16</v>
      </c>
      <c r="G1304" s="4" t="s">
        <v>243</v>
      </c>
      <c r="H1304" s="4"/>
    </row>
    <row r="1305" spans="1:8" ht="34" customHeight="1">
      <c r="A1305" s="4" t="s">
        <v>18</v>
      </c>
      <c r="B1305" s="4" t="s">
        <v>15</v>
      </c>
      <c r="C1305" s="6">
        <v>33</v>
      </c>
      <c r="D1305" s="6">
        <v>34</v>
      </c>
      <c r="E1305" s="7">
        <f>IF(AND(ISNUMBER(C1305),ISNUMBER(D1305)),(D1305-C1305),"待補")</f>
        <v>1</v>
      </c>
      <c r="F1305" s="8" t="s">
        <v>16</v>
      </c>
      <c r="G1305" s="4" t="s">
        <v>243</v>
      </c>
      <c r="H1305" s="4"/>
    </row>
    <row r="1306" spans="1:8" ht="34" customHeight="1">
      <c r="A1306" s="4" t="s">
        <v>19</v>
      </c>
      <c r="B1306" s="4" t="s">
        <v>20</v>
      </c>
      <c r="C1306" s="9">
        <v>0.33</v>
      </c>
      <c r="D1306" s="9">
        <v>0.34</v>
      </c>
      <c r="E1306" s="10">
        <f>IF(AND(ISNUMBER(C1306),ISNUMBER(D1306)),(D1306-C1306)*100,"待補")</f>
        <v>1.0000000000000009</v>
      </c>
      <c r="F1306" s="8" t="s">
        <v>16</v>
      </c>
      <c r="G1306" s="4" t="s">
        <v>243</v>
      </c>
      <c r="H1306" s="4" t="s">
        <v>21</v>
      </c>
    </row>
    <row r="1307" spans="1:8" ht="34" customHeight="1">
      <c r="A1307" s="4" t="s">
        <v>22</v>
      </c>
      <c r="B1307" s="4" t="s">
        <v>15</v>
      </c>
      <c r="C1307" s="6">
        <v>100</v>
      </c>
      <c r="D1307" s="6">
        <v>100</v>
      </c>
      <c r="E1307" s="7">
        <f>IF(AND(ISNUMBER(C1307),ISNUMBER(D1307)),(D1307-C1307),"待補")</f>
        <v>0</v>
      </c>
      <c r="F1307" s="8" t="s">
        <v>16</v>
      </c>
      <c r="G1307" s="4" t="s">
        <v>243</v>
      </c>
      <c r="H1307" s="4"/>
    </row>
    <row r="1308" spans="1:8" ht="34" customHeight="1">
      <c r="A1308" s="4" t="s">
        <v>23</v>
      </c>
      <c r="B1308" s="4" t="s">
        <v>15</v>
      </c>
      <c r="C1308" s="6">
        <v>0</v>
      </c>
      <c r="D1308" s="6">
        <v>0</v>
      </c>
      <c r="E1308" s="7">
        <f>IF(AND(ISNUMBER(C1308),ISNUMBER(D1308)),(D1308-C1308),"待補")</f>
        <v>0</v>
      </c>
      <c r="F1308" s="8" t="s">
        <v>16</v>
      </c>
      <c r="G1308" s="4" t="s">
        <v>243</v>
      </c>
      <c r="H1308" s="4"/>
    </row>
    <row r="1309" spans="1:8" ht="34" customHeight="1">
      <c r="A1309" s="4" t="s">
        <v>24</v>
      </c>
      <c r="B1309" s="4" t="s">
        <v>25</v>
      </c>
      <c r="C1309" s="7">
        <v>54.50497163856171</v>
      </c>
      <c r="D1309" s="7">
        <v>50.90068114446461</v>
      </c>
      <c r="E1309" s="7">
        <f>IF(AND(ISNUMBER(C1309),ISNUMBER(D1309)),(D1309-C1309),"待補")</f>
        <v>-3.604290494097093</v>
      </c>
      <c r="F1309" s="9">
        <f>IF(AND(ISNUMBER(C1309),ISNUMBER(D1309),C1309&lt;&gt;0),(C1309-D1309)/C1309,"待補")</f>
        <v>0.06612773818135692</v>
      </c>
      <c r="G1309" s="4" t="s">
        <v>244</v>
      </c>
      <c r="H1309" s="4" t="s">
        <v>27</v>
      </c>
    </row>
    <row r="1310" spans="1:8" ht="34" customHeight="1">
      <c r="A1310" s="4" t="s">
        <v>28</v>
      </c>
      <c r="B1310" s="4" t="s">
        <v>25</v>
      </c>
      <c r="C1310" s="7">
        <v>36.44905535035181</v>
      </c>
      <c r="D1310" s="7">
        <v>47.99694572790401</v>
      </c>
      <c r="E1310" s="7">
        <f>IF(AND(ISNUMBER(C1310),ISNUMBER(D1310)),(D1310-C1310),"待補")</f>
        <v>11.547890377552193</v>
      </c>
      <c r="F1310" s="9">
        <f>IF(AND(ISNUMBER(C1310),ISNUMBER(D1310),C1310&lt;&gt;0),(C1310-D1310)/C1310,"待補")</f>
        <v>-0.3168227617026769</v>
      </c>
      <c r="G1310" s="4" t="s">
        <v>244</v>
      </c>
      <c r="H1310" s="4" t="s">
        <v>27</v>
      </c>
    </row>
    <row r="1311" spans="1:8" ht="34" customHeight="1">
      <c r="A1311" s="4" t="s">
        <v>29</v>
      </c>
      <c r="B1311" s="4" t="s">
        <v>25</v>
      </c>
      <c r="C1311" s="7">
        <v>24.45919083928485</v>
      </c>
      <c r="D1311" s="7">
        <v>27.73532425418735</v>
      </c>
      <c r="E1311" s="7">
        <f>IF(AND(ISNUMBER(C1311),ISNUMBER(D1311)),(D1311-C1311),"待補")</f>
        <v>3.2761334149024997</v>
      </c>
      <c r="F1311" s="8" t="s">
        <v>16</v>
      </c>
      <c r="G1311" s="4" t="s">
        <v>253</v>
      </c>
      <c r="H1311" s="4" t="s">
        <v>31</v>
      </c>
    </row>
    <row r="1312" spans="1:8" ht="34" customHeight="1">
      <c r="A1312" s="4" t="s">
        <v>32</v>
      </c>
      <c r="B1312" s="4" t="s">
        <v>33</v>
      </c>
      <c r="C1312" s="7">
        <v>3.010561498641285</v>
      </c>
      <c r="D1312" s="7">
        <v>2.805820850931177</v>
      </c>
      <c r="E1312" s="7">
        <f>IF(AND(ISNUMBER(C1312),ISNUMBER(D1312)),(D1312-C1312),"待補")</f>
        <v>-0.20474064771010836</v>
      </c>
      <c r="F1312" s="8" t="s">
        <v>16</v>
      </c>
      <c r="G1312" s="4" t="s">
        <v>243</v>
      </c>
      <c r="H1312" s="4"/>
    </row>
    <row r="1313" spans="1:8" ht="34" customHeight="1">
      <c r="A1313" s="4" t="s">
        <v>34</v>
      </c>
      <c r="B1313" s="4" t="s">
        <v>25</v>
      </c>
      <c r="C1313" s="7">
        <v>34.37448410922241</v>
      </c>
      <c r="D1313" s="7">
        <v>31.61299917249332</v>
      </c>
      <c r="E1313" s="7">
        <f>IF(AND(ISNUMBER(C1313),ISNUMBER(D1313)),(D1313-C1313),"待補")</f>
        <v>-2.76148493672909</v>
      </c>
      <c r="F1313" s="8" t="s">
        <v>16</v>
      </c>
      <c r="G1313" s="4" t="s">
        <v>243</v>
      </c>
      <c r="H1313" s="4"/>
    </row>
    <row r="1314" spans="1:8" ht="34" customHeight="1">
      <c r="A1314" s="4" t="s">
        <v>35</v>
      </c>
      <c r="B1314" s="4" t="s">
        <v>36</v>
      </c>
      <c r="C1314" s="7">
        <v>15.16964886</v>
      </c>
      <c r="D1314" s="7">
        <v>17.11263271</v>
      </c>
      <c r="E1314" s="7">
        <f>IF(AND(ISNUMBER(C1314),ISNUMBER(D1314)),(D1314-C1314),"待補")</f>
        <v>1.9429838499999992</v>
      </c>
      <c r="F1314" s="9">
        <f>IF(AND(ISNUMBER(C1314),ISNUMBER(D1314),C1314&lt;&gt;0),(C1314-D1314)/C1314,"待補")</f>
        <v>-0.12808364042778503</v>
      </c>
      <c r="G1314" s="4" t="s">
        <v>243</v>
      </c>
      <c r="H1314" s="4" t="s">
        <v>37</v>
      </c>
    </row>
    <row r="1315" spans="1:8" ht="34" customHeight="1">
      <c r="A1315" s="4" t="s">
        <v>246</v>
      </c>
      <c r="B1315" s="4" t="s">
        <v>76</v>
      </c>
      <c r="C1315" s="7">
        <v>1</v>
      </c>
      <c r="D1315" s="7">
        <v>1</v>
      </c>
      <c r="E1315" s="7">
        <f>IF(AND(ISNUMBER(C1315),ISNUMBER(D1315)),(D1315-C1315),"待補")</f>
        <v>0.0</v>
      </c>
      <c r="F1315" s="8" t="s">
        <v>16</v>
      </c>
      <c r="G1315" s="4" t="s">
        <v>243</v>
      </c>
      <c r="H1315" s="4"/>
    </row>
    <row r="1316" spans="1:8" ht="34" customHeight="1">
      <c r="A1316" s="4" t="s">
        <v>247</v>
      </c>
      <c r="B1316" s="4" t="s">
        <v>76</v>
      </c>
      <c r="C1316" s="7">
        <v>0</v>
      </c>
      <c r="D1316" s="7">
        <v>0</v>
      </c>
      <c r="E1316" s="7">
        <f>IF(AND(ISNUMBER(C1316),ISNUMBER(D1316)),(D1316-C1316),"待補")</f>
        <v>0.0</v>
      </c>
      <c r="F1316" s="8" t="s">
        <v>16</v>
      </c>
      <c r="G1316" s="4" t="s">
        <v>243</v>
      </c>
      <c r="H1316" s="4"/>
    </row>
    <row r="1317" spans="1:8" ht="34" customHeight="1">
      <c r="A1317" s="4" t="s">
        <v>248</v>
      </c>
      <c r="B1317" s="4" t="s">
        <v>36</v>
      </c>
      <c r="C1317" s="7">
        <v>4.059E-05</v>
      </c>
      <c r="D1317" s="7">
        <v>3.846E-05</v>
      </c>
      <c r="E1317" s="7">
        <f>IF(AND(ISNUMBER(C1317),ISNUMBER(D1317)),(D1317-C1317),"待補")</f>
        <v>-2.1300000000000016e-06</v>
      </c>
      <c r="F1317" s="8" t="s">
        <v>16</v>
      </c>
      <c r="G1317" s="4" t="s">
        <v>243</v>
      </c>
      <c r="H1317" s="4"/>
    </row>
    <row r="1318" spans="1:8">
      <c r="A1318" s="4" t="s">
        <v>42</v>
      </c>
      <c r="B1318" s="4" t="s">
        <v>15</v>
      </c>
      <c r="D1318" s="6">
        <v>12</v>
      </c>
      <c r="H1318" s="4" t="s">
        <v>43</v>
      </c>
    </row>
    <row r="1319" spans="1:8">
      <c r="A1319" s="4" t="s">
        <v>44</v>
      </c>
      <c r="B1319" s="4" t="s">
        <v>15</v>
      </c>
      <c r="D1319" s="6">
        <v>11</v>
      </c>
      <c r="H1319" s="4" t="s">
        <v>43</v>
      </c>
    </row>
    <row r="1320" spans="1:8">
      <c r="A1320" s="4" t="s">
        <v>45</v>
      </c>
      <c r="B1320" s="4" t="s">
        <v>15</v>
      </c>
      <c r="D1320" s="6">
        <v>22</v>
      </c>
      <c r="H1320" s="4" t="s">
        <v>43</v>
      </c>
    </row>
    <row r="1321" spans="1:8">
      <c r="A1321" s="4" t="s">
        <v>46</v>
      </c>
      <c r="B1321" s="4" t="s">
        <v>25</v>
      </c>
      <c r="C1321" s="7">
        <v>22.46681117646303</v>
      </c>
      <c r="D1321" s="7">
        <v>19.96097189703848</v>
      </c>
      <c r="E1321" s="7">
        <f>IF(AND(ISNUMBER(C1321),ISNUMBER(D1321)),D1321-C1321,"待補")</f>
        <v>-2.5058392794245545</v>
      </c>
      <c r="F1321" s="9">
        <f>IF(AND(ISNUMBER(C1321),ISNUMBER(D1321),C1321&lt;&gt;0),(C1321-D1321)/C1321,"待補")</f>
        <v>0.11153515555646605</v>
      </c>
      <c r="G1321" s="4" t="s">
        <v>254</v>
      </c>
      <c r="H1321" s="4" t="s">
        <v>48</v>
      </c>
    </row>
    <row r="1322" spans="1:8" ht="34" customHeight="1">
      <c r="A1322" s="2" t="s">
        <v>250</v>
      </c>
      <c r="B1322" s="2"/>
      <c r="C1322" s="2"/>
      <c r="D1322" s="2"/>
      <c r="E1322" s="2"/>
      <c r="F1322" s="2"/>
      <c r="G1322" s="2"/>
      <c r="H1322" s="2"/>
    </row>
    <row r="1325" spans="1:8" ht="28" customHeight="1">
      <c r="A1325" s="3" t="s">
        <v>255</v>
      </c>
      <c r="B1325" s="3"/>
      <c r="C1325" s="3"/>
      <c r="D1325" s="3"/>
      <c r="E1325" s="3"/>
      <c r="F1325" s="3"/>
      <c r="G1325" s="3"/>
      <c r="H1325" s="3"/>
    </row>
    <row r="1326" spans="1:8" ht="40" customHeight="1">
      <c r="A1326" s="2" t="s">
        <v>256</v>
      </c>
      <c r="B1326" s="2"/>
      <c r="C1326" s="2"/>
      <c r="D1326" s="2"/>
      <c r="E1326" s="2"/>
      <c r="F1326" s="2"/>
      <c r="G1326" s="2"/>
      <c r="H1326" s="2"/>
    </row>
    <row r="1327" spans="1:8" ht="40" customHeight="1">
      <c r="A1327" s="2" t="s">
        <v>242</v>
      </c>
      <c r="B1327" s="2"/>
      <c r="C1327" s="2"/>
      <c r="D1327" s="2"/>
      <c r="E1327" s="2"/>
      <c r="F1327" s="2"/>
      <c r="G1327" s="2"/>
      <c r="H1327" s="2"/>
    </row>
    <row r="1328" spans="1:8">
      <c r="A1328" s="3" t="s">
        <v>6</v>
      </c>
      <c r="B1328" s="3" t="s">
        <v>7</v>
      </c>
      <c r="C1328" s="3" t="s">
        <v>8</v>
      </c>
      <c r="D1328" s="3" t="s">
        <v>9</v>
      </c>
      <c r="E1328" s="3" t="s">
        <v>10</v>
      </c>
      <c r="F1328" s="3" t="s">
        <v>11</v>
      </c>
      <c r="G1328" s="3" t="s">
        <v>12</v>
      </c>
      <c r="H1328" s="3" t="s">
        <v>13</v>
      </c>
    </row>
    <row r="1329" spans="1:8" ht="34" customHeight="1">
      <c r="A1329" s="4" t="s">
        <v>14</v>
      </c>
      <c r="B1329" s="4" t="s">
        <v>15</v>
      </c>
      <c r="C1329" s="6">
        <v>100</v>
      </c>
      <c r="D1329" s="6">
        <v>100</v>
      </c>
      <c r="E1329" s="7">
        <f>IF(AND(ISNUMBER(C1329),ISNUMBER(D1329)),(D1329-C1329),"待補")</f>
        <v>0</v>
      </c>
      <c r="F1329" s="8" t="s">
        <v>16</v>
      </c>
      <c r="G1329" s="4" t="s">
        <v>243</v>
      </c>
      <c r="H1329" s="4"/>
    </row>
    <row r="1330" spans="1:8" ht="34" customHeight="1">
      <c r="A1330" s="4" t="s">
        <v>18</v>
      </c>
      <c r="B1330" s="4" t="s">
        <v>15</v>
      </c>
      <c r="C1330" s="6">
        <v>100</v>
      </c>
      <c r="D1330" s="6">
        <v>100</v>
      </c>
      <c r="E1330" s="7">
        <f>IF(AND(ISNUMBER(C1330),ISNUMBER(D1330)),(D1330-C1330),"待補")</f>
        <v>0</v>
      </c>
      <c r="F1330" s="8" t="s">
        <v>16</v>
      </c>
      <c r="G1330" s="4" t="s">
        <v>243</v>
      </c>
      <c r="H1330" s="4"/>
    </row>
    <row r="1331" spans="1:8" ht="34" customHeight="1">
      <c r="A1331" s="4" t="s">
        <v>19</v>
      </c>
      <c r="B1331" s="4" t="s">
        <v>20</v>
      </c>
      <c r="C1331" s="9">
        <v>1</v>
      </c>
      <c r="D1331" s="9">
        <v>1</v>
      </c>
      <c r="E1331" s="10">
        <f>IF(AND(ISNUMBER(C1331),ISNUMBER(D1331)),(D1331-C1331)*100,"待補")</f>
        <v>0.0</v>
      </c>
      <c r="F1331" s="8" t="s">
        <v>16</v>
      </c>
      <c r="G1331" s="4" t="s">
        <v>243</v>
      </c>
      <c r="H1331" s="4" t="s">
        <v>21</v>
      </c>
    </row>
    <row r="1332" spans="1:8" ht="34" customHeight="1">
      <c r="A1332" s="4" t="s">
        <v>22</v>
      </c>
      <c r="B1332" s="4" t="s">
        <v>15</v>
      </c>
      <c r="C1332" s="6">
        <v>100</v>
      </c>
      <c r="D1332" s="6">
        <v>100</v>
      </c>
      <c r="E1332" s="7">
        <f>IF(AND(ISNUMBER(C1332),ISNUMBER(D1332)),(D1332-C1332),"待補")</f>
        <v>0</v>
      </c>
      <c r="F1332" s="8" t="s">
        <v>16</v>
      </c>
      <c r="G1332" s="4" t="s">
        <v>243</v>
      </c>
      <c r="H1332" s="4"/>
    </row>
    <row r="1333" spans="1:8" ht="34" customHeight="1">
      <c r="A1333" s="4" t="s">
        <v>23</v>
      </c>
      <c r="B1333" s="4" t="s">
        <v>15</v>
      </c>
      <c r="C1333" s="6">
        <v>0</v>
      </c>
      <c r="D1333" s="6">
        <v>0</v>
      </c>
      <c r="E1333" s="7">
        <f>IF(AND(ISNUMBER(C1333),ISNUMBER(D1333)),(D1333-C1333),"待補")</f>
        <v>0</v>
      </c>
      <c r="F1333" s="8" t="s">
        <v>16</v>
      </c>
      <c r="G1333" s="4" t="s">
        <v>243</v>
      </c>
      <c r="H1333" s="4"/>
    </row>
    <row r="1334" spans="1:8" ht="34" customHeight="1">
      <c r="A1334" s="4" t="s">
        <v>24</v>
      </c>
      <c r="B1334" s="4" t="s">
        <v>25</v>
      </c>
      <c r="C1334" s="7">
        <v>5.376450884068796</v>
      </c>
      <c r="D1334" s="7">
        <v>4.901756139380368</v>
      </c>
      <c r="E1334" s="7">
        <f>IF(AND(ISNUMBER(C1334),ISNUMBER(D1334)),(D1334-C1334),"待補")</f>
        <v>-0.47469474468842776</v>
      </c>
      <c r="F1334" s="9">
        <f>IF(AND(ISNUMBER(C1334),ISNUMBER(D1334),C1334&lt;&gt;0),(C1334-D1334)/C1334,"待補")</f>
        <v>0.0882914686517489</v>
      </c>
      <c r="G1334" s="4" t="s">
        <v>244</v>
      </c>
      <c r="H1334" s="4" t="s">
        <v>27</v>
      </c>
    </row>
    <row r="1335" spans="1:8" ht="34" customHeight="1">
      <c r="A1335" s="4" t="s">
        <v>28</v>
      </c>
      <c r="B1335" s="4" t="s">
        <v>25</v>
      </c>
      <c r="C1335" s="7">
        <v>4.550361249079147</v>
      </c>
      <c r="D1335" s="7">
        <v>4.114943314471009</v>
      </c>
      <c r="E1335" s="7">
        <f>IF(AND(ISNUMBER(C1335),ISNUMBER(D1335)),(D1335-C1335),"待補")</f>
        <v>-0.4354179346081377</v>
      </c>
      <c r="F1335" s="9">
        <f>IF(AND(ISNUMBER(C1335),ISNUMBER(D1335),C1335&lt;&gt;0),(C1335-D1335)/C1335,"待補")</f>
        <v>0.09568865212542255</v>
      </c>
      <c r="G1335" s="4" t="s">
        <v>244</v>
      </c>
      <c r="H1335" s="4" t="s">
        <v>27</v>
      </c>
    </row>
    <row r="1336" spans="1:8" ht="34" customHeight="1">
      <c r="A1336" s="4" t="s">
        <v>29</v>
      </c>
      <c r="B1336" s="4" t="s">
        <v>25</v>
      </c>
      <c r="C1336" s="7">
        <v>5.376450884068796</v>
      </c>
      <c r="D1336" s="7">
        <v>4.901756139380368</v>
      </c>
      <c r="E1336" s="7">
        <f>IF(AND(ISNUMBER(C1336),ISNUMBER(D1336)),(D1336-C1336),"待補")</f>
        <v>-0.47469474468842776</v>
      </c>
      <c r="F1336" s="8" t="s">
        <v>16</v>
      </c>
      <c r="G1336" s="4" t="s">
        <v>245</v>
      </c>
      <c r="H1336" s="4" t="s">
        <v>31</v>
      </c>
    </row>
    <row r="1337" spans="1:8" ht="34" customHeight="1">
      <c r="A1337" s="4" t="s">
        <v>32</v>
      </c>
      <c r="B1337" s="4" t="s">
        <v>33</v>
      </c>
      <c r="C1337" s="7">
        <v>0.2980301282533968</v>
      </c>
      <c r="D1337" s="7">
        <v>0.2756560181035777</v>
      </c>
      <c r="E1337" s="7">
        <f>IF(AND(ISNUMBER(C1337),ISNUMBER(D1337)),(D1337-C1337),"待補")</f>
        <v>-0.022374110149819104</v>
      </c>
      <c r="F1337" s="8" t="s">
        <v>16</v>
      </c>
      <c r="G1337" s="4" t="s">
        <v>243</v>
      </c>
      <c r="H1337" s="4"/>
    </row>
    <row r="1338" spans="1:8" ht="34" customHeight="1">
      <c r="A1338" s="4" t="s">
        <v>34</v>
      </c>
      <c r="B1338" s="4" t="s">
        <v>25</v>
      </c>
      <c r="C1338" s="7">
        <v>4.98480600070703</v>
      </c>
      <c r="D1338" s="7">
        <v>4.498764577469081</v>
      </c>
      <c r="E1338" s="7">
        <f>IF(AND(ISNUMBER(C1338),ISNUMBER(D1338)),(D1338-C1338),"待補")</f>
        <v>-0.48604142323794886</v>
      </c>
      <c r="F1338" s="8" t="s">
        <v>16</v>
      </c>
      <c r="G1338" s="4" t="s">
        <v>243</v>
      </c>
      <c r="H1338" s="4"/>
    </row>
    <row r="1339" spans="1:8" ht="34" customHeight="1">
      <c r="A1339" s="4" t="s">
        <v>35</v>
      </c>
      <c r="B1339" s="4" t="s">
        <v>36</v>
      </c>
      <c r="C1339" s="7">
        <v>2.98112216</v>
      </c>
      <c r="D1339" s="7">
        <v>4.2305661</v>
      </c>
      <c r="E1339" s="7">
        <f>IF(AND(ISNUMBER(C1339),ISNUMBER(D1339)),(D1339-C1339),"待補")</f>
        <v>1.24944394</v>
      </c>
      <c r="F1339" s="9">
        <f>IF(AND(ISNUMBER(C1339),ISNUMBER(D1339),C1339&lt;&gt;0),(C1339-D1339)/C1339,"待補")</f>
        <v>-0.4191186650331699</v>
      </c>
      <c r="G1339" s="4" t="s">
        <v>243</v>
      </c>
      <c r="H1339" s="4" t="s">
        <v>37</v>
      </c>
    </row>
    <row r="1340" spans="1:8" ht="34" customHeight="1">
      <c r="A1340" s="4" t="s">
        <v>246</v>
      </c>
      <c r="B1340" s="4" t="s">
        <v>76</v>
      </c>
      <c r="C1340" s="7">
        <v>1</v>
      </c>
      <c r="D1340" s="7">
        <v>1</v>
      </c>
      <c r="E1340" s="7">
        <f>IF(AND(ISNUMBER(C1340),ISNUMBER(D1340)),(D1340-C1340),"待補")</f>
        <v>0.0</v>
      </c>
      <c r="F1340" s="8" t="s">
        <v>16</v>
      </c>
      <c r="G1340" s="4" t="s">
        <v>243</v>
      </c>
      <c r="H1340" s="4"/>
    </row>
    <row r="1341" spans="1:8" ht="34" customHeight="1">
      <c r="A1341" s="4" t="s">
        <v>247</v>
      </c>
      <c r="B1341" s="4" t="s">
        <v>76</v>
      </c>
      <c r="C1341" s="7">
        <v>0</v>
      </c>
      <c r="D1341" s="7">
        <v>0</v>
      </c>
      <c r="E1341" s="7">
        <f>IF(AND(ISNUMBER(C1341),ISNUMBER(D1341)),(D1341-C1341),"待補")</f>
        <v>0.0</v>
      </c>
      <c r="F1341" s="8" t="s">
        <v>16</v>
      </c>
      <c r="G1341" s="4" t="s">
        <v>243</v>
      </c>
      <c r="H1341" s="4"/>
    </row>
    <row r="1342" spans="1:8" ht="34" customHeight="1">
      <c r="A1342" s="4" t="s">
        <v>248</v>
      </c>
      <c r="B1342" s="4" t="s">
        <v>36</v>
      </c>
      <c r="C1342" s="7">
        <v>3.705E-05</v>
      </c>
      <c r="D1342" s="7">
        <v>3.564E-05</v>
      </c>
      <c r="E1342" s="7">
        <f>IF(AND(ISNUMBER(C1342),ISNUMBER(D1342)),(D1342-C1342),"待補")</f>
        <v>-1.409999999999995e-06</v>
      </c>
      <c r="F1342" s="8" t="s">
        <v>16</v>
      </c>
      <c r="G1342" s="4" t="s">
        <v>243</v>
      </c>
      <c r="H1342" s="4"/>
    </row>
    <row r="1343" spans="1:8">
      <c r="A1343" s="4" t="s">
        <v>42</v>
      </c>
      <c r="B1343" s="4" t="s">
        <v>15</v>
      </c>
      <c r="D1343" s="6">
        <v>0</v>
      </c>
      <c r="H1343" s="4" t="s">
        <v>43</v>
      </c>
    </row>
    <row r="1344" spans="1:8">
      <c r="A1344" s="4" t="s">
        <v>44</v>
      </c>
      <c r="B1344" s="4" t="s">
        <v>15</v>
      </c>
      <c r="D1344" s="6">
        <v>0</v>
      </c>
      <c r="H1344" s="4" t="s">
        <v>43</v>
      </c>
    </row>
    <row r="1345" spans="1:8">
      <c r="A1345" s="4" t="s">
        <v>45</v>
      </c>
      <c r="B1345" s="4" t="s">
        <v>15</v>
      </c>
      <c r="D1345" s="6">
        <v>100</v>
      </c>
      <c r="H1345" s="4" t="s">
        <v>43</v>
      </c>
    </row>
    <row r="1346" spans="1:8">
      <c r="A1346" s="4" t="s">
        <v>46</v>
      </c>
      <c r="B1346" s="4" t="s">
        <v>25</v>
      </c>
      <c r="C1346" s="7">
        <v>5.376450884068796</v>
      </c>
      <c r="D1346" s="7">
        <v>4.901756139380368</v>
      </c>
      <c r="E1346" s="7">
        <f>IF(AND(ISNUMBER(C1346),ISNUMBER(D1346)),D1346-C1346,"待補")</f>
        <v>-0.47469474468842743</v>
      </c>
      <c r="F1346" s="9">
        <f>IF(AND(ISNUMBER(C1346),ISNUMBER(D1346),C1346&lt;&gt;0),(C1346-D1346)/C1346,"待補")</f>
        <v>0.08829146865174883</v>
      </c>
      <c r="G1346" s="4" t="s">
        <v>249</v>
      </c>
      <c r="H1346" s="4" t="s">
        <v>48</v>
      </c>
    </row>
    <row r="1347" spans="1:8" ht="34" customHeight="1">
      <c r="A1347" s="2" t="s">
        <v>250</v>
      </c>
      <c r="B1347" s="2"/>
      <c r="C1347" s="2"/>
      <c r="D1347" s="2"/>
      <c r="E1347" s="2"/>
      <c r="F1347" s="2"/>
      <c r="G1347" s="2"/>
      <c r="H1347" s="2"/>
    </row>
    <row r="1350" spans="1:8" ht="28" customHeight="1">
      <c r="A1350" s="3" t="s">
        <v>257</v>
      </c>
      <c r="B1350" s="3"/>
      <c r="C1350" s="3"/>
      <c r="D1350" s="3"/>
      <c r="E1350" s="3"/>
      <c r="F1350" s="3"/>
      <c r="G1350" s="3"/>
      <c r="H1350" s="3"/>
    </row>
    <row r="1351" spans="1:8" ht="40" customHeight="1">
      <c r="A1351" s="2" t="s">
        <v>258</v>
      </c>
      <c r="B1351" s="2"/>
      <c r="C1351" s="2"/>
      <c r="D1351" s="2"/>
      <c r="E1351" s="2"/>
      <c r="F1351" s="2"/>
      <c r="G1351" s="2"/>
      <c r="H1351" s="2"/>
    </row>
    <row r="1352" spans="1:8" ht="40" customHeight="1">
      <c r="A1352" s="2" t="s">
        <v>242</v>
      </c>
      <c r="B1352" s="2"/>
      <c r="C1352" s="2"/>
      <c r="D1352" s="2"/>
      <c r="E1352" s="2"/>
      <c r="F1352" s="2"/>
      <c r="G1352" s="2"/>
      <c r="H1352" s="2"/>
    </row>
    <row r="1353" spans="1:8">
      <c r="A1353" s="3" t="s">
        <v>6</v>
      </c>
      <c r="B1353" s="3" t="s">
        <v>7</v>
      </c>
      <c r="C1353" s="3" t="s">
        <v>8</v>
      </c>
      <c r="D1353" s="3" t="s">
        <v>9</v>
      </c>
      <c r="E1353" s="3" t="s">
        <v>10</v>
      </c>
      <c r="F1353" s="3" t="s">
        <v>11</v>
      </c>
      <c r="G1353" s="3" t="s">
        <v>12</v>
      </c>
      <c r="H1353" s="3" t="s">
        <v>13</v>
      </c>
    </row>
    <row r="1354" spans="1:8" ht="34" customHeight="1">
      <c r="A1354" s="4" t="s">
        <v>14</v>
      </c>
      <c r="B1354" s="4" t="s">
        <v>15</v>
      </c>
      <c r="C1354" s="6">
        <v>100</v>
      </c>
      <c r="D1354" s="6">
        <v>100</v>
      </c>
      <c r="E1354" s="7">
        <f>IF(AND(ISNUMBER(C1354),ISNUMBER(D1354)),(D1354-C1354),"待補")</f>
        <v>0</v>
      </c>
      <c r="F1354" s="8" t="s">
        <v>16</v>
      </c>
      <c r="G1354" s="4" t="s">
        <v>243</v>
      </c>
      <c r="H1354" s="4"/>
    </row>
    <row r="1355" spans="1:8" ht="34" customHeight="1">
      <c r="A1355" s="4" t="s">
        <v>18</v>
      </c>
      <c r="B1355" s="4" t="s">
        <v>15</v>
      </c>
      <c r="C1355" s="6">
        <v>76</v>
      </c>
      <c r="D1355" s="6">
        <v>95</v>
      </c>
      <c r="E1355" s="7">
        <f>IF(AND(ISNUMBER(C1355),ISNUMBER(D1355)),(D1355-C1355),"待補")</f>
        <v>19</v>
      </c>
      <c r="F1355" s="8" t="s">
        <v>16</v>
      </c>
      <c r="G1355" s="4" t="s">
        <v>243</v>
      </c>
      <c r="H1355" s="4"/>
    </row>
    <row r="1356" spans="1:8" ht="34" customHeight="1">
      <c r="A1356" s="4" t="s">
        <v>19</v>
      </c>
      <c r="B1356" s="4" t="s">
        <v>20</v>
      </c>
      <c r="C1356" s="9">
        <v>0.76</v>
      </c>
      <c r="D1356" s="9">
        <v>0.95</v>
      </c>
      <c r="E1356" s="10">
        <f>IF(AND(ISNUMBER(C1356),ISNUMBER(D1356)),(D1356-C1356)*100,"待補")</f>
        <v>18.999999999999993</v>
      </c>
      <c r="F1356" s="8" t="s">
        <v>16</v>
      </c>
      <c r="G1356" s="4" t="s">
        <v>243</v>
      </c>
      <c r="H1356" s="4" t="s">
        <v>21</v>
      </c>
    </row>
    <row r="1357" spans="1:8" ht="34" customHeight="1">
      <c r="A1357" s="4" t="s">
        <v>22</v>
      </c>
      <c r="B1357" s="4" t="s">
        <v>15</v>
      </c>
      <c r="C1357" s="6">
        <v>83</v>
      </c>
      <c r="D1357" s="6">
        <v>99</v>
      </c>
      <c r="E1357" s="7">
        <f>IF(AND(ISNUMBER(C1357),ISNUMBER(D1357)),(D1357-C1357),"待補")</f>
        <v>16</v>
      </c>
      <c r="F1357" s="8" t="s">
        <v>16</v>
      </c>
      <c r="G1357" s="4" t="s">
        <v>243</v>
      </c>
      <c r="H1357" s="4"/>
    </row>
    <row r="1358" spans="1:8" ht="34" customHeight="1">
      <c r="A1358" s="4" t="s">
        <v>23</v>
      </c>
      <c r="B1358" s="4" t="s">
        <v>15</v>
      </c>
      <c r="C1358" s="6">
        <v>17</v>
      </c>
      <c r="D1358" s="6">
        <v>1</v>
      </c>
      <c r="E1358" s="7">
        <f>IF(AND(ISNUMBER(C1358),ISNUMBER(D1358)),(D1358-C1358),"待補")</f>
        <v>-16</v>
      </c>
      <c r="F1358" s="8" t="s">
        <v>16</v>
      </c>
      <c r="G1358" s="4" t="s">
        <v>243</v>
      </c>
      <c r="H1358" s="4"/>
    </row>
    <row r="1359" spans="1:8" ht="34" customHeight="1">
      <c r="A1359" s="4" t="s">
        <v>24</v>
      </c>
      <c r="B1359" s="4" t="s">
        <v>25</v>
      </c>
      <c r="C1359" s="7">
        <v>123.234678935483</v>
      </c>
      <c r="D1359" s="7">
        <v>109.3731971735449</v>
      </c>
      <c r="E1359" s="7">
        <f>IF(AND(ISNUMBER(C1359),ISNUMBER(D1359)),(D1359-C1359),"待補")</f>
        <v>-13.861481761938151</v>
      </c>
      <c r="F1359" s="8" t="s">
        <v>16</v>
      </c>
      <c r="G1359" s="4" t="s">
        <v>259</v>
      </c>
      <c r="H1359" s="4" t="s">
        <v>27</v>
      </c>
    </row>
    <row r="1360" spans="1:8" ht="34" customHeight="1">
      <c r="A1360" s="4" t="s">
        <v>28</v>
      </c>
      <c r="B1360" s="4" t="s">
        <v>25</v>
      </c>
      <c r="C1360" s="7">
        <v>6.105125513536024</v>
      </c>
      <c r="D1360" s="7">
        <v>6.439684104124338</v>
      </c>
      <c r="E1360" s="7">
        <f>IF(AND(ISNUMBER(C1360),ISNUMBER(D1360)),(D1360-C1360),"待補")</f>
        <v>0.3345585905883146</v>
      </c>
      <c r="F1360" s="8" t="s">
        <v>16</v>
      </c>
      <c r="G1360" s="4" t="s">
        <v>259</v>
      </c>
      <c r="H1360" s="4" t="s">
        <v>27</v>
      </c>
    </row>
    <row r="1361" spans="1:8" ht="34" customHeight="1">
      <c r="A1361" s="4" t="s">
        <v>29</v>
      </c>
      <c r="B1361" s="4" t="s">
        <v>25</v>
      </c>
      <c r="C1361" s="7">
        <v>8.705992042863683</v>
      </c>
      <c r="D1361" s="7">
        <v>9.202391300483031</v>
      </c>
      <c r="E1361" s="7">
        <f>IF(AND(ISNUMBER(C1361),ISNUMBER(D1361)),(D1361-C1361),"待補")</f>
        <v>0.49639925761934833</v>
      </c>
      <c r="F1361" s="8" t="s">
        <v>16</v>
      </c>
      <c r="G1361" s="4" t="s">
        <v>260</v>
      </c>
      <c r="H1361" s="4" t="s">
        <v>31</v>
      </c>
    </row>
    <row r="1362" spans="1:8" ht="34" customHeight="1">
      <c r="A1362" s="4" t="s">
        <v>32</v>
      </c>
      <c r="B1362" s="4" t="s">
        <v>33</v>
      </c>
      <c r="C1362" s="7">
        <v>2.638986240708182</v>
      </c>
      <c r="D1362" s="7">
        <v>4.011495700327153</v>
      </c>
      <c r="E1362" s="7">
        <f>IF(AND(ISNUMBER(C1362),ISNUMBER(D1362)),(D1362-C1362),"待補")</f>
        <v>1.3725094596189709</v>
      </c>
      <c r="F1362" s="8" t="s">
        <v>16</v>
      </c>
      <c r="G1362" s="4" t="s">
        <v>243</v>
      </c>
      <c r="H1362" s="4"/>
    </row>
    <row r="1363" spans="1:8" ht="34" customHeight="1">
      <c r="A1363" s="4" t="s">
        <v>34</v>
      </c>
      <c r="B1363" s="4" t="s">
        <v>25</v>
      </c>
      <c r="C1363" s="7">
        <v>123.9392307270632</v>
      </c>
      <c r="D1363" s="7">
        <v>110.7161576827211</v>
      </c>
      <c r="E1363" s="7">
        <f>IF(AND(ISNUMBER(C1363),ISNUMBER(D1363)),(D1363-C1363),"待補")</f>
        <v>-13.223073044342073</v>
      </c>
      <c r="F1363" s="8" t="s">
        <v>16</v>
      </c>
      <c r="G1363" s="4" t="s">
        <v>243</v>
      </c>
      <c r="H1363" s="4"/>
    </row>
    <row r="1364" spans="1:8" ht="34" customHeight="1">
      <c r="A1364" s="4" t="s">
        <v>35</v>
      </c>
      <c r="B1364" s="4" t="s">
        <v>36</v>
      </c>
      <c r="C1364" s="7">
        <v>3.62236579</v>
      </c>
      <c r="D1364" s="7">
        <v>6.28245099</v>
      </c>
      <c r="E1364" s="7">
        <f>IF(AND(ISNUMBER(C1364),ISNUMBER(D1364)),(D1364-C1364),"待補")</f>
        <v>2.6600852</v>
      </c>
      <c r="F1364" s="9">
        <f>IF(AND(ISNUMBER(C1364),ISNUMBER(D1364),C1364&lt;&gt;0),(C1364-D1364)/C1364,"待補")</f>
        <v>-0.734350243518615</v>
      </c>
      <c r="G1364" s="4" t="s">
        <v>243</v>
      </c>
      <c r="H1364" s="4" t="s">
        <v>37</v>
      </c>
    </row>
    <row r="1365" spans="1:8" ht="34" customHeight="1">
      <c r="A1365" s="4" t="s">
        <v>246</v>
      </c>
      <c r="B1365" s="4" t="s">
        <v>76</v>
      </c>
      <c r="C1365" s="7">
        <v>0.83</v>
      </c>
      <c r="D1365" s="7">
        <v>0.99</v>
      </c>
      <c r="E1365" s="7">
        <f>IF(AND(ISNUMBER(C1365),ISNUMBER(D1365)),(D1365-C1365),"待補")</f>
        <v>0.16000000000000003</v>
      </c>
      <c r="F1365" s="8" t="s">
        <v>16</v>
      </c>
      <c r="G1365" s="4" t="s">
        <v>243</v>
      </c>
      <c r="H1365" s="4"/>
    </row>
    <row r="1366" spans="1:8" ht="34" customHeight="1">
      <c r="A1366" s="4" t="s">
        <v>247</v>
      </c>
      <c r="B1366" s="4" t="s">
        <v>76</v>
      </c>
      <c r="C1366" s="7">
        <v>0</v>
      </c>
      <c r="D1366" s="7">
        <v>0</v>
      </c>
      <c r="E1366" s="7">
        <f>IF(AND(ISNUMBER(C1366),ISNUMBER(D1366)),(D1366-C1366),"待補")</f>
        <v>0.0</v>
      </c>
      <c r="F1366" s="8" t="s">
        <v>16</v>
      </c>
      <c r="G1366" s="4" t="s">
        <v>243</v>
      </c>
      <c r="H1366" s="4"/>
    </row>
    <row r="1367" spans="1:8" ht="34" customHeight="1">
      <c r="A1367" s="4" t="s">
        <v>248</v>
      </c>
      <c r="B1367" s="4" t="s">
        <v>36</v>
      </c>
      <c r="C1367" s="7">
        <v>4.067E-05</v>
      </c>
      <c r="D1367" s="7">
        <v>3.964E-05</v>
      </c>
      <c r="E1367" s="7">
        <f>IF(AND(ISNUMBER(C1367),ISNUMBER(D1367)),(D1367-C1367),"待補")</f>
        <v>-1.030000000000002e-06</v>
      </c>
      <c r="F1367" s="8" t="s">
        <v>16</v>
      </c>
      <c r="G1367" s="4" t="s">
        <v>243</v>
      </c>
      <c r="H1367" s="4"/>
    </row>
    <row r="1368" spans="1:8">
      <c r="A1368" s="4" t="s">
        <v>42</v>
      </c>
      <c r="B1368" s="4" t="s">
        <v>15</v>
      </c>
      <c r="D1368" s="6">
        <v>20</v>
      </c>
      <c r="H1368" s="4" t="s">
        <v>43</v>
      </c>
    </row>
    <row r="1369" spans="1:8">
      <c r="A1369" s="4" t="s">
        <v>44</v>
      </c>
      <c r="B1369" s="4" t="s">
        <v>15</v>
      </c>
      <c r="D1369" s="6">
        <v>1</v>
      </c>
      <c r="H1369" s="4" t="s">
        <v>43</v>
      </c>
    </row>
    <row r="1370" spans="1:8">
      <c r="A1370" s="4" t="s">
        <v>45</v>
      </c>
      <c r="B1370" s="4" t="s">
        <v>15</v>
      </c>
      <c r="D1370" s="6">
        <v>75</v>
      </c>
      <c r="H1370" s="4" t="s">
        <v>43</v>
      </c>
    </row>
    <row r="1371" spans="1:8">
      <c r="A1371" s="4" t="s">
        <v>46</v>
      </c>
      <c r="B1371" s="4" t="s">
        <v>25</v>
      </c>
      <c r="C1371" s="7">
        <v>8.507945111994019</v>
      </c>
      <c r="D1371" s="7">
        <v>7.633096138157229</v>
      </c>
      <c r="E1371" s="7">
        <f>IF(AND(ISNUMBER(C1371),ISNUMBER(D1371)),D1371-C1371,"待補")</f>
        <v>-0.8748489738367906</v>
      </c>
      <c r="F1371" s="9">
        <f>IF(AND(ISNUMBER(C1371),ISNUMBER(D1371),C1371&lt;&gt;0),(C1371-D1371)/C1371,"待補")</f>
        <v>0.10282729405523293</v>
      </c>
      <c r="G1371" s="4" t="s">
        <v>261</v>
      </c>
      <c r="H1371" s="4" t="s">
        <v>48</v>
      </c>
    </row>
    <row r="1372" spans="1:8" ht="34" customHeight="1">
      <c r="A1372" s="2" t="s">
        <v>250</v>
      </c>
      <c r="B1372" s="2"/>
      <c r="C1372" s="2"/>
      <c r="D1372" s="2"/>
      <c r="E1372" s="2"/>
      <c r="F1372" s="2"/>
      <c r="G1372" s="2"/>
      <c r="H1372" s="2"/>
    </row>
    <row r="1375" spans="1:8" ht="28" customHeight="1">
      <c r="A1375" s="3" t="s">
        <v>262</v>
      </c>
      <c r="B1375" s="3"/>
      <c r="C1375" s="3"/>
      <c r="D1375" s="3"/>
      <c r="E1375" s="3"/>
      <c r="F1375" s="3"/>
      <c r="G1375" s="3"/>
      <c r="H1375" s="3"/>
    </row>
    <row r="1376" spans="1:8" ht="40" customHeight="1">
      <c r="A1376" s="2" t="s">
        <v>263</v>
      </c>
      <c r="B1376" s="2"/>
      <c r="C1376" s="2"/>
      <c r="D1376" s="2"/>
      <c r="E1376" s="2"/>
      <c r="F1376" s="2"/>
      <c r="G1376" s="2"/>
      <c r="H1376" s="2"/>
    </row>
    <row r="1377" spans="1:8" ht="40" customHeight="1">
      <c r="A1377" s="2" t="s">
        <v>242</v>
      </c>
      <c r="B1377" s="2"/>
      <c r="C1377" s="2"/>
      <c r="D1377" s="2"/>
      <c r="E1377" s="2"/>
      <c r="F1377" s="2"/>
      <c r="G1377" s="2"/>
      <c r="H1377" s="2"/>
    </row>
    <row r="1378" spans="1:8">
      <c r="A1378" s="3" t="s">
        <v>6</v>
      </c>
      <c r="B1378" s="3" t="s">
        <v>7</v>
      </c>
      <c r="C1378" s="3" t="s">
        <v>8</v>
      </c>
      <c r="D1378" s="3" t="s">
        <v>9</v>
      </c>
      <c r="E1378" s="3" t="s">
        <v>10</v>
      </c>
      <c r="F1378" s="3" t="s">
        <v>11</v>
      </c>
      <c r="G1378" s="3" t="s">
        <v>12</v>
      </c>
      <c r="H1378" s="3" t="s">
        <v>13</v>
      </c>
    </row>
    <row r="1379" spans="1:8" ht="34" customHeight="1">
      <c r="A1379" s="4" t="s">
        <v>14</v>
      </c>
      <c r="B1379" s="4" t="s">
        <v>15</v>
      </c>
      <c r="C1379" s="6">
        <v>150</v>
      </c>
      <c r="D1379" s="6">
        <v>150</v>
      </c>
      <c r="E1379" s="7">
        <f>IF(AND(ISNUMBER(C1379),ISNUMBER(D1379)),(D1379-C1379),"待補")</f>
        <v>0</v>
      </c>
      <c r="F1379" s="8" t="s">
        <v>16</v>
      </c>
      <c r="G1379" s="4" t="s">
        <v>17</v>
      </c>
      <c r="H1379" s="4"/>
    </row>
    <row r="1380" spans="1:8" ht="34" customHeight="1">
      <c r="A1380" s="4" t="s">
        <v>18</v>
      </c>
      <c r="B1380" s="4" t="s">
        <v>15</v>
      </c>
      <c r="C1380" s="6">
        <v>114</v>
      </c>
      <c r="D1380" s="6">
        <v>150</v>
      </c>
      <c r="E1380" s="7">
        <f>IF(AND(ISNUMBER(C1380),ISNUMBER(D1380)),(D1380-C1380),"待補")</f>
        <v>36</v>
      </c>
      <c r="F1380" s="8" t="s">
        <v>16</v>
      </c>
      <c r="G1380" s="4" t="s">
        <v>17</v>
      </c>
      <c r="H1380" s="4"/>
    </row>
    <row r="1381" spans="1:8" ht="34" customHeight="1">
      <c r="A1381" s="4" t="s">
        <v>19</v>
      </c>
      <c r="B1381" s="4" t="s">
        <v>20</v>
      </c>
      <c r="C1381" s="9">
        <v>0.76</v>
      </c>
      <c r="D1381" s="9">
        <v>1</v>
      </c>
      <c r="E1381" s="10">
        <f>IF(AND(ISNUMBER(C1381),ISNUMBER(D1381)),(D1381-C1381)*100,"待補")</f>
        <v>24.0</v>
      </c>
      <c r="F1381" s="8" t="s">
        <v>16</v>
      </c>
      <c r="G1381" s="4" t="s">
        <v>17</v>
      </c>
      <c r="H1381" s="4" t="s">
        <v>21</v>
      </c>
    </row>
    <row r="1382" spans="1:8" ht="34" customHeight="1">
      <c r="A1382" s="4" t="s">
        <v>22</v>
      </c>
      <c r="B1382" s="4" t="s">
        <v>15</v>
      </c>
      <c r="C1382" s="6">
        <v>127</v>
      </c>
      <c r="D1382" s="6">
        <v>150</v>
      </c>
      <c r="E1382" s="7">
        <f>IF(AND(ISNUMBER(C1382),ISNUMBER(D1382)),(D1382-C1382),"待補")</f>
        <v>23</v>
      </c>
      <c r="F1382" s="8" t="s">
        <v>16</v>
      </c>
      <c r="G1382" s="4" t="s">
        <v>17</v>
      </c>
      <c r="H1382" s="4"/>
    </row>
    <row r="1383" spans="1:8" ht="34" customHeight="1">
      <c r="A1383" s="4" t="s">
        <v>23</v>
      </c>
      <c r="B1383" s="4" t="s">
        <v>15</v>
      </c>
      <c r="C1383" s="6">
        <v>23</v>
      </c>
      <c r="D1383" s="6">
        <v>0</v>
      </c>
      <c r="E1383" s="7">
        <f>IF(AND(ISNUMBER(C1383),ISNUMBER(D1383)),(D1383-C1383),"待補")</f>
        <v>-23</v>
      </c>
      <c r="F1383" s="8" t="s">
        <v>16</v>
      </c>
      <c r="G1383" s="4" t="s">
        <v>17</v>
      </c>
      <c r="H1383" s="4"/>
    </row>
    <row r="1384" spans="1:8" ht="34" customHeight="1">
      <c r="A1384" s="4" t="s">
        <v>24</v>
      </c>
      <c r="B1384" s="4" t="s">
        <v>25</v>
      </c>
      <c r="C1384" s="7">
        <v>12.62093021050369</v>
      </c>
      <c r="D1384" s="7">
        <v>8.189515239489998</v>
      </c>
      <c r="E1384" s="7">
        <f>IF(AND(ISNUMBER(C1384),ISNUMBER(D1384)),(D1384-C1384),"待補")</f>
        <v>-4.431414971013691</v>
      </c>
      <c r="F1384" s="8" t="s">
        <v>16</v>
      </c>
      <c r="G1384" s="4" t="s">
        <v>264</v>
      </c>
      <c r="H1384" s="4" t="s">
        <v>27</v>
      </c>
    </row>
    <row r="1385" spans="1:8" ht="34" customHeight="1">
      <c r="A1385" s="4" t="s">
        <v>28</v>
      </c>
      <c r="B1385" s="4" t="s">
        <v>25</v>
      </c>
      <c r="C1385" s="7">
        <v>8.065970825919191</v>
      </c>
      <c r="D1385" s="7">
        <v>6.677241664511524</v>
      </c>
      <c r="E1385" s="7">
        <f>IF(AND(ISNUMBER(C1385),ISNUMBER(D1385)),(D1385-C1385),"待補")</f>
        <v>-1.3887291614076673</v>
      </c>
      <c r="F1385" s="8" t="s">
        <v>16</v>
      </c>
      <c r="G1385" s="4" t="s">
        <v>264</v>
      </c>
      <c r="H1385" s="4" t="s">
        <v>27</v>
      </c>
    </row>
    <row r="1386" spans="1:8" ht="34" customHeight="1">
      <c r="A1386" s="4" t="s">
        <v>29</v>
      </c>
      <c r="B1386" s="4" t="s">
        <v>25</v>
      </c>
      <c r="C1386" s="7">
        <v>9.559662507628971</v>
      </c>
      <c r="D1386" s="7">
        <v>8.189515239489998</v>
      </c>
      <c r="E1386" s="7">
        <f>IF(AND(ISNUMBER(C1386),ISNUMBER(D1386)),(D1386-C1386),"待補")</f>
        <v>-1.3701472681389735</v>
      </c>
      <c r="F1386" s="8" t="s">
        <v>16</v>
      </c>
      <c r="G1386" s="4" t="s">
        <v>265</v>
      </c>
      <c r="H1386" s="4" t="s">
        <v>31</v>
      </c>
    </row>
    <row r="1387" spans="1:8" ht="34" customHeight="1">
      <c r="A1387" s="4" t="s">
        <v>32</v>
      </c>
      <c r="B1387" s="4" t="s">
        <v>33</v>
      </c>
      <c r="C1387" s="7">
        <v>0.8363256751914102</v>
      </c>
      <c r="D1387" s="7">
        <v>0.5085177018404022</v>
      </c>
      <c r="E1387" s="7">
        <f>IF(AND(ISNUMBER(C1387),ISNUMBER(D1387)),(D1387-C1387),"待補")</f>
        <v>-0.327807973351008</v>
      </c>
      <c r="F1387" s="8" t="s">
        <v>16</v>
      </c>
      <c r="G1387" s="4" t="s">
        <v>17</v>
      </c>
      <c r="H1387" s="4"/>
    </row>
    <row r="1388" spans="1:8" ht="34" customHeight="1">
      <c r="A1388" s="4" t="s">
        <v>34</v>
      </c>
      <c r="B1388" s="4" t="s">
        <v>25</v>
      </c>
      <c r="C1388" s="7">
        <v>11.09438364593096</v>
      </c>
      <c r="D1388" s="7">
        <v>7.295919161821776</v>
      </c>
      <c r="E1388" s="7">
        <f>IF(AND(ISNUMBER(C1388),ISNUMBER(D1388)),(D1388-C1388),"待補")</f>
        <v>-3.7984644841091884</v>
      </c>
      <c r="F1388" s="8" t="s">
        <v>16</v>
      </c>
      <c r="G1388" s="4" t="s">
        <v>17</v>
      </c>
      <c r="H1388" s="4"/>
    </row>
    <row r="1389" spans="1:8" ht="34" customHeight="1">
      <c r="A1389" s="4" t="s">
        <v>35</v>
      </c>
      <c r="B1389" s="4" t="s">
        <v>36</v>
      </c>
      <c r="C1389" s="7">
        <v>2.329491573333333</v>
      </c>
      <c r="D1389" s="7">
        <v>3.351798066666666</v>
      </c>
      <c r="E1389" s="7">
        <f>IF(AND(ISNUMBER(C1389),ISNUMBER(D1389)),(D1389-C1389),"待補")</f>
        <v>1.0223064933333332</v>
      </c>
      <c r="F1389" s="9">
        <f>IF(AND(ISNUMBER(C1389),ISNUMBER(D1389),C1389&lt;&gt;0),(C1389-D1389)/C1389,"待補")</f>
        <v>-0.43885391346167735</v>
      </c>
      <c r="G1389" s="4" t="s">
        <v>17</v>
      </c>
      <c r="H1389" s="4" t="s">
        <v>37</v>
      </c>
    </row>
    <row r="1390" spans="1:8" ht="34" customHeight="1">
      <c r="A1390" s="4" t="s">
        <v>246</v>
      </c>
      <c r="B1390" s="4" t="s">
        <v>76</v>
      </c>
      <c r="C1390" s="7">
        <v>0.8466666666666667</v>
      </c>
      <c r="D1390" s="7">
        <v>1</v>
      </c>
      <c r="E1390" s="7">
        <f>IF(AND(ISNUMBER(C1390),ISNUMBER(D1390)),(D1390-C1390),"待補")</f>
        <v>0.15333333333333332</v>
      </c>
      <c r="F1390" s="8" t="s">
        <v>16</v>
      </c>
      <c r="G1390" s="4" t="s">
        <v>17</v>
      </c>
      <c r="H1390" s="4"/>
    </row>
    <row r="1391" spans="1:8" ht="34" customHeight="1">
      <c r="A1391" s="4" t="s">
        <v>247</v>
      </c>
      <c r="B1391" s="4" t="s">
        <v>76</v>
      </c>
      <c r="C1391" s="7">
        <v>0</v>
      </c>
      <c r="D1391" s="7">
        <v>0</v>
      </c>
      <c r="E1391" s="7">
        <f>IF(AND(ISNUMBER(C1391),ISNUMBER(D1391)),(D1391-C1391),"待補")</f>
        <v>0.0</v>
      </c>
      <c r="F1391" s="8" t="s">
        <v>16</v>
      </c>
      <c r="G1391" s="4" t="s">
        <v>17</v>
      </c>
      <c r="H1391" s="4"/>
    </row>
    <row r="1392" spans="1:8" ht="34" customHeight="1">
      <c r="A1392" s="4" t="s">
        <v>248</v>
      </c>
      <c r="B1392" s="4" t="s">
        <v>36</v>
      </c>
      <c r="C1392" s="7">
        <v>3.567333333333334E-05</v>
      </c>
      <c r="D1392" s="7">
        <v>3.695333333333334E-05</v>
      </c>
      <c r="E1392" s="7">
        <f>IF(AND(ISNUMBER(C1392),ISNUMBER(D1392)),(D1392-C1392),"待補")</f>
        <v>1.2800000000000013e-06</v>
      </c>
      <c r="F1392" s="8" t="s">
        <v>16</v>
      </c>
      <c r="G1392" s="4" t="s">
        <v>17</v>
      </c>
      <c r="H1392" s="4"/>
    </row>
    <row r="1393" spans="1:8">
      <c r="A1393" s="4" t="s">
        <v>42</v>
      </c>
      <c r="B1393" s="4" t="s">
        <v>15</v>
      </c>
      <c r="D1393" s="6">
        <v>36</v>
      </c>
      <c r="H1393" s="4" t="s">
        <v>43</v>
      </c>
    </row>
    <row r="1394" spans="1:8">
      <c r="A1394" s="4" t="s">
        <v>44</v>
      </c>
      <c r="B1394" s="4" t="s">
        <v>15</v>
      </c>
      <c r="D1394" s="6">
        <v>0</v>
      </c>
      <c r="H1394" s="4" t="s">
        <v>43</v>
      </c>
    </row>
    <row r="1395" spans="1:8">
      <c r="A1395" s="4" t="s">
        <v>45</v>
      </c>
      <c r="B1395" s="4" t="s">
        <v>15</v>
      </c>
      <c r="D1395" s="6">
        <v>114</v>
      </c>
      <c r="H1395" s="4" t="s">
        <v>43</v>
      </c>
    </row>
    <row r="1396" spans="1:8">
      <c r="A1396" s="4" t="s">
        <v>46</v>
      </c>
      <c r="B1396" s="4" t="s">
        <v>25</v>
      </c>
      <c r="C1396" s="7">
        <v>9.559662507628971</v>
      </c>
      <c r="D1396" s="7">
        <v>7.727398005421874</v>
      </c>
      <c r="E1396" s="7">
        <f>IF(AND(ISNUMBER(C1396),ISNUMBER(D1396)),D1396-C1396,"待補")</f>
        <v>-1.832264502207097</v>
      </c>
      <c r="F1396" s="9">
        <f>IF(AND(ISNUMBER(C1396),ISNUMBER(D1396),C1396&lt;&gt;0),(C1396-D1396)/C1396,"待補")</f>
        <v>0.19166623306470082</v>
      </c>
      <c r="G1396" s="4" t="s">
        <v>266</v>
      </c>
      <c r="H1396" s="4" t="s">
        <v>48</v>
      </c>
    </row>
    <row r="1397" spans="1:8" ht="34" customHeight="1">
      <c r="A1397" s="2" t="s">
        <v>250</v>
      </c>
      <c r="B1397" s="2"/>
      <c r="C1397" s="2"/>
      <c r="D1397" s="2"/>
      <c r="E1397" s="2"/>
      <c r="F1397" s="2"/>
      <c r="G1397" s="2"/>
      <c r="H1397" s="2"/>
    </row>
  </sheetData>
  <mergeCells count="227">
    <mergeCell ref="A1:H1"/>
    <mergeCell ref="A2:H2"/>
    <mergeCell ref="A3:H3"/>
    <mergeCell ref="A6:H6"/>
    <mergeCell ref="A7:H7"/>
    <mergeCell ref="A8:H8"/>
    <mergeCell ref="A27:H27"/>
    <mergeCell ref="A30:H30"/>
    <mergeCell ref="A31:H31"/>
    <mergeCell ref="A32:H32"/>
    <mergeCell ref="A52:H52"/>
    <mergeCell ref="A55:H55"/>
    <mergeCell ref="A56:H56"/>
    <mergeCell ref="A57:H57"/>
    <mergeCell ref="A77:H77"/>
    <mergeCell ref="A80:H80"/>
    <mergeCell ref="A81:H81"/>
    <mergeCell ref="A82:H82"/>
    <mergeCell ref="A102:H102"/>
    <mergeCell ref="A105:H105"/>
    <mergeCell ref="A106:H106"/>
    <mergeCell ref="A107:H107"/>
    <mergeCell ref="A129:H129"/>
    <mergeCell ref="A132:H132"/>
    <mergeCell ref="A133:H133"/>
    <mergeCell ref="A134:H134"/>
    <mergeCell ref="A156:H156"/>
    <mergeCell ref="A159:H159"/>
    <mergeCell ref="A160:H160"/>
    <mergeCell ref="A161:H161"/>
    <mergeCell ref="A183:H183"/>
    <mergeCell ref="A186:H186"/>
    <mergeCell ref="A187:H187"/>
    <mergeCell ref="A188:H188"/>
    <mergeCell ref="A210:H210"/>
    <mergeCell ref="A213:H213"/>
    <mergeCell ref="A214:H214"/>
    <mergeCell ref="A215:H215"/>
    <mergeCell ref="A237:H237"/>
    <mergeCell ref="A240:H240"/>
    <mergeCell ref="A241:H241"/>
    <mergeCell ref="A242:H242"/>
    <mergeCell ref="A264:H264"/>
    <mergeCell ref="A267:H267"/>
    <mergeCell ref="A268:H268"/>
    <mergeCell ref="A269:H269"/>
    <mergeCell ref="A292:H292"/>
    <mergeCell ref="A295:H295"/>
    <mergeCell ref="A296:H296"/>
    <mergeCell ref="A297:H297"/>
    <mergeCell ref="A316:H316"/>
    <mergeCell ref="A319:H319"/>
    <mergeCell ref="A320:H320"/>
    <mergeCell ref="A321:H321"/>
    <mergeCell ref="A340:H340"/>
    <mergeCell ref="A343:H343"/>
    <mergeCell ref="A344:H344"/>
    <mergeCell ref="A345:H345"/>
    <mergeCell ref="A365:H365"/>
    <mergeCell ref="A368:H368"/>
    <mergeCell ref="A369:H369"/>
    <mergeCell ref="A370:H370"/>
    <mergeCell ref="A390:H390"/>
    <mergeCell ref="A393:H393"/>
    <mergeCell ref="A394:H394"/>
    <mergeCell ref="A395:H395"/>
    <mergeCell ref="A414:H414"/>
    <mergeCell ref="A417:H417"/>
    <mergeCell ref="A418:H418"/>
    <mergeCell ref="A419:H419"/>
    <mergeCell ref="A438:H438"/>
    <mergeCell ref="A441:H441"/>
    <mergeCell ref="A442:H442"/>
    <mergeCell ref="A443:H443"/>
    <mergeCell ref="A463:H463"/>
    <mergeCell ref="A466:H466"/>
    <mergeCell ref="A467:H467"/>
    <mergeCell ref="A468:H468"/>
    <mergeCell ref="A488:H488"/>
    <mergeCell ref="A491:H491"/>
    <mergeCell ref="A492:H492"/>
    <mergeCell ref="A493:H493"/>
    <mergeCell ref="A512:H512"/>
    <mergeCell ref="A515:H515"/>
    <mergeCell ref="A516:H516"/>
    <mergeCell ref="A517:H517"/>
    <mergeCell ref="A537:H537"/>
    <mergeCell ref="A540:H540"/>
    <mergeCell ref="A541:H541"/>
    <mergeCell ref="A542:H542"/>
    <mergeCell ref="A561:H561"/>
    <mergeCell ref="A564:H564"/>
    <mergeCell ref="A565:H565"/>
    <mergeCell ref="A566:H566"/>
    <mergeCell ref="A586:H586"/>
    <mergeCell ref="A589:H589"/>
    <mergeCell ref="A590:H590"/>
    <mergeCell ref="A591:H591"/>
    <mergeCell ref="A610:H610"/>
    <mergeCell ref="A613:H613"/>
    <mergeCell ref="A614:H614"/>
    <mergeCell ref="A615:H615"/>
    <mergeCell ref="A635:H635"/>
    <mergeCell ref="A638:H638"/>
    <mergeCell ref="A639:H639"/>
    <mergeCell ref="A640:H640"/>
    <mergeCell ref="A659:H659"/>
    <mergeCell ref="A662:H662"/>
    <mergeCell ref="A663:H663"/>
    <mergeCell ref="A664:H664"/>
    <mergeCell ref="A684:H684"/>
    <mergeCell ref="A687:H687"/>
    <mergeCell ref="A688:H688"/>
    <mergeCell ref="A689:H689"/>
    <mergeCell ref="A708:H708"/>
    <mergeCell ref="A711:H711"/>
    <mergeCell ref="A712:H712"/>
    <mergeCell ref="A713:H713"/>
    <mergeCell ref="A733:H733"/>
    <mergeCell ref="A736:H736"/>
    <mergeCell ref="A737:H737"/>
    <mergeCell ref="A738:H738"/>
    <mergeCell ref="A757:H757"/>
    <mergeCell ref="A760:H760"/>
    <mergeCell ref="A761:H761"/>
    <mergeCell ref="A762:H762"/>
    <mergeCell ref="A782:H782"/>
    <mergeCell ref="A785:H785"/>
    <mergeCell ref="A786:H786"/>
    <mergeCell ref="A787:H787"/>
    <mergeCell ref="A806:H806"/>
    <mergeCell ref="A809:H809"/>
    <mergeCell ref="A810:H810"/>
    <mergeCell ref="A811:H811"/>
    <mergeCell ref="A831:H831"/>
    <mergeCell ref="A834:H834"/>
    <mergeCell ref="A835:H835"/>
    <mergeCell ref="A836:H836"/>
    <mergeCell ref="A855:H855"/>
    <mergeCell ref="A858:H858"/>
    <mergeCell ref="A859:H859"/>
    <mergeCell ref="A860:H860"/>
    <mergeCell ref="A880:H880"/>
    <mergeCell ref="A883:H883"/>
    <mergeCell ref="A884:H884"/>
    <mergeCell ref="A885:H885"/>
    <mergeCell ref="A904:H904"/>
    <mergeCell ref="A907:H907"/>
    <mergeCell ref="A908:H908"/>
    <mergeCell ref="A909:H909"/>
    <mergeCell ref="A929:H929"/>
    <mergeCell ref="A932:H932"/>
    <mergeCell ref="A933:H933"/>
    <mergeCell ref="A934:H934"/>
    <mergeCell ref="A953:H953"/>
    <mergeCell ref="A956:H956"/>
    <mergeCell ref="A957:H957"/>
    <mergeCell ref="A958:H958"/>
    <mergeCell ref="A978:H978"/>
    <mergeCell ref="A981:H981"/>
    <mergeCell ref="A982:H982"/>
    <mergeCell ref="A983:H983"/>
    <mergeCell ref="A1002:H1002"/>
    <mergeCell ref="A1005:H1005"/>
    <mergeCell ref="A1006:H1006"/>
    <mergeCell ref="A1007:H1007"/>
    <mergeCell ref="A1027:H1027"/>
    <mergeCell ref="A1030:H1030"/>
    <mergeCell ref="A1031:H1031"/>
    <mergeCell ref="A1032:H1032"/>
    <mergeCell ref="A1051:H1051"/>
    <mergeCell ref="A1054:H1054"/>
    <mergeCell ref="A1055:H1055"/>
    <mergeCell ref="A1056:H1056"/>
    <mergeCell ref="A1076:H1076"/>
    <mergeCell ref="A1079:H1079"/>
    <mergeCell ref="A1080:H1080"/>
    <mergeCell ref="A1081:H1081"/>
    <mergeCell ref="A1100:H1100"/>
    <mergeCell ref="A1103:H1103"/>
    <mergeCell ref="A1104:H1104"/>
    <mergeCell ref="A1105:H1105"/>
    <mergeCell ref="A1125:H1125"/>
    <mergeCell ref="A1128:H1128"/>
    <mergeCell ref="A1129:H1129"/>
    <mergeCell ref="A1130:H1130"/>
    <mergeCell ref="A1149:H1149"/>
    <mergeCell ref="A1152:H1152"/>
    <mergeCell ref="A1153:H1153"/>
    <mergeCell ref="A1154:H1154"/>
    <mergeCell ref="A1174:H1174"/>
    <mergeCell ref="A1177:H1177"/>
    <mergeCell ref="A1178:H1178"/>
    <mergeCell ref="A1179:H1179"/>
    <mergeCell ref="A1198:H1198"/>
    <mergeCell ref="A1201:H1201"/>
    <mergeCell ref="A1202:H1202"/>
    <mergeCell ref="A1203:H1203"/>
    <mergeCell ref="A1223:H1223"/>
    <mergeCell ref="A1226:H1226"/>
    <mergeCell ref="A1227:H1227"/>
    <mergeCell ref="A1228:H1228"/>
    <mergeCell ref="A1247:H1247"/>
    <mergeCell ref="A1250:H1250"/>
    <mergeCell ref="A1251:H1251"/>
    <mergeCell ref="A1252:H1252"/>
    <mergeCell ref="A1272:H1272"/>
    <mergeCell ref="A1275:H1275"/>
    <mergeCell ref="A1276:H1276"/>
    <mergeCell ref="A1277:H1277"/>
    <mergeCell ref="A1297:H1297"/>
    <mergeCell ref="A1300:H1300"/>
    <mergeCell ref="A1301:H1301"/>
    <mergeCell ref="A1302:H1302"/>
    <mergeCell ref="A1322:H1322"/>
    <mergeCell ref="A1325:H1325"/>
    <mergeCell ref="A1326:H1326"/>
    <mergeCell ref="A1327:H1327"/>
    <mergeCell ref="A1347:H1347"/>
    <mergeCell ref="A1350:H1350"/>
    <mergeCell ref="A1351:H1351"/>
    <mergeCell ref="A1352:H1352"/>
    <mergeCell ref="A1372:H1372"/>
    <mergeCell ref="A1375:H1375"/>
    <mergeCell ref="A1376:H1376"/>
    <mergeCell ref="A1377:H1377"/>
    <mergeCell ref="A1397:H1397"/>
  </mergeCells>
  <pageMargins left="0.25" right="0.25" top="0.35" bottom="0.35" header="0.3" footer="0.3"/>
  <pageSetup paperSize="8" fitToHeight="0" orientation="landscape"/>
  <headerFooter>
    <oddHeader>&amp;C&amp;12第1次報告：逐項參數與數據</oddHeader>
    <oddFooter>&amp;L缺值不是零；pp為百分點&amp;R&amp;P / &amp;N</oddFooter>
  </headerFooter>
  <rowBreaks count="56" manualBreakCount="56">
    <brk id="5" max="16383" man="1"/>
    <brk id="29" max="16383" man="1"/>
    <brk id="54" max="16383" man="1"/>
    <brk id="79" max="16383" man="1"/>
    <brk id="104" max="16383" man="1"/>
    <brk id="131" max="16383" man="1"/>
    <brk id="158" max="16383" man="1"/>
    <brk id="185" max="16383" man="1"/>
    <brk id="212" max="16383" man="1"/>
    <brk id="239" max="16383" man="1"/>
    <brk id="266" max="16383" man="1"/>
    <brk id="294" max="16383" man="1"/>
    <brk id="318" max="16383" man="1"/>
    <brk id="342" max="16383" man="1"/>
    <brk id="367" max="16383" man="1"/>
    <brk id="392" max="16383" man="1"/>
    <brk id="416" max="16383" man="1"/>
    <brk id="440" max="16383" man="1"/>
    <brk id="465" max="16383" man="1"/>
    <brk id="490" max="16383" man="1"/>
    <brk id="514" max="16383" man="1"/>
    <brk id="539" max="16383" man="1"/>
    <brk id="563" max="16383" man="1"/>
    <brk id="588" max="16383" man="1"/>
    <brk id="612" max="16383" man="1"/>
    <brk id="637" max="16383" man="1"/>
    <brk id="661" max="16383" man="1"/>
    <brk id="686" max="16383" man="1"/>
    <brk id="710" max="16383" man="1"/>
    <brk id="735" max="16383" man="1"/>
    <brk id="759" max="16383" man="1"/>
    <brk id="784" max="16383" man="1"/>
    <brk id="808" max="16383" man="1"/>
    <brk id="833" max="16383" man="1"/>
    <brk id="857" max="16383" man="1"/>
    <brk id="882" max="16383" man="1"/>
    <brk id="906" max="16383" man="1"/>
    <brk id="931" max="16383" man="1"/>
    <brk id="955" max="16383" man="1"/>
    <brk id="980" max="16383" man="1"/>
    <brk id="1004" max="16383" man="1"/>
    <brk id="1029" max="16383" man="1"/>
    <brk id="1053" max="16383" man="1"/>
    <brk id="1078" max="16383" man="1"/>
    <brk id="1102" max="16383" man="1"/>
    <brk id="1127" max="16383" man="1"/>
    <brk id="1151" max="16383" man="1"/>
    <brk id="1176" max="16383" man="1"/>
    <brk id="1200" max="16383" man="1"/>
    <brk id="1225" max="16383" man="1"/>
    <brk id="1249" max="16383" man="1"/>
    <brk id="1274" max="16383" man="1"/>
    <brk id="1299" max="16383" man="1"/>
    <brk id="1324" max="16383" man="1"/>
    <brk id="1349" max="16383" man="1"/>
    <brk id="13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4.7109375" customWidth="1"/>
    <col min="2" max="3" width="18.7109375" customWidth="1"/>
    <col min="4" max="8" width="23.7109375" customWidth="1"/>
    <col min="9" max="10" width="31.7109375" customWidth="1"/>
  </cols>
  <sheetData>
    <row r="1" spans="1:10" ht="36" customHeight="1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</row>
    <row r="2" spans="1:10" ht="46" customHeight="1">
      <c r="A2" s="2" t="s">
        <v>425</v>
      </c>
      <c r="B2" s="2"/>
      <c r="C2" s="2"/>
      <c r="D2" s="2"/>
      <c r="E2" s="2"/>
      <c r="F2" s="2"/>
      <c r="G2" s="2"/>
      <c r="H2" s="2"/>
      <c r="I2" s="2"/>
      <c r="J2" s="2"/>
    </row>
    <row r="3" spans="1:10" ht="4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3" t="s">
        <v>426</v>
      </c>
      <c r="B5" s="3" t="s">
        <v>427</v>
      </c>
      <c r="C5" s="3" t="s">
        <v>428</v>
      </c>
      <c r="D5" s="3" t="s">
        <v>429</v>
      </c>
      <c r="E5" s="3" t="s">
        <v>430</v>
      </c>
      <c r="F5" s="3" t="s">
        <v>431</v>
      </c>
      <c r="G5" s="3" t="s">
        <v>432</v>
      </c>
      <c r="H5" s="3" t="s">
        <v>433</v>
      </c>
      <c r="I5" s="3" t="s">
        <v>434</v>
      </c>
      <c r="J5" s="3" t="s">
        <v>435</v>
      </c>
    </row>
    <row r="6" spans="1:10" ht="52" customHeight="1">
      <c r="A6" s="4" t="s">
        <v>436</v>
      </c>
      <c r="B6" s="9">
        <v>1</v>
      </c>
      <c r="C6" s="9">
        <v>1</v>
      </c>
      <c r="D6" s="9">
        <v>1</v>
      </c>
      <c r="E6" s="10">
        <f>(D6-C6)*100</f>
        <v>0.0</v>
      </c>
      <c r="F6" s="7">
        <v>5.2558</v>
      </c>
      <c r="G6" s="7">
        <v>16.81264811104687</v>
      </c>
      <c r="H6" s="7">
        <v>17.42353110611136</v>
      </c>
      <c r="I6" s="9">
        <f>IF(AND(ISNUMBER(F6),ISNUMBER(H6),F6&lt;&gt;0),(F6-H6)/F6,"待補")</f>
        <v>-2.315105427548872</v>
      </c>
      <c r="J6" s="4" t="s">
        <v>437</v>
      </c>
    </row>
    <row r="7" spans="1:10" ht="52" customHeight="1">
      <c r="A7" s="4" t="s">
        <v>438</v>
      </c>
      <c r="B7" s="9">
        <v>1</v>
      </c>
      <c r="C7" s="9">
        <v>0.33</v>
      </c>
      <c r="D7" s="9">
        <v>0.34</v>
      </c>
      <c r="E7" s="10">
        <f>(D7-C7)*100</f>
        <v>1.0000000000000009</v>
      </c>
      <c r="F7" s="7">
        <v>11.4808</v>
      </c>
      <c r="G7" s="7">
        <v>54.50497163856171</v>
      </c>
      <c r="H7" s="7">
        <v>50.90068114446461</v>
      </c>
      <c r="I7" s="9">
        <f>IF(AND(ISNUMBER(F7),ISNUMBER(H7),F7&lt;&gt;0),(F7-H7)/F7,"待補")</f>
        <v>-3.4335482844805774</v>
      </c>
      <c r="J7" s="4" t="s">
        <v>439</v>
      </c>
    </row>
    <row r="8" spans="1:10" ht="52" customHeight="1">
      <c r="A8" s="4" t="s">
        <v>440</v>
      </c>
      <c r="B8" s="9">
        <v>1</v>
      </c>
      <c r="C8" s="9">
        <v>1</v>
      </c>
      <c r="D8" s="9">
        <v>1</v>
      </c>
      <c r="E8" s="10">
        <f>(D8-C8)*100</f>
        <v>0.0</v>
      </c>
      <c r="F8" s="7">
        <v>4.8756</v>
      </c>
      <c r="G8" s="7">
        <v>5.376450884068796</v>
      </c>
      <c r="H8" s="7">
        <v>4.901756139380368</v>
      </c>
      <c r="I8" s="9">
        <f>IF(AND(ISNUMBER(F8),ISNUMBER(H8),F8&lt;&gt;0),(F8-H8)/F8,"待補")</f>
        <v>-0.005364701653205442</v>
      </c>
      <c r="J8" s="4" t="s">
        <v>437</v>
      </c>
    </row>
    <row r="9" spans="1:10" ht="52" customHeight="1">
      <c r="A9" s="4" t="s">
        <v>441</v>
      </c>
      <c r="B9" s="9">
        <v>1</v>
      </c>
      <c r="C9" s="9">
        <v>0.76</v>
      </c>
      <c r="D9" s="9">
        <v>0.95</v>
      </c>
      <c r="E9" s="10">
        <f>(D9-C9)*100</f>
        <v>18.999999999999993</v>
      </c>
      <c r="F9" s="7">
        <v>4.356</v>
      </c>
      <c r="G9" s="7">
        <v>123.234678935483</v>
      </c>
      <c r="H9" s="7">
        <v>109.3731971735449</v>
      </c>
      <c r="I9" s="8" t="s">
        <v>16</v>
      </c>
      <c r="J9" s="4" t="s">
        <v>442</v>
      </c>
    </row>
    <row r="10" spans="1:10" ht="52" customHeight="1">
      <c r="A10" s="4" t="s">
        <v>443</v>
      </c>
      <c r="B10" s="9">
        <v>1</v>
      </c>
      <c r="C10" s="9">
        <v>0.76</v>
      </c>
      <c r="D10" s="9">
        <v>1</v>
      </c>
      <c r="E10" s="10">
        <f>(D10-C10)*100</f>
        <v>24.0</v>
      </c>
      <c r="F10" s="7">
        <v>15.3427</v>
      </c>
      <c r="G10" s="7">
        <v>12.62093021050369</v>
      </c>
      <c r="H10" s="7">
        <v>8.189515239489998</v>
      </c>
      <c r="I10" s="9">
        <f>IF(AND(ISNUMBER(F10),ISNUMBER(H10),F10&lt;&gt;0),(F10-H10)/F10,"待補")</f>
        <v>0.4662272455636885</v>
      </c>
      <c r="J10" s="4" t="s">
        <v>444</v>
      </c>
    </row>
    <row r="13" spans="1:10" ht="48" customHeight="1">
      <c r="A13" s="2" t="s">
        <v>445</v>
      </c>
      <c r="B13" s="2"/>
      <c r="C13" s="2"/>
      <c r="D13" s="2"/>
      <c r="E13" s="2"/>
      <c r="F13" s="2"/>
      <c r="G13" s="2"/>
      <c r="H13" s="2"/>
      <c r="I13" s="2"/>
      <c r="J13" s="2"/>
    </row>
    <row r="15" spans="1:10" ht="44" customHeight="1">
      <c r="A15" s="2" t="s">
        <v>446</v>
      </c>
      <c r="B15" s="2"/>
      <c r="C15" s="2"/>
      <c r="D15" s="2"/>
      <c r="E15" s="2"/>
      <c r="F15" s="2"/>
      <c r="G15" s="2"/>
      <c r="H15" s="2"/>
      <c r="I15" s="2"/>
      <c r="J15" s="2"/>
    </row>
    <row r="43" spans="1:10" ht="32" customHeight="1">
      <c r="A43" s="3" t="s">
        <v>447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ht="36" customHeight="1">
      <c r="A44" s="2" t="s">
        <v>448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ht="36" customHeight="1">
      <c r="A45" s="2" t="s">
        <v>449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ht="36" customHeight="1">
      <c r="A46" s="2" t="s">
        <v>450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ht="36" customHeight="1">
      <c r="A47" s="2" t="s">
        <v>451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36" customHeight="1">
      <c r="A48" s="2" t="s">
        <v>452</v>
      </c>
      <c r="B48" s="2"/>
      <c r="C48" s="2"/>
      <c r="D48" s="2"/>
      <c r="E48" s="2"/>
      <c r="F48" s="2"/>
      <c r="G48" s="2"/>
      <c r="H48" s="2"/>
      <c r="I48" s="2"/>
      <c r="J48" s="2"/>
    </row>
    <row r="50" spans="1:10" ht="64" customHeight="1">
      <c r="A50" s="2" t="s">
        <v>453</v>
      </c>
      <c r="B50" s="2"/>
      <c r="C50" s="2"/>
      <c r="D50" s="2"/>
      <c r="E50" s="2"/>
      <c r="F50" s="2"/>
      <c r="G50" s="2"/>
      <c r="H50" s="2"/>
      <c r="I50" s="2"/>
      <c r="J50" s="2"/>
    </row>
  </sheetData>
  <mergeCells count="12">
    <mergeCell ref="A1:J1"/>
    <mergeCell ref="A2:J2"/>
    <mergeCell ref="A3:J3"/>
    <mergeCell ref="A13:J13"/>
    <mergeCell ref="A15:J15"/>
    <mergeCell ref="A43:J43"/>
    <mergeCell ref="A44:J44"/>
    <mergeCell ref="A45:J45"/>
    <mergeCell ref="A46:J46"/>
    <mergeCell ref="A47:J47"/>
    <mergeCell ref="A48:J48"/>
    <mergeCell ref="A50:J50"/>
  </mergeCells>
  <pageMargins left="0.25" right="0.25" top="0.35" bottom="0.35" header="0.3" footer="0.3"/>
  <pageSetup paperSize="8" fitToHeight="0" orientation="landscape"/>
  <headerFooter>
    <oddHeader>&amp;C&amp;12第1次報告：逐項參數與數據</oddHeader>
    <oddFooter>&amp;L缺值不是零；pp為百分點&amp;R&amp;P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逐項參數證據</vt:lpstr>
      <vt:lpstr>每項修改前後數據</vt:lpstr>
      <vt:lpstr>論文與場景總覽</vt:lpstr>
      <vt:lpstr>每項修改前後數據!Print_Area</vt:lpstr>
      <vt:lpstr>論文與場景總覽!Print_Area</vt:lpstr>
      <vt:lpstr>逐項參數證據!Print_Area</vt:lpstr>
      <vt:lpstr>每項修改前後數據!Print_Titles</vt:lpstr>
      <vt:lpstr>逐項參數證據!Print_Titles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第1次：逐參數前後數據</dc:title>
  <dc:creator/>
  <dc:description>Only completed experiments. GT-free inference, not GT-free development.</dc:description>
  <cp:lastModifiedBy/>
  <dcterms:created xsi:type="dcterms:W3CDTF">2026-10-27T18:57:25Z</dcterms:created>
  <dcterms:modified xsi:type="dcterms:W3CDTF">2026-10-27T18:57:25Z</dcterms:modified>
</cp:coreProperties>
</file>