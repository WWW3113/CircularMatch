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結果比較" sheetId="1" state="visible" r:id="rId3"/>
    <sheet name="參數方法改動" sheetId="2" state="visible" r:id="rId4"/>
    <sheet name="證據與圖表" sheetId="3" state="visible" r:id="rId5"/>
  </sheets>
  <definedNames>
    <definedName function="false" hidden="false" localSheetId="1" name="_xlnm.Print_Area" vbProcedure="false">參數方法改動!$A$1:$F$19</definedName>
    <definedName function="false" hidden="false" localSheetId="1" name="_xlnm.Print_Titles" vbProcedure="false">參數方法改動!$1:$3</definedName>
    <definedName function="false" hidden="false" localSheetId="0" name="_xlnm.Print_Area" vbProcedure="false">結果比較!$A$1:$H$44</definedName>
    <definedName function="false" hidden="false" localSheetId="0" name="_xlnm.Print_Titles" vbProcedure="false">結果比較!$1:$3</definedName>
    <definedName function="false" hidden="true" localSheetId="0" name="_xlnm._FilterDatabase" vbProcedure="false">結果比較!$A$5:$H$10</definedName>
    <definedName function="false" hidden="false" localSheetId="2" name="_xlnm.Print_Area" vbProcedure="false">證據與圖表!$A$1:$H$109</definedName>
    <definedName function="false" hidden="false" localSheetId="2" name="_xlnm.Print_Titles" vbProcedure="false">證據與圖表!$1:$3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<sst xmlns="http://schemas.openxmlformats.org/spreadsheetml/2006/main" count="245" uniqueCount="159">
  <si>
    <r>
      <rPr>
        <b val="true"/>
        <sz val="18"/>
        <rFont val="Noto Sans CJK SC"/>
        <family val="2"/>
      </rPr>
      <t xml:space="preserve">第</t>
    </r>
    <r>
      <rPr>
        <b val="true"/>
        <sz val="18"/>
        <rFont val="Microsoft JhengHei"/>
        <family val="0"/>
        <charset val="1"/>
      </rPr>
      <t xml:space="preserve">4</t>
    </r>
    <r>
      <rPr>
        <b val="true"/>
        <sz val="18"/>
        <rFont val="Noto Sans CJK SC"/>
        <family val="2"/>
      </rPr>
      <t xml:space="preserve">次｜多候選與垂直結構驗證</t>
    </r>
  </si>
  <si>
    <r>
      <rPr>
        <sz val="10"/>
        <color rgb="FF444444"/>
        <rFont val="Noto Sans CJK SC"/>
        <family val="2"/>
      </rPr>
      <t xml:space="preserve">兩個</t>
    </r>
    <r>
      <rPr>
        <sz val="10"/>
        <color rgb="FF444444"/>
        <rFont val="Microsoft JhengHei"/>
        <family val="0"/>
        <charset val="1"/>
      </rPr>
      <t xml:space="preserve">dataset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Tongji</t>
    </r>
    <r>
      <rPr>
        <sz val="10"/>
        <color rgb="FF444444"/>
        <rFont val="Noto Sans CJK SC"/>
        <family val="2"/>
      </rPr>
      <t xml:space="preserve">四</t>
    </r>
    <r>
      <rPr>
        <sz val="10"/>
        <color rgb="FF444444"/>
        <rFont val="Microsoft JhengHei"/>
        <family val="0"/>
        <charset val="1"/>
      </rPr>
      <t xml:space="preserve">Plot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ETH</t>
    </r>
    <r>
      <rPr>
        <sz val="10"/>
        <color rgb="FF444444"/>
        <rFont val="Noto Sans CJK SC"/>
        <family val="2"/>
      </rPr>
      <t xml:space="preserve">；本地</t>
    </r>
    <r>
      <rPr>
        <sz val="10"/>
        <color rgb="FF444444"/>
        <rFont val="Microsoft JhengHei"/>
        <family val="0"/>
        <charset val="1"/>
      </rPr>
      <t xml:space="preserve">5cm</t>
    </r>
    <r>
      <rPr>
        <sz val="10"/>
        <color rgb="FF444444"/>
        <rFont val="Noto Sans CJK SC"/>
        <family val="2"/>
      </rPr>
      <t xml:space="preserve">是參考實作，作者原作重跑待補。下降率</t>
    </r>
    <r>
      <rPr>
        <sz val="10"/>
        <color rgb="FF444444"/>
        <rFont val="Microsoft JhengHei"/>
        <family val="0"/>
        <charset val="1"/>
      </rPr>
      <t xml:space="preserve">=(</t>
    </r>
    <r>
      <rPr>
        <sz val="10"/>
        <color rgb="FF444444"/>
        <rFont val="Noto Sans CJK SC"/>
        <family val="2"/>
      </rPr>
      <t xml:space="preserve">基準−修改</t>
    </r>
    <r>
      <rPr>
        <sz val="10"/>
        <color rgb="FF444444"/>
        <rFont val="Microsoft JhengHei"/>
        <family val="0"/>
        <charset val="1"/>
      </rPr>
      <t xml:space="preserve">)/</t>
    </r>
    <r>
      <rPr>
        <sz val="10"/>
        <color rgb="FF444444"/>
        <rFont val="Noto Sans CJK SC"/>
        <family val="2"/>
      </rPr>
      <t xml:space="preserve">基準；成功率差異用</t>
    </r>
    <r>
      <rPr>
        <sz val="10"/>
        <color rgb="FF444444"/>
        <rFont val="Microsoft JhengHei"/>
        <family val="0"/>
        <charset val="1"/>
      </rPr>
      <t xml:space="preserve">pp</t>
    </r>
    <r>
      <rPr>
        <sz val="10"/>
        <color rgb="FF444444"/>
        <rFont val="Noto Sans CJK SC"/>
        <family val="2"/>
      </rPr>
      <t xml:space="preserve">。</t>
    </r>
  </si>
  <si>
    <r>
      <rPr>
        <b val="true"/>
        <sz val="14"/>
        <rFont val="Noto Sans CJK SC"/>
        <family val="2"/>
      </rPr>
      <t xml:space="preserve">成功率：修改前</t>
    </r>
    <r>
      <rPr>
        <b val="true"/>
        <sz val="14"/>
        <rFont val="Microsoft JhengHei"/>
        <family val="0"/>
        <charset val="1"/>
      </rPr>
      <t xml:space="preserve">=</t>
    </r>
    <r>
      <rPr>
        <b val="true"/>
        <sz val="14"/>
        <rFont val="Noto Sans CJK SC"/>
        <family val="2"/>
      </rPr>
      <t xml:space="preserve">多候選</t>
    </r>
    <r>
      <rPr>
        <b val="true"/>
        <sz val="14"/>
        <rFont val="Microsoft JhengHei"/>
        <family val="0"/>
        <charset val="1"/>
      </rPr>
      <t xml:space="preserve">v2</t>
    </r>
    <r>
      <rPr>
        <b val="true"/>
        <sz val="14"/>
        <rFont val="Noto Sans CJK SC"/>
        <family val="2"/>
      </rPr>
      <t xml:space="preserve">＋全表面驗證；修改後</t>
    </r>
    <r>
      <rPr>
        <b val="true"/>
        <sz val="14"/>
        <rFont val="Microsoft JhengHei"/>
        <family val="0"/>
        <charset val="1"/>
      </rPr>
      <t xml:space="preserve">=</t>
    </r>
    <r>
      <rPr>
        <b val="true"/>
        <sz val="14"/>
        <rFont val="Noto Sans CJK SC"/>
        <family val="2"/>
      </rPr>
      <t xml:space="preserve">同候選引擎</t>
    </r>
    <r>
      <rPr>
        <b val="true"/>
        <sz val="14"/>
        <rFont val="Microsoft JhengHei"/>
        <family val="0"/>
        <charset val="1"/>
      </rPr>
      <t xml:space="preserve">v3</t>
    </r>
    <r>
      <rPr>
        <b val="true"/>
        <sz val="14"/>
        <rFont val="Noto Sans CJK SC"/>
        <family val="2"/>
      </rPr>
      <t xml:space="preserve">＋結構驗證整組</t>
    </r>
  </si>
  <si>
    <r>
      <rPr>
        <b val="true"/>
        <sz val="13"/>
        <rFont val="Microsoft JhengHei"/>
        <family val="0"/>
        <charset val="1"/>
      </rPr>
      <t xml:space="preserve">dataset</t>
    </r>
    <r>
      <rPr>
        <b val="true"/>
        <sz val="13"/>
        <rFont val="Noto Sans CJK SC"/>
        <family val="2"/>
      </rPr>
      <t xml:space="preserve">／場景</t>
    </r>
  </si>
  <si>
    <r>
      <rPr>
        <b val="true"/>
        <sz val="13"/>
        <rFont val="Noto Sans CJK SC"/>
        <family val="2"/>
      </rPr>
      <t xml:space="preserve">唯一配對</t>
    </r>
    <r>
      <rPr>
        <b val="true"/>
        <sz val="13"/>
        <rFont val="Microsoft JhengHei"/>
        <family val="0"/>
        <charset val="1"/>
      </rPr>
      <t xml:space="preserve">×seed</t>
    </r>
  </si>
  <si>
    <t xml:space="preserve">論文成功率
分母待補</t>
  </si>
  <si>
    <r>
      <rPr>
        <b val="true"/>
        <sz val="13"/>
        <rFont val="Microsoft JhengHei"/>
        <family val="0"/>
        <charset val="1"/>
      </rPr>
      <t xml:space="preserve">5cm</t>
    </r>
    <r>
      <rPr>
        <b val="true"/>
        <sz val="13"/>
        <rFont val="Noto Sans CJK SC"/>
        <family val="2"/>
      </rPr>
      <t xml:space="preserve">參考</t>
    </r>
  </si>
  <si>
    <t xml:space="preserve">修改前</t>
  </si>
  <si>
    <t xml:space="preserve">修改後</t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</si>
  <si>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論文 </t>
    </r>
    <r>
      <rPr>
        <b val="true"/>
        <sz val="13"/>
        <rFont val="Microsoft JhengHei"/>
        <family val="0"/>
        <charset val="1"/>
      </rPr>
      <t xml:space="preserve">pp</t>
    </r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</si>
  <si>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修改前 </t>
    </r>
    <r>
      <rPr>
        <b val="true"/>
        <sz val="13"/>
        <rFont val="Microsoft JhengHei"/>
        <family val="0"/>
        <charset val="1"/>
      </rPr>
      <t xml:space="preserve">pp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</si>
  <si>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Plot1</t>
    </r>
  </si>
  <si>
    <r>
      <rPr>
        <sz val="13"/>
        <rFont val="Microsoft JhengHei"/>
        <family val="0"/>
        <charset val="1"/>
      </rPr>
      <t xml:space="preserve">10</t>
    </r>
    <r>
      <rPr>
        <sz val="13"/>
        <rFont val="Noto Sans CJK SC"/>
        <family val="2"/>
      </rPr>
      <t xml:space="preserve">配對</t>
    </r>
    <r>
      <rPr>
        <sz val="13"/>
        <rFont val="Microsoft JhengHei"/>
        <family val="0"/>
        <charset val="1"/>
      </rPr>
      <t xml:space="preserve">×10seed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</si>
  <si>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Plot2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</si>
  <si>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Plot3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</si>
  <si>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Plot4</t>
    </r>
  </si>
  <si>
    <t xml:space="preserve">ETH-tree</t>
  </si>
  <si>
    <r>
      <rPr>
        <sz val="13"/>
        <rFont val="Microsoft JhengHei"/>
        <family val="0"/>
        <charset val="1"/>
      </rPr>
      <t xml:space="preserve">15</t>
    </r>
    <r>
      <rPr>
        <sz val="13"/>
        <rFont val="Noto Sans CJK SC"/>
        <family val="2"/>
      </rPr>
      <t xml:space="preserve">配對</t>
    </r>
    <r>
      <rPr>
        <sz val="13"/>
        <rFont val="Microsoft JhengHei"/>
        <family val="0"/>
        <charset val="1"/>
      </rPr>
      <t xml:space="preserve">×10seed</t>
    </r>
  </si>
  <si>
    <r>
      <rPr>
        <sz val="10"/>
        <color rgb="FF444444"/>
        <rFont val="Noto Sans CJK SC"/>
        <family val="2"/>
      </rPr>
      <t xml:space="preserve">來源</t>
    </r>
    <r>
      <rPr>
        <sz val="10"/>
        <color rgb="FF444444"/>
        <rFont val="Microsoft JhengHei"/>
        <family val="0"/>
        <charset val="1"/>
      </rPr>
      <t xml:space="preserve">P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PDF p4 Table I</t>
    </r>
    <r>
      <rPr>
        <sz val="10"/>
        <color rgb="FF444444"/>
        <rFont val="Noto Sans CJK SC"/>
        <family val="2"/>
      </rPr>
      <t xml:space="preserve">；本地</t>
    </r>
    <r>
      <rPr>
        <sz val="10"/>
        <color rgb="FF444444"/>
        <rFont val="Microsoft JhengHei"/>
        <family val="0"/>
        <charset val="1"/>
      </rPr>
      <t xml:space="preserve">U/D/DF</t>
    </r>
    <r>
      <rPr>
        <sz val="10"/>
        <color rgb="FF444444"/>
        <rFont val="Noto Sans CJK SC"/>
        <family val="2"/>
      </rPr>
      <t xml:space="preserve">，精確篩選與</t>
    </r>
    <r>
      <rPr>
        <sz val="10"/>
        <color rgb="FF444444"/>
        <rFont val="Microsoft JhengHei"/>
        <family val="0"/>
        <charset val="1"/>
      </rPr>
      <t xml:space="preserve">CSV</t>
    </r>
    <r>
      <rPr>
        <sz val="10"/>
        <color rgb="FF444444"/>
        <rFont val="Noto Sans CJK SC"/>
        <family val="2"/>
      </rPr>
      <t xml:space="preserve">列號見</t>
    </r>
    <r>
      <rPr>
        <sz val="10"/>
        <color rgb="FF444444"/>
        <rFont val="Microsoft JhengHei"/>
        <family val="0"/>
        <charset val="1"/>
      </rPr>
      <t xml:space="preserve">source_manifest.json</t>
    </r>
    <r>
      <rPr>
        <sz val="10"/>
        <color rgb="FF444444"/>
        <rFont val="Noto Sans CJK SC"/>
        <family val="2"/>
      </rPr>
      <t xml:space="preserve">。每個</t>
    </r>
    <r>
      <rPr>
        <sz val="10"/>
        <color rgb="FF444444"/>
        <rFont val="Microsoft JhengHei"/>
        <family val="0"/>
        <charset val="1"/>
      </rPr>
      <t xml:space="preserve">seed</t>
    </r>
    <r>
      <rPr>
        <sz val="10"/>
        <color rgb="FF444444"/>
        <rFont val="Noto Sans CJK SC"/>
        <family val="2"/>
      </rPr>
      <t xml:space="preserve">是同一配對重跑，不能當成獨立森林。論文與專案成功門檻未確認一致；作者原作重跑待補。</t>
    </r>
  </si>
  <si>
    <r>
      <rPr>
        <b val="true"/>
        <sz val="14"/>
        <rFont val="Noto Sans CJK SC"/>
        <family val="2"/>
      </rPr>
      <t xml:space="preserve">平均</t>
    </r>
    <r>
      <rPr>
        <b val="true"/>
        <sz val="14"/>
        <rFont val="Microsoft JhengHei"/>
        <family val="0"/>
        <charset val="1"/>
      </rPr>
      <t xml:space="preserve">e_p</t>
    </r>
    <r>
      <rPr>
        <b val="true"/>
        <sz val="14"/>
        <rFont val="Noto Sans CJK SC"/>
        <family val="2"/>
      </rPr>
      <t xml:space="preserve">：全部有限誤差，包含能計算的失敗；單位</t>
    </r>
    <r>
      <rPr>
        <b val="true"/>
        <sz val="14"/>
        <rFont val="Microsoft JhengHei"/>
        <family val="0"/>
        <charset val="1"/>
      </rPr>
      <t xml:space="preserve">cm</t>
    </r>
  </si>
  <si>
    <r>
      <rPr>
        <b val="true"/>
        <sz val="13"/>
        <rFont val="Noto Sans CJK SC"/>
        <family val="2"/>
      </rPr>
      <t xml:space="preserve">論文平均</t>
    </r>
    <r>
      <rPr>
        <b val="true"/>
        <sz val="13"/>
        <rFont val="Microsoft JhengHei"/>
        <family val="0"/>
        <charset val="1"/>
      </rPr>
      <t xml:space="preserve">e_p</t>
    </r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</si>
  <si>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論文下降率</t>
    </r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</si>
  <si>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前下降率</t>
    </r>
  </si>
  <si>
    <r>
      <rPr>
        <b val="true"/>
        <sz val="13"/>
        <rFont val="Noto Sans CJK SC"/>
        <family val="2"/>
      </rPr>
      <t xml:space="preserve">有限</t>
    </r>
    <r>
      <rPr>
        <b val="true"/>
        <sz val="13"/>
        <rFont val="Microsoft JhengHei"/>
        <family val="0"/>
        <charset val="1"/>
      </rPr>
      <t xml:space="preserve">N</t>
    </r>
    <r>
      <rPr>
        <b val="true"/>
        <sz val="13"/>
        <rFont val="Noto Sans CJK SC"/>
        <family val="2"/>
      </rPr>
      <t xml:space="preserve">：參考／前／後</t>
    </r>
  </si>
  <si>
    <r>
      <rPr>
        <sz val="13"/>
        <rFont val="Microsoft JhengHei"/>
        <family val="0"/>
        <charset val="1"/>
      </rPr>
      <t xml:space="preserve">100/100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100/100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100/100</t>
    </r>
  </si>
  <si>
    <r>
      <rPr>
        <sz val="13"/>
        <rFont val="Microsoft JhengHei"/>
        <family val="0"/>
        <charset val="1"/>
      </rPr>
      <t xml:space="preserve">83/100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100/100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100/100</t>
    </r>
  </si>
  <si>
    <r>
      <rPr>
        <sz val="13"/>
        <rFont val="Microsoft JhengHei"/>
        <family val="0"/>
        <charset val="1"/>
      </rPr>
      <t xml:space="preserve">127/150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150/150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150/150</t>
    </r>
  </si>
  <si>
    <r>
      <rPr>
        <sz val="10"/>
        <color rgb="FF444444"/>
        <rFont val="Microsoft JhengHei"/>
        <family val="0"/>
        <charset val="1"/>
      </rPr>
      <t xml:space="preserve">P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p4 Eq.(8)/Table I</t>
    </r>
    <r>
      <rPr>
        <sz val="10"/>
        <color rgb="FF444444"/>
        <rFont val="Noto Sans CJK SC"/>
        <family val="2"/>
      </rPr>
      <t xml:space="preserve">。全來源點</t>
    </r>
    <r>
      <rPr>
        <sz val="10"/>
        <color rgb="FF444444"/>
        <rFont val="Microsoft JhengHei"/>
        <family val="0"/>
        <charset val="1"/>
      </rPr>
      <t xml:space="preserve">e_p</t>
    </r>
    <r>
      <rPr>
        <sz val="10"/>
        <color rgb="FF444444"/>
        <rFont val="Noto Sans CJK SC"/>
        <family val="2"/>
      </rPr>
      <t xml:space="preserve">再跨</t>
    </r>
    <r>
      <rPr>
        <sz val="10"/>
        <color rgb="FF444444"/>
        <rFont val="Microsoft JhengHei"/>
        <family val="0"/>
        <charset val="1"/>
      </rPr>
      <t xml:space="preserve">case</t>
    </r>
    <r>
      <rPr>
        <sz val="10"/>
        <color rgb="FF444444"/>
        <rFont val="Noto Sans CJK SC"/>
        <family val="2"/>
      </rPr>
      <t xml:space="preserve">取</t>
    </r>
    <r>
      <rPr>
        <sz val="10"/>
        <color rgb="FF444444"/>
        <rFont val="Microsoft JhengHei"/>
        <family val="0"/>
        <charset val="1"/>
      </rPr>
      <t xml:space="preserve">mean</t>
    </r>
    <r>
      <rPr>
        <sz val="10"/>
        <color rgb="FF444444"/>
        <rFont val="Noto Sans CJK SC"/>
        <family val="2"/>
      </rPr>
      <t xml:space="preserve">，含有限失敗；缺變換不填</t>
    </r>
    <r>
      <rPr>
        <sz val="10"/>
        <color rgb="FF444444"/>
        <rFont val="Microsoft JhengHei"/>
        <family val="0"/>
        <charset val="1"/>
      </rPr>
      <t xml:space="preserve">0</t>
    </r>
    <r>
      <rPr>
        <sz val="10"/>
        <color rgb="FF444444"/>
        <rFont val="Noto Sans CJK SC"/>
        <family val="2"/>
      </rPr>
      <t xml:space="preserve">。修改後缺輸出則</t>
    </r>
    <r>
      <rPr>
        <sz val="10"/>
        <color rgb="FF444444"/>
        <rFont val="Microsoft JhengHei"/>
        <family val="0"/>
        <charset val="1"/>
      </rPr>
      <t xml:space="preserve">vs</t>
    </r>
    <r>
      <rPr>
        <sz val="10"/>
        <color rgb="FF444444"/>
        <rFont val="Noto Sans CJK SC"/>
        <family val="2"/>
      </rPr>
      <t xml:space="preserve">論文下降率待補；本地有限</t>
    </r>
    <r>
      <rPr>
        <sz val="10"/>
        <color rgb="FF444444"/>
        <rFont val="Microsoft JhengHei"/>
        <family val="0"/>
        <charset val="1"/>
      </rPr>
      <t xml:space="preserve">case</t>
    </r>
    <r>
      <rPr>
        <sz val="10"/>
        <color rgb="FF444444"/>
        <rFont val="Noto Sans CJK SC"/>
        <family val="2"/>
      </rPr>
      <t xml:space="preserve">集合不同則</t>
    </r>
    <r>
      <rPr>
        <sz val="10"/>
        <color rgb="FF444444"/>
        <rFont val="Microsoft JhengHei"/>
        <family val="0"/>
        <charset val="1"/>
      </rPr>
      <t xml:space="preserve">vs</t>
    </r>
    <r>
      <rPr>
        <sz val="10"/>
        <color rgb="FF444444"/>
        <rFont val="Noto Sans CJK SC"/>
        <family val="2"/>
      </rPr>
      <t xml:space="preserve">前下降率待補，另見第三頁共同成功比較。論文數字僅參考，協定未完全核對。</t>
    </r>
  </si>
  <si>
    <t xml:space="preserve">旋轉與平移：保留可計算失敗；不是論文額外指標</t>
  </si>
  <si>
    <r>
      <rPr>
        <b val="true"/>
        <sz val="13"/>
        <rFont val="Noto Sans CJK SC"/>
        <family val="2"/>
      </rPr>
      <t xml:space="preserve">參考 </t>
    </r>
    <r>
      <rPr>
        <b val="true"/>
        <sz val="13"/>
        <rFont val="Microsoft JhengHei"/>
        <family val="0"/>
        <charset val="1"/>
      </rPr>
      <t xml:space="preserve">e_R </t>
    </r>
    <r>
      <rPr>
        <b val="true"/>
        <sz val="13"/>
        <rFont val="Noto Sans CJK SC"/>
        <family val="2"/>
      </rPr>
      <t xml:space="preserve">度</t>
    </r>
  </si>
  <si>
    <r>
      <rPr>
        <b val="true"/>
        <sz val="13"/>
        <rFont val="Noto Sans CJK SC"/>
        <family val="2"/>
      </rPr>
      <t xml:space="preserve">前 </t>
    </r>
    <r>
      <rPr>
        <b val="true"/>
        <sz val="13"/>
        <rFont val="Microsoft JhengHei"/>
        <family val="0"/>
        <charset val="1"/>
      </rPr>
      <t xml:space="preserve">e_R </t>
    </r>
    <r>
      <rPr>
        <b val="true"/>
        <sz val="13"/>
        <rFont val="Noto Sans CJK SC"/>
        <family val="2"/>
      </rPr>
      <t xml:space="preserve">度</t>
    </r>
  </si>
  <si>
    <r>
      <rPr>
        <b val="true"/>
        <sz val="13"/>
        <rFont val="Noto Sans CJK SC"/>
        <family val="2"/>
      </rPr>
      <t xml:space="preserve">後 </t>
    </r>
    <r>
      <rPr>
        <b val="true"/>
        <sz val="13"/>
        <rFont val="Microsoft JhengHei"/>
        <family val="0"/>
        <charset val="1"/>
      </rPr>
      <t xml:space="preserve">e_R </t>
    </r>
    <r>
      <rPr>
        <b val="true"/>
        <sz val="13"/>
        <rFont val="Noto Sans CJK SC"/>
        <family val="2"/>
      </rPr>
      <t xml:space="preserve">度</t>
    </r>
  </si>
  <si>
    <r>
      <rPr>
        <b val="true"/>
        <sz val="13"/>
        <rFont val="Noto Sans CJK SC"/>
        <family val="2"/>
      </rPr>
      <t xml:space="preserve">參考 </t>
    </r>
    <r>
      <rPr>
        <b val="true"/>
        <sz val="13"/>
        <rFont val="Microsoft JhengHei"/>
        <family val="0"/>
        <charset val="1"/>
      </rPr>
      <t xml:space="preserve">e_t cm</t>
    </r>
  </si>
  <si>
    <r>
      <rPr>
        <b val="true"/>
        <sz val="13"/>
        <rFont val="Noto Sans CJK SC"/>
        <family val="2"/>
      </rPr>
      <t xml:space="preserve">前 </t>
    </r>
    <r>
      <rPr>
        <b val="true"/>
        <sz val="13"/>
        <rFont val="Microsoft JhengHei"/>
        <family val="0"/>
        <charset val="1"/>
      </rPr>
      <t xml:space="preserve">e_t cm</t>
    </r>
  </si>
  <si>
    <r>
      <rPr>
        <b val="true"/>
        <sz val="13"/>
        <rFont val="Noto Sans CJK SC"/>
        <family val="2"/>
      </rPr>
      <t xml:space="preserve">後 </t>
    </r>
    <r>
      <rPr>
        <b val="true"/>
        <sz val="13"/>
        <rFont val="Microsoft JhengHei"/>
        <family val="0"/>
        <charset val="1"/>
      </rPr>
      <t xml:space="preserve">e_t cm</t>
    </r>
  </si>
  <si>
    <t xml:space="preserve">論文欄位狀態</t>
  </si>
  <si>
    <r>
      <rPr>
        <sz val="13"/>
        <rFont val="Noto Sans CJK SC"/>
        <family val="2"/>
      </rPr>
      <t xml:space="preserve">論文</t>
    </r>
    <r>
      <rPr>
        <sz val="13"/>
        <rFont val="Microsoft JhengHei"/>
        <family val="0"/>
        <charset val="1"/>
      </rPr>
      <t xml:space="preserve">e_R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e_t</t>
    </r>
    <r>
      <rPr>
        <sz val="13"/>
        <rFont val="Noto Sans CJK SC"/>
        <family val="2"/>
      </rPr>
      <t xml:space="preserve">：待補</t>
    </r>
  </si>
  <si>
    <r>
      <rPr>
        <sz val="10"/>
        <color rgb="FF444444"/>
        <rFont val="Noto Sans CJK SC"/>
        <family val="2"/>
      </rPr>
      <t xml:space="preserve">來源同上原始</t>
    </r>
    <r>
      <rPr>
        <sz val="10"/>
        <color rgb="FF444444"/>
        <rFont val="Microsoft JhengHei"/>
        <family val="0"/>
        <charset val="1"/>
      </rPr>
      <t xml:space="preserve">CSV</t>
    </r>
    <r>
      <rPr>
        <sz val="10"/>
        <color rgb="FF444444"/>
        <rFont val="Noto Sans CJK SC"/>
        <family val="2"/>
      </rPr>
      <t xml:space="preserve">之</t>
    </r>
    <r>
      <rPr>
        <sz val="10"/>
        <color rgb="FF444444"/>
        <rFont val="Microsoft JhengHei"/>
        <family val="0"/>
        <charset val="1"/>
      </rPr>
      <t xml:space="preserve">rot_err_deg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trans_err_m</t>
    </r>
    <r>
      <rPr>
        <sz val="10"/>
        <color rgb="FF444444"/>
        <rFont val="Noto Sans CJK SC"/>
        <family val="2"/>
      </rPr>
      <t xml:space="preserve">；</t>
    </r>
    <r>
      <rPr>
        <sz val="10"/>
        <color rgb="FF444444"/>
        <rFont val="Microsoft JhengHei"/>
        <family val="0"/>
        <charset val="1"/>
      </rPr>
      <t xml:space="preserve">e_R=R_gtᵀR_est</t>
    </r>
    <r>
      <rPr>
        <sz val="10"/>
        <color rgb="FF444444"/>
        <rFont val="Noto Sans CJK SC"/>
        <family val="2"/>
      </rPr>
      <t xml:space="preserve">的旋轉角，</t>
    </r>
    <r>
      <rPr>
        <sz val="10"/>
        <color rgb="FF444444"/>
        <rFont val="Microsoft JhengHei"/>
        <family val="0"/>
        <charset val="1"/>
      </rPr>
      <t xml:space="preserve">e_t=||t_est−t_gt||</t>
    </r>
    <r>
      <rPr>
        <sz val="10"/>
        <color rgb="FF444444"/>
        <rFont val="Noto Sans CJK SC"/>
        <family val="2"/>
      </rPr>
      <t xml:space="preserve">。</t>
    </r>
    <r>
      <rPr>
        <sz val="10"/>
        <color rgb="FF444444"/>
        <rFont val="Microsoft JhengHei"/>
        <family val="0"/>
        <charset val="1"/>
      </rPr>
      <t xml:space="preserve">Table I</t>
    </r>
    <r>
      <rPr>
        <sz val="10"/>
        <color rgb="FF444444"/>
        <rFont val="Noto Sans CJK SC"/>
        <family val="2"/>
      </rPr>
      <t xml:space="preserve">只列</t>
    </r>
    <r>
      <rPr>
        <sz val="10"/>
        <color rgb="FF444444"/>
        <rFont val="Microsoft JhengHei"/>
        <family val="0"/>
        <charset val="1"/>
      </rPr>
      <t xml:space="preserve">e_p</t>
    </r>
    <r>
      <rPr>
        <sz val="10"/>
        <color rgb="FF444444"/>
        <rFont val="Noto Sans CJK SC"/>
        <family val="2"/>
      </rPr>
      <t xml:space="preserve">及成功率，未列</t>
    </r>
    <r>
      <rPr>
        <sz val="10"/>
        <color rgb="FF444444"/>
        <rFont val="Microsoft JhengHei"/>
        <family val="0"/>
        <charset val="1"/>
      </rPr>
      <t xml:space="preserve">e_R/e_t</t>
    </r>
    <r>
      <rPr>
        <sz val="10"/>
        <color rgb="FF444444"/>
        <rFont val="Noto Sans CJK SC"/>
        <family val="2"/>
      </rPr>
      <t xml:space="preserve">，故原論文欄待補。本地成功為</t>
    </r>
    <r>
      <rPr>
        <sz val="10"/>
        <color rgb="FF444444"/>
        <rFont val="Microsoft JhengHei"/>
        <family val="0"/>
        <charset val="1"/>
      </rPr>
      <t xml:space="preserve">e_R&lt;2°</t>
    </r>
    <r>
      <rPr>
        <sz val="10"/>
        <color rgb="FF444444"/>
        <rFont val="Noto Sans CJK SC"/>
        <family val="2"/>
      </rPr>
      <t xml:space="preserve">且</t>
    </r>
    <r>
      <rPr>
        <sz val="10"/>
        <color rgb="FF444444"/>
        <rFont val="Microsoft JhengHei"/>
        <family val="0"/>
        <charset val="1"/>
      </rPr>
      <t xml:space="preserve">e_t&lt;50cm</t>
    </r>
    <r>
      <rPr>
        <sz val="10"/>
        <color rgb="FF444444"/>
        <rFont val="Noto Sans CJK SC"/>
        <family val="2"/>
      </rPr>
      <t xml:space="preserve">。</t>
    </r>
  </si>
  <si>
    <r>
      <rPr>
        <b val="true"/>
        <sz val="14"/>
        <rFont val="Noto Sans CJK SC"/>
        <family val="2"/>
      </rPr>
      <t xml:space="preserve">時間：論文</t>
    </r>
    <r>
      <rPr>
        <b val="true"/>
        <sz val="14"/>
        <rFont val="Microsoft JhengHei"/>
        <family val="0"/>
        <charset val="1"/>
      </rPr>
      <t xml:space="preserve">matching</t>
    </r>
    <r>
      <rPr>
        <b val="true"/>
        <sz val="14"/>
        <rFont val="Noto Sans CJK SC"/>
        <family val="2"/>
      </rPr>
      <t xml:space="preserve">與</t>
    </r>
    <r>
      <rPr>
        <b val="true"/>
        <sz val="14"/>
        <rFont val="Microsoft JhengHei"/>
        <family val="0"/>
        <charset val="1"/>
      </rPr>
      <t xml:space="preserve">total</t>
    </r>
    <r>
      <rPr>
        <b val="true"/>
        <sz val="14"/>
        <rFont val="Noto Sans CJK SC"/>
        <family val="2"/>
      </rPr>
      <t xml:space="preserve">分開；本地皆為配對內部時間</t>
    </r>
  </si>
  <si>
    <r>
      <rPr>
        <b val="true"/>
        <sz val="13"/>
        <rFont val="Noto Sans CJK SC"/>
        <family val="2"/>
      </rPr>
      <t xml:space="preserve">論文</t>
    </r>
    <r>
      <rPr>
        <b val="true"/>
        <sz val="13"/>
        <rFont val="Microsoft JhengHei"/>
        <family val="0"/>
        <charset val="1"/>
      </rPr>
      <t xml:space="preserve">matching ms</t>
    </r>
  </si>
  <si>
    <r>
      <rPr>
        <b val="true"/>
        <sz val="13"/>
        <rFont val="Noto Sans CJK SC"/>
        <family val="2"/>
      </rPr>
      <t xml:space="preserve">論文</t>
    </r>
    <r>
      <rPr>
        <b val="true"/>
        <sz val="13"/>
        <rFont val="Microsoft JhengHei"/>
        <family val="0"/>
        <charset val="1"/>
      </rPr>
      <t xml:space="preserve">total s</t>
    </r>
  </si>
  <si>
    <r>
      <rPr>
        <b val="true"/>
        <sz val="13"/>
        <rFont val="Noto Sans CJK SC"/>
        <family val="2"/>
      </rPr>
      <t xml:space="preserve">參考</t>
    </r>
    <r>
      <rPr>
        <b val="true"/>
        <sz val="13"/>
        <rFont val="Microsoft JhengHei"/>
        <family val="0"/>
        <charset val="1"/>
      </rPr>
      <t xml:space="preserve">online ms</t>
    </r>
  </si>
  <si>
    <r>
      <rPr>
        <b val="true"/>
        <sz val="13"/>
        <rFont val="Noto Sans CJK SC"/>
        <family val="2"/>
      </rPr>
      <t xml:space="preserve">前</t>
    </r>
    <r>
      <rPr>
        <b val="true"/>
        <sz val="13"/>
        <rFont val="Microsoft JhengHei"/>
        <family val="0"/>
        <charset val="1"/>
      </rPr>
      <t xml:space="preserve">online ms</t>
    </r>
  </si>
  <si>
    <r>
      <rPr>
        <b val="true"/>
        <sz val="13"/>
        <rFont val="Noto Sans CJK SC"/>
        <family val="2"/>
      </rPr>
      <t xml:space="preserve">後</t>
    </r>
    <r>
      <rPr>
        <b val="true"/>
        <sz val="13"/>
        <rFont val="Microsoft JhengHei"/>
        <family val="0"/>
        <charset val="1"/>
      </rPr>
      <t xml:space="preserve">online ms</t>
    </r>
  </si>
  <si>
    <t xml:space="preserve">本地下降率</t>
  </si>
  <si>
    <t xml:space="preserve">範圍／硬體限制</t>
  </si>
  <si>
    <t xml:space="preserve">待補</t>
  </si>
  <si>
    <t xml:space="preserve">見下方計時限制</t>
  </si>
  <si>
    <r>
      <rPr>
        <sz val="10"/>
        <color rgb="FF444444"/>
        <rFont val="Microsoft JhengHei"/>
        <family val="0"/>
        <charset val="1"/>
      </rPr>
      <t xml:space="preserve">P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p4 Table II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p5 Table III</t>
    </r>
    <r>
      <rPr>
        <sz val="10"/>
        <color rgb="FF444444"/>
        <rFont val="Noto Sans CJK SC"/>
        <family val="2"/>
      </rPr>
      <t xml:space="preserve">；</t>
    </r>
    <r>
      <rPr>
        <sz val="10"/>
        <color rgb="FF444444"/>
        <rFont val="Microsoft JhengHei"/>
        <family val="0"/>
        <charset val="1"/>
      </rPr>
      <t xml:space="preserve">i7-9700F 3GHz</t>
    </r>
    <r>
      <rPr>
        <sz val="10"/>
        <color rgb="FF444444"/>
        <rFont val="Noto Sans CJK SC"/>
        <family val="2"/>
      </rPr>
      <t xml:space="preserve">，</t>
    </r>
    <r>
      <rPr>
        <sz val="10"/>
        <color rgb="FF444444"/>
        <rFont val="Microsoft JhengHei"/>
        <family val="0"/>
        <charset val="1"/>
      </rPr>
      <t xml:space="preserve">OpenMP</t>
    </r>
    <r>
      <rPr>
        <sz val="10"/>
        <color rgb="FF444444"/>
        <rFont val="Noto Sans CJK SC"/>
        <family val="2"/>
      </rPr>
      <t xml:space="preserve">執行緒數待補。</t>
    </r>
    <r>
      <rPr>
        <sz val="10"/>
        <color rgb="FF444444"/>
        <rFont val="Microsoft JhengHei"/>
        <family val="0"/>
        <charset val="1"/>
      </rPr>
      <t xml:space="preserve">U online</t>
    </r>
    <r>
      <rPr>
        <sz val="10"/>
        <color rgb="FF444444"/>
        <rFont val="Noto Sans CJK SC"/>
        <family val="2"/>
      </rPr>
      <t xml:space="preserve">含讀樹位／</t>
    </r>
    <r>
      <rPr>
        <sz val="10"/>
        <color rgb="FF444444"/>
        <rFont val="Microsoft JhengHei"/>
        <family val="0"/>
        <charset val="1"/>
      </rPr>
      <t xml:space="preserve">descriptor</t>
    </r>
    <r>
      <rPr>
        <sz val="10"/>
        <color rgb="FF444444"/>
        <rFont val="Noto Sans CJK SC"/>
        <family val="2"/>
      </rPr>
      <t xml:space="preserve">／</t>
    </r>
    <r>
      <rPr>
        <sz val="10"/>
        <color rgb="FF444444"/>
        <rFont val="Microsoft JhengHei"/>
        <family val="0"/>
        <charset val="1"/>
      </rPr>
      <t xml:space="preserve">matching</t>
    </r>
    <r>
      <rPr>
        <sz val="10"/>
        <color rgb="FF444444"/>
        <rFont val="Noto Sans CJK SC"/>
        <family val="2"/>
      </rPr>
      <t xml:space="preserve">／求解／</t>
    </r>
    <r>
      <rPr>
        <sz val="10"/>
        <color rgb="FF444444"/>
        <rFont val="Microsoft JhengHei"/>
        <family val="0"/>
        <charset val="1"/>
      </rPr>
      <t xml:space="preserve">refinement</t>
    </r>
    <r>
      <rPr>
        <sz val="10"/>
        <color rgb="FF444444"/>
        <rFont val="Noto Sans CJK SC"/>
        <family val="2"/>
      </rPr>
      <t xml:space="preserve">，不含幾何</t>
    </r>
    <r>
      <rPr>
        <sz val="10"/>
        <color rgb="FF444444"/>
        <rFont val="Microsoft JhengHei"/>
        <family val="0"/>
        <charset val="1"/>
      </rPr>
      <t xml:space="preserve">cache</t>
    </r>
    <r>
      <rPr>
        <sz val="10"/>
        <color rgb="FF444444"/>
        <rFont val="Noto Sans CJK SC"/>
        <family val="2"/>
      </rPr>
      <t xml:space="preserve">載入、原始點雲提取及</t>
    </r>
    <r>
      <rPr>
        <sz val="10"/>
        <color rgb="FF444444"/>
        <rFont val="Microsoft JhengHei"/>
        <family val="0"/>
        <charset val="1"/>
      </rPr>
      <t xml:space="preserve">GT</t>
    </r>
    <r>
      <rPr>
        <sz val="10"/>
        <color rgb="FF444444"/>
        <rFont val="Noto Sans CJK SC"/>
        <family val="2"/>
      </rPr>
      <t xml:space="preserve">評分；舊</t>
    </r>
    <r>
      <rPr>
        <sz val="10"/>
        <color rgb="FF444444"/>
        <rFont val="Microsoft JhengHei"/>
        <family val="0"/>
        <charset val="1"/>
      </rPr>
      <t xml:space="preserve">time_ms</t>
    </r>
    <r>
      <rPr>
        <sz val="10"/>
        <color rgb="FF444444"/>
        <rFont val="Noto Sans CJK SC"/>
        <family val="2"/>
      </rPr>
      <t xml:space="preserve">含</t>
    </r>
    <r>
      <rPr>
        <sz val="10"/>
        <color rgb="FF444444"/>
        <rFont val="Microsoft JhengHei"/>
        <family val="0"/>
        <charset val="1"/>
      </rPr>
      <t xml:space="preserve">descriptor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matching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recovery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solver</t>
    </r>
    <r>
      <rPr>
        <sz val="10"/>
        <color rgb="FF444444"/>
        <rFont val="Noto Sans CJK SC"/>
        <family val="2"/>
      </rPr>
      <t xml:space="preserve">。論文速度下降率一律待補，範圍／硬體不同。</t>
    </r>
  </si>
  <si>
    <r>
      <rPr>
        <sz val="10"/>
        <color rgb="FF444444"/>
        <rFont val="Microsoft JhengHei"/>
        <family val="0"/>
        <charset val="1"/>
      </rPr>
      <t xml:space="preserve">R2</t>
    </r>
    <r>
      <rPr>
        <sz val="10"/>
        <color rgb="FF444444"/>
        <rFont val="Noto Sans CJK SC"/>
        <family val="2"/>
      </rPr>
      <t xml:space="preserve">：本地前後跨批次、舊硬體未完整記錄；</t>
    </r>
    <r>
      <rPr>
        <sz val="10"/>
        <color rgb="FF444444"/>
        <rFont val="Microsoft JhengHei"/>
        <family val="0"/>
        <charset val="1"/>
      </rPr>
      <t xml:space="preserve">R4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v2/v3</t>
    </r>
    <r>
      <rPr>
        <sz val="10"/>
        <color rgb="FF444444"/>
        <rFont val="Noto Sans CJK SC"/>
        <family val="2"/>
      </rPr>
      <t xml:space="preserve">跨</t>
    </r>
    <r>
      <rPr>
        <sz val="10"/>
        <color rgb="FF444444"/>
        <rFont val="Microsoft JhengHei"/>
        <family val="0"/>
        <charset val="1"/>
      </rPr>
      <t xml:space="preserve">epoch</t>
    </r>
    <r>
      <rPr>
        <sz val="10"/>
        <color rgb="FF444444"/>
        <rFont val="Noto Sans CJK SC"/>
        <family val="2"/>
      </rPr>
      <t xml:space="preserve">且採集並行度不同。以上本地</t>
    </r>
    <r>
      <rPr>
        <sz val="10"/>
        <color rgb="FF444444"/>
        <rFont val="Microsoft JhengHei"/>
        <family val="0"/>
        <charset val="1"/>
      </rPr>
      <t xml:space="preserve">online</t>
    </r>
    <r>
      <rPr>
        <sz val="10"/>
        <color rgb="FF444444"/>
        <rFont val="Noto Sans CJK SC"/>
        <family val="2"/>
      </rPr>
      <t xml:space="preserve">下降率也待補。</t>
    </r>
    <r>
      <rPr>
        <sz val="10"/>
        <color rgb="FF444444"/>
        <rFont val="Microsoft JhengHei"/>
        <family val="0"/>
        <charset val="1"/>
      </rPr>
      <t xml:space="preserve">R4</t>
    </r>
    <r>
      <rPr>
        <sz val="10"/>
        <color rgb="FF444444"/>
        <rFont val="Noto Sans CJK SC"/>
        <family val="2"/>
      </rPr>
      <t xml:space="preserve">第三頁另列同新</t>
    </r>
    <r>
      <rPr>
        <sz val="10"/>
        <color rgb="FF444444"/>
        <rFont val="Microsoft JhengHei"/>
        <family val="0"/>
        <charset val="1"/>
      </rPr>
      <t xml:space="preserve">epoch</t>
    </r>
    <r>
      <rPr>
        <sz val="10"/>
        <color rgb="FF444444"/>
        <rFont val="Noto Sans CJK SC"/>
        <family val="2"/>
      </rPr>
      <t xml:space="preserve">、串行冷啟動的代表配對。</t>
    </r>
  </si>
  <si>
    <t xml:space="preserve">原論文明列值與本次實際改動</t>
  </si>
  <si>
    <t xml:space="preserve">參數／方法（單位）</t>
  </si>
  <si>
    <t xml:space="preserve">原論文</t>
  </si>
  <si>
    <t xml:space="preserve">本地修改前</t>
  </si>
  <si>
    <t xml:space="preserve">本次修改後</t>
  </si>
  <si>
    <t xml:space="preserve">目的與代價</t>
  </si>
  <si>
    <t xml:space="preserve">來源</t>
  </si>
  <si>
    <r>
      <rPr>
        <sz val="13"/>
        <rFont val="Microsoft JhengHei"/>
        <family val="0"/>
        <charset val="1"/>
      </rPr>
      <t xml:space="preserve">Thscore</t>
    </r>
    <r>
      <rPr>
        <sz val="13"/>
        <rFont val="Noto Sans CJK SC"/>
        <family val="2"/>
      </rPr>
      <t xml:space="preserve">（分數）</t>
    </r>
  </si>
  <si>
    <t xml:space="preserve">40</t>
  </si>
  <si>
    <t xml:space="preserve">判斷高分／三角回退，維持固定</t>
  </si>
  <si>
    <r>
      <rPr>
        <sz val="13"/>
        <rFont val="Microsoft JhengHei"/>
        <family val="0"/>
        <charset val="1"/>
      </rPr>
      <t xml:space="preserve">P p4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CFG</t>
    </r>
  </si>
  <si>
    <r>
      <rPr>
        <sz val="13"/>
        <rFont val="Microsoft JhengHei"/>
        <family val="0"/>
        <charset val="1"/>
      </rPr>
      <t xml:space="preserve">w</t>
    </r>
    <r>
      <rPr>
        <sz val="13"/>
        <rFont val="Noto Sans CJK SC"/>
        <family val="2"/>
      </rPr>
      <t xml:space="preserve">（無單位）</t>
    </r>
  </si>
  <si>
    <t xml:space="preserve">10</t>
  </si>
  <si>
    <r>
      <rPr>
        <sz val="13"/>
        <rFont val="Microsoft JhengHei"/>
        <family val="0"/>
        <charset val="1"/>
      </rPr>
      <t xml:space="preserve">FMscore</t>
    </r>
    <r>
      <rPr>
        <sz val="13"/>
        <rFont val="Noto Sans CJK SC"/>
        <family val="2"/>
      </rPr>
      <t xml:space="preserve">權重，維持固定</t>
    </r>
  </si>
  <si>
    <r>
      <rPr>
        <sz val="13"/>
        <rFont val="Microsoft JhengHei"/>
        <family val="0"/>
        <charset val="1"/>
      </rPr>
      <t xml:space="preserve">P Eq7 p4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CFG</t>
    </r>
  </si>
  <si>
    <r>
      <rPr>
        <sz val="13"/>
        <rFont val="Microsoft JhengHei"/>
        <family val="0"/>
        <charset val="1"/>
      </rPr>
      <t xml:space="preserve">N</t>
    </r>
    <r>
      <rPr>
        <sz val="13"/>
        <rFont val="Noto Sans CJK SC"/>
        <family val="2"/>
      </rPr>
      <t xml:space="preserve">（長度參數）</t>
    </r>
  </si>
  <si>
    <t xml:space="preserve">183</t>
  </si>
  <si>
    <r>
      <rPr>
        <sz val="13"/>
        <rFont val="Microsoft JhengHei"/>
        <family val="0"/>
        <charset val="1"/>
      </rPr>
      <t xml:space="preserve">CN</t>
    </r>
    <r>
      <rPr>
        <sz val="13"/>
        <rFont val="Noto Sans CJK SC"/>
        <family val="2"/>
      </rPr>
      <t xml:space="preserve">鄰域編碼解析度，維持固定</t>
    </r>
  </si>
  <si>
    <r>
      <rPr>
        <sz val="13"/>
        <rFont val="Noto Sans CJK SC"/>
        <family val="2"/>
      </rPr>
      <t xml:space="preserve">提取體素／法向半徑 </t>
    </r>
    <r>
      <rPr>
        <sz val="13"/>
        <rFont val="Microsoft JhengHei"/>
        <family val="0"/>
        <charset val="1"/>
      </rPr>
      <t xml:space="preserve">m</t>
    </r>
  </si>
  <si>
    <r>
      <rPr>
        <sz val="13"/>
        <rFont val="Microsoft JhengHei"/>
        <family val="0"/>
        <charset val="1"/>
      </rPr>
      <t xml:space="preserve">0.01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0.10</t>
    </r>
  </si>
  <si>
    <r>
      <rPr>
        <sz val="13"/>
        <rFont val="Noto Sans CJK SC"/>
        <family val="2"/>
      </rPr>
      <t xml:space="preserve">樹幹提取不隨</t>
    </r>
    <r>
      <rPr>
        <sz val="13"/>
        <rFont val="Microsoft JhengHei"/>
        <family val="0"/>
        <charset val="1"/>
      </rPr>
      <t xml:space="preserve">dataset</t>
    </r>
    <r>
      <rPr>
        <sz val="13"/>
        <rFont val="Noto Sans CJK SC"/>
        <family val="2"/>
      </rPr>
      <t xml:space="preserve">改</t>
    </r>
  </si>
  <si>
    <r>
      <rPr>
        <sz val="13"/>
        <rFont val="Microsoft JhengHei"/>
        <family val="0"/>
        <charset val="1"/>
      </rPr>
      <t xml:space="preserve">P p2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BASECFG</t>
    </r>
  </si>
  <si>
    <r>
      <rPr>
        <sz val="13"/>
        <rFont val="Noto Sans CJK SC"/>
        <family val="2"/>
      </rPr>
      <t xml:space="preserve">提取</t>
    </r>
    <r>
      <rPr>
        <sz val="13"/>
        <rFont val="Microsoft JhengHei"/>
        <family val="0"/>
        <charset val="1"/>
      </rPr>
      <t xml:space="preserve">verticality</t>
    </r>
  </si>
  <si>
    <t xml:space="preserve">&gt;0.9</t>
  </si>
  <si>
    <r>
      <rPr>
        <sz val="13"/>
        <rFont val="Noto Sans CJK SC"/>
        <family val="2"/>
      </rPr>
      <t xml:space="preserve">全部場景共用；與</t>
    </r>
    <r>
      <rPr>
        <sz val="13"/>
        <rFont val="Microsoft JhengHei"/>
        <family val="0"/>
        <charset val="1"/>
      </rPr>
      <t xml:space="preserve">v3</t>
    </r>
    <r>
      <rPr>
        <sz val="13"/>
        <rFont val="Noto Sans CJK SC"/>
        <family val="2"/>
      </rPr>
      <t xml:space="preserve">驗證門檻不同</t>
    </r>
  </si>
  <si>
    <r>
      <rPr>
        <sz val="13"/>
        <rFont val="Microsoft JhengHei"/>
        <family val="0"/>
        <charset val="1"/>
      </rPr>
      <t xml:space="preserve">P Eq4 p2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CFG</t>
    </r>
  </si>
  <si>
    <r>
      <rPr>
        <sz val="13"/>
        <rFont val="Noto Sans CJK SC"/>
        <family val="2"/>
      </rPr>
      <t xml:space="preserve">候選擴張 </t>
    </r>
    <r>
      <rPr>
        <sz val="13"/>
        <rFont val="Microsoft JhengHei"/>
        <family val="0"/>
        <charset val="1"/>
      </rPr>
      <t xml:space="preserve">v1→v2</t>
    </r>
  </si>
  <si>
    <r>
      <rPr>
        <sz val="13"/>
        <rFont val="Microsoft JhengHei"/>
        <family val="0"/>
        <charset val="1"/>
      </rPr>
      <t xml:space="preserve">5</t>
    </r>
    <r>
      <rPr>
        <sz val="13"/>
        <rFont val="Noto Sans CJK SC"/>
        <family val="2"/>
      </rPr>
      <t xml:space="preserve">候選／</t>
    </r>
    <r>
      <rPr>
        <sz val="13"/>
        <rFont val="Microsoft JhengHei"/>
        <family val="0"/>
        <charset val="1"/>
      </rPr>
      <t xml:space="preserve">60</t>
    </r>
    <r>
      <rPr>
        <sz val="13"/>
        <rFont val="Noto Sans CJK SC"/>
        <family val="2"/>
      </rPr>
      <t xml:space="preserve">邊／最多</t>
    </r>
    <r>
      <rPr>
        <sz val="13"/>
        <rFont val="Microsoft JhengHei"/>
        <family val="0"/>
        <charset val="1"/>
      </rPr>
      <t xml:space="preserve">16</t>
    </r>
    <r>
      <rPr>
        <sz val="13"/>
        <rFont val="Noto Sans CJK SC"/>
        <family val="2"/>
      </rPr>
      <t xml:space="preserve">姿態／精化</t>
    </r>
    <r>
      <rPr>
        <sz val="13"/>
        <rFont val="Microsoft JhengHei"/>
        <family val="0"/>
        <charset val="1"/>
      </rPr>
      <t xml:space="preserve">3</t>
    </r>
    <r>
      <rPr>
        <sz val="13"/>
        <rFont val="Noto Sans CJK SC"/>
        <family val="2"/>
      </rPr>
      <t xml:space="preserve">個</t>
    </r>
  </si>
  <si>
    <r>
      <rPr>
        <sz val="13"/>
        <rFont val="Microsoft JhengHei"/>
        <family val="0"/>
        <charset val="1"/>
      </rPr>
      <t xml:space="preserve">20</t>
    </r>
    <r>
      <rPr>
        <sz val="13"/>
        <rFont val="Noto Sans CJK SC"/>
        <family val="2"/>
      </rPr>
      <t xml:space="preserve">候選／</t>
    </r>
    <r>
      <rPr>
        <sz val="13"/>
        <rFont val="Microsoft JhengHei"/>
        <family val="0"/>
        <charset val="1"/>
      </rPr>
      <t xml:space="preserve">120</t>
    </r>
    <r>
      <rPr>
        <sz val="13"/>
        <rFont val="Noto Sans CJK SC"/>
        <family val="2"/>
      </rPr>
      <t xml:space="preserve">邊／最多</t>
    </r>
    <r>
      <rPr>
        <sz val="13"/>
        <rFont val="Microsoft JhengHei"/>
        <family val="0"/>
        <charset val="1"/>
      </rPr>
      <t xml:space="preserve">256</t>
    </r>
    <r>
      <rPr>
        <sz val="13"/>
        <rFont val="Noto Sans CJK SC"/>
        <family val="2"/>
      </rPr>
      <t xml:space="preserve">姿態／精化</t>
    </r>
    <r>
      <rPr>
        <sz val="13"/>
        <rFont val="Microsoft JhengHei"/>
        <family val="0"/>
        <charset val="1"/>
      </rPr>
      <t xml:space="preserve">8</t>
    </r>
    <r>
      <rPr>
        <sz val="13"/>
        <rFont val="Noto Sans CJK SC"/>
        <family val="2"/>
      </rPr>
      <t xml:space="preserve">個</t>
    </r>
  </si>
  <si>
    <r>
      <rPr>
        <sz val="13"/>
        <rFont val="Noto Sans CJK SC"/>
        <family val="2"/>
      </rPr>
      <t xml:space="preserve">同時改搜尋及支持分數，不是單一</t>
    </r>
    <r>
      <rPr>
        <sz val="13"/>
        <rFont val="Microsoft JhengHei"/>
        <family val="0"/>
        <charset val="1"/>
      </rPr>
      <t xml:space="preserve">top-k</t>
    </r>
  </si>
  <si>
    <r>
      <rPr>
        <sz val="13"/>
        <rFont val="Microsoft JhengHei"/>
        <family val="0"/>
        <charset val="1"/>
      </rPr>
      <t xml:space="preserve">method_v2_frozen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CODE_REF</t>
    </r>
  </si>
  <si>
    <r>
      <rPr>
        <sz val="13"/>
        <rFont val="Microsoft JhengHei"/>
        <family val="0"/>
        <charset val="1"/>
      </rPr>
      <t xml:space="preserve">v2</t>
    </r>
    <r>
      <rPr>
        <sz val="13"/>
        <rFont val="Noto Sans CJK SC"/>
        <family val="2"/>
      </rPr>
      <t xml:space="preserve">新增水平初始值</t>
    </r>
  </si>
  <si>
    <t xml:space="preserve">未報告此設計</t>
  </si>
  <si>
    <r>
      <rPr>
        <sz val="13"/>
        <rFont val="Noto Sans CJK SC"/>
        <family val="2"/>
      </rPr>
      <t xml:space="preserve">相容</t>
    </r>
    <r>
      <rPr>
        <sz val="13"/>
        <rFont val="Microsoft JhengHei"/>
        <family val="0"/>
        <charset val="1"/>
      </rPr>
      <t xml:space="preserve">3D triples≤10000</t>
    </r>
  </si>
  <si>
    <r>
      <rPr>
        <sz val="13"/>
        <rFont val="Noto Sans CJK SC"/>
        <family val="2"/>
      </rPr>
      <t xml:space="preserve">最多</t>
    </r>
    <r>
      <rPr>
        <sz val="13"/>
        <rFont val="Microsoft JhengHei"/>
        <family val="0"/>
        <charset val="1"/>
      </rPr>
      <t xml:space="preserve">7140</t>
    </r>
    <r>
      <rPr>
        <sz val="13"/>
        <rFont val="Noto Sans CJK SC"/>
        <family val="2"/>
      </rPr>
      <t xml:space="preserve">雙點</t>
    </r>
    <r>
      <rPr>
        <sz val="13"/>
        <rFont val="Microsoft JhengHei"/>
        <family val="0"/>
        <charset val="1"/>
      </rPr>
      <t xml:space="preserve">yaw seeds</t>
    </r>
    <r>
      <rPr>
        <sz val="13"/>
        <rFont val="Noto Sans CJK SC"/>
        <family val="2"/>
      </rPr>
      <t xml:space="preserve">＋</t>
    </r>
    <r>
      <rPr>
        <sz val="13"/>
        <rFont val="Microsoft JhengHei"/>
        <family val="0"/>
        <charset val="1"/>
      </rPr>
      <t xml:space="preserve">10000 triples</t>
    </r>
  </si>
  <si>
    <r>
      <rPr>
        <sz val="13"/>
        <rFont val="Noto Sans CJK SC"/>
        <family val="2"/>
      </rPr>
      <t xml:space="preserve">只限制初始值，最終仍</t>
    </r>
    <r>
      <rPr>
        <sz val="13"/>
        <rFont val="Microsoft JhengHei"/>
        <family val="0"/>
        <charset val="1"/>
      </rPr>
      <t xml:space="preserve">6DOF</t>
    </r>
  </si>
  <si>
    <t xml:space="preserve">CFG</t>
  </si>
  <si>
    <r>
      <rPr>
        <sz val="13"/>
        <rFont val="Microsoft JhengHei"/>
        <family val="0"/>
        <charset val="1"/>
      </rPr>
      <t xml:space="preserve">v2→v3</t>
    </r>
    <r>
      <rPr>
        <sz val="13"/>
        <rFont val="Noto Sans CJK SC"/>
        <family val="2"/>
      </rPr>
      <t xml:space="preserve">候選引擎</t>
    </r>
  </si>
  <si>
    <r>
      <rPr>
        <sz val="13"/>
        <rFont val="Noto Sans CJK SC"/>
        <family val="2"/>
      </rPr>
      <t xml:space="preserve">同上</t>
    </r>
    <r>
      <rPr>
        <sz val="13"/>
        <rFont val="Microsoft JhengHei"/>
        <family val="0"/>
        <charset val="1"/>
      </rPr>
      <t xml:space="preserve">v2</t>
    </r>
  </si>
  <si>
    <r>
      <rPr>
        <sz val="13"/>
        <rFont val="Noto Sans CJK SC"/>
        <family val="2"/>
      </rPr>
      <t xml:space="preserve">保留同一</t>
    </r>
    <r>
      <rPr>
        <sz val="13"/>
        <rFont val="Microsoft JhengHei"/>
        <family val="0"/>
        <charset val="1"/>
      </rPr>
      <t xml:space="preserve">v2</t>
    </r>
    <r>
      <rPr>
        <sz val="13"/>
        <rFont val="Noto Sans CJK SC"/>
        <family val="2"/>
      </rPr>
      <t xml:space="preserve">引擎</t>
    </r>
  </si>
  <si>
    <t xml:space="preserve">本次主差異在驗證整組</t>
  </si>
  <si>
    <t xml:space="preserve">V3P</t>
  </si>
  <si>
    <t xml:space="preserve">驗證用表面</t>
  </si>
  <si>
    <t xml:space="preserve">全部方向</t>
  </si>
  <si>
    <r>
      <rPr>
        <sz val="13"/>
        <rFont val="Microsoft JhengHei"/>
        <family val="0"/>
        <charset val="1"/>
      </rPr>
      <t xml:space="preserve">|normal.z|&lt;0.30</t>
    </r>
    <r>
      <rPr>
        <sz val="13"/>
        <rFont val="Noto Sans CJK SC"/>
        <family val="2"/>
      </rPr>
      <t xml:space="preserve">；兩邊各≥</t>
    </r>
    <r>
      <rPr>
        <sz val="13"/>
        <rFont val="Microsoft JhengHei"/>
        <family val="0"/>
        <charset val="1"/>
      </rPr>
      <t xml:space="preserve">30</t>
    </r>
    <r>
      <rPr>
        <sz val="13"/>
        <rFont val="Noto Sans CJK SC"/>
        <family val="2"/>
      </rPr>
      <t xml:space="preserve">點</t>
    </r>
  </si>
  <si>
    <t xml:space="preserve">降低大平面重疊影響；不足退回全部</t>
  </si>
  <si>
    <t xml:space="preserve">CODE_V3</t>
  </si>
  <si>
    <r>
      <rPr>
        <sz val="13"/>
        <rFont val="Noto Sans CJK SC"/>
        <family val="2"/>
      </rPr>
      <t xml:space="preserve">驗證</t>
    </r>
    <r>
      <rPr>
        <sz val="13"/>
        <rFont val="Microsoft JhengHei"/>
        <family val="0"/>
        <charset val="1"/>
      </rPr>
      <t xml:space="preserve">NN gate m</t>
    </r>
  </si>
  <si>
    <r>
      <rPr>
        <sz val="13"/>
        <rFont val="Microsoft JhengHei"/>
        <family val="0"/>
        <charset val="1"/>
      </rPr>
      <t xml:space="preserve">3h</t>
    </r>
    <r>
      <rPr>
        <sz val="13"/>
        <rFont val="Noto Sans CJK SC"/>
        <family val="2"/>
      </rPr>
      <t xml:space="preserve">：</t>
    </r>
    <r>
      <rPr>
        <sz val="13"/>
        <rFont val="Microsoft JhengHei"/>
        <family val="0"/>
        <charset val="1"/>
      </rPr>
      <t xml:space="preserve">1.50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0.60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0.30</t>
    </r>
  </si>
  <si>
    <r>
      <rPr>
        <sz val="13"/>
        <rFont val="Microsoft JhengHei"/>
        <family val="0"/>
        <charset val="1"/>
      </rPr>
      <t xml:space="preserve">min(h,0.20)</t>
    </r>
    <r>
      <rPr>
        <sz val="13"/>
        <rFont val="Noto Sans CJK SC"/>
        <family val="2"/>
      </rPr>
      <t xml:space="preserve">：</t>
    </r>
    <r>
      <rPr>
        <sz val="13"/>
        <rFont val="Microsoft JhengHei"/>
        <family val="0"/>
        <charset val="1"/>
      </rPr>
      <t xml:space="preserve">0.20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0.20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0.10</t>
    </r>
  </si>
  <si>
    <t xml:space="preserve">距離門檻同步收緊，不能獨立歸因篩選</t>
  </si>
  <si>
    <t xml:space="preserve">優化與接受判斷</t>
  </si>
  <si>
    <r>
      <rPr>
        <sz val="13"/>
        <rFont val="Noto Sans CJK SC"/>
        <family val="2"/>
      </rPr>
      <t xml:space="preserve">所有方向</t>
    </r>
    <r>
      <rPr>
        <sz val="13"/>
        <rFont val="Microsoft JhengHei"/>
        <family val="0"/>
        <charset val="1"/>
      </rPr>
      <t xml:space="preserve">6DOF</t>
    </r>
    <r>
      <rPr>
        <sz val="13"/>
        <rFont val="Noto Sans CJK SC"/>
        <family val="2"/>
      </rPr>
      <t xml:space="preserve">點對平面</t>
    </r>
  </si>
  <si>
    <t xml:space="preserve">優化同前；新評分也影響接受／保留</t>
  </si>
  <si>
    <t xml:space="preserve">不只改最終排序</t>
  </si>
  <si>
    <t xml:space="preserve">DTM smooth</t>
  </si>
  <si>
    <t xml:space="preserve">作者細節待補</t>
  </si>
  <si>
    <r>
      <rPr>
        <sz val="13"/>
        <rFont val="Noto Sans CJK SC"/>
        <family val="2"/>
      </rPr>
      <t xml:space="preserve">原</t>
    </r>
    <r>
      <rPr>
        <sz val="13"/>
        <rFont val="Microsoft JhengHei"/>
        <family val="0"/>
        <charset val="1"/>
      </rPr>
      <t xml:space="preserve">DTM</t>
    </r>
    <r>
      <rPr>
        <sz val="13"/>
        <rFont val="Noto Sans CJK SC"/>
        <family val="2"/>
      </rPr>
      <t xml:space="preserve">，非</t>
    </r>
    <r>
      <rPr>
        <sz val="13"/>
        <rFont val="Microsoft JhengHei"/>
        <family val="0"/>
        <charset val="1"/>
      </rPr>
      <t xml:space="preserve">report02 smooth</t>
    </r>
  </si>
  <si>
    <t xml:space="preserve">相同</t>
  </si>
  <si>
    <t xml:space="preserve">避免把兩輪方法拼在一起</t>
  </si>
  <si>
    <r>
      <rPr>
        <sz val="10"/>
        <color rgb="FF444444"/>
        <rFont val="Noto Sans CJK SC"/>
        <family val="2"/>
      </rPr>
      <t xml:space="preserve">原論文未交代的值標待補，不能把本地預設數字當作者設定。各版本共用本地額外圓柱檢查、</t>
    </r>
    <r>
      <rPr>
        <sz val="10"/>
        <color rgb="FF444444"/>
        <rFont val="Microsoft JhengHei"/>
        <family val="0"/>
        <charset val="1"/>
      </rPr>
      <t xml:space="preserve">20cm</t>
    </r>
    <r>
      <rPr>
        <sz val="10"/>
        <color rgb="FF444444"/>
        <rFont val="Noto Sans CJK SC"/>
        <family val="2"/>
      </rPr>
      <t xml:space="preserve">分群與</t>
    </r>
    <r>
      <rPr>
        <sz val="10"/>
        <color rgb="FF444444"/>
        <rFont val="Microsoft JhengHei"/>
        <family val="0"/>
        <charset val="1"/>
      </rPr>
      <t xml:space="preserve">scanner origin=(0,0,0)</t>
    </r>
    <r>
      <rPr>
        <sz val="10"/>
        <color rgb="FF444444"/>
        <rFont val="Noto Sans CJK SC"/>
        <family val="2"/>
      </rPr>
      <t xml:space="preserve">假設；細節</t>
    </r>
    <r>
      <rPr>
        <sz val="10"/>
        <color rgb="FF444444"/>
        <rFont val="Microsoft JhengHei"/>
        <family val="0"/>
        <charset val="1"/>
      </rPr>
      <t xml:space="preserve">BASECFG</t>
    </r>
    <r>
      <rPr>
        <sz val="10"/>
        <color rgb="FF444444"/>
        <rFont val="Noto Sans CJK SC"/>
        <family val="2"/>
      </rPr>
      <t xml:space="preserve">。</t>
    </r>
    <r>
      <rPr>
        <sz val="10"/>
        <color rgb="FF444444"/>
        <rFont val="Microsoft JhengHei"/>
        <family val="0"/>
        <charset val="1"/>
      </rPr>
      <t xml:space="preserve">Thscore/w/N</t>
    </r>
    <r>
      <rPr>
        <sz val="10"/>
        <color rgb="FF444444"/>
        <rFont val="Noto Sans CJK SC"/>
        <family val="2"/>
      </rPr>
      <t xml:space="preserve">與</t>
    </r>
    <r>
      <rPr>
        <sz val="10"/>
        <color rgb="FF444444"/>
        <rFont val="Microsoft JhengHei"/>
        <family val="0"/>
        <charset val="1"/>
      </rPr>
      <t xml:space="preserve">step</t>
    </r>
    <r>
      <rPr>
        <sz val="10"/>
        <color rgb="FF444444"/>
        <rFont val="Noto Sans CJK SC"/>
        <family val="2"/>
      </rPr>
      <t xml:space="preserve">抽樣維持固定。</t>
    </r>
  </si>
  <si>
    <r>
      <rPr>
        <b val="true"/>
        <sz val="14"/>
        <rFont val="Microsoft JhengHei"/>
        <family val="0"/>
        <charset val="1"/>
      </rPr>
      <t xml:space="preserve">Plot4</t>
    </r>
    <r>
      <rPr>
        <b val="true"/>
        <sz val="14"/>
        <rFont val="Noto Sans CJK SC"/>
        <family val="2"/>
      </rPr>
      <t xml:space="preserve">：擴張失敗與修正都保留</t>
    </r>
  </si>
  <si>
    <t xml:space="preserve">版本</t>
  </si>
  <si>
    <t xml:space="preserve">成功</t>
  </si>
  <si>
    <t xml:space="preserve">試驗</t>
  </si>
  <si>
    <t xml:space="preserve">成功率</t>
  </si>
  <si>
    <r>
      <rPr>
        <b val="true"/>
        <sz val="13"/>
        <rFont val="Noto Sans CJK SC"/>
        <family val="2"/>
      </rPr>
      <t xml:space="preserve">所有有限</t>
    </r>
    <r>
      <rPr>
        <b val="true"/>
        <sz val="13"/>
        <rFont val="Microsoft JhengHei"/>
        <family val="0"/>
        <charset val="1"/>
      </rPr>
      <t xml:space="preserve">mean cm</t>
    </r>
  </si>
  <si>
    <r>
      <rPr>
        <b val="true"/>
        <sz val="13"/>
        <rFont val="Noto Sans CJK SC"/>
        <family val="2"/>
      </rPr>
      <t xml:space="preserve">有限</t>
    </r>
    <r>
      <rPr>
        <b val="true"/>
        <sz val="13"/>
        <rFont val="Microsoft JhengHei"/>
        <family val="0"/>
        <charset val="1"/>
      </rPr>
      <t xml:space="preserve">median cm</t>
    </r>
  </si>
  <si>
    <r>
      <rPr>
        <b val="true"/>
        <sz val="13"/>
        <rFont val="Noto Sans CJK SC"/>
        <family val="2"/>
      </rPr>
      <t xml:space="preserve">有限</t>
    </r>
    <r>
      <rPr>
        <b val="true"/>
        <sz val="13"/>
        <rFont val="Microsoft JhengHei"/>
        <family val="0"/>
        <charset val="1"/>
      </rPr>
      <t xml:space="preserve">N</t>
    </r>
  </si>
  <si>
    <t xml:space="preserve">範圍</t>
  </si>
  <si>
    <t xml:space="preserve">multi_refined</t>
  </si>
  <si>
    <t xml:space="preserve">U Plot4 seed31–40</t>
  </si>
  <si>
    <t xml:space="preserve">multi_v2_refined</t>
  </si>
  <si>
    <t xml:space="preserve">multi_v3_refined</t>
  </si>
  <si>
    <r>
      <rPr>
        <sz val="10"/>
        <color rgb="FF444444"/>
        <rFont val="Microsoft JhengHei"/>
        <family val="0"/>
        <charset val="1"/>
      </rPr>
      <t xml:space="preserve">U</t>
    </r>
    <r>
      <rPr>
        <sz val="10"/>
        <color rgb="FF444444"/>
        <rFont val="Noto Sans CJK SC"/>
        <family val="2"/>
      </rPr>
      <t xml:space="preserve">；</t>
    </r>
    <r>
      <rPr>
        <sz val="10"/>
        <color rgb="FF444444"/>
        <rFont val="Microsoft JhengHei"/>
        <family val="0"/>
        <charset val="1"/>
      </rPr>
      <t xml:space="preserve">v1/v2/v3</t>
    </r>
    <r>
      <rPr>
        <sz val="10"/>
        <color rgb="FF444444"/>
        <rFont val="Noto Sans CJK SC"/>
        <family val="2"/>
      </rPr>
      <t xml:space="preserve">全</t>
    </r>
    <r>
      <rPr>
        <sz val="10"/>
        <color rgb="FF444444"/>
        <rFont val="Microsoft JhengHei"/>
        <family val="0"/>
        <charset val="1"/>
      </rPr>
      <t xml:space="preserve">100</t>
    </r>
    <r>
      <rPr>
        <sz val="10"/>
        <color rgb="FF444444"/>
        <rFont val="Noto Sans CJK SC"/>
        <family val="2"/>
      </rPr>
      <t xml:space="preserve">例都有有限</t>
    </r>
    <r>
      <rPr>
        <sz val="10"/>
        <color rgb="FF444444"/>
        <rFont val="Microsoft JhengHei"/>
        <family val="0"/>
        <charset val="1"/>
      </rPr>
      <t xml:space="preserve">e_p</t>
    </r>
    <r>
      <rPr>
        <sz val="10"/>
        <color rgb="FF444444"/>
        <rFont val="Noto Sans CJK SC"/>
        <family val="2"/>
      </rPr>
      <t xml:space="preserve">，因此此處</t>
    </r>
    <r>
      <rPr>
        <sz val="10"/>
        <color rgb="FF444444"/>
        <rFont val="Microsoft JhengHei"/>
        <family val="0"/>
        <charset val="1"/>
      </rPr>
      <t xml:space="preserve">mean</t>
    </r>
    <r>
      <rPr>
        <sz val="10"/>
        <color rgb="FF444444"/>
        <rFont val="Noto Sans CJK SC"/>
        <family val="2"/>
      </rPr>
      <t xml:space="preserve">可直接比較。</t>
    </r>
    <r>
      <rPr>
        <sz val="10"/>
        <color rgb="FF444444"/>
        <rFont val="Microsoft JhengHei"/>
        <family val="0"/>
        <charset val="1"/>
      </rPr>
      <t xml:space="preserve">v2</t>
    </r>
    <r>
      <rPr>
        <sz val="10"/>
        <color rgb="FF444444"/>
        <rFont val="Noto Sans CJK SC"/>
        <family val="2"/>
      </rPr>
      <t xml:space="preserve">的</t>
    </r>
    <r>
      <rPr>
        <sz val="10"/>
        <color rgb="FF444444"/>
        <rFont val="Microsoft JhengHei"/>
        <family val="0"/>
        <charset val="1"/>
      </rPr>
      <t xml:space="preserve">median</t>
    </r>
    <r>
      <rPr>
        <sz val="10"/>
        <color rgb="FF444444"/>
        <rFont val="Noto Sans CJK SC"/>
        <family val="2"/>
      </rPr>
      <t xml:space="preserve">仍小，卻有</t>
    </r>
    <r>
      <rPr>
        <sz val="10"/>
        <color rgb="FF444444"/>
        <rFont val="Microsoft JhengHei"/>
        <family val="0"/>
        <charset val="1"/>
      </rPr>
      <t xml:space="preserve">22%</t>
    </r>
    <r>
      <rPr>
        <sz val="10"/>
        <color rgb="FF444444"/>
        <rFont val="Noto Sans CJK SC"/>
        <family val="2"/>
      </rPr>
      <t xml:space="preserve">失敗，不能只報</t>
    </r>
    <r>
      <rPr>
        <sz val="10"/>
        <color rgb="FF444444"/>
        <rFont val="Microsoft JhengHei"/>
        <family val="0"/>
        <charset val="1"/>
      </rPr>
      <t xml:space="preserve">median</t>
    </r>
    <r>
      <rPr>
        <sz val="10"/>
        <color rgb="FF444444"/>
        <rFont val="Noto Sans CJK SC"/>
        <family val="2"/>
      </rPr>
      <t xml:space="preserve">。</t>
    </r>
  </si>
  <si>
    <r>
      <rPr>
        <b val="true"/>
        <sz val="14"/>
        <rFont val="Noto Sans CJK SC"/>
        <family val="2"/>
      </rPr>
      <t xml:space="preserve">公平</t>
    </r>
    <r>
      <rPr>
        <b val="true"/>
        <sz val="14"/>
        <rFont val="Microsoft JhengHei"/>
        <family val="0"/>
        <charset val="1"/>
      </rPr>
      <t xml:space="preserve">backend</t>
    </r>
    <r>
      <rPr>
        <b val="true"/>
        <sz val="14"/>
        <rFont val="Noto Sans CJK SC"/>
        <family val="2"/>
      </rPr>
      <t xml:space="preserve">：多初始值額外救回多少？</t>
    </r>
  </si>
  <si>
    <t xml:space="preserve">場景</t>
  </si>
  <si>
    <r>
      <rPr>
        <b val="true"/>
        <sz val="13"/>
        <rFont val="Microsoft JhengHei"/>
        <family val="0"/>
        <charset val="1"/>
      </rPr>
      <t xml:space="preserve">5cm</t>
    </r>
    <r>
      <rPr>
        <b val="true"/>
        <sz val="13"/>
        <rFont val="Noto Sans CJK SC"/>
        <family val="2"/>
      </rPr>
      <t xml:space="preserve">＋同微調</t>
    </r>
  </si>
  <si>
    <r>
      <rPr>
        <b val="true"/>
        <sz val="13"/>
        <rFont val="Microsoft JhengHei"/>
        <family val="0"/>
        <charset val="1"/>
      </rPr>
      <t xml:space="preserve">ETH</t>
    </r>
    <r>
      <rPr>
        <b val="true"/>
        <sz val="13"/>
        <rFont val="Noto Sans CJK SC"/>
        <family val="2"/>
      </rPr>
      <t xml:space="preserve">固定＋同微調</t>
    </r>
  </si>
  <si>
    <r>
      <rPr>
        <b val="true"/>
        <sz val="13"/>
        <rFont val="Noto Sans CJK SC"/>
        <family val="2"/>
      </rPr>
      <t xml:space="preserve">統一</t>
    </r>
    <r>
      <rPr>
        <b val="true"/>
        <sz val="13"/>
        <rFont val="Microsoft JhengHei"/>
        <family val="0"/>
        <charset val="1"/>
      </rPr>
      <t xml:space="preserve">v3</t>
    </r>
    <r>
      <rPr>
        <b val="true"/>
        <sz val="13"/>
        <rFont val="Noto Sans CJK SC"/>
        <family val="2"/>
      </rPr>
      <t xml:space="preserve">成功</t>
    </r>
  </si>
  <si>
    <r>
      <rPr>
        <b val="true"/>
        <sz val="13"/>
        <rFont val="Noto Sans CJK SC"/>
        <family val="2"/>
      </rPr>
      <t xml:space="preserve">較</t>
    </r>
    <r>
      <rPr>
        <b val="true"/>
        <sz val="13"/>
        <rFont val="Microsoft JhengHei"/>
        <family val="0"/>
        <charset val="1"/>
      </rPr>
      <t xml:space="preserve">ETH</t>
    </r>
    <r>
      <rPr>
        <b val="true"/>
        <sz val="13"/>
        <rFont val="Noto Sans CJK SC"/>
        <family val="2"/>
      </rPr>
      <t xml:space="preserve">新增</t>
    </r>
  </si>
  <si>
    <r>
      <rPr>
        <b val="true"/>
        <sz val="13"/>
        <rFont val="Noto Sans CJK SC"/>
        <family val="2"/>
      </rPr>
      <t xml:space="preserve">較</t>
    </r>
    <r>
      <rPr>
        <b val="true"/>
        <sz val="13"/>
        <rFont val="Microsoft JhengHei"/>
        <family val="0"/>
        <charset val="1"/>
      </rPr>
      <t xml:space="preserve">ETH</t>
    </r>
    <r>
      <rPr>
        <b val="true"/>
        <sz val="13"/>
        <rFont val="Noto Sans CJK SC"/>
        <family val="2"/>
      </rPr>
      <t xml:space="preserve">退步</t>
    </r>
  </si>
  <si>
    <t xml:space="preserve">控制</t>
  </si>
  <si>
    <r>
      <rPr>
        <sz val="13"/>
        <rFont val="Noto Sans CJK SC"/>
        <family val="2"/>
      </rPr>
      <t xml:space="preserve">同一</t>
    </r>
    <r>
      <rPr>
        <sz val="13"/>
        <rFont val="Microsoft JhengHei"/>
        <family val="0"/>
        <charset val="1"/>
      </rPr>
      <t xml:space="preserve">v3 backend</t>
    </r>
  </si>
  <si>
    <r>
      <rPr>
        <sz val="10"/>
        <color rgb="FF444444"/>
        <rFont val="Microsoft JhengHei"/>
        <family val="0"/>
        <charset val="1"/>
      </rPr>
      <t xml:space="preserve">U</t>
    </r>
    <r>
      <rPr>
        <sz val="10"/>
        <color rgb="FF444444"/>
        <rFont val="Noto Sans CJK SC"/>
        <family val="2"/>
      </rPr>
      <t xml:space="preserve">；總數</t>
    </r>
    <r>
      <rPr>
        <sz val="10"/>
        <color rgb="FF444444"/>
        <rFont val="Microsoft JhengHei"/>
        <family val="0"/>
        <charset val="1"/>
      </rPr>
      <t xml:space="preserve">507/550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546/550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550/550</t>
    </r>
    <r>
      <rPr>
        <sz val="10"/>
        <color rgb="FF444444"/>
        <rFont val="Noto Sans CJK SC"/>
        <family val="2"/>
      </rPr>
      <t xml:space="preserve">。統一版相對</t>
    </r>
    <r>
      <rPr>
        <sz val="10"/>
        <color rgb="FF444444"/>
        <rFont val="Microsoft JhengHei"/>
        <family val="0"/>
        <charset val="1"/>
      </rPr>
      <t xml:space="preserve">ETH</t>
    </r>
    <r>
      <rPr>
        <sz val="10"/>
        <color rgb="FF444444"/>
        <rFont val="Noto Sans CJK SC"/>
        <family val="2"/>
      </rPr>
      <t xml:space="preserve">固定＋同</t>
    </r>
    <r>
      <rPr>
        <sz val="10"/>
        <color rgb="FF444444"/>
        <rFont val="Microsoft JhengHei"/>
        <family val="0"/>
        <charset val="1"/>
      </rPr>
      <t xml:space="preserve">v3</t>
    </r>
    <r>
      <rPr>
        <sz val="10"/>
        <color rgb="FF444444"/>
        <rFont val="Noto Sans CJK SC"/>
        <family val="2"/>
      </rPr>
      <t xml:space="preserve">微調額外</t>
    </r>
    <r>
      <rPr>
        <sz val="10"/>
        <color rgb="FF444444"/>
        <rFont val="Microsoft JhengHei"/>
        <family val="0"/>
        <charset val="1"/>
      </rPr>
      <t xml:space="preserve">4</t>
    </r>
    <r>
      <rPr>
        <sz val="10"/>
        <color rgb="FF444444"/>
        <rFont val="Noto Sans CJK SC"/>
        <family val="2"/>
      </rPr>
      <t xml:space="preserve">次，全部在</t>
    </r>
    <r>
      <rPr>
        <sz val="10"/>
        <color rgb="FF444444"/>
        <rFont val="Microsoft JhengHei"/>
        <family val="0"/>
        <charset val="1"/>
      </rPr>
      <t xml:space="preserve">Plot4</t>
    </r>
    <r>
      <rPr>
        <sz val="10"/>
        <color rgb="FF444444"/>
        <rFont val="Noto Sans CJK SC"/>
        <family val="2"/>
      </rPr>
      <t xml:space="preserve">；不把全部改善都歸給新候選。</t>
    </r>
  </si>
  <si>
    <r>
      <rPr>
        <b val="true"/>
        <sz val="14"/>
        <rFont val="Noto Sans CJK SC"/>
        <family val="2"/>
      </rPr>
      <t xml:space="preserve">一個已完成案例：</t>
    </r>
    <r>
      <rPr>
        <b val="true"/>
        <sz val="14"/>
        <rFont val="Microsoft JhengHei"/>
        <family val="0"/>
        <charset val="1"/>
      </rPr>
      <t xml:space="preserve">overlap</t>
    </r>
    <r>
      <rPr>
        <b val="true"/>
        <sz val="14"/>
        <rFont val="Noto Sans CJK SC"/>
        <family val="2"/>
      </rPr>
      <t xml:space="preserve">較大卻錯得更遠</t>
    </r>
  </si>
  <si>
    <r>
      <rPr>
        <b val="true"/>
        <sz val="13"/>
        <rFont val="Noto Sans CJK SC"/>
        <family val="2"/>
      </rPr>
      <t xml:space="preserve">同定義</t>
    </r>
    <r>
      <rPr>
        <b val="true"/>
        <sz val="13"/>
        <rFont val="Microsoft JhengHei"/>
        <family val="0"/>
        <charset val="1"/>
      </rPr>
      <t xml:space="preserve">overlap</t>
    </r>
  </si>
  <si>
    <t xml:space="preserve">e_p cm</t>
  </si>
  <si>
    <r>
      <rPr>
        <b val="true"/>
        <sz val="13"/>
        <rFont val="Noto Sans CJK SC"/>
        <family val="2"/>
      </rPr>
      <t xml:space="preserve">成功</t>
    </r>
    <r>
      <rPr>
        <b val="true"/>
        <sz val="13"/>
        <rFont val="Microsoft JhengHei"/>
        <family val="0"/>
        <charset val="1"/>
      </rPr>
      <t xml:space="preserve">0/1</t>
    </r>
  </si>
  <si>
    <t xml:space="preserve">配對</t>
  </si>
  <si>
    <t xml:space="preserve">seed</t>
  </si>
  <si>
    <r>
      <rPr>
        <b val="true"/>
        <sz val="13"/>
        <rFont val="Microsoft JhengHei"/>
        <family val="0"/>
        <charset val="1"/>
      </rPr>
      <t xml:space="preserve">overlap</t>
    </r>
    <r>
      <rPr>
        <b val="true"/>
        <sz val="13"/>
        <rFont val="Noto Sans CJK SC"/>
        <family val="2"/>
      </rPr>
      <t xml:space="preserve">範圍</t>
    </r>
  </si>
  <si>
    <t xml:space="preserve">S4-S2</t>
  </si>
  <si>
    <t xml:space="preserve">all surface</t>
  </si>
  <si>
    <t xml:space="preserve">U</t>
  </si>
  <si>
    <t xml:space="preserve">新定義不直接比</t>
  </si>
  <si>
    <r>
      <rPr>
        <sz val="10"/>
        <color rgb="FF444444"/>
        <rFont val="Microsoft JhengHei"/>
        <family val="0"/>
        <charset val="1"/>
      </rPr>
      <t xml:space="preserve">v1/v2</t>
    </r>
    <r>
      <rPr>
        <sz val="10"/>
        <color rgb="FF444444"/>
        <rFont val="Noto Sans CJK SC"/>
        <family val="2"/>
      </rPr>
      <t xml:space="preserve">舊</t>
    </r>
    <r>
      <rPr>
        <sz val="10"/>
        <color rgb="FF444444"/>
        <rFont val="Microsoft JhengHei"/>
        <family val="0"/>
        <charset val="1"/>
      </rPr>
      <t xml:space="preserve">geo_overlap</t>
    </r>
    <r>
      <rPr>
        <sz val="10"/>
        <color rgb="FF444444"/>
        <rFont val="Noto Sans CJK SC"/>
        <family val="2"/>
      </rPr>
      <t xml:space="preserve">定義相同；</t>
    </r>
    <r>
      <rPr>
        <sz val="10"/>
        <color rgb="FF444444"/>
        <rFont val="Microsoft JhengHei"/>
        <family val="0"/>
        <charset val="1"/>
      </rPr>
      <t xml:space="preserve">v3</t>
    </r>
    <r>
      <rPr>
        <sz val="10"/>
        <color rgb="FF444444"/>
        <rFont val="Noto Sans CJK SC"/>
        <family val="2"/>
      </rPr>
      <t xml:space="preserve">改了點集合與</t>
    </r>
    <r>
      <rPr>
        <sz val="10"/>
        <color rgb="FF444444"/>
        <rFont val="Microsoft JhengHei"/>
        <family val="0"/>
        <charset val="1"/>
      </rPr>
      <t xml:space="preserve">gate</t>
    </r>
    <r>
      <rPr>
        <sz val="10"/>
        <color rgb="FF444444"/>
        <rFont val="Noto Sans CJK SC"/>
        <family val="2"/>
      </rPr>
      <t xml:space="preserve">，同定義</t>
    </r>
    <r>
      <rPr>
        <sz val="10"/>
        <color rgb="FF444444"/>
        <rFont val="Microsoft JhengHei"/>
        <family val="0"/>
        <charset val="1"/>
      </rPr>
      <t xml:space="preserve">overlap</t>
    </r>
    <r>
      <rPr>
        <sz val="10"/>
        <color rgb="FF444444"/>
        <rFont val="Noto Sans CJK SC"/>
        <family val="2"/>
      </rPr>
      <t xml:space="preserve">待補。這支持舊驗證分數有歧義；地面重複是機制解釋，尚無只改垂直篩選／只改</t>
    </r>
    <r>
      <rPr>
        <sz val="10"/>
        <color rgb="FF444444"/>
        <rFont val="Microsoft JhengHei"/>
        <family val="0"/>
        <charset val="1"/>
      </rPr>
      <t xml:space="preserve">gate</t>
    </r>
    <r>
      <rPr>
        <sz val="10"/>
        <color rgb="FF444444"/>
        <rFont val="Noto Sans CJK SC"/>
        <family val="2"/>
      </rPr>
      <t xml:space="preserve">的</t>
    </r>
    <r>
      <rPr>
        <sz val="10"/>
        <color rgb="FF444444"/>
        <rFont val="Microsoft JhengHei"/>
        <family val="0"/>
        <charset val="1"/>
      </rPr>
      <t xml:space="preserve">2×2</t>
    </r>
    <r>
      <rPr>
        <sz val="10"/>
        <color rgb="FF444444"/>
        <rFont val="Noto Sans CJK SC"/>
        <family val="2"/>
      </rPr>
      <t xml:space="preserve">。</t>
    </r>
  </si>
  <si>
    <r>
      <rPr>
        <b val="true"/>
        <sz val="14"/>
        <rFont val="Noto Sans CJK SC"/>
        <family val="2"/>
      </rPr>
      <t xml:space="preserve">代表配對冷啟動：兩站重提取＋</t>
    </r>
    <r>
      <rPr>
        <b val="true"/>
        <sz val="14"/>
        <rFont val="Microsoft JhengHei"/>
        <family val="0"/>
        <charset val="1"/>
      </rPr>
      <t xml:space="preserve">geometry</t>
    </r>
    <r>
      <rPr>
        <b val="true"/>
        <sz val="14"/>
        <rFont val="Noto Sans CJK SC"/>
        <family val="2"/>
      </rPr>
      <t xml:space="preserve">＋配對</t>
    </r>
  </si>
  <si>
    <t xml:space="preserve">資料／固定配對</t>
  </si>
  <si>
    <r>
      <rPr>
        <b val="true"/>
        <sz val="13"/>
        <rFont val="Noto Sans CJK SC"/>
        <family val="2"/>
      </rPr>
      <t xml:space="preserve">參考＋同微調 </t>
    </r>
    <r>
      <rPr>
        <b val="true"/>
        <sz val="13"/>
        <rFont val="Microsoft JhengHei"/>
        <family val="0"/>
        <charset val="1"/>
      </rPr>
      <t xml:space="preserve">s</t>
    </r>
  </si>
  <si>
    <r>
      <rPr>
        <b val="true"/>
        <sz val="13"/>
        <rFont val="Noto Sans CJK SC"/>
        <family val="2"/>
      </rPr>
      <t xml:space="preserve">統一</t>
    </r>
    <r>
      <rPr>
        <b val="true"/>
        <sz val="13"/>
        <rFont val="Microsoft JhengHei"/>
        <family val="0"/>
        <charset val="1"/>
      </rPr>
      <t xml:space="preserve">v3 s</t>
    </r>
  </si>
  <si>
    <t xml:space="preserve">下降率</t>
  </si>
  <si>
    <r>
      <rPr>
        <b val="true"/>
        <sz val="13"/>
        <rFont val="Noto Sans CJK SC"/>
        <family val="2"/>
      </rPr>
      <t xml:space="preserve">參考峰值 </t>
    </r>
    <r>
      <rPr>
        <b val="true"/>
        <sz val="13"/>
        <rFont val="Microsoft JhengHei"/>
        <family val="0"/>
        <charset val="1"/>
      </rPr>
      <t xml:space="preserve">MiB</t>
    </r>
  </si>
  <si>
    <r>
      <rPr>
        <b val="true"/>
        <sz val="13"/>
        <rFont val="Microsoft JhengHei"/>
        <family val="0"/>
        <charset val="1"/>
      </rPr>
      <t xml:space="preserve">v3</t>
    </r>
    <r>
      <rPr>
        <b val="true"/>
        <sz val="13"/>
        <rFont val="Noto Sans CJK SC"/>
        <family val="2"/>
      </rPr>
      <t xml:space="preserve">峰值 </t>
    </r>
    <r>
      <rPr>
        <b val="true"/>
        <sz val="13"/>
        <rFont val="Microsoft JhengHei"/>
        <family val="0"/>
        <charset val="1"/>
      </rPr>
      <t xml:space="preserve">MiB</t>
    </r>
  </si>
  <si>
    <t xml:space="preserve">每法測量次數</t>
  </si>
  <si>
    <r>
      <rPr>
        <sz val="13"/>
        <rFont val="Microsoft JhengHei"/>
        <family val="0"/>
        <charset val="1"/>
      </rPr>
      <t xml:space="preserve">ETH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ETH/s1-s2</t>
    </r>
  </si>
  <si>
    <r>
      <rPr>
        <sz val="13"/>
        <rFont val="Noto Sans CJK SC"/>
        <family val="2"/>
      </rPr>
      <t xml:space="preserve">同</t>
    </r>
    <r>
      <rPr>
        <sz val="13"/>
        <rFont val="Microsoft JhengHei"/>
        <family val="0"/>
        <charset val="1"/>
      </rPr>
      <t xml:space="preserve">epoch</t>
    </r>
    <r>
      <rPr>
        <sz val="13"/>
        <rFont val="Noto Sans CJK SC"/>
        <family val="2"/>
      </rPr>
      <t xml:space="preserve">、</t>
    </r>
    <r>
      <rPr>
        <sz val="13"/>
        <rFont val="Microsoft JhengHei"/>
        <family val="0"/>
        <charset val="1"/>
      </rPr>
      <t xml:space="preserve">native</t>
    </r>
    <r>
      <rPr>
        <sz val="13"/>
        <rFont val="Noto Sans CJK SC"/>
        <family val="2"/>
      </rPr>
      <t xml:space="preserve">串行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</si>
  <si>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Plot1/S2-S1</t>
    </r>
  </si>
  <si>
    <r>
      <rPr>
        <sz val="10"/>
        <color rgb="FF444444"/>
        <rFont val="Microsoft JhengHei"/>
        <family val="0"/>
        <charset val="1"/>
      </rPr>
      <t xml:space="preserve">C/HW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Xeon Platinum8573C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CPU</t>
    </r>
    <r>
      <rPr>
        <sz val="10"/>
        <color rgb="FF444444"/>
        <rFont val="Noto Sans CJK SC"/>
        <family val="2"/>
      </rPr>
      <t xml:space="preserve">配額</t>
    </r>
    <r>
      <rPr>
        <sz val="10"/>
        <color rgb="FF444444"/>
        <rFont val="Microsoft JhengHei"/>
        <family val="0"/>
        <charset val="1"/>
      </rPr>
      <t xml:space="preserve">4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32GiB</t>
    </r>
    <r>
      <rPr>
        <sz val="10"/>
        <color rgb="FF444444"/>
        <rFont val="Noto Sans CJK SC"/>
        <family val="2"/>
      </rPr>
      <t xml:space="preserve">、每程序</t>
    </r>
    <r>
      <rPr>
        <sz val="10"/>
        <color rgb="FF444444"/>
        <rFont val="Microsoft JhengHei"/>
        <family val="0"/>
        <charset val="1"/>
      </rPr>
      <t xml:space="preserve">4OMP</t>
    </r>
    <r>
      <rPr>
        <sz val="10"/>
        <color rgb="FF444444"/>
        <rFont val="Noto Sans CJK SC"/>
        <family val="2"/>
      </rPr>
      <t xml:space="preserve">。</t>
    </r>
    <r>
      <rPr>
        <sz val="10"/>
        <color rgb="FF444444"/>
        <rFont val="Microsoft JhengHei"/>
        <family val="0"/>
        <charset val="1"/>
      </rPr>
      <t xml:space="preserve">seed31</t>
    </r>
    <r>
      <rPr>
        <sz val="10"/>
        <color rgb="FF444444"/>
        <rFont val="Noto Sans CJK SC"/>
        <family val="2"/>
      </rPr>
      <t xml:space="preserve">，每資料每法</t>
    </r>
    <r>
      <rPr>
        <sz val="10"/>
        <color rgb="FF444444"/>
        <rFont val="Microsoft JhengHei"/>
        <family val="0"/>
        <charset val="1"/>
      </rPr>
      <t xml:space="preserve">1</t>
    </r>
    <r>
      <rPr>
        <sz val="10"/>
        <color rgb="FF444444"/>
        <rFont val="Noto Sans CJK SC"/>
        <family val="2"/>
      </rPr>
      <t xml:space="preserve">個固定</t>
    </r>
    <r>
      <rPr>
        <sz val="10"/>
        <color rgb="FF444444"/>
        <rFont val="Microsoft JhengHei"/>
        <family val="0"/>
        <charset val="1"/>
      </rPr>
      <t xml:space="preserve">pair</t>
    </r>
    <r>
      <rPr>
        <sz val="10"/>
        <color rgb="FF444444"/>
        <rFont val="Noto Sans CJK SC"/>
        <family val="2"/>
      </rPr>
      <t xml:space="preserve">，</t>
    </r>
    <r>
      <rPr>
        <sz val="10"/>
        <color rgb="FF444444"/>
        <rFont val="Microsoft JhengHei"/>
        <family val="0"/>
        <charset val="1"/>
      </rPr>
      <t xml:space="preserve">OS cache</t>
    </r>
    <r>
      <rPr>
        <sz val="10"/>
        <color rgb="FF444444"/>
        <rFont val="Noto Sans CJK SC"/>
        <family val="2"/>
      </rPr>
      <t xml:space="preserve">未清。下降率是這次觀測差異，不證速度排名；峰值為最大</t>
    </r>
    <r>
      <rPr>
        <sz val="10"/>
        <color rgb="FF444444"/>
        <rFont val="Microsoft JhengHei"/>
        <family val="0"/>
        <charset val="1"/>
      </rPr>
      <t xml:space="preserve">native</t>
    </r>
    <r>
      <rPr>
        <sz val="10"/>
        <color rgb="FF444444"/>
        <rFont val="Noto Sans CJK SC"/>
        <family val="2"/>
      </rPr>
      <t xml:space="preserve">子程序</t>
    </r>
    <r>
      <rPr>
        <sz val="10"/>
        <color rgb="FF444444"/>
        <rFont val="Microsoft JhengHei"/>
        <family val="0"/>
        <charset val="1"/>
      </rPr>
      <t xml:space="preserve">RSS</t>
    </r>
    <r>
      <rPr>
        <sz val="10"/>
        <color rgb="FF444444"/>
        <rFont val="Noto Sans CJK SC"/>
        <family val="2"/>
      </rPr>
      <t xml:space="preserve">，不含</t>
    </r>
    <r>
      <rPr>
        <sz val="10"/>
        <color rgb="FF444444"/>
        <rFont val="Microsoft JhengHei"/>
        <family val="0"/>
        <charset val="1"/>
      </rPr>
      <t xml:space="preserve">Python</t>
    </r>
    <r>
      <rPr>
        <sz val="10"/>
        <color rgb="FF444444"/>
        <rFont val="Noto Sans CJK SC"/>
        <family val="2"/>
      </rPr>
      <t xml:space="preserve">及</t>
    </r>
    <r>
      <rPr>
        <sz val="10"/>
        <color rgb="FF444444"/>
        <rFont val="Microsoft JhengHei"/>
        <family val="0"/>
        <charset val="1"/>
      </rPr>
      <t xml:space="preserve">OS page cache</t>
    </r>
    <r>
      <rPr>
        <sz val="10"/>
        <color rgb="FF444444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</si>
</sst>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&quot;100/100 (&quot;0.0%\)"/>
    <numFmt numFmtId="167" formatCode="0.0&quot; pp&quot;"/>
    <numFmt numFmtId="168" formatCode="&quot;33/100 (&quot;0.0%\)"/>
    <numFmt numFmtId="169" formatCode="&quot;76/100 (&quot;0.0%\)"/>
    <numFmt numFmtId="170" formatCode="&quot;78/100 (&quot;0.0%\)"/>
    <numFmt numFmtId="171" formatCode="&quot;114/150 (&quot;0.0%\)"/>
    <numFmt numFmtId="172" formatCode="&quot;150/150 (&quot;0.0%\)"/>
    <numFmt numFmtId="173" formatCode="0.000"/>
    <numFmt numFmtId="174" formatCode="0%"/>
    <numFmt numFmtId="175" formatCode="0.00"/>
    <numFmt numFmtId="176" formatCode="0.0"/>
    <numFmt numFmtId="177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Noto Sans CJK SC"/>
      <family val="2"/>
    </font>
    <font>
      <b val="true"/>
      <sz val="18"/>
      <name val="Microsoft JhengHei"/>
      <family val="0"/>
      <charset val="1"/>
    </font>
    <font>
      <sz val="10"/>
      <color rgb="FF444444"/>
      <name val="Noto Sans CJK SC"/>
      <family val="2"/>
    </font>
    <font>
      <sz val="10"/>
      <color rgb="FF444444"/>
      <name val="Microsoft JhengHei"/>
      <family val="0"/>
      <charset val="1"/>
    </font>
    <font>
      <b val="true"/>
      <sz val="14"/>
      <name val="Noto Sans CJK SC"/>
      <family val="2"/>
    </font>
    <font>
      <b val="true"/>
      <sz val="14"/>
      <name val="Microsoft JhengHei"/>
      <family val="0"/>
      <charset val="1"/>
    </font>
    <font>
      <b val="true"/>
      <sz val="13"/>
      <name val="Microsoft JhengHei"/>
      <family val="0"/>
      <charset val="1"/>
    </font>
    <font>
      <b val="true"/>
      <sz val="13"/>
      <name val="Noto Sans CJK SC"/>
      <family val="2"/>
    </font>
    <font>
      <sz val="13"/>
      <name val="Microsoft JhengHei"/>
      <family val="0"/>
      <charset val="1"/>
    </font>
    <font>
      <sz val="13"/>
      <name val="Noto Sans CJK SC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B81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Plot4：v1→v2→v3成功率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證據與圖表!D5</c:f>
              <c:strCache>
                <c:ptCount val="1"/>
                <c:pt idx="0">
                  <c:v>成功率</c:v>
                </c:pt>
              </c:strCache>
            </c:strRef>
          </c:tx>
          <c:spPr>
            <a:solidFill>
              <a:srgbClr val="A6A6A6"/>
            </a:solidFill>
            <a:ln w="1260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證據與圖表!$A$6:$A$8</c:f>
              <c:strCache>
                <c:ptCount val="3"/>
                <c:pt idx="0">
                  <c:v>multi_refined</c:v>
                </c:pt>
                <c:pt idx="1">
                  <c:v>multi_v2_refined</c:v>
                </c:pt>
                <c:pt idx="2">
                  <c:v>multi_v3_refined</c:v>
                </c:pt>
              </c:strCache>
            </c:strRef>
          </c:cat>
          <c:val>
            <c:numRef>
              <c:f>證據與圖表!$D$6:$D$8</c:f>
              <c:numCache>
                <c:formatCode>0.0%</c:formatCode>
                <c:ptCount val="3"/>
                <c:pt idx="0">
                  <c:v>0.96</c:v>
                </c:pt>
                <c:pt idx="1">
                  <c:v>0.78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74528291"/>
        <c:axId val="65909111"/>
      </c:barChart>
      <c:catAx>
        <c:axId val="745282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場景／版本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909111"/>
        <c:crosses val="autoZero"/>
        <c:auto val="1"/>
        <c:lblAlgn val="ctr"/>
        <c:lblOffset val="100"/>
        <c:noMultiLvlLbl val="0"/>
      </c:catAx>
      <c:valAx>
        <c:axId val="6590911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成功率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528291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五場景e_p：論文報告值與統一v3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結果比較!B15</c:f>
              <c:strCache>
                <c:ptCount val="1"/>
                <c:pt idx="0">
                  <c:v>論文平均e_p</c:v>
                </c:pt>
              </c:strCache>
            </c:strRef>
          </c:tx>
          <c:spPr>
            <a:solidFill>
              <a:srgbClr val="A6A6A6"/>
            </a:solidFill>
            <a:ln w="1260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結果比較!$A$16:$A$20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結果比較!$B$16:$B$20</c:f>
              <c:numCache>
                <c:formatCode>0.000</c:formatCode>
                <c:ptCount val="5"/>
                <c:pt idx="0">
                  <c:v>5.2558</c:v>
                </c:pt>
                <c:pt idx="1">
                  <c:v>11.4808</c:v>
                </c:pt>
                <c:pt idx="2">
                  <c:v>4.8756</c:v>
                </c:pt>
                <c:pt idx="3">
                  <c:v>4.356</c:v>
                </c:pt>
                <c:pt idx="4">
                  <c:v>15.3427</c:v>
                </c:pt>
              </c:numCache>
            </c:numRef>
          </c:val>
        </c:ser>
        <c:ser>
          <c:idx val="1"/>
          <c:order val="1"/>
          <c:tx>
            <c:strRef>
              <c:f>結果比較!E15</c:f>
              <c:strCache>
                <c:ptCount val="1"/>
                <c:pt idx="0">
                  <c:v>修改後</c:v>
                </c:pt>
              </c:strCache>
            </c:strRef>
          </c:tx>
          <c:spPr>
            <a:solidFill>
              <a:srgbClr val="305B81"/>
            </a:solidFill>
            <a:ln w="1260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結果比較!$A$16:$A$20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結果比較!$E$16:$E$20</c:f>
              <c:numCache>
                <c:formatCode>0.000</c:formatCode>
                <c:ptCount val="5"/>
                <c:pt idx="0">
                  <c:v>2.88660050878924</c:v>
                </c:pt>
                <c:pt idx="1">
                  <c:v>1.18541585852884</c:v>
                </c:pt>
                <c:pt idx="2">
                  <c:v>1.11831582881157</c:v>
                </c:pt>
                <c:pt idx="3">
                  <c:v>3.39202272076259</c:v>
                </c:pt>
                <c:pt idx="4">
                  <c:v>0.603813517091087</c:v>
                </c:pt>
              </c:numCache>
            </c:numRef>
          </c:val>
        </c:ser>
        <c:gapWidth val="150"/>
        <c:overlap val="0"/>
        <c:axId val="53235299"/>
        <c:axId val="46950969"/>
      </c:barChart>
      <c:catAx>
        <c:axId val="532352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場景／版本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950969"/>
        <c:crosses val="autoZero"/>
        <c:auto val="1"/>
        <c:lblAlgn val="ctr"/>
        <c:lblOffset val="100"/>
        <c:noMultiLvlLbl val="0"/>
      </c:catAx>
      <c:valAx>
        <c:axId val="4695096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e_p 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235299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冷啟動代表配對（每法各1次）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證據與圖表!B31</c:f>
              <c:strCache>
                <c:ptCount val="1"/>
                <c:pt idx="0">
                  <c:v>參考＋同微調 s</c:v>
                </c:pt>
              </c:strCache>
            </c:strRef>
          </c:tx>
          <c:spPr>
            <a:solidFill>
              <a:srgbClr val="A6A6A6"/>
            </a:solidFill>
            <a:ln w="1260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證據與圖表!$A$32:$A$33</c:f>
              <c:strCache>
                <c:ptCount val="2"/>
                <c:pt idx="0">
                  <c:v>ETH／ETH/s1-s2</c:v>
                </c:pt>
                <c:pt idx="1">
                  <c:v>Tongji／Plot1/S2-S1</c:v>
                </c:pt>
              </c:strCache>
            </c:strRef>
          </c:cat>
          <c:val>
            <c:numRef>
              <c:f>證據與圖表!$B$32:$B$33</c:f>
              <c:numCache>
                <c:formatCode>0.000</c:formatCode>
                <c:ptCount val="2"/>
                <c:pt idx="0">
                  <c:v>344.309713925999</c:v>
                </c:pt>
                <c:pt idx="1">
                  <c:v>703.872690516</c:v>
                </c:pt>
              </c:numCache>
            </c:numRef>
          </c:val>
        </c:ser>
        <c:ser>
          <c:idx val="1"/>
          <c:order val="1"/>
          <c:tx>
            <c:strRef>
              <c:f>證據與圖表!C31</c:f>
              <c:strCache>
                <c:ptCount val="1"/>
                <c:pt idx="0">
                  <c:v>統一v3 s</c:v>
                </c:pt>
              </c:strCache>
            </c:strRef>
          </c:tx>
          <c:spPr>
            <a:solidFill>
              <a:srgbClr val="305B81"/>
            </a:solidFill>
            <a:ln w="1260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證據與圖表!$A$32:$A$33</c:f>
              <c:strCache>
                <c:ptCount val="2"/>
                <c:pt idx="0">
                  <c:v>ETH／ETH/s1-s2</c:v>
                </c:pt>
                <c:pt idx="1">
                  <c:v>Tongji／Plot1/S2-S1</c:v>
                </c:pt>
              </c:strCache>
            </c:strRef>
          </c:cat>
          <c:val>
            <c:numRef>
              <c:f>證據與圖表!$C$32:$C$33</c:f>
              <c:numCache>
                <c:formatCode>0.000</c:formatCode>
                <c:ptCount val="2"/>
                <c:pt idx="0">
                  <c:v>369.062138627</c:v>
                </c:pt>
                <c:pt idx="1">
                  <c:v>651.789637792001</c:v>
                </c:pt>
              </c:numCache>
            </c:numRef>
          </c:val>
        </c:ser>
        <c:gapWidth val="150"/>
        <c:overlap val="0"/>
        <c:axId val="36816334"/>
        <c:axId val="30044660"/>
      </c:barChart>
      <c:catAx>
        <c:axId val="368163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場景／版本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044660"/>
        <c:crosses val="autoZero"/>
        <c:auto val="1"/>
        <c:lblAlgn val="ctr"/>
        <c:lblOffset val="100"/>
        <c:noMultiLvlLbl val="0"/>
      </c:catAx>
      <c:valAx>
        <c:axId val="3004466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816334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0</xdr:rowOff>
    </xdr:from>
    <xdr:to>
      <xdr:col>6</xdr:col>
      <xdr:colOff>63360</xdr:colOff>
      <xdr:row>57</xdr:row>
      <xdr:rowOff>149400</xdr:rowOff>
    </xdr:to>
    <xdr:graphicFrame>
      <xdr:nvGraphicFramePr>
        <xdr:cNvPr id="1" name="Chart 1"/>
        <xdr:cNvGraphicFramePr/>
      </xdr:nvGraphicFramePr>
      <xdr:xfrm>
        <a:off x="0" y="15011280"/>
        <a:ext cx="97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61</xdr:row>
      <xdr:rowOff>0</xdr:rowOff>
    </xdr:from>
    <xdr:to>
      <xdr:col>6</xdr:col>
      <xdr:colOff>63360</xdr:colOff>
      <xdr:row>81</xdr:row>
      <xdr:rowOff>149400</xdr:rowOff>
    </xdr:to>
    <xdr:graphicFrame>
      <xdr:nvGraphicFramePr>
        <xdr:cNvPr id="2" name="Chart 2"/>
        <xdr:cNvGraphicFramePr/>
      </xdr:nvGraphicFramePr>
      <xdr:xfrm>
        <a:off x="0" y="19583280"/>
        <a:ext cx="97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85</xdr:row>
      <xdr:rowOff>0</xdr:rowOff>
    </xdr:from>
    <xdr:to>
      <xdr:col>6</xdr:col>
      <xdr:colOff>63360</xdr:colOff>
      <xdr:row>105</xdr:row>
      <xdr:rowOff>149400</xdr:rowOff>
    </xdr:to>
    <xdr:graphicFrame>
      <xdr:nvGraphicFramePr>
        <xdr:cNvPr id="3" name="Chart 3"/>
        <xdr:cNvGraphicFramePr/>
      </xdr:nvGraphicFramePr>
      <xdr:xfrm>
        <a:off x="0" y="24155280"/>
        <a:ext cx="97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6" min="4" style="0" width="23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42" hidden="false" customHeight="true" outlineLevel="0" collapsed="false">
      <c r="A5" s="4" t="s">
        <v>3</v>
      </c>
      <c r="B5" s="5" t="s">
        <v>4</v>
      </c>
      <c r="C5" s="5" t="s">
        <v>5</v>
      </c>
      <c r="D5" s="4" t="s">
        <v>6</v>
      </c>
      <c r="E5" s="5" t="s">
        <v>7</v>
      </c>
      <c r="F5" s="5" t="s">
        <v>8</v>
      </c>
      <c r="G5" s="4" t="s">
        <v>9</v>
      </c>
      <c r="H5" s="4" t="s">
        <v>10</v>
      </c>
    </row>
    <row r="6" customFormat="false" ht="37.5" hidden="false" customHeight="true" outlineLevel="0" collapsed="false">
      <c r="A6" s="6" t="s">
        <v>11</v>
      </c>
      <c r="B6" s="6" t="s">
        <v>12</v>
      </c>
      <c r="C6" s="7" t="n">
        <v>1</v>
      </c>
      <c r="D6" s="8" t="n">
        <f aca="false">IF(100&gt;0,100/100,"待補")</f>
        <v>1</v>
      </c>
      <c r="E6" s="8" t="n">
        <f aca="false">IF(100&gt;0,100/100,"待補")</f>
        <v>1</v>
      </c>
      <c r="F6" s="8" t="n">
        <f aca="false">IF(100&gt;0,100/100,"待補")</f>
        <v>1</v>
      </c>
      <c r="G6" s="9" t="n">
        <f aca="false">IF(AND(ISNUMBER(C6),ISNUMBER(F6)),(F6-C6)*100,"待補")</f>
        <v>0</v>
      </c>
      <c r="H6" s="9" t="n">
        <f aca="false">IF(AND(ISNUMBER(E6),ISNUMBER(F6)),(F6-E6)*100,"待補")</f>
        <v>0</v>
      </c>
    </row>
    <row r="7" customFormat="false" ht="37.5" hidden="false" customHeight="true" outlineLevel="0" collapsed="false">
      <c r="A7" s="6" t="s">
        <v>13</v>
      </c>
      <c r="B7" s="6" t="s">
        <v>12</v>
      </c>
      <c r="C7" s="7" t="n">
        <v>1</v>
      </c>
      <c r="D7" s="10" t="n">
        <f aca="false">IF(100&gt;0,33/100,"待補")</f>
        <v>0.33</v>
      </c>
      <c r="E7" s="8" t="n">
        <f aca="false">IF(100&gt;0,100/100,"待補")</f>
        <v>1</v>
      </c>
      <c r="F7" s="8" t="n">
        <f aca="false">IF(100&gt;0,100/100,"待補")</f>
        <v>1</v>
      </c>
      <c r="G7" s="9" t="n">
        <f aca="false">IF(AND(ISNUMBER(C7),ISNUMBER(F7)),(F7-C7)*100,"待補")</f>
        <v>0</v>
      </c>
      <c r="H7" s="9" t="n">
        <f aca="false">IF(AND(ISNUMBER(E7),ISNUMBER(F7)),(F7-E7)*100,"待補")</f>
        <v>0</v>
      </c>
    </row>
    <row r="8" customFormat="false" ht="37.5" hidden="false" customHeight="true" outlineLevel="0" collapsed="false">
      <c r="A8" s="6" t="s">
        <v>14</v>
      </c>
      <c r="B8" s="6" t="s">
        <v>12</v>
      </c>
      <c r="C8" s="7" t="n">
        <v>1</v>
      </c>
      <c r="D8" s="8" t="n">
        <f aca="false">IF(100&gt;0,100/100,"待補")</f>
        <v>1</v>
      </c>
      <c r="E8" s="8" t="n">
        <f aca="false">IF(100&gt;0,100/100,"待補")</f>
        <v>1</v>
      </c>
      <c r="F8" s="8" t="n">
        <f aca="false">IF(100&gt;0,100/100,"待補")</f>
        <v>1</v>
      </c>
      <c r="G8" s="9" t="n">
        <f aca="false">IF(AND(ISNUMBER(C8),ISNUMBER(F8)),(F8-C8)*100,"待補")</f>
        <v>0</v>
      </c>
      <c r="H8" s="9" t="n">
        <f aca="false">IF(AND(ISNUMBER(E8),ISNUMBER(F8)),(F8-E8)*100,"待補")</f>
        <v>0</v>
      </c>
    </row>
    <row r="9" customFormat="false" ht="37.5" hidden="false" customHeight="true" outlineLevel="0" collapsed="false">
      <c r="A9" s="6" t="s">
        <v>15</v>
      </c>
      <c r="B9" s="6" t="s">
        <v>12</v>
      </c>
      <c r="C9" s="7" t="n">
        <v>1</v>
      </c>
      <c r="D9" s="11" t="n">
        <f aca="false">IF(100&gt;0,76/100,"待補")</f>
        <v>0.76</v>
      </c>
      <c r="E9" s="12" t="n">
        <f aca="false">IF(100&gt;0,78/100,"待補")</f>
        <v>0.78</v>
      </c>
      <c r="F9" s="8" t="n">
        <f aca="false">IF(100&gt;0,100/100,"待補")</f>
        <v>1</v>
      </c>
      <c r="G9" s="9" t="n">
        <f aca="false">IF(AND(ISNUMBER(C9),ISNUMBER(F9)),(F9-C9)*100,"待補")</f>
        <v>0</v>
      </c>
      <c r="H9" s="9" t="n">
        <f aca="false">IF(AND(ISNUMBER(E9),ISNUMBER(F9)),(F9-E9)*100,"待補")</f>
        <v>22</v>
      </c>
    </row>
    <row r="10" customFormat="false" ht="37.5" hidden="false" customHeight="true" outlineLevel="0" collapsed="false">
      <c r="A10" s="6" t="s">
        <v>16</v>
      </c>
      <c r="B10" s="6" t="s">
        <v>17</v>
      </c>
      <c r="C10" s="7" t="n">
        <v>1</v>
      </c>
      <c r="D10" s="13" t="n">
        <f aca="false">IF(150&gt;0,114/150,"待補")</f>
        <v>0.76</v>
      </c>
      <c r="E10" s="14" t="n">
        <f aca="false">IF(150&gt;0,150/150,"待補")</f>
        <v>1</v>
      </c>
      <c r="F10" s="14" t="n">
        <f aca="false">IF(150&gt;0,150/150,"待補")</f>
        <v>1</v>
      </c>
      <c r="G10" s="9" t="n">
        <f aca="false">IF(AND(ISNUMBER(C10),ISNUMBER(F10)),(F10-C10)*100,"待補")</f>
        <v>0</v>
      </c>
      <c r="H10" s="9" t="n">
        <f aca="false">IF(AND(ISNUMBER(E10),ISNUMBER(F10)),(F10-E10)*100,"待補")</f>
        <v>0</v>
      </c>
    </row>
    <row r="12" customFormat="false" ht="42" hidden="false" customHeight="true" outlineLevel="0" collapsed="false">
      <c r="A12" s="2" t="s">
        <v>18</v>
      </c>
      <c r="B12" s="2"/>
      <c r="C12" s="2"/>
      <c r="D12" s="2"/>
      <c r="E12" s="2"/>
      <c r="F12" s="2"/>
      <c r="G12" s="2"/>
      <c r="H12" s="2"/>
    </row>
    <row r="14" customFormat="false" ht="36" hidden="false" customHeight="true" outlineLevel="0" collapsed="false">
      <c r="A14" s="3" t="s">
        <v>19</v>
      </c>
      <c r="B14" s="3"/>
      <c r="C14" s="3"/>
      <c r="D14" s="3"/>
      <c r="E14" s="3"/>
      <c r="F14" s="3"/>
      <c r="G14" s="3"/>
      <c r="H14" s="3"/>
    </row>
    <row r="15" customFormat="false" ht="37.5" hidden="false" customHeight="true" outlineLevel="0" collapsed="false">
      <c r="A15" s="4" t="s">
        <v>3</v>
      </c>
      <c r="B15" s="5" t="s">
        <v>20</v>
      </c>
      <c r="C15" s="4" t="s">
        <v>6</v>
      </c>
      <c r="D15" s="5" t="s">
        <v>7</v>
      </c>
      <c r="E15" s="5" t="s">
        <v>8</v>
      </c>
      <c r="F15" s="4" t="s">
        <v>21</v>
      </c>
      <c r="G15" s="4" t="s">
        <v>22</v>
      </c>
      <c r="H15" s="5" t="s">
        <v>23</v>
      </c>
    </row>
    <row r="16" customFormat="false" ht="42" hidden="false" customHeight="true" outlineLevel="0" collapsed="false">
      <c r="A16" s="6" t="s">
        <v>11</v>
      </c>
      <c r="B16" s="15" t="n">
        <v>5.2558</v>
      </c>
      <c r="C16" s="15" t="n">
        <v>16.8126481110469</v>
      </c>
      <c r="D16" s="15" t="n">
        <v>2.88660050878924</v>
      </c>
      <c r="E16" s="15" t="n">
        <v>2.88660050878924</v>
      </c>
      <c r="F16" s="7" t="n">
        <f aca="false">IF(AND(ISNUMBER(B16),ISNUMBER(E16),B16&lt;&gt;0),(B16-E16)/B16,"待補")</f>
        <v>0.450778091101405</v>
      </c>
      <c r="G16" s="7" t="n">
        <f aca="false">IF(AND(ISNUMBER(D16),ISNUMBER(E16),D16&lt;&gt;0),(D16-E16)/D16,"待補")</f>
        <v>0</v>
      </c>
      <c r="H16" s="6" t="s">
        <v>24</v>
      </c>
    </row>
    <row r="17" customFormat="false" ht="42" hidden="false" customHeight="true" outlineLevel="0" collapsed="false">
      <c r="A17" s="6" t="s">
        <v>13</v>
      </c>
      <c r="B17" s="15" t="n">
        <v>11.4808</v>
      </c>
      <c r="C17" s="15" t="n">
        <v>54.5049716385617</v>
      </c>
      <c r="D17" s="15" t="n">
        <v>1.18541585852884</v>
      </c>
      <c r="E17" s="15" t="n">
        <v>1.18541585852884</v>
      </c>
      <c r="F17" s="7" t="n">
        <f aca="false">IF(AND(ISNUMBER(B17),ISNUMBER(E17),B17&lt;&gt;0),(B17-E17)/B17,"待補")</f>
        <v>0.896747974136921</v>
      </c>
      <c r="G17" s="7" t="n">
        <f aca="false">IF(AND(ISNUMBER(D17),ISNUMBER(E17),D17&lt;&gt;0),(D17-E17)/D17,"待補")</f>
        <v>0</v>
      </c>
      <c r="H17" s="6" t="s">
        <v>24</v>
      </c>
    </row>
    <row r="18" customFormat="false" ht="42" hidden="false" customHeight="true" outlineLevel="0" collapsed="false">
      <c r="A18" s="6" t="s">
        <v>14</v>
      </c>
      <c r="B18" s="15" t="n">
        <v>4.8756</v>
      </c>
      <c r="C18" s="15" t="n">
        <v>5.3764508840688</v>
      </c>
      <c r="D18" s="15" t="n">
        <v>1.10565935896849</v>
      </c>
      <c r="E18" s="15" t="n">
        <v>1.11831582881157</v>
      </c>
      <c r="F18" s="7" t="n">
        <f aca="false">IF(AND(ISNUMBER(B18),ISNUMBER(E18),B18&lt;&gt;0),(B18-E18)/B18,"待補")</f>
        <v>0.770630111409556</v>
      </c>
      <c r="G18" s="7" t="n">
        <f aca="false">IF(AND(ISNUMBER(D18),ISNUMBER(E18),D18&lt;&gt;0),(D18-E18)/D18,"待補")</f>
        <v>-0.0114469883878926</v>
      </c>
      <c r="H18" s="6" t="s">
        <v>24</v>
      </c>
    </row>
    <row r="19" customFormat="false" ht="42" hidden="false" customHeight="true" outlineLevel="0" collapsed="false">
      <c r="A19" s="6" t="s">
        <v>15</v>
      </c>
      <c r="B19" s="15" t="n">
        <v>4.356</v>
      </c>
      <c r="C19" s="15" t="n">
        <v>123.234678935483</v>
      </c>
      <c r="D19" s="15" t="n">
        <v>864.762201038687</v>
      </c>
      <c r="E19" s="15" t="n">
        <v>3.39202272076259</v>
      </c>
      <c r="F19" s="7" t="n">
        <f aca="false">IF(AND(ISNUMBER(B19),ISNUMBER(E19),B19&lt;&gt;0),(B19-E19)/B19,"待補")</f>
        <v>0.221298732607304</v>
      </c>
      <c r="G19" s="7" t="n">
        <f aca="false">IF(AND(ISNUMBER(D19),ISNUMBER(E19),D19&lt;&gt;0),(D19-E19)/D19,"待補")</f>
        <v>0.996077508109526</v>
      </c>
      <c r="H19" s="6" t="s">
        <v>25</v>
      </c>
    </row>
    <row r="20" customFormat="false" ht="42" hidden="false" customHeight="true" outlineLevel="0" collapsed="false">
      <c r="A20" s="6" t="s">
        <v>16</v>
      </c>
      <c r="B20" s="15" t="n">
        <v>15.3427</v>
      </c>
      <c r="C20" s="15" t="n">
        <v>12.6209302105037</v>
      </c>
      <c r="D20" s="15" t="n">
        <v>0.603813517101677</v>
      </c>
      <c r="E20" s="15" t="n">
        <v>0.603813517091087</v>
      </c>
      <c r="F20" s="7" t="n">
        <f aca="false">IF(AND(ISNUMBER(B20),ISNUMBER(E20),B20&lt;&gt;0),(B20-E20)/B20,"待補")</f>
        <v>0.960644898414811</v>
      </c>
      <c r="G20" s="7" t="n">
        <f aca="false">IF(AND(ISNUMBER(D20),ISNUMBER(E20),D20&lt;&gt;0),(D20-E20)/D20,"待補")</f>
        <v>1.75395866050493E-011</v>
      </c>
      <c r="H20" s="6" t="s">
        <v>26</v>
      </c>
    </row>
    <row r="22" customFormat="false" ht="42" hidden="false" customHeight="true" outlineLevel="0" collapsed="false">
      <c r="A22" s="16" t="s">
        <v>27</v>
      </c>
      <c r="B22" s="16"/>
      <c r="C22" s="16"/>
      <c r="D22" s="16"/>
      <c r="E22" s="16"/>
      <c r="F22" s="16"/>
      <c r="G22" s="16"/>
      <c r="H22" s="16"/>
    </row>
    <row r="24" customFormat="false" ht="36" hidden="false" customHeight="true" outlineLevel="0" collapsed="false">
      <c r="A24" s="3" t="s">
        <v>28</v>
      </c>
      <c r="B24" s="3"/>
      <c r="C24" s="3"/>
      <c r="D24" s="3"/>
      <c r="E24" s="3"/>
      <c r="F24" s="3"/>
      <c r="G24" s="3"/>
      <c r="H24" s="3"/>
    </row>
    <row r="25" customFormat="false" ht="37.5" hidden="false" customHeight="true" outlineLevel="0" collapsed="false">
      <c r="A25" s="4" t="s">
        <v>3</v>
      </c>
      <c r="B25" s="5" t="s">
        <v>29</v>
      </c>
      <c r="C25" s="5" t="s">
        <v>30</v>
      </c>
      <c r="D25" s="5" t="s">
        <v>31</v>
      </c>
      <c r="E25" s="5" t="s">
        <v>32</v>
      </c>
      <c r="F25" s="5" t="s">
        <v>33</v>
      </c>
      <c r="G25" s="5" t="s">
        <v>34</v>
      </c>
      <c r="H25" s="5" t="s">
        <v>35</v>
      </c>
    </row>
    <row r="26" customFormat="false" ht="37.5" hidden="false" customHeight="true" outlineLevel="0" collapsed="false">
      <c r="A26" s="6" t="s">
        <v>11</v>
      </c>
      <c r="B26" s="15" t="n">
        <v>0.653513343283497</v>
      </c>
      <c r="C26" s="15" t="n">
        <v>0.0356799496337756</v>
      </c>
      <c r="D26" s="15" t="n">
        <v>0.0356799496337756</v>
      </c>
      <c r="E26" s="15" t="n">
        <v>14.6590013713592</v>
      </c>
      <c r="F26" s="15" t="n">
        <v>2.91991628608318</v>
      </c>
      <c r="G26" s="15" t="n">
        <v>2.91991628608318</v>
      </c>
      <c r="H26" s="17" t="s">
        <v>36</v>
      </c>
    </row>
    <row r="27" customFormat="false" ht="37.5" hidden="false" customHeight="true" outlineLevel="0" collapsed="false">
      <c r="A27" s="6" t="s">
        <v>13</v>
      </c>
      <c r="B27" s="15" t="n">
        <v>3.01056149864129</v>
      </c>
      <c r="C27" s="15" t="n">
        <v>0.055756468034214</v>
      </c>
      <c r="D27" s="15" t="n">
        <v>0.055756468034214</v>
      </c>
      <c r="E27" s="15" t="n">
        <v>34.3744841092224</v>
      </c>
      <c r="F27" s="15" t="n">
        <v>1.03523546682043</v>
      </c>
      <c r="G27" s="15" t="n">
        <v>1.03523546682043</v>
      </c>
      <c r="H27" s="17" t="s">
        <v>36</v>
      </c>
    </row>
    <row r="28" customFormat="false" ht="37.5" hidden="false" customHeight="true" outlineLevel="0" collapsed="false">
      <c r="A28" s="6" t="s">
        <v>14</v>
      </c>
      <c r="B28" s="15" t="n">
        <v>0.298030128253397</v>
      </c>
      <c r="C28" s="15" t="n">
        <v>0.0195433622867506</v>
      </c>
      <c r="D28" s="15" t="n">
        <v>0.020328664913636</v>
      </c>
      <c r="E28" s="15" t="n">
        <v>4.98480600070703</v>
      </c>
      <c r="F28" s="15" t="n">
        <v>1.09670799276677</v>
      </c>
      <c r="G28" s="15" t="n">
        <v>1.10731087405787</v>
      </c>
      <c r="H28" s="17" t="s">
        <v>36</v>
      </c>
    </row>
    <row r="29" customFormat="false" ht="37.5" hidden="false" customHeight="true" outlineLevel="0" collapsed="false">
      <c r="A29" s="6" t="s">
        <v>15</v>
      </c>
      <c r="B29" s="15" t="n">
        <v>2.63898624070818</v>
      </c>
      <c r="C29" s="15" t="n">
        <v>28.7955412838945</v>
      </c>
      <c r="D29" s="15" t="n">
        <v>0.0290221920598469</v>
      </c>
      <c r="E29" s="15" t="n">
        <v>123.939230727063</v>
      </c>
      <c r="F29" s="15" t="n">
        <v>874.418385410333</v>
      </c>
      <c r="G29" s="15" t="n">
        <v>3.39372362588537</v>
      </c>
      <c r="H29" s="17" t="s">
        <v>36</v>
      </c>
    </row>
    <row r="30" customFormat="false" ht="37.5" hidden="false" customHeight="true" outlineLevel="0" collapsed="false">
      <c r="A30" s="6" t="s">
        <v>16</v>
      </c>
      <c r="B30" s="15" t="n">
        <v>0.83632567519141</v>
      </c>
      <c r="C30" s="15" t="n">
        <v>0.0541601395659329</v>
      </c>
      <c r="D30" s="15" t="n">
        <v>0.0541601395640472</v>
      </c>
      <c r="E30" s="15" t="n">
        <v>11.094383645931</v>
      </c>
      <c r="F30" s="15" t="n">
        <v>0.40257276372673</v>
      </c>
      <c r="G30" s="15" t="n">
        <v>0.402572763715749</v>
      </c>
      <c r="H30" s="17" t="s">
        <v>36</v>
      </c>
    </row>
    <row r="32" customFormat="false" ht="42" hidden="false" customHeight="true" outlineLevel="0" collapsed="false">
      <c r="A32" s="2" t="s">
        <v>37</v>
      </c>
      <c r="B32" s="2"/>
      <c r="C32" s="2"/>
      <c r="D32" s="2"/>
      <c r="E32" s="2"/>
      <c r="F32" s="2"/>
      <c r="G32" s="2"/>
      <c r="H32" s="2"/>
    </row>
    <row r="34" customFormat="false" ht="36" hidden="false" customHeight="true" outlineLevel="0" collapsed="false">
      <c r="A34" s="3" t="s">
        <v>38</v>
      </c>
      <c r="B34" s="3"/>
      <c r="C34" s="3"/>
      <c r="D34" s="3"/>
      <c r="E34" s="3"/>
      <c r="F34" s="3"/>
      <c r="G34" s="3"/>
      <c r="H34" s="3"/>
    </row>
    <row r="35" customFormat="false" ht="37.5" hidden="false" customHeight="true" outlineLevel="0" collapsed="false">
      <c r="A35" s="4" t="s">
        <v>3</v>
      </c>
      <c r="B35" s="5" t="s">
        <v>39</v>
      </c>
      <c r="C35" s="5" t="s">
        <v>40</v>
      </c>
      <c r="D35" s="5" t="s">
        <v>41</v>
      </c>
      <c r="E35" s="5" t="s">
        <v>42</v>
      </c>
      <c r="F35" s="5" t="s">
        <v>43</v>
      </c>
      <c r="G35" s="5" t="s">
        <v>44</v>
      </c>
      <c r="H35" s="5" t="s">
        <v>45</v>
      </c>
    </row>
    <row r="36" customFormat="false" ht="37.5" hidden="false" customHeight="true" outlineLevel="0" collapsed="false">
      <c r="A36" s="6" t="s">
        <v>11</v>
      </c>
      <c r="B36" s="15" t="n">
        <v>20.718</v>
      </c>
      <c r="C36" s="15" t="n">
        <v>11.657</v>
      </c>
      <c r="D36" s="15" t="n">
        <v>7.99219146</v>
      </c>
      <c r="E36" s="15" t="n">
        <v>801.39755663</v>
      </c>
      <c r="F36" s="15" t="n">
        <v>2348.06727557</v>
      </c>
      <c r="G36" s="17" t="s">
        <v>46</v>
      </c>
      <c r="H36" s="17" t="s">
        <v>47</v>
      </c>
    </row>
    <row r="37" customFormat="false" ht="37.5" hidden="false" customHeight="true" outlineLevel="0" collapsed="false">
      <c r="A37" s="6" t="s">
        <v>13</v>
      </c>
      <c r="B37" s="15" t="n">
        <v>30.699</v>
      </c>
      <c r="C37" s="15" t="n">
        <v>16.712</v>
      </c>
      <c r="D37" s="15" t="n">
        <v>15.16964886</v>
      </c>
      <c r="E37" s="15" t="n">
        <v>942.32916675</v>
      </c>
      <c r="F37" s="15" t="n">
        <v>4005.95130984</v>
      </c>
      <c r="G37" s="17" t="s">
        <v>46</v>
      </c>
      <c r="H37" s="17" t="s">
        <v>47</v>
      </c>
    </row>
    <row r="38" customFormat="false" ht="37.5" hidden="false" customHeight="true" outlineLevel="0" collapsed="false">
      <c r="A38" s="6" t="s">
        <v>14</v>
      </c>
      <c r="B38" s="15" t="n">
        <v>4.5596</v>
      </c>
      <c r="C38" s="15" t="n">
        <v>8.3584</v>
      </c>
      <c r="D38" s="15" t="n">
        <v>2.98112216</v>
      </c>
      <c r="E38" s="15" t="n">
        <v>570.34143955</v>
      </c>
      <c r="F38" s="15" t="n">
        <v>2741.96727989</v>
      </c>
      <c r="G38" s="17" t="s">
        <v>46</v>
      </c>
      <c r="H38" s="17" t="s">
        <v>47</v>
      </c>
    </row>
    <row r="39" customFormat="false" ht="37.5" hidden="false" customHeight="true" outlineLevel="0" collapsed="false">
      <c r="A39" s="6" t="s">
        <v>15</v>
      </c>
      <c r="B39" s="15" t="n">
        <v>19.522</v>
      </c>
      <c r="C39" s="15" t="n">
        <v>9.4516</v>
      </c>
      <c r="D39" s="15" t="n">
        <v>3.62236579</v>
      </c>
      <c r="E39" s="15" t="n">
        <v>2294.81875456</v>
      </c>
      <c r="F39" s="15" t="n">
        <v>6423.18030219</v>
      </c>
      <c r="G39" s="17" t="s">
        <v>46</v>
      </c>
      <c r="H39" s="17" t="s">
        <v>47</v>
      </c>
    </row>
    <row r="40" customFormat="false" ht="37.5" hidden="false" customHeight="true" outlineLevel="0" collapsed="false">
      <c r="A40" s="6" t="s">
        <v>16</v>
      </c>
      <c r="B40" s="15" t="n">
        <v>3.0405</v>
      </c>
      <c r="C40" s="15" t="n">
        <v>8.6992</v>
      </c>
      <c r="D40" s="15" t="n">
        <v>2.32949157333333</v>
      </c>
      <c r="E40" s="15" t="n">
        <v>1440.75008394</v>
      </c>
      <c r="F40" s="15" t="n">
        <v>7082.22293330667</v>
      </c>
      <c r="G40" s="17" t="s">
        <v>46</v>
      </c>
      <c r="H40" s="17" t="s">
        <v>47</v>
      </c>
    </row>
    <row r="42" customFormat="false" ht="42" hidden="false" customHeight="true" outlineLevel="0" collapsed="false">
      <c r="A42" s="16" t="s">
        <v>48</v>
      </c>
      <c r="B42" s="16"/>
      <c r="C42" s="16"/>
      <c r="D42" s="16"/>
      <c r="E42" s="16"/>
      <c r="F42" s="16"/>
      <c r="G42" s="16"/>
      <c r="H42" s="16"/>
    </row>
    <row r="44" customFormat="false" ht="42" hidden="false" customHeight="true" outlineLevel="0" collapsed="false">
      <c r="A44" s="16" t="s">
        <v>49</v>
      </c>
      <c r="B44" s="16"/>
      <c r="C44" s="16"/>
      <c r="D44" s="16"/>
      <c r="E44" s="16"/>
      <c r="F44" s="16"/>
      <c r="G44" s="16"/>
      <c r="H44" s="16"/>
    </row>
  </sheetData>
  <autoFilter ref="A5:H10"/>
  <mergeCells count="11">
    <mergeCell ref="A1:H1"/>
    <mergeCell ref="A2:H2"/>
    <mergeCell ref="A4:H4"/>
    <mergeCell ref="A12:H12"/>
    <mergeCell ref="A14:H14"/>
    <mergeCell ref="A22:H22"/>
    <mergeCell ref="A24:H24"/>
    <mergeCell ref="A32:H32"/>
    <mergeCell ref="A34:H34"/>
    <mergeCell ref="A42:H42"/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13" man="true" max="16383" min="0"/>
    <brk id="23" man="true" max="16383" min="0"/>
    <brk id="33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8"/>
    <col collapsed="false" customWidth="true" hidden="false" outlineLevel="0" max="4" min="4" style="0" width="36"/>
    <col collapsed="false" customWidth="true" hidden="false" outlineLevel="0" max="5" min="5" style="0" width="44"/>
    <col collapsed="false" customWidth="true" hidden="false" outlineLevel="0" max="6" min="6" style="0" width="2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6" hidden="false" customHeight="true" outlineLevel="0" collapsed="false">
      <c r="A4" s="3" t="s">
        <v>50</v>
      </c>
      <c r="B4" s="3"/>
      <c r="C4" s="3"/>
      <c r="D4" s="3"/>
      <c r="E4" s="3"/>
      <c r="F4" s="3"/>
    </row>
    <row r="5" customFormat="false" ht="37.5" hidden="false" customHeight="true" outlineLevel="0" collapsed="false">
      <c r="A5" s="5" t="s">
        <v>51</v>
      </c>
      <c r="B5" s="5" t="s">
        <v>52</v>
      </c>
      <c r="C5" s="5" t="s">
        <v>53</v>
      </c>
      <c r="D5" s="5" t="s">
        <v>54</v>
      </c>
      <c r="E5" s="5" t="s">
        <v>55</v>
      </c>
      <c r="F5" s="5" t="s">
        <v>56</v>
      </c>
    </row>
    <row r="6" customFormat="false" ht="37.5" hidden="false" customHeight="true" outlineLevel="0" collapsed="false">
      <c r="A6" s="6" t="s">
        <v>57</v>
      </c>
      <c r="B6" s="6" t="s">
        <v>58</v>
      </c>
      <c r="C6" s="6" t="s">
        <v>58</v>
      </c>
      <c r="D6" s="6" t="s">
        <v>58</v>
      </c>
      <c r="E6" s="17" t="s">
        <v>59</v>
      </c>
      <c r="F6" s="6" t="s">
        <v>60</v>
      </c>
    </row>
    <row r="7" customFormat="false" ht="37.5" hidden="false" customHeight="true" outlineLevel="0" collapsed="false">
      <c r="A7" s="6" t="s">
        <v>61</v>
      </c>
      <c r="B7" s="6" t="s">
        <v>62</v>
      </c>
      <c r="C7" s="6" t="s">
        <v>62</v>
      </c>
      <c r="D7" s="6" t="s">
        <v>62</v>
      </c>
      <c r="E7" s="6" t="s">
        <v>63</v>
      </c>
      <c r="F7" s="6" t="s">
        <v>64</v>
      </c>
    </row>
    <row r="8" customFormat="false" ht="37.5" hidden="false" customHeight="true" outlineLevel="0" collapsed="false">
      <c r="A8" s="6" t="s">
        <v>65</v>
      </c>
      <c r="B8" s="6" t="s">
        <v>66</v>
      </c>
      <c r="C8" s="6" t="s">
        <v>66</v>
      </c>
      <c r="D8" s="6" t="s">
        <v>66</v>
      </c>
      <c r="E8" s="6" t="s">
        <v>67</v>
      </c>
      <c r="F8" s="6" t="s">
        <v>60</v>
      </c>
    </row>
    <row r="9" customFormat="false" ht="37.5" hidden="false" customHeight="true" outlineLevel="0" collapsed="false">
      <c r="A9" s="17" t="s">
        <v>68</v>
      </c>
      <c r="B9" s="6" t="s">
        <v>69</v>
      </c>
      <c r="C9" s="6" t="s">
        <v>69</v>
      </c>
      <c r="D9" s="6" t="s">
        <v>69</v>
      </c>
      <c r="E9" s="17" t="s">
        <v>70</v>
      </c>
      <c r="F9" s="6" t="s">
        <v>71</v>
      </c>
    </row>
    <row r="10" customFormat="false" ht="37.5" hidden="false" customHeight="true" outlineLevel="0" collapsed="false">
      <c r="A10" s="17" t="s">
        <v>72</v>
      </c>
      <c r="B10" s="6" t="s">
        <v>73</v>
      </c>
      <c r="C10" s="6" t="s">
        <v>73</v>
      </c>
      <c r="D10" s="6" t="s">
        <v>73</v>
      </c>
      <c r="E10" s="17" t="s">
        <v>74</v>
      </c>
      <c r="F10" s="6" t="s">
        <v>75</v>
      </c>
    </row>
    <row r="11" customFormat="false" ht="42" hidden="false" customHeight="true" outlineLevel="0" collapsed="false">
      <c r="A11" s="17" t="s">
        <v>76</v>
      </c>
      <c r="B11" s="17" t="s">
        <v>46</v>
      </c>
      <c r="C11" s="6" t="s">
        <v>77</v>
      </c>
      <c r="D11" s="6" t="s">
        <v>78</v>
      </c>
      <c r="E11" s="17" t="s">
        <v>79</v>
      </c>
      <c r="F11" s="6" t="s">
        <v>80</v>
      </c>
    </row>
    <row r="12" customFormat="false" ht="42" hidden="false" customHeight="true" outlineLevel="0" collapsed="false">
      <c r="A12" s="6" t="s">
        <v>81</v>
      </c>
      <c r="B12" s="17" t="s">
        <v>82</v>
      </c>
      <c r="C12" s="17" t="s">
        <v>83</v>
      </c>
      <c r="D12" s="17" t="s">
        <v>84</v>
      </c>
      <c r="E12" s="17" t="s">
        <v>85</v>
      </c>
      <c r="F12" s="6" t="s">
        <v>86</v>
      </c>
    </row>
    <row r="13" customFormat="false" ht="37.5" hidden="false" customHeight="true" outlineLevel="0" collapsed="false">
      <c r="A13" s="6" t="s">
        <v>87</v>
      </c>
      <c r="B13" s="17" t="s">
        <v>46</v>
      </c>
      <c r="C13" s="17" t="s">
        <v>88</v>
      </c>
      <c r="D13" s="17" t="s">
        <v>89</v>
      </c>
      <c r="E13" s="17" t="s">
        <v>90</v>
      </c>
      <c r="F13" s="6" t="s">
        <v>91</v>
      </c>
    </row>
    <row r="14" customFormat="false" ht="37.5" hidden="false" customHeight="true" outlineLevel="0" collapsed="false">
      <c r="A14" s="17" t="s">
        <v>92</v>
      </c>
      <c r="B14" s="17" t="s">
        <v>46</v>
      </c>
      <c r="C14" s="17" t="s">
        <v>93</v>
      </c>
      <c r="D14" s="6" t="s">
        <v>94</v>
      </c>
      <c r="E14" s="17" t="s">
        <v>95</v>
      </c>
      <c r="F14" s="6" t="s">
        <v>96</v>
      </c>
    </row>
    <row r="15" customFormat="false" ht="42" hidden="false" customHeight="true" outlineLevel="0" collapsed="false">
      <c r="A15" s="17" t="s">
        <v>97</v>
      </c>
      <c r="B15" s="17" t="s">
        <v>46</v>
      </c>
      <c r="C15" s="6" t="s">
        <v>98</v>
      </c>
      <c r="D15" s="6" t="s">
        <v>99</v>
      </c>
      <c r="E15" s="17" t="s">
        <v>100</v>
      </c>
      <c r="F15" s="6" t="s">
        <v>96</v>
      </c>
    </row>
    <row r="16" customFormat="false" ht="42" hidden="false" customHeight="true" outlineLevel="0" collapsed="false">
      <c r="A16" s="17" t="s">
        <v>101</v>
      </c>
      <c r="B16" s="17" t="s">
        <v>46</v>
      </c>
      <c r="C16" s="17" t="s">
        <v>102</v>
      </c>
      <c r="D16" s="17" t="s">
        <v>103</v>
      </c>
      <c r="E16" s="17" t="s">
        <v>104</v>
      </c>
      <c r="F16" s="6" t="s">
        <v>96</v>
      </c>
    </row>
    <row r="17" customFormat="false" ht="42" hidden="false" customHeight="true" outlineLevel="0" collapsed="false">
      <c r="A17" s="6" t="s">
        <v>105</v>
      </c>
      <c r="B17" s="17" t="s">
        <v>106</v>
      </c>
      <c r="C17" s="17" t="s">
        <v>107</v>
      </c>
      <c r="D17" s="17" t="s">
        <v>108</v>
      </c>
      <c r="E17" s="17" t="s">
        <v>109</v>
      </c>
      <c r="F17" s="6" t="s">
        <v>86</v>
      </c>
    </row>
    <row r="19" customFormat="false" ht="42" hidden="false" customHeight="true" outlineLevel="0" collapsed="false">
      <c r="A19" s="2" t="s">
        <v>110</v>
      </c>
      <c r="B19" s="2"/>
      <c r="C19" s="2"/>
      <c r="D19" s="2"/>
      <c r="E19" s="2"/>
      <c r="F19" s="2"/>
    </row>
  </sheetData>
  <mergeCells count="4">
    <mergeCell ref="A1:F1"/>
    <mergeCell ref="A2:F2"/>
    <mergeCell ref="A4:F4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6" min="4" style="0" width="23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18" t="s">
        <v>111</v>
      </c>
      <c r="B4" s="18"/>
      <c r="C4" s="18"/>
      <c r="D4" s="18"/>
      <c r="E4" s="18"/>
      <c r="F4" s="18"/>
      <c r="G4" s="18"/>
      <c r="H4" s="18"/>
    </row>
    <row r="5" customFormat="false" ht="37.5" hidden="false" customHeight="true" outlineLevel="0" collapsed="false">
      <c r="A5" s="5" t="s">
        <v>112</v>
      </c>
      <c r="B5" s="5" t="s">
        <v>113</v>
      </c>
      <c r="C5" s="5" t="s">
        <v>114</v>
      </c>
      <c r="D5" s="5" t="s">
        <v>115</v>
      </c>
      <c r="E5" s="5" t="s">
        <v>116</v>
      </c>
      <c r="F5" s="5" t="s">
        <v>117</v>
      </c>
      <c r="G5" s="5" t="s">
        <v>118</v>
      </c>
      <c r="H5" s="5" t="s">
        <v>119</v>
      </c>
    </row>
    <row r="6" customFormat="false" ht="37.5" hidden="false" customHeight="true" outlineLevel="0" collapsed="false">
      <c r="A6" s="6" t="s">
        <v>120</v>
      </c>
      <c r="B6" s="6" t="n">
        <v>96</v>
      </c>
      <c r="C6" s="6" t="n">
        <v>100</v>
      </c>
      <c r="D6" s="7" t="n">
        <f aca="false">IF(C6&gt;0,B6/C6,"待補")</f>
        <v>0.96</v>
      </c>
      <c r="E6" s="15" t="n">
        <v>172.583956188496</v>
      </c>
      <c r="F6" s="15" t="n">
        <v>0.903304073673914</v>
      </c>
      <c r="G6" s="6" t="n">
        <v>100</v>
      </c>
      <c r="H6" s="6" t="s">
        <v>121</v>
      </c>
    </row>
    <row r="7" customFormat="false" ht="37.5" hidden="false" customHeight="true" outlineLevel="0" collapsed="false">
      <c r="A7" s="6" t="s">
        <v>122</v>
      </c>
      <c r="B7" s="6" t="n">
        <v>78</v>
      </c>
      <c r="C7" s="6" t="n">
        <v>100</v>
      </c>
      <c r="D7" s="7" t="n">
        <f aca="false">IF(C7&gt;0,B7/C7,"待補")</f>
        <v>0.78</v>
      </c>
      <c r="E7" s="15" t="n">
        <v>864.762201038687</v>
      </c>
      <c r="F7" s="15" t="n">
        <v>0.903304073673914</v>
      </c>
      <c r="G7" s="6" t="n">
        <v>100</v>
      </c>
      <c r="H7" s="6" t="s">
        <v>121</v>
      </c>
    </row>
    <row r="8" customFormat="false" ht="37.5" hidden="false" customHeight="true" outlineLevel="0" collapsed="false">
      <c r="A8" s="6" t="s">
        <v>123</v>
      </c>
      <c r="B8" s="6" t="n">
        <v>100</v>
      </c>
      <c r="C8" s="6" t="n">
        <v>100</v>
      </c>
      <c r="D8" s="7" t="n">
        <f aca="false">IF(C8&gt;0,B8/C8,"待補")</f>
        <v>1</v>
      </c>
      <c r="E8" s="15" t="n">
        <v>3.39202272076259</v>
      </c>
      <c r="F8" s="15" t="n">
        <v>0.903304073673914</v>
      </c>
      <c r="G8" s="6" t="n">
        <v>100</v>
      </c>
      <c r="H8" s="6" t="s">
        <v>121</v>
      </c>
    </row>
    <row r="10" customFormat="false" ht="42" hidden="false" customHeight="true" outlineLevel="0" collapsed="false">
      <c r="A10" s="16" t="s">
        <v>124</v>
      </c>
      <c r="B10" s="16"/>
      <c r="C10" s="16"/>
      <c r="D10" s="16"/>
      <c r="E10" s="16"/>
      <c r="F10" s="16"/>
      <c r="G10" s="16"/>
      <c r="H10" s="16"/>
    </row>
    <row r="12" customFormat="false" ht="36" hidden="false" customHeight="true" outlineLevel="0" collapsed="false">
      <c r="A12" s="3" t="s">
        <v>125</v>
      </c>
      <c r="B12" s="3"/>
      <c r="C12" s="3"/>
      <c r="D12" s="3"/>
      <c r="E12" s="3"/>
      <c r="F12" s="3"/>
      <c r="G12" s="3"/>
      <c r="H12" s="3"/>
    </row>
    <row r="13" customFormat="false" ht="42" hidden="false" customHeight="true" outlineLevel="0" collapsed="false">
      <c r="A13" s="5" t="s">
        <v>126</v>
      </c>
      <c r="B13" s="4" t="s">
        <v>127</v>
      </c>
      <c r="C13" s="4" t="s">
        <v>128</v>
      </c>
      <c r="D13" s="5" t="s">
        <v>129</v>
      </c>
      <c r="E13" s="5" t="s">
        <v>114</v>
      </c>
      <c r="F13" s="5" t="s">
        <v>130</v>
      </c>
      <c r="G13" s="5" t="s">
        <v>131</v>
      </c>
      <c r="H13" s="5" t="s">
        <v>132</v>
      </c>
    </row>
    <row r="14" customFormat="false" ht="37.5" hidden="false" customHeight="true" outlineLevel="0" collapsed="false">
      <c r="A14" s="6" t="s">
        <v>11</v>
      </c>
      <c r="B14" s="6" t="n">
        <v>100</v>
      </c>
      <c r="C14" s="6" t="n">
        <v>100</v>
      </c>
      <c r="D14" s="6" t="n">
        <v>100</v>
      </c>
      <c r="E14" s="6" t="n">
        <v>100</v>
      </c>
      <c r="F14" s="6" t="n">
        <v>0</v>
      </c>
      <c r="G14" s="6" t="n">
        <v>0</v>
      </c>
      <c r="H14" s="17" t="s">
        <v>133</v>
      </c>
    </row>
    <row r="15" customFormat="false" ht="37.5" hidden="false" customHeight="true" outlineLevel="0" collapsed="false">
      <c r="A15" s="6" t="s">
        <v>13</v>
      </c>
      <c r="B15" s="6" t="n">
        <v>99</v>
      </c>
      <c r="C15" s="6" t="n">
        <v>100</v>
      </c>
      <c r="D15" s="6" t="n">
        <v>100</v>
      </c>
      <c r="E15" s="6" t="n">
        <v>100</v>
      </c>
      <c r="F15" s="6" t="n">
        <v>0</v>
      </c>
      <c r="G15" s="6" t="n">
        <v>0</v>
      </c>
      <c r="H15" s="17" t="s">
        <v>133</v>
      </c>
    </row>
    <row r="16" customFormat="false" ht="37.5" hidden="false" customHeight="true" outlineLevel="0" collapsed="false">
      <c r="A16" s="6" t="s">
        <v>14</v>
      </c>
      <c r="B16" s="6" t="n">
        <v>100</v>
      </c>
      <c r="C16" s="6" t="n">
        <v>100</v>
      </c>
      <c r="D16" s="6" t="n">
        <v>100</v>
      </c>
      <c r="E16" s="6" t="n">
        <v>100</v>
      </c>
      <c r="F16" s="6" t="n">
        <v>0</v>
      </c>
      <c r="G16" s="6" t="n">
        <v>0</v>
      </c>
      <c r="H16" s="17" t="s">
        <v>133</v>
      </c>
    </row>
    <row r="17" customFormat="false" ht="37.5" hidden="false" customHeight="true" outlineLevel="0" collapsed="false">
      <c r="A17" s="6" t="s">
        <v>15</v>
      </c>
      <c r="B17" s="6" t="n">
        <v>81</v>
      </c>
      <c r="C17" s="6" t="n">
        <v>96</v>
      </c>
      <c r="D17" s="6" t="n">
        <v>100</v>
      </c>
      <c r="E17" s="6" t="n">
        <v>100</v>
      </c>
      <c r="F17" s="6" t="n">
        <v>4</v>
      </c>
      <c r="G17" s="6" t="n">
        <v>0</v>
      </c>
      <c r="H17" s="17" t="s">
        <v>133</v>
      </c>
    </row>
    <row r="18" customFormat="false" ht="37.5" hidden="false" customHeight="true" outlineLevel="0" collapsed="false">
      <c r="A18" s="6" t="s">
        <v>16</v>
      </c>
      <c r="B18" s="6" t="n">
        <v>127</v>
      </c>
      <c r="C18" s="6" t="n">
        <v>150</v>
      </c>
      <c r="D18" s="6" t="n">
        <v>150</v>
      </c>
      <c r="E18" s="6" t="n">
        <v>150</v>
      </c>
      <c r="F18" s="6" t="n">
        <v>0</v>
      </c>
      <c r="G18" s="6" t="n">
        <v>0</v>
      </c>
      <c r="H18" s="17" t="s">
        <v>133</v>
      </c>
    </row>
    <row r="20" customFormat="false" ht="42" hidden="false" customHeight="true" outlineLevel="0" collapsed="false">
      <c r="A20" s="16" t="s">
        <v>134</v>
      </c>
      <c r="B20" s="16"/>
      <c r="C20" s="16"/>
      <c r="D20" s="16"/>
      <c r="E20" s="16"/>
      <c r="F20" s="16"/>
      <c r="G20" s="16"/>
      <c r="H20" s="16"/>
    </row>
    <row r="22" customFormat="false" ht="36" hidden="false" customHeight="true" outlineLevel="0" collapsed="false">
      <c r="A22" s="3" t="s">
        <v>135</v>
      </c>
      <c r="B22" s="3"/>
      <c r="C22" s="3"/>
      <c r="D22" s="3"/>
      <c r="E22" s="3"/>
      <c r="F22" s="3"/>
      <c r="G22" s="3"/>
      <c r="H22" s="3"/>
    </row>
    <row r="23" customFormat="false" ht="37.5" hidden="false" customHeight="true" outlineLevel="0" collapsed="false">
      <c r="A23" s="5" t="s">
        <v>112</v>
      </c>
      <c r="B23" s="5" t="s">
        <v>136</v>
      </c>
      <c r="C23" s="4" t="s">
        <v>137</v>
      </c>
      <c r="D23" s="5" t="s">
        <v>138</v>
      </c>
      <c r="E23" s="5" t="s">
        <v>139</v>
      </c>
      <c r="F23" s="4" t="s">
        <v>140</v>
      </c>
      <c r="G23" s="4" t="s">
        <v>141</v>
      </c>
      <c r="H23" s="5" t="s">
        <v>56</v>
      </c>
    </row>
    <row r="24" customFormat="false" ht="37.5" hidden="false" customHeight="true" outlineLevel="0" collapsed="false">
      <c r="A24" s="6" t="s">
        <v>120</v>
      </c>
      <c r="B24" s="15" t="n">
        <v>0.166977824126439</v>
      </c>
      <c r="C24" s="15" t="n">
        <v>8.56039352913584</v>
      </c>
      <c r="D24" s="6" t="n">
        <v>1</v>
      </c>
      <c r="E24" s="6" t="s">
        <v>142</v>
      </c>
      <c r="F24" s="6" t="n">
        <v>31</v>
      </c>
      <c r="G24" s="6" t="s">
        <v>143</v>
      </c>
      <c r="H24" s="6" t="s">
        <v>144</v>
      </c>
    </row>
    <row r="25" customFormat="false" ht="37.5" hidden="false" customHeight="true" outlineLevel="0" collapsed="false">
      <c r="A25" s="6" t="s">
        <v>122</v>
      </c>
      <c r="B25" s="15" t="n">
        <v>0.3377234445519</v>
      </c>
      <c r="C25" s="15" t="n">
        <v>4593.51400095485</v>
      </c>
      <c r="D25" s="6" t="n">
        <v>0</v>
      </c>
      <c r="E25" s="6" t="s">
        <v>142</v>
      </c>
      <c r="F25" s="6" t="n">
        <v>31</v>
      </c>
      <c r="G25" s="6" t="s">
        <v>143</v>
      </c>
      <c r="H25" s="6" t="s">
        <v>144</v>
      </c>
    </row>
    <row r="26" customFormat="false" ht="42" hidden="false" customHeight="true" outlineLevel="0" collapsed="false">
      <c r="A26" s="6" t="s">
        <v>123</v>
      </c>
      <c r="B26" s="17" t="s">
        <v>46</v>
      </c>
      <c r="C26" s="15" t="n">
        <v>8.56039352913584</v>
      </c>
      <c r="D26" s="6" t="n">
        <v>1</v>
      </c>
      <c r="E26" s="6" t="s">
        <v>142</v>
      </c>
      <c r="F26" s="6" t="n">
        <v>31</v>
      </c>
      <c r="G26" s="17" t="s">
        <v>145</v>
      </c>
      <c r="H26" s="6" t="s">
        <v>144</v>
      </c>
    </row>
    <row r="28" customFormat="false" ht="42" hidden="false" customHeight="true" outlineLevel="0" collapsed="false">
      <c r="A28" s="16" t="s">
        <v>146</v>
      </c>
      <c r="B28" s="16"/>
      <c r="C28" s="16"/>
      <c r="D28" s="16"/>
      <c r="E28" s="16"/>
      <c r="F28" s="16"/>
      <c r="G28" s="16"/>
      <c r="H28" s="16"/>
    </row>
    <row r="30" customFormat="false" ht="36" hidden="false" customHeight="true" outlineLevel="0" collapsed="false">
      <c r="A30" s="3" t="s">
        <v>147</v>
      </c>
      <c r="B30" s="3"/>
      <c r="C30" s="3"/>
      <c r="D30" s="3"/>
      <c r="E30" s="3"/>
      <c r="F30" s="3"/>
      <c r="G30" s="3"/>
      <c r="H30" s="3"/>
    </row>
    <row r="31" customFormat="false" ht="37.5" hidden="false" customHeight="true" outlineLevel="0" collapsed="false">
      <c r="A31" s="5" t="s">
        <v>148</v>
      </c>
      <c r="B31" s="5" t="s">
        <v>149</v>
      </c>
      <c r="C31" s="5" t="s">
        <v>150</v>
      </c>
      <c r="D31" s="5" t="s">
        <v>151</v>
      </c>
      <c r="E31" s="5" t="s">
        <v>152</v>
      </c>
      <c r="F31" s="4" t="s">
        <v>153</v>
      </c>
      <c r="G31" s="5" t="s">
        <v>154</v>
      </c>
      <c r="H31" s="5" t="s">
        <v>119</v>
      </c>
    </row>
    <row r="32" customFormat="false" ht="37.5" hidden="false" customHeight="true" outlineLevel="0" collapsed="false">
      <c r="A32" s="6" t="s">
        <v>155</v>
      </c>
      <c r="B32" s="15" t="n">
        <v>344.309713925999</v>
      </c>
      <c r="C32" s="15" t="n">
        <v>369.062138627</v>
      </c>
      <c r="D32" s="7" t="n">
        <f aca="false">IF(AND(ISNUMBER(B32),ISNUMBER(C32),B32&lt;&gt;0),(B32-C32)/B32,"待補")</f>
        <v>-0.071889998161134</v>
      </c>
      <c r="E32" s="15" t="n">
        <v>1422.484375</v>
      </c>
      <c r="F32" s="15" t="n">
        <v>1422.359375</v>
      </c>
      <c r="G32" s="6" t="n">
        <v>1</v>
      </c>
      <c r="H32" s="17" t="s">
        <v>156</v>
      </c>
    </row>
    <row r="33" customFormat="false" ht="37.5" hidden="false" customHeight="true" outlineLevel="0" collapsed="false">
      <c r="A33" s="6" t="s">
        <v>157</v>
      </c>
      <c r="B33" s="15" t="n">
        <v>703.872690516</v>
      </c>
      <c r="C33" s="15" t="n">
        <v>651.789637792001</v>
      </c>
      <c r="D33" s="7" t="n">
        <f aca="false">IF(AND(ISNUMBER(B33),ISNUMBER(C33),B33&lt;&gt;0),(B33-C33)/B33,"待補")</f>
        <v>0.0739949900397729</v>
      </c>
      <c r="E33" s="15" t="n">
        <v>2008.78125</v>
      </c>
      <c r="F33" s="15" t="n">
        <v>2009.05859375</v>
      </c>
      <c r="G33" s="6" t="n">
        <v>1</v>
      </c>
      <c r="H33" s="17" t="s">
        <v>156</v>
      </c>
    </row>
    <row r="35" customFormat="false" ht="42" hidden="false" customHeight="true" outlineLevel="0" collapsed="false">
      <c r="A35" s="16" t="s">
        <v>158</v>
      </c>
      <c r="B35" s="16"/>
      <c r="C35" s="16"/>
      <c r="D35" s="16"/>
      <c r="E35" s="16"/>
      <c r="F35" s="16"/>
      <c r="G35" s="16"/>
      <c r="H35" s="16"/>
    </row>
  </sheetData>
  <mergeCells count="10">
    <mergeCell ref="A1:H1"/>
    <mergeCell ref="A2:H2"/>
    <mergeCell ref="A4:H4"/>
    <mergeCell ref="A10:H10"/>
    <mergeCell ref="A12:H12"/>
    <mergeCell ref="A20:H20"/>
    <mergeCell ref="A22:H22"/>
    <mergeCell ref="A28:H28"/>
    <mergeCell ref="A30:H30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37" man="true" max="16383" min="0"/>
    <brk id="61" man="true" max="16383" min="0"/>
    <brk id="85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2026-10-26T03:45:49Z</dcterms:created>
  <dc:creator>openpyxl</dc:creator>
  <dc:description/>
  <dc:language>en-US</dc:language>
  <cp:lastModifiedBy/>
  <dcterms:modified xsi:type="dcterms:W3CDTF">2026-10-26T03:45:49Z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