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結果比較" sheetId="1" state="visible" r:id="rId3"/>
    <sheet name="參數方法改動" sheetId="2" state="visible" r:id="rId4"/>
    <sheet name="證據與圖表" sheetId="3" state="visible" r:id="rId5"/>
  </sheets>
  <definedNames>
    <definedName function="false" hidden="false" localSheetId="1" name="_xlnm.Print_Area" vbProcedure="false">參數方法改動!$A$1:$F$18</definedName>
    <definedName function="false" hidden="false" localSheetId="1" name="_xlnm.Print_Titles" vbProcedure="false">參數方法改動!$1:$3</definedName>
    <definedName function="false" hidden="false" localSheetId="0" name="_xlnm.Print_Area" vbProcedure="false">結果比較!$A$1:$H$48</definedName>
    <definedName function="false" hidden="false" localSheetId="0" name="_xlnm.Print_Titles" vbProcedure="false">結果比較!$1:$3</definedName>
    <definedName function="false" hidden="true" localSheetId="0" name="_xlnm._FilterDatabase" vbProcedure="false">結果比較!$A$5:$H$11</definedName>
    <definedName function="false" hidden="false" localSheetId="2" name="_xlnm.Print_Area" vbProcedure="false">證據與圖表!$A$1:$H$74</definedName>
    <definedName function="false" hidden="false" localSheetId="2" name="_xlnm.Print_Titles" vbProcedure="false">證據與圖表!$1:$3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<sst xmlns="http://schemas.openxmlformats.org/spreadsheetml/2006/main" count="228" uniqueCount="136">
  <si>
    <r>
      <rPr>
        <b val="true"/>
        <sz val="18"/>
        <rFont val="Noto Sans CJK SC"/>
        <family val="2"/>
      </rPr>
      <t xml:space="preserve">第</t>
    </r>
    <r>
      <rPr>
        <b val="true"/>
        <sz val="18"/>
        <rFont val="Microsoft JhengHei"/>
        <family val="0"/>
        <charset val="1"/>
      </rPr>
      <t xml:space="preserve">2</t>
    </r>
    <r>
      <rPr>
        <b val="true"/>
        <sz val="18"/>
        <rFont val="Noto Sans CJK SC"/>
        <family val="2"/>
      </rPr>
      <t xml:space="preserve">次｜</t>
    </r>
    <r>
      <rPr>
        <b val="true"/>
        <sz val="18"/>
        <rFont val="Microsoft JhengHei"/>
        <family val="0"/>
        <charset val="1"/>
      </rPr>
      <t xml:space="preserve">DTM</t>
    </r>
    <r>
      <rPr>
        <b val="true"/>
        <sz val="18"/>
        <rFont val="Noto Sans CJK SC"/>
        <family val="2"/>
      </rPr>
      <t xml:space="preserve">平滑的局部改善與代價</t>
    </r>
  </si>
  <si>
    <r>
      <rPr>
        <sz val="10"/>
        <color rgb="FF444444"/>
        <rFont val="Noto Sans CJK SC"/>
        <family val="2"/>
      </rPr>
      <t xml:space="preserve">兩個</t>
    </r>
    <r>
      <rPr>
        <sz val="10"/>
        <color rgb="FF444444"/>
        <rFont val="Microsoft JhengHei"/>
        <family val="0"/>
        <charset val="1"/>
      </rPr>
      <t xml:space="preserve">dataset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Tongji</t>
    </r>
    <r>
      <rPr>
        <sz val="10"/>
        <color rgb="FF444444"/>
        <rFont val="Noto Sans CJK SC"/>
        <family val="2"/>
      </rPr>
      <t xml:space="preserve">四</t>
    </r>
    <r>
      <rPr>
        <sz val="10"/>
        <color rgb="FF444444"/>
        <rFont val="Microsoft JhengHei"/>
        <family val="0"/>
        <charset val="1"/>
      </rPr>
      <t xml:space="preserve">Plot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ETH</t>
    </r>
    <r>
      <rPr>
        <sz val="10"/>
        <color rgb="FF444444"/>
        <rFont val="Noto Sans CJK SC"/>
        <family val="2"/>
      </rPr>
      <t xml:space="preserve">；本地</t>
    </r>
    <r>
      <rPr>
        <sz val="10"/>
        <color rgb="FF444444"/>
        <rFont val="Microsoft JhengHei"/>
        <family val="0"/>
        <charset val="1"/>
      </rPr>
      <t xml:space="preserve">5cm</t>
    </r>
    <r>
      <rPr>
        <sz val="10"/>
        <color rgb="FF444444"/>
        <rFont val="Noto Sans CJK SC"/>
        <family val="2"/>
      </rPr>
      <t xml:space="preserve">是參考實作，作者原作重跑待補。下降率</t>
    </r>
    <r>
      <rPr>
        <sz val="10"/>
        <color rgb="FF444444"/>
        <rFont val="Microsoft JhengHei"/>
        <family val="0"/>
        <charset val="1"/>
      </rPr>
      <t xml:space="preserve">=(</t>
    </r>
    <r>
      <rPr>
        <sz val="10"/>
        <color rgb="FF444444"/>
        <rFont val="Noto Sans CJK SC"/>
        <family val="2"/>
      </rPr>
      <t xml:space="preserve">基準−修改</t>
    </r>
    <r>
      <rPr>
        <sz val="10"/>
        <color rgb="FF444444"/>
        <rFont val="Microsoft JhengHei"/>
        <family val="0"/>
        <charset val="1"/>
      </rPr>
      <t xml:space="preserve">)/</t>
    </r>
    <r>
      <rPr>
        <sz val="10"/>
        <color rgb="FF444444"/>
        <rFont val="Noto Sans CJK SC"/>
        <family val="2"/>
      </rPr>
      <t xml:space="preserve">基準；成功率差異用</t>
    </r>
    <r>
      <rPr>
        <sz val="10"/>
        <color rgb="FF444444"/>
        <rFont val="Microsoft JhengHei"/>
        <family val="0"/>
        <charset val="1"/>
      </rPr>
      <t xml:space="preserve">pp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</si>
  <si>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成功率：修改前</t>
    </r>
    <r>
      <rPr>
        <b val="true"/>
        <sz val="14"/>
        <rFont val="Microsoft JhengHei"/>
        <family val="0"/>
        <charset val="1"/>
      </rPr>
      <t xml:space="preserve">=</t>
    </r>
    <r>
      <rPr>
        <b val="true"/>
        <sz val="14"/>
        <rFont val="Noto Sans CJK SC"/>
        <family val="2"/>
      </rPr>
      <t xml:space="preserve">原</t>
    </r>
    <r>
      <rPr>
        <b val="true"/>
        <sz val="14"/>
        <rFont val="Microsoft JhengHei"/>
        <family val="0"/>
        <charset val="1"/>
      </rPr>
      <t xml:space="preserve">DTM</t>
    </r>
    <r>
      <rPr>
        <b val="true"/>
        <sz val="14"/>
        <rFont val="Noto Sans CJK SC"/>
        <family val="2"/>
      </rPr>
      <t xml:space="preserve">，</t>
    </r>
    <r>
      <rPr>
        <b val="true"/>
        <sz val="14"/>
        <rFont val="Microsoft JhengHei"/>
        <family val="0"/>
        <charset val="1"/>
      </rPr>
      <t xml:space="preserve">10cm</t>
    </r>
    <r>
      <rPr>
        <b val="true"/>
        <sz val="14"/>
        <rFont val="Noto Sans CJK SC"/>
        <family val="2"/>
      </rPr>
      <t xml:space="preserve">＋</t>
    </r>
    <r>
      <rPr>
        <b val="true"/>
        <sz val="14"/>
        <rFont val="Microsoft JhengHei"/>
        <family val="0"/>
        <charset val="1"/>
      </rPr>
      <t xml:space="preserve">RANSAC</t>
    </r>
    <r>
      <rPr>
        <b val="true"/>
        <sz val="14"/>
        <rFont val="Noto Sans CJK SC"/>
        <family val="2"/>
      </rPr>
      <t xml:space="preserve">＋補救；修改後</t>
    </r>
    <r>
      <rPr>
        <b val="true"/>
        <sz val="14"/>
        <rFont val="Microsoft JhengHei"/>
        <family val="0"/>
        <charset val="1"/>
      </rPr>
      <t xml:space="preserve">=smooth</t>
    </r>
    <r>
      <rPr>
        <b val="true"/>
        <sz val="14"/>
        <rFont val="Noto Sans CJK SC"/>
        <family val="2"/>
      </rPr>
      <t xml:space="preserve">；依列區分僅定位／完整提取</t>
    </r>
  </si>
  <si>
    <r>
      <rPr>
        <b val="true"/>
        <sz val="13"/>
        <rFont val="Microsoft JhengHei"/>
        <family val="0"/>
        <charset val="1"/>
      </rPr>
      <t xml:space="preserve">dataset</t>
    </r>
    <r>
      <rPr>
        <b val="true"/>
        <sz val="13"/>
        <rFont val="Noto Sans CJK SC"/>
        <family val="2"/>
      </rPr>
      <t xml:space="preserve">／場景</t>
    </r>
  </si>
  <si>
    <r>
      <rPr>
        <b val="true"/>
        <sz val="13"/>
        <rFont val="Noto Sans CJK SC"/>
        <family val="2"/>
      </rPr>
      <t xml:space="preserve">唯一配對</t>
    </r>
    <r>
      <rPr>
        <b val="true"/>
        <sz val="13"/>
        <rFont val="Microsoft JhengHei"/>
        <family val="0"/>
        <charset val="1"/>
      </rPr>
      <t xml:space="preserve">×seed</t>
    </r>
  </si>
  <si>
    <t xml:space="preserve">論文成功率
分母待補</t>
  </si>
  <si>
    <r>
      <rPr>
        <b val="true"/>
        <sz val="13"/>
        <rFont val="Microsoft JhengHei"/>
        <family val="0"/>
        <charset val="1"/>
      </rPr>
      <t xml:space="preserve">5cm</t>
    </r>
    <r>
      <rPr>
        <b val="true"/>
        <sz val="13"/>
        <rFont val="Noto Sans CJK SC"/>
        <family val="2"/>
      </rPr>
      <t xml:space="preserve">參考</t>
    </r>
  </si>
  <si>
    <t xml:space="preserve">修改前</t>
  </si>
  <si>
    <t xml:space="preserve">修改後</t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</si>
  <si>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論文 </t>
    </r>
    <r>
      <rPr>
        <b val="true"/>
        <sz val="13"/>
        <rFont val="Microsoft JhengHei"/>
        <family val="0"/>
        <charset val="1"/>
      </rPr>
      <t xml:space="preserve">pp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</si>
  <si>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修改前 </t>
    </r>
    <r>
      <rPr>
        <b val="true"/>
        <sz val="13"/>
        <rFont val="Microsoft JhengHei"/>
        <family val="0"/>
        <charset val="1"/>
      </rPr>
      <t xml:space="preserve">pp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</si>
  <si>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Plot1</t>
    </r>
    <r>
      <rPr>
        <sz val="13"/>
        <rFont val="Noto Sans CJK SC"/>
        <family val="2"/>
      </rPr>
      <t xml:space="preserve">／僅定位</t>
    </r>
  </si>
  <si>
    <r>
      <rPr>
        <sz val="13"/>
        <rFont val="Microsoft JhengHei"/>
        <family val="0"/>
        <charset val="1"/>
      </rPr>
      <t xml:space="preserve">10</t>
    </r>
    <r>
      <rPr>
        <sz val="13"/>
        <rFont val="Noto Sans CJK SC"/>
        <family val="2"/>
      </rPr>
      <t xml:space="preserve">配對</t>
    </r>
    <r>
      <rPr>
        <sz val="13"/>
        <rFont val="Microsoft JhengHei"/>
        <family val="0"/>
        <charset val="1"/>
      </rPr>
      <t xml:space="preserve">×10seed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</si>
  <si>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Plot2</t>
    </r>
    <r>
      <rPr>
        <sz val="13"/>
        <rFont val="Noto Sans CJK SC"/>
        <family val="2"/>
      </rPr>
      <t xml:space="preserve">／僅定位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</si>
  <si>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Plot3</t>
    </r>
    <r>
      <rPr>
        <sz val="13"/>
        <rFont val="Noto Sans CJK SC"/>
        <family val="2"/>
      </rPr>
      <t xml:space="preserve">／僅定位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</si>
  <si>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Plot4</t>
    </r>
    <r>
      <rPr>
        <sz val="13"/>
        <rFont val="Noto Sans CJK SC"/>
        <family val="2"/>
      </rPr>
      <t xml:space="preserve">／僅定位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</si>
  <si>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Plot2</t>
    </r>
    <r>
      <rPr>
        <sz val="13"/>
        <rFont val="Noto Sans CJK SC"/>
        <family val="2"/>
      </rPr>
      <t xml:space="preserve">／完整重提取</t>
    </r>
  </si>
  <si>
    <r>
      <rPr>
        <sz val="13"/>
        <rFont val="Microsoft JhengHei"/>
        <family val="0"/>
        <charset val="1"/>
      </rPr>
      <t xml:space="preserve">ETH-tree</t>
    </r>
    <r>
      <rPr>
        <sz val="13"/>
        <rFont val="Noto Sans CJK SC"/>
        <family val="2"/>
      </rPr>
      <t xml:space="preserve">／本輪未測</t>
    </r>
  </si>
  <si>
    <r>
      <rPr>
        <sz val="13"/>
        <rFont val="Microsoft JhengHei"/>
        <family val="0"/>
        <charset val="1"/>
      </rPr>
      <t xml:space="preserve">15</t>
    </r>
    <r>
      <rPr>
        <sz val="13"/>
        <rFont val="Noto Sans CJK SC"/>
        <family val="2"/>
      </rPr>
      <t xml:space="preserve">配對</t>
    </r>
    <r>
      <rPr>
        <sz val="13"/>
        <rFont val="Microsoft JhengHei"/>
        <family val="0"/>
        <charset val="1"/>
      </rPr>
      <t xml:space="preserve">×10seed</t>
    </r>
  </si>
  <si>
    <t xml:space="preserve">待補</t>
  </si>
  <si>
    <r>
      <rPr>
        <sz val="10"/>
        <color rgb="FF444444"/>
        <rFont val="Noto Sans CJK SC"/>
        <family val="2"/>
      </rPr>
      <t xml:space="preserve">來源</t>
    </r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PDF p4 Table I</t>
    </r>
    <r>
      <rPr>
        <sz val="10"/>
        <color rgb="FF444444"/>
        <rFont val="Noto Sans CJK SC"/>
        <family val="2"/>
      </rPr>
      <t xml:space="preserve">；本地</t>
    </r>
    <r>
      <rPr>
        <sz val="10"/>
        <color rgb="FF444444"/>
        <rFont val="Microsoft JhengHei"/>
        <family val="0"/>
        <charset val="1"/>
      </rPr>
      <t xml:space="preserve">U/D/DF</t>
    </r>
    <r>
      <rPr>
        <sz val="10"/>
        <color rgb="FF444444"/>
        <rFont val="Noto Sans CJK SC"/>
        <family val="2"/>
      </rPr>
      <t xml:space="preserve">，精確篩選與</t>
    </r>
    <r>
      <rPr>
        <sz val="10"/>
        <color rgb="FF444444"/>
        <rFont val="Microsoft JhengHei"/>
        <family val="0"/>
        <charset val="1"/>
      </rPr>
      <t xml:space="preserve">CSV</t>
    </r>
    <r>
      <rPr>
        <sz val="10"/>
        <color rgb="FF444444"/>
        <rFont val="Noto Sans CJK SC"/>
        <family val="2"/>
      </rPr>
      <t xml:space="preserve">列號見</t>
    </r>
    <r>
      <rPr>
        <sz val="10"/>
        <color rgb="FF444444"/>
        <rFont val="Microsoft JhengHei"/>
        <family val="0"/>
        <charset val="1"/>
      </rPr>
      <t xml:space="preserve">source_manifest.json</t>
    </r>
    <r>
      <rPr>
        <sz val="10"/>
        <color rgb="FF444444"/>
        <rFont val="Noto Sans CJK SC"/>
        <family val="2"/>
      </rPr>
      <t xml:space="preserve">。每個</t>
    </r>
    <r>
      <rPr>
        <sz val="10"/>
        <color rgb="FF444444"/>
        <rFont val="Microsoft JhengHei"/>
        <family val="0"/>
        <charset val="1"/>
      </rPr>
      <t xml:space="preserve">seed</t>
    </r>
    <r>
      <rPr>
        <sz val="10"/>
        <color rgb="FF444444"/>
        <rFont val="Noto Sans CJK SC"/>
        <family val="2"/>
      </rPr>
      <t xml:space="preserve">是同一配對重跑，不能當成獨立森林。論文與專案成功門檻未確認一致；作者原作重跑待補。</t>
    </r>
  </si>
  <si>
    <r>
      <rPr>
        <b val="true"/>
        <sz val="14"/>
        <rFont val="Noto Sans CJK SC"/>
        <family val="2"/>
      </rPr>
      <t xml:space="preserve">平均</t>
    </r>
    <r>
      <rPr>
        <b val="true"/>
        <sz val="14"/>
        <rFont val="Microsoft JhengHei"/>
        <family val="0"/>
        <charset val="1"/>
      </rPr>
      <t xml:space="preserve">e_p</t>
    </r>
    <r>
      <rPr>
        <b val="true"/>
        <sz val="14"/>
        <rFont val="Noto Sans CJK SC"/>
        <family val="2"/>
      </rPr>
      <t xml:space="preserve">：全部有限誤差，包含能計算的失敗；單位</t>
    </r>
    <r>
      <rPr>
        <b val="true"/>
        <sz val="14"/>
        <rFont val="Microsoft JhengHei"/>
        <family val="0"/>
        <charset val="1"/>
      </rPr>
      <t xml:space="preserve">cm</t>
    </r>
  </si>
  <si>
    <r>
      <rPr>
        <b val="true"/>
        <sz val="13"/>
        <rFont val="Noto Sans CJK SC"/>
        <family val="2"/>
      </rPr>
      <t xml:space="preserve">論文平均</t>
    </r>
    <r>
      <rPr>
        <b val="true"/>
        <sz val="13"/>
        <rFont val="Microsoft JhengHei"/>
        <family val="0"/>
        <charset val="1"/>
      </rPr>
      <t xml:space="preserve">e_p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</si>
  <si>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論文下降率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</si>
  <si>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前下降率</t>
    </r>
  </si>
  <si>
    <r>
      <rPr>
        <b val="true"/>
        <sz val="13"/>
        <rFont val="Noto Sans CJK SC"/>
        <family val="2"/>
      </rPr>
      <t xml:space="preserve">有限</t>
    </r>
    <r>
      <rPr>
        <b val="true"/>
        <sz val="13"/>
        <rFont val="Microsoft JhengHei"/>
        <family val="0"/>
        <charset val="1"/>
      </rPr>
      <t xml:space="preserve">N</t>
    </r>
    <r>
      <rPr>
        <b val="true"/>
        <sz val="13"/>
        <rFont val="Noto Sans CJK SC"/>
        <family val="2"/>
      </rPr>
      <t xml:space="preserve">：參考／前／後</t>
    </r>
  </si>
  <si>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</si>
  <si>
    <r>
      <rPr>
        <sz val="13"/>
        <rFont val="Microsoft JhengHei"/>
        <family val="0"/>
        <charset val="1"/>
      </rPr>
      <t xml:space="preserve">83/100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99/100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</si>
  <si>
    <r>
      <rPr>
        <sz val="13"/>
        <rFont val="Microsoft JhengHei"/>
        <family val="0"/>
        <charset val="1"/>
      </rPr>
      <t xml:space="preserve">127/150</t>
    </r>
    <r>
      <rPr>
        <sz val="13"/>
        <rFont val="Noto Sans CJK SC"/>
        <family val="2"/>
      </rPr>
      <t xml:space="preserve">／待補／待補</t>
    </r>
  </si>
  <si>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p4 Eq.(8)/Table I</t>
    </r>
    <r>
      <rPr>
        <sz val="10"/>
        <color rgb="FF444444"/>
        <rFont val="Noto Sans CJK SC"/>
        <family val="2"/>
      </rPr>
      <t xml:space="preserve">。全來源點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再跨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取</t>
    </r>
    <r>
      <rPr>
        <sz val="10"/>
        <color rgb="FF444444"/>
        <rFont val="Microsoft JhengHei"/>
        <family val="0"/>
        <charset val="1"/>
      </rPr>
      <t xml:space="preserve">mean</t>
    </r>
    <r>
      <rPr>
        <sz val="10"/>
        <color rgb="FF444444"/>
        <rFont val="Noto Sans CJK SC"/>
        <family val="2"/>
      </rPr>
      <t xml:space="preserve">，含有限失敗；缺變換不填</t>
    </r>
    <r>
      <rPr>
        <sz val="10"/>
        <color rgb="FF444444"/>
        <rFont val="Microsoft JhengHei"/>
        <family val="0"/>
        <charset val="1"/>
      </rPr>
      <t xml:space="preserve">0</t>
    </r>
    <r>
      <rPr>
        <sz val="10"/>
        <color rgb="FF444444"/>
        <rFont val="Noto Sans CJK SC"/>
        <family val="2"/>
      </rPr>
      <t xml:space="preserve">。修改後缺輸出則</t>
    </r>
    <r>
      <rPr>
        <sz val="10"/>
        <color rgb="FF444444"/>
        <rFont val="Microsoft JhengHei"/>
        <family val="0"/>
        <charset val="1"/>
      </rPr>
      <t xml:space="preserve">vs</t>
    </r>
    <r>
      <rPr>
        <sz val="10"/>
        <color rgb="FF444444"/>
        <rFont val="Noto Sans CJK SC"/>
        <family val="2"/>
      </rPr>
      <t xml:space="preserve">論文下降率待補；本地有限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集合不同則</t>
    </r>
    <r>
      <rPr>
        <sz val="10"/>
        <color rgb="FF444444"/>
        <rFont val="Microsoft JhengHei"/>
        <family val="0"/>
        <charset val="1"/>
      </rPr>
      <t xml:space="preserve">vs</t>
    </r>
    <r>
      <rPr>
        <sz val="10"/>
        <color rgb="FF444444"/>
        <rFont val="Noto Sans CJK SC"/>
        <family val="2"/>
      </rPr>
      <t xml:space="preserve">前下降率待補，另見第三頁共同成功比較。論文數字僅參考，協定未完全核對。</t>
    </r>
  </si>
  <si>
    <t xml:space="preserve">旋轉與平移：保留可計算失敗；不是論文額外指標</t>
  </si>
  <si>
    <r>
      <rPr>
        <b val="true"/>
        <sz val="13"/>
        <rFont val="Noto Sans CJK SC"/>
        <family val="2"/>
      </rPr>
      <t xml:space="preserve">參考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</si>
  <si>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前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</si>
  <si>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後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</si>
  <si>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參考 </t>
    </r>
    <r>
      <rPr>
        <b val="true"/>
        <sz val="13"/>
        <rFont val="Microsoft JhengHei"/>
        <family val="0"/>
        <charset val="1"/>
      </rPr>
      <t xml:space="preserve">e_t cm</t>
    </r>
  </si>
  <si>
    <r>
      <rPr>
        <b val="true"/>
        <sz val="13"/>
        <rFont val="Noto Sans CJK SC"/>
        <family val="2"/>
      </rPr>
      <t xml:space="preserve">前 </t>
    </r>
    <r>
      <rPr>
        <b val="true"/>
        <sz val="13"/>
        <rFont val="Microsoft JhengHei"/>
        <family val="0"/>
        <charset val="1"/>
      </rPr>
      <t xml:space="preserve">e_t cm</t>
    </r>
  </si>
  <si>
    <r>
      <rPr>
        <b val="true"/>
        <sz val="13"/>
        <rFont val="Noto Sans CJK SC"/>
        <family val="2"/>
      </rPr>
      <t xml:space="preserve">後 </t>
    </r>
    <r>
      <rPr>
        <b val="true"/>
        <sz val="13"/>
        <rFont val="Microsoft JhengHei"/>
        <family val="0"/>
        <charset val="1"/>
      </rPr>
      <t xml:space="preserve">e_t cm</t>
    </r>
  </si>
  <si>
    <t xml:space="preserve">論文欄位狀態</t>
  </si>
  <si>
    <r>
      <rPr>
        <sz val="13"/>
        <rFont val="Noto Sans CJK SC"/>
        <family val="2"/>
      </rPr>
      <t xml:space="preserve">論文</t>
    </r>
    <r>
      <rPr>
        <sz val="13"/>
        <rFont val="Microsoft JhengHei"/>
        <family val="0"/>
        <charset val="1"/>
      </rPr>
      <t xml:space="preserve">e_R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e_t</t>
    </r>
    <r>
      <rPr>
        <sz val="13"/>
        <rFont val="Noto Sans CJK SC"/>
        <family val="2"/>
      </rPr>
      <t xml:space="preserve">：待補</t>
    </r>
  </si>
  <si>
    <r>
      <rPr>
        <sz val="10"/>
        <color rgb="FF444444"/>
        <rFont val="Noto Sans CJK SC"/>
        <family val="2"/>
      </rPr>
      <t xml:space="preserve">來源同上原始</t>
    </r>
    <r>
      <rPr>
        <sz val="10"/>
        <color rgb="FF444444"/>
        <rFont val="Microsoft JhengHei"/>
        <family val="0"/>
        <charset val="1"/>
      </rPr>
      <t xml:space="preserve">CSV</t>
    </r>
    <r>
      <rPr>
        <sz val="10"/>
        <color rgb="FF444444"/>
        <rFont val="Noto Sans CJK SC"/>
        <family val="2"/>
      </rPr>
      <t xml:space="preserve">之</t>
    </r>
    <r>
      <rPr>
        <sz val="10"/>
        <color rgb="FF444444"/>
        <rFont val="Microsoft JhengHei"/>
        <family val="0"/>
        <charset val="1"/>
      </rPr>
      <t xml:space="preserve">rot_err_deg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trans_err_m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e_R=R_gtᵀR_est</t>
    </r>
    <r>
      <rPr>
        <sz val="10"/>
        <color rgb="FF444444"/>
        <rFont val="Noto Sans CJK SC"/>
        <family val="2"/>
      </rPr>
      <t xml:space="preserve">的旋轉角，</t>
    </r>
    <r>
      <rPr>
        <sz val="10"/>
        <color rgb="FF444444"/>
        <rFont val="Microsoft JhengHei"/>
        <family val="0"/>
        <charset val="1"/>
      </rPr>
      <t xml:space="preserve">e_t=||t_est−t_gt||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Table I</t>
    </r>
    <r>
      <rPr>
        <sz val="10"/>
        <color rgb="FF444444"/>
        <rFont val="Noto Sans CJK SC"/>
        <family val="2"/>
      </rPr>
      <t xml:space="preserve">只列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及成功率，未列</t>
    </r>
    <r>
      <rPr>
        <sz val="10"/>
        <color rgb="FF444444"/>
        <rFont val="Microsoft JhengHei"/>
        <family val="0"/>
        <charset val="1"/>
      </rPr>
      <t xml:space="preserve">e_R/e_t</t>
    </r>
    <r>
      <rPr>
        <sz val="10"/>
        <color rgb="FF444444"/>
        <rFont val="Noto Sans CJK SC"/>
        <family val="2"/>
      </rPr>
      <t xml:space="preserve">，故原論文欄待補。本地成功為</t>
    </r>
    <r>
      <rPr>
        <sz val="10"/>
        <color rgb="FF444444"/>
        <rFont val="Microsoft JhengHei"/>
        <family val="0"/>
        <charset val="1"/>
      </rPr>
      <t xml:space="preserve">e_R&lt;2°</t>
    </r>
    <r>
      <rPr>
        <sz val="10"/>
        <color rgb="FF444444"/>
        <rFont val="Noto Sans CJK SC"/>
        <family val="2"/>
      </rPr>
      <t xml:space="preserve">且</t>
    </r>
    <r>
      <rPr>
        <sz val="10"/>
        <color rgb="FF444444"/>
        <rFont val="Microsoft JhengHei"/>
        <family val="0"/>
        <charset val="1"/>
      </rPr>
      <t xml:space="preserve">e_t&lt;50cm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</si>
  <si>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時間：論文</t>
    </r>
    <r>
      <rPr>
        <b val="true"/>
        <sz val="14"/>
        <rFont val="Microsoft JhengHei"/>
        <family val="0"/>
        <charset val="1"/>
      </rPr>
      <t xml:space="preserve">matching</t>
    </r>
    <r>
      <rPr>
        <b val="true"/>
        <sz val="14"/>
        <rFont val="Noto Sans CJK SC"/>
        <family val="2"/>
      </rPr>
      <t xml:space="preserve">與</t>
    </r>
    <r>
      <rPr>
        <b val="true"/>
        <sz val="14"/>
        <rFont val="Microsoft JhengHei"/>
        <family val="0"/>
        <charset val="1"/>
      </rPr>
      <t xml:space="preserve">total</t>
    </r>
    <r>
      <rPr>
        <b val="true"/>
        <sz val="14"/>
        <rFont val="Noto Sans CJK SC"/>
        <family val="2"/>
      </rPr>
      <t xml:space="preserve">分開；本地皆為配對內部時間</t>
    </r>
  </si>
  <si>
    <r>
      <rPr>
        <b val="true"/>
        <sz val="13"/>
        <rFont val="Noto Sans CJK SC"/>
        <family val="2"/>
      </rPr>
      <t xml:space="preserve">論文</t>
    </r>
    <r>
      <rPr>
        <b val="true"/>
        <sz val="13"/>
        <rFont val="Microsoft JhengHei"/>
        <family val="0"/>
        <charset val="1"/>
      </rPr>
      <t xml:space="preserve">matching ms</t>
    </r>
  </si>
  <si>
    <r>
      <rPr>
        <b val="true"/>
        <sz val="13"/>
        <rFont val="Noto Sans CJK SC"/>
        <family val="2"/>
      </rPr>
      <t xml:space="preserve">論文</t>
    </r>
    <r>
      <rPr>
        <b val="true"/>
        <sz val="13"/>
        <rFont val="Microsoft JhengHei"/>
        <family val="0"/>
        <charset val="1"/>
      </rPr>
      <t xml:space="preserve">total s</t>
    </r>
  </si>
  <si>
    <r>
      <rPr>
        <b val="true"/>
        <sz val="13"/>
        <rFont val="Noto Sans CJK SC"/>
        <family val="2"/>
      </rPr>
      <t xml:space="preserve">參考</t>
    </r>
    <r>
      <rPr>
        <b val="true"/>
        <sz val="13"/>
        <rFont val="Microsoft JhengHei"/>
        <family val="0"/>
        <charset val="1"/>
      </rPr>
      <t xml:space="preserve">online ms</t>
    </r>
  </si>
  <si>
    <r>
      <rPr>
        <b val="true"/>
        <sz val="13"/>
        <rFont val="Noto Sans CJK SC"/>
        <family val="2"/>
      </rPr>
      <t xml:space="preserve">前</t>
    </r>
    <r>
      <rPr>
        <b val="true"/>
        <sz val="13"/>
        <rFont val="Microsoft JhengHei"/>
        <family val="0"/>
        <charset val="1"/>
      </rPr>
      <t xml:space="preserve">online ms</t>
    </r>
  </si>
  <si>
    <r>
      <rPr>
        <b val="true"/>
        <sz val="13"/>
        <rFont val="Noto Sans CJK SC"/>
        <family val="2"/>
      </rPr>
      <t xml:space="preserve">後</t>
    </r>
    <r>
      <rPr>
        <b val="true"/>
        <sz val="13"/>
        <rFont val="Microsoft JhengHei"/>
        <family val="0"/>
        <charset val="1"/>
      </rPr>
      <t xml:space="preserve">online ms</t>
    </r>
  </si>
  <si>
    <t xml:space="preserve">本地下降率</t>
  </si>
  <si>
    <t xml:space="preserve">範圍／硬體限制</t>
  </si>
  <si>
    <t xml:space="preserve">見下方計時限制</t>
  </si>
  <si>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p4 Table II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p5 Table III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i7-9700F 3GHz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Microsoft JhengHei"/>
        <family val="0"/>
        <charset val="1"/>
      </rPr>
      <t xml:space="preserve">OpenMP</t>
    </r>
    <r>
      <rPr>
        <sz val="10"/>
        <color rgb="FF444444"/>
        <rFont val="Noto Sans CJK SC"/>
        <family val="2"/>
      </rPr>
      <t xml:space="preserve">執行緒數待補。</t>
    </r>
    <r>
      <rPr>
        <sz val="10"/>
        <color rgb="FF444444"/>
        <rFont val="Microsoft JhengHei"/>
        <family val="0"/>
        <charset val="1"/>
      </rPr>
      <t xml:space="preserve">U online</t>
    </r>
    <r>
      <rPr>
        <sz val="10"/>
        <color rgb="FF444444"/>
        <rFont val="Noto Sans CJK SC"/>
        <family val="2"/>
      </rPr>
      <t xml:space="preserve">含讀樹位／</t>
    </r>
    <r>
      <rPr>
        <sz val="10"/>
        <color rgb="FF444444"/>
        <rFont val="Microsoft JhengHei"/>
        <family val="0"/>
        <charset val="1"/>
      </rPr>
      <t xml:space="preserve">descriptor</t>
    </r>
    <r>
      <rPr>
        <sz val="10"/>
        <color rgb="FF444444"/>
        <rFont val="Noto Sans CJK SC"/>
        <family val="2"/>
      </rPr>
      <t xml:space="preserve">／</t>
    </r>
    <r>
      <rPr>
        <sz val="10"/>
        <color rgb="FF444444"/>
        <rFont val="Microsoft JhengHei"/>
        <family val="0"/>
        <charset val="1"/>
      </rPr>
      <t xml:space="preserve">matching</t>
    </r>
    <r>
      <rPr>
        <sz val="10"/>
        <color rgb="FF444444"/>
        <rFont val="Noto Sans CJK SC"/>
        <family val="2"/>
      </rPr>
      <t xml:space="preserve">／求解／</t>
    </r>
    <r>
      <rPr>
        <sz val="10"/>
        <color rgb="FF444444"/>
        <rFont val="Microsoft JhengHei"/>
        <family val="0"/>
        <charset val="1"/>
      </rPr>
      <t xml:space="preserve">refinement</t>
    </r>
    <r>
      <rPr>
        <sz val="10"/>
        <color rgb="FF444444"/>
        <rFont val="Noto Sans CJK SC"/>
        <family val="2"/>
      </rPr>
      <t xml:space="preserve">，不含幾何</t>
    </r>
    <r>
      <rPr>
        <sz val="10"/>
        <color rgb="FF444444"/>
        <rFont val="Microsoft JhengHei"/>
        <family val="0"/>
        <charset val="1"/>
      </rPr>
      <t xml:space="preserve">cache</t>
    </r>
    <r>
      <rPr>
        <sz val="10"/>
        <color rgb="FF444444"/>
        <rFont val="Noto Sans CJK SC"/>
        <family val="2"/>
      </rPr>
      <t xml:space="preserve">載入、原始點雲提取及</t>
    </r>
    <r>
      <rPr>
        <sz val="10"/>
        <color rgb="FF444444"/>
        <rFont val="Microsoft JhengHei"/>
        <family val="0"/>
        <charset val="1"/>
      </rPr>
      <t xml:space="preserve">GT</t>
    </r>
    <r>
      <rPr>
        <sz val="10"/>
        <color rgb="FF444444"/>
        <rFont val="Noto Sans CJK SC"/>
        <family val="2"/>
      </rPr>
      <t xml:space="preserve">評分；舊</t>
    </r>
    <r>
      <rPr>
        <sz val="10"/>
        <color rgb="FF444444"/>
        <rFont val="Microsoft JhengHei"/>
        <family val="0"/>
        <charset val="1"/>
      </rPr>
      <t xml:space="preserve">time_ms</t>
    </r>
    <r>
      <rPr>
        <sz val="10"/>
        <color rgb="FF444444"/>
        <rFont val="Noto Sans CJK SC"/>
        <family val="2"/>
      </rPr>
      <t xml:space="preserve">含</t>
    </r>
    <r>
      <rPr>
        <sz val="10"/>
        <color rgb="FF444444"/>
        <rFont val="Microsoft JhengHei"/>
        <family val="0"/>
        <charset val="1"/>
      </rPr>
      <t xml:space="preserve">descriptor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matching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recovery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solver</t>
    </r>
    <r>
      <rPr>
        <sz val="10"/>
        <color rgb="FF444444"/>
        <rFont val="Noto Sans CJK SC"/>
        <family val="2"/>
      </rPr>
      <t xml:space="preserve">。論文速度下降率一律待補，範圍／硬體不同。</t>
    </r>
  </si>
  <si>
    <r>
      <rPr>
        <sz val="10"/>
        <color rgb="FF444444"/>
        <rFont val="Microsoft JhengHei"/>
        <family val="0"/>
        <charset val="1"/>
      </rPr>
      <t xml:space="preserve">R2</t>
    </r>
    <r>
      <rPr>
        <sz val="10"/>
        <color rgb="FF444444"/>
        <rFont val="Noto Sans CJK SC"/>
        <family val="2"/>
      </rPr>
      <t xml:space="preserve">：本地前後跨批次、舊硬體未完整記錄；</t>
    </r>
    <r>
      <rPr>
        <sz val="10"/>
        <color rgb="FF444444"/>
        <rFont val="Microsoft JhengHei"/>
        <family val="0"/>
        <charset val="1"/>
      </rPr>
      <t xml:space="preserve">R4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v2/v3</t>
    </r>
    <r>
      <rPr>
        <sz val="10"/>
        <color rgb="FF444444"/>
        <rFont val="Noto Sans CJK SC"/>
        <family val="2"/>
      </rPr>
      <t xml:space="preserve">跨</t>
    </r>
    <r>
      <rPr>
        <sz val="10"/>
        <color rgb="FF444444"/>
        <rFont val="Microsoft JhengHei"/>
        <family val="0"/>
        <charset val="1"/>
      </rPr>
      <t xml:space="preserve">epoch</t>
    </r>
    <r>
      <rPr>
        <sz val="10"/>
        <color rgb="FF444444"/>
        <rFont val="Noto Sans CJK SC"/>
        <family val="2"/>
      </rPr>
      <t xml:space="preserve">且採集並行度不同。以上本地</t>
    </r>
    <r>
      <rPr>
        <sz val="10"/>
        <color rgb="FF444444"/>
        <rFont val="Microsoft JhengHei"/>
        <family val="0"/>
        <charset val="1"/>
      </rPr>
      <t xml:space="preserve">online</t>
    </r>
    <r>
      <rPr>
        <sz val="10"/>
        <color rgb="FF444444"/>
        <rFont val="Noto Sans CJK SC"/>
        <family val="2"/>
      </rPr>
      <t xml:space="preserve">下降率也待補。</t>
    </r>
    <r>
      <rPr>
        <sz val="10"/>
        <color rgb="FF444444"/>
        <rFont val="Microsoft JhengHei"/>
        <family val="0"/>
        <charset val="1"/>
      </rPr>
      <t xml:space="preserve">R4</t>
    </r>
    <r>
      <rPr>
        <sz val="10"/>
        <color rgb="FF444444"/>
        <rFont val="Noto Sans CJK SC"/>
        <family val="2"/>
      </rPr>
      <t xml:space="preserve">第三頁另列同新</t>
    </r>
    <r>
      <rPr>
        <sz val="10"/>
        <color rgb="FF444444"/>
        <rFont val="Microsoft JhengHei"/>
        <family val="0"/>
        <charset val="1"/>
      </rPr>
      <t xml:space="preserve">epoch</t>
    </r>
    <r>
      <rPr>
        <sz val="10"/>
        <color rgb="FF444444"/>
        <rFont val="Noto Sans CJK SC"/>
        <family val="2"/>
      </rPr>
      <t xml:space="preserve">、串行冷啟動的代表配對。</t>
    </r>
  </si>
  <si>
    <t xml:space="preserve">原論文明列值與本次實際改動</t>
  </si>
  <si>
    <t xml:space="preserve">參數／方法（單位）</t>
  </si>
  <si>
    <t xml:space="preserve">原論文</t>
  </si>
  <si>
    <t xml:space="preserve">本地修改前</t>
  </si>
  <si>
    <t xml:space="preserve">本次修改後</t>
  </si>
  <si>
    <t xml:space="preserve">目的與代價</t>
  </si>
  <si>
    <t xml:space="preserve">來源</t>
  </si>
  <si>
    <r>
      <rPr>
        <sz val="13"/>
        <rFont val="Microsoft JhengHei"/>
        <family val="0"/>
        <charset val="1"/>
      </rPr>
      <t xml:space="preserve">Thscore</t>
    </r>
    <r>
      <rPr>
        <sz val="13"/>
        <rFont val="Noto Sans CJK SC"/>
        <family val="2"/>
      </rPr>
      <t xml:space="preserve">（分數）</t>
    </r>
  </si>
  <si>
    <t xml:space="preserve">40</t>
  </si>
  <si>
    <t xml:space="preserve">判斷高分／三角回退，維持固定</t>
  </si>
  <si>
    <r>
      <rPr>
        <sz val="13"/>
        <rFont val="Microsoft JhengHei"/>
        <family val="0"/>
        <charset val="1"/>
      </rPr>
      <t xml:space="preserve">P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</si>
  <si>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w</t>
    </r>
    <r>
      <rPr>
        <sz val="13"/>
        <rFont val="Noto Sans CJK SC"/>
        <family val="2"/>
      </rPr>
      <t xml:space="preserve">（無單位）</t>
    </r>
  </si>
  <si>
    <t xml:space="preserve">10</t>
  </si>
  <si>
    <r>
      <rPr>
        <sz val="13"/>
        <rFont val="Microsoft JhengHei"/>
        <family val="0"/>
        <charset val="1"/>
      </rPr>
      <t xml:space="preserve">FMscore</t>
    </r>
    <r>
      <rPr>
        <sz val="13"/>
        <rFont val="Noto Sans CJK SC"/>
        <family val="2"/>
      </rPr>
      <t xml:space="preserve">權重，維持固定</t>
    </r>
  </si>
  <si>
    <r>
      <rPr>
        <sz val="13"/>
        <rFont val="Microsoft JhengHei"/>
        <family val="0"/>
        <charset val="1"/>
      </rPr>
      <t xml:space="preserve">P Eq7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</si>
  <si>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N</t>
    </r>
    <r>
      <rPr>
        <sz val="13"/>
        <rFont val="Noto Sans CJK SC"/>
        <family val="2"/>
      </rPr>
      <t xml:space="preserve">（長度參數）</t>
    </r>
  </si>
  <si>
    <t xml:space="preserve">183</t>
  </si>
  <si>
    <r>
      <rPr>
        <sz val="13"/>
        <rFont val="Microsoft JhengHei"/>
        <family val="0"/>
        <charset val="1"/>
      </rPr>
      <t xml:space="preserve">CN</t>
    </r>
    <r>
      <rPr>
        <sz val="13"/>
        <rFont val="Noto Sans CJK SC"/>
        <family val="2"/>
      </rPr>
      <t xml:space="preserve">鄰域編碼解析度，維持固定</t>
    </r>
  </si>
  <si>
    <r>
      <rPr>
        <sz val="13"/>
        <rFont val="Noto Sans CJK SC"/>
        <family val="2"/>
      </rPr>
      <t xml:space="preserve">提取體素／法向半徑 </t>
    </r>
    <r>
      <rPr>
        <sz val="13"/>
        <rFont val="Microsoft JhengHei"/>
        <family val="0"/>
        <charset val="1"/>
      </rPr>
      <t xml:space="preserve">m</t>
    </r>
  </si>
  <si>
    <r>
      <rPr>
        <sz val="13"/>
        <rFont val="Microsoft JhengHei"/>
        <family val="0"/>
        <charset val="1"/>
      </rPr>
      <t xml:space="preserve">0.01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0.10</t>
    </r>
  </si>
  <si>
    <r>
      <rPr>
        <sz val="13"/>
        <rFont val="Noto Sans CJK SC"/>
        <family val="2"/>
      </rPr>
      <t xml:space="preserve">樹幹提取不隨</t>
    </r>
    <r>
      <rPr>
        <sz val="13"/>
        <rFont val="Microsoft JhengHei"/>
        <family val="0"/>
        <charset val="1"/>
      </rPr>
      <t xml:space="preserve">dataset</t>
    </r>
    <r>
      <rPr>
        <sz val="13"/>
        <rFont val="Noto Sans CJK SC"/>
        <family val="2"/>
      </rPr>
      <t xml:space="preserve">改</t>
    </r>
  </si>
  <si>
    <r>
      <rPr>
        <sz val="13"/>
        <rFont val="Microsoft JhengHei"/>
        <family val="0"/>
        <charset val="1"/>
      </rPr>
      <t xml:space="preserve">P p2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BASECFG</t>
    </r>
  </si>
  <si>
    <r>
      <rPr>
        <sz val="13"/>
        <rFont val="Noto Sans CJK SC"/>
        <family val="2"/>
      </rPr>
      <t xml:space="preserve">提取</t>
    </r>
    <r>
      <rPr>
        <sz val="13"/>
        <rFont val="Microsoft JhengHei"/>
        <family val="0"/>
        <charset val="1"/>
      </rPr>
      <t xml:space="preserve">verticality</t>
    </r>
  </si>
  <si>
    <t xml:space="preserve">&gt;0.9</t>
  </si>
  <si>
    <r>
      <rPr>
        <sz val="13"/>
        <rFont val="Noto Sans CJK SC"/>
        <family val="2"/>
      </rPr>
      <t xml:space="preserve">全部場景共用；與</t>
    </r>
    <r>
      <rPr>
        <sz val="13"/>
        <rFont val="Microsoft JhengHei"/>
        <family val="0"/>
        <charset val="1"/>
      </rPr>
      <t xml:space="preserve">v3</t>
    </r>
    <r>
      <rPr>
        <sz val="13"/>
        <rFont val="Noto Sans CJK SC"/>
        <family val="2"/>
      </rPr>
      <t xml:space="preserve">驗證門檻不同</t>
    </r>
  </si>
  <si>
    <r>
      <rPr>
        <sz val="13"/>
        <rFont val="Microsoft JhengHei"/>
        <family val="0"/>
        <charset val="1"/>
      </rPr>
      <t xml:space="preserve">P Eq4 p2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</si>
  <si>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t xml:space="preserve">DTM cell m</t>
  </si>
  <si>
    <t xml:space="preserve">待補（未列數值）</t>
  </si>
  <si>
    <t xml:space="preserve">0.50</t>
  </si>
  <si>
    <t xml:space="preserve">網格大小固定</t>
  </si>
  <si>
    <r>
      <rPr>
        <sz val="13"/>
        <rFont val="Microsoft JhengHei"/>
        <family val="0"/>
        <charset val="1"/>
      </rPr>
      <t xml:space="preserve">DP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BASECFG</t>
    </r>
  </si>
  <si>
    <r>
      <rPr>
        <sz val="13"/>
        <rFont val="Microsoft JhengHei"/>
        <family val="0"/>
        <charset val="1"/>
      </rPr>
      <t xml:space="preserve">fit_radius </t>
    </r>
    <r>
      <rPr>
        <sz val="13"/>
        <rFont val="Noto Sans CJK SC"/>
        <family val="2"/>
      </rPr>
      <t xml:space="preserve">格</t>
    </r>
  </si>
  <si>
    <r>
      <rPr>
        <sz val="13"/>
        <rFont val="Microsoft JhengHei"/>
        <family val="0"/>
        <charset val="1"/>
      </rPr>
      <t xml:space="preserve">2</t>
    </r>
    <r>
      <rPr>
        <sz val="13"/>
        <rFont val="Noto Sans CJK SC"/>
        <family val="2"/>
      </rPr>
      <t xml:space="preserve">（約</t>
    </r>
    <r>
      <rPr>
        <sz val="13"/>
        <rFont val="Microsoft JhengHei"/>
        <family val="0"/>
        <charset val="1"/>
      </rPr>
      <t xml:space="preserve">1m</t>
    </r>
    <r>
      <rPr>
        <sz val="13"/>
        <rFont val="Noto Sans CJK SC"/>
        <family val="2"/>
      </rPr>
      <t xml:space="preserve">）</t>
    </r>
  </si>
  <si>
    <r>
      <rPr>
        <sz val="13"/>
        <rFont val="Microsoft JhengHei"/>
        <family val="0"/>
        <charset val="1"/>
      </rPr>
      <t xml:space="preserve">6</t>
    </r>
    <r>
      <rPr>
        <sz val="13"/>
        <rFont val="Noto Sans CJK SC"/>
        <family val="2"/>
      </rPr>
      <t xml:space="preserve">（約</t>
    </r>
    <r>
      <rPr>
        <sz val="13"/>
        <rFont val="Microsoft JhengHei"/>
        <family val="0"/>
        <charset val="1"/>
      </rPr>
      <t xml:space="preserve">3m</t>
    </r>
    <r>
      <rPr>
        <sz val="13"/>
        <rFont val="Noto Sans CJK SC"/>
        <family val="2"/>
      </rPr>
      <t xml:space="preserve">）</t>
    </r>
  </si>
  <si>
    <t xml:space="preserve">局部平面使用更大地面鄰域</t>
  </si>
  <si>
    <r>
      <rPr>
        <sz val="13"/>
        <rFont val="Microsoft JhengHei"/>
        <family val="0"/>
        <charset val="1"/>
      </rPr>
      <t xml:space="preserve">DP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CODE_DTM</t>
    </r>
  </si>
  <si>
    <r>
      <rPr>
        <sz val="13"/>
        <rFont val="Microsoft JhengHei"/>
        <family val="0"/>
        <charset val="1"/>
      </rPr>
      <t xml:space="preserve">fill_max_radius </t>
    </r>
    <r>
      <rPr>
        <sz val="13"/>
        <rFont val="Noto Sans CJK SC"/>
        <family val="2"/>
      </rPr>
      <t xml:space="preserve">格</t>
    </r>
  </si>
  <si>
    <r>
      <rPr>
        <sz val="13"/>
        <rFont val="Microsoft JhengHei"/>
        <family val="0"/>
        <charset val="1"/>
      </rPr>
      <t xml:space="preserve">5</t>
    </r>
    <r>
      <rPr>
        <sz val="13"/>
        <rFont val="Noto Sans CJK SC"/>
        <family val="2"/>
      </rPr>
      <t xml:space="preserve">（約</t>
    </r>
    <r>
      <rPr>
        <sz val="13"/>
        <rFont val="Microsoft JhengHei"/>
        <family val="0"/>
        <charset val="1"/>
      </rPr>
      <t xml:space="preserve">2.5m</t>
    </r>
    <r>
      <rPr>
        <sz val="13"/>
        <rFont val="Noto Sans CJK SC"/>
        <family val="2"/>
      </rPr>
      <t xml:space="preserve">）</t>
    </r>
  </si>
  <si>
    <t xml:space="preserve">補洞上限同步變更，非單參數消融</t>
  </si>
  <si>
    <t xml:space="preserve">DP</t>
  </si>
  <si>
    <t xml:space="preserve">ground_select</t>
  </si>
  <si>
    <t xml:space="preserve">supported_lowest</t>
  </si>
  <si>
    <t xml:space="preserve">相同</t>
  </si>
  <si>
    <t xml:space="preserve">最低支持點選法固定</t>
  </si>
  <si>
    <t xml:space="preserve">推論輸入</t>
  </si>
  <si>
    <t xml:space="preserve">作者完整流程</t>
  </si>
  <si>
    <t xml:space="preserve">既有圓柱軸線</t>
  </si>
  <si>
    <r>
      <rPr>
        <sz val="13"/>
        <rFont val="Noto Sans CJK SC"/>
        <family val="2"/>
      </rPr>
      <t xml:space="preserve">前</t>
    </r>
    <r>
      <rPr>
        <sz val="13"/>
        <rFont val="Microsoft JhengHei"/>
        <family val="0"/>
        <charset val="1"/>
      </rPr>
      <t xml:space="preserve">4</t>
    </r>
    <r>
      <rPr>
        <sz val="13"/>
        <rFont val="Noto Sans CJK SC"/>
        <family val="2"/>
      </rPr>
      <t xml:space="preserve">列僅改交點；</t>
    </r>
    <r>
      <rPr>
        <sz val="13"/>
        <rFont val="Microsoft JhengHei"/>
        <family val="0"/>
        <charset val="1"/>
      </rPr>
      <t xml:space="preserve">Plot2</t>
    </r>
    <r>
      <rPr>
        <sz val="13"/>
        <rFont val="Noto Sans CJK SC"/>
        <family val="2"/>
      </rPr>
      <t xml:space="preserve">另完整重提取</t>
    </r>
  </si>
  <si>
    <t xml:space="preserve">不同範圍不可混稱完整流程</t>
  </si>
  <si>
    <r>
      <rPr>
        <sz val="13"/>
        <rFont val="Microsoft JhengHei"/>
        <family val="0"/>
        <charset val="1"/>
      </rPr>
      <t xml:space="preserve">DP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DFP</t>
    </r>
  </si>
  <si>
    <r>
      <rPr>
        <sz val="13"/>
        <rFont val="Microsoft JhengHei"/>
        <family val="0"/>
        <charset val="1"/>
      </rPr>
      <t xml:space="preserve">coarse</t>
    </r>
    <r>
      <rPr>
        <sz val="13"/>
        <rFont val="Noto Sans CJK SC"/>
        <family val="2"/>
      </rPr>
      <t xml:space="preserve">設定</t>
    </r>
  </si>
  <si>
    <r>
      <rPr>
        <sz val="13"/>
        <rFont val="Noto Sans CJK SC"/>
        <family val="2"/>
      </rPr>
      <t xml:space="preserve">匹配</t>
    </r>
    <r>
      <rPr>
        <sz val="13"/>
        <rFont val="Microsoft JhengHei"/>
        <family val="0"/>
        <charset val="1"/>
      </rPr>
      <t xml:space="preserve">0.05m</t>
    </r>
    <r>
      <rPr>
        <sz val="13"/>
        <rFont val="Noto Sans CJK SC"/>
        <family val="2"/>
      </rPr>
      <t xml:space="preserve">；</t>
    </r>
    <r>
      <rPr>
        <sz val="13"/>
        <rFont val="Microsoft JhengHei"/>
        <family val="0"/>
        <charset val="1"/>
      </rPr>
      <t xml:space="preserve">solver</t>
    </r>
    <r>
      <rPr>
        <sz val="13"/>
        <rFont val="Noto Sans CJK SC"/>
        <family val="2"/>
      </rPr>
      <t xml:space="preserve">待補</t>
    </r>
  </si>
  <si>
    <r>
      <rPr>
        <sz val="13"/>
        <rFont val="Microsoft JhengHei"/>
        <family val="0"/>
        <charset val="1"/>
      </rPr>
      <t xml:space="preserve">0.10m</t>
    </r>
    <r>
      <rPr>
        <sz val="13"/>
        <rFont val="Noto Sans CJK SC"/>
        <family val="2"/>
      </rPr>
      <t xml:space="preserve">＋</t>
    </r>
    <r>
      <rPr>
        <sz val="13"/>
        <rFont val="Microsoft JhengHei"/>
        <family val="0"/>
        <charset val="1"/>
      </rPr>
      <t xml:space="preserve">RANSAC</t>
    </r>
    <r>
      <rPr>
        <sz val="13"/>
        <rFont val="Noto Sans CJK SC"/>
        <family val="2"/>
      </rPr>
      <t xml:space="preserve">＋補救</t>
    </r>
  </si>
  <si>
    <r>
      <rPr>
        <sz val="13"/>
        <rFont val="Noto Sans CJK SC"/>
        <family val="2"/>
      </rPr>
      <t xml:space="preserve">本次不動</t>
    </r>
    <r>
      <rPr>
        <sz val="13"/>
        <rFont val="Microsoft JhengHei"/>
        <family val="0"/>
        <charset val="1"/>
      </rPr>
      <t xml:space="preserve">matching</t>
    </r>
    <r>
      <rPr>
        <sz val="13"/>
        <rFont val="Noto Sans CJK SC"/>
        <family val="2"/>
      </rPr>
      <t xml:space="preserve">或</t>
    </r>
    <r>
      <rPr>
        <sz val="13"/>
        <rFont val="Microsoft JhengHei"/>
        <family val="0"/>
        <charset val="1"/>
      </rPr>
      <t xml:space="preserve">solver</t>
    </r>
  </si>
  <si>
    <r>
      <rPr>
        <sz val="10"/>
        <color rgb="FF444444"/>
        <rFont val="Noto Sans CJK SC"/>
        <family val="2"/>
      </rPr>
      <t xml:space="preserve">原論文未交代的值標待補，不能把本地預設數字當作者設定。各版本共用本地額外圓柱檢查、</t>
    </r>
    <r>
      <rPr>
        <sz val="10"/>
        <color rgb="FF444444"/>
        <rFont val="Microsoft JhengHei"/>
        <family val="0"/>
        <charset val="1"/>
      </rPr>
      <t xml:space="preserve">20cm</t>
    </r>
    <r>
      <rPr>
        <sz val="10"/>
        <color rgb="FF444444"/>
        <rFont val="Noto Sans CJK SC"/>
        <family val="2"/>
      </rPr>
      <t xml:space="preserve">分群與</t>
    </r>
    <r>
      <rPr>
        <sz val="10"/>
        <color rgb="FF444444"/>
        <rFont val="Microsoft JhengHei"/>
        <family val="0"/>
        <charset val="1"/>
      </rPr>
      <t xml:space="preserve">scanner origin=(0,0,0)</t>
    </r>
    <r>
      <rPr>
        <sz val="10"/>
        <color rgb="FF444444"/>
        <rFont val="Noto Sans CJK SC"/>
        <family val="2"/>
      </rPr>
      <t xml:space="preserve">假設；細節</t>
    </r>
    <r>
      <rPr>
        <sz val="10"/>
        <color rgb="FF444444"/>
        <rFont val="Microsoft JhengHei"/>
        <family val="0"/>
        <charset val="1"/>
      </rPr>
      <t xml:space="preserve">BASECFG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Thscore/w/N</t>
    </r>
    <r>
      <rPr>
        <sz val="10"/>
        <color rgb="FF444444"/>
        <rFont val="Noto Sans CJK SC"/>
        <family val="2"/>
      </rPr>
      <t xml:space="preserve">與</t>
    </r>
    <r>
      <rPr>
        <sz val="10"/>
        <color rgb="FF444444"/>
        <rFont val="Microsoft JhengHei"/>
        <family val="0"/>
        <charset val="1"/>
      </rPr>
      <t xml:space="preserve">step</t>
    </r>
    <r>
      <rPr>
        <sz val="10"/>
        <color rgb="FF444444"/>
        <rFont val="Noto Sans CJK SC"/>
        <family val="2"/>
      </rPr>
      <t xml:space="preserve">抽樣維持固定。</t>
    </r>
  </si>
  <si>
    <t xml:space="preserve">新增成功與退步並列；共同成功精度</t>
  </si>
  <si>
    <t xml:space="preserve">範圍</t>
  </si>
  <si>
    <t xml:space="preserve">新增成功</t>
  </si>
  <si>
    <t xml:space="preserve">退步失敗</t>
  </si>
  <si>
    <r>
      <rPr>
        <b val="true"/>
        <sz val="13"/>
        <rFont val="Noto Sans CJK SC"/>
        <family val="2"/>
      </rPr>
      <t xml:space="preserve">共同成功</t>
    </r>
    <r>
      <rPr>
        <b val="true"/>
        <sz val="13"/>
        <rFont val="Microsoft JhengHei"/>
        <family val="0"/>
        <charset val="1"/>
      </rPr>
      <t xml:space="preserve">N</t>
    </r>
  </si>
  <si>
    <r>
      <rPr>
        <b val="true"/>
        <sz val="13"/>
        <rFont val="Noto Sans CJK SC"/>
        <family val="2"/>
      </rPr>
      <t xml:space="preserve">前</t>
    </r>
    <r>
      <rPr>
        <b val="true"/>
        <sz val="13"/>
        <rFont val="Microsoft JhengHei"/>
        <family val="0"/>
        <charset val="1"/>
      </rPr>
      <t xml:space="preserve">mean e_p cm</t>
    </r>
  </si>
  <si>
    <r>
      <rPr>
        <b val="true"/>
        <sz val="13"/>
        <rFont val="Noto Sans CJK SC"/>
        <family val="2"/>
      </rPr>
      <t xml:space="preserve">後</t>
    </r>
    <r>
      <rPr>
        <b val="true"/>
        <sz val="13"/>
        <rFont val="Microsoft JhengHei"/>
        <family val="0"/>
        <charset val="1"/>
      </rPr>
      <t xml:space="preserve">mean e_p cm</t>
    </r>
  </si>
  <si>
    <t xml:space="preserve">下降率</t>
  </si>
  <si>
    <t xml:space="preserve">集合</t>
  </si>
  <si>
    <r>
      <rPr>
        <sz val="13"/>
        <rFont val="Noto Sans CJK SC"/>
        <family val="2"/>
      </rPr>
      <t xml:space="preserve">固定同</t>
    </r>
    <r>
      <rPr>
        <sz val="13"/>
        <rFont val="Microsoft JhengHei"/>
        <family val="0"/>
        <charset val="1"/>
      </rPr>
      <t xml:space="preserve">pair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seed</t>
    </r>
  </si>
  <si>
    <r>
      <rPr>
        <sz val="10"/>
        <color rgb="FF444444"/>
        <rFont val="Microsoft JhengHei"/>
        <family val="0"/>
        <charset val="1"/>
      </rPr>
      <t xml:space="preserve">D/DF raw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Plot2</t>
    </r>
    <r>
      <rPr>
        <sz val="10"/>
        <color rgb="FF444444"/>
        <rFont val="Noto Sans CJK SC"/>
        <family val="2"/>
      </rPr>
      <t xml:space="preserve">完整列</t>
    </r>
    <r>
      <rPr>
        <sz val="10"/>
        <color rgb="FF444444"/>
        <rFont val="Microsoft JhengHei"/>
        <family val="0"/>
        <charset val="1"/>
      </rPr>
      <t xml:space="preserve">=</t>
    </r>
    <r>
      <rPr>
        <sz val="10"/>
        <color rgb="FF444444"/>
        <rFont val="Noto Sans CJK SC"/>
        <family val="2"/>
      </rPr>
      <t xml:space="preserve">新增</t>
    </r>
    <r>
      <rPr>
        <sz val="10"/>
        <color rgb="FF444444"/>
        <rFont val="Microsoft JhengHei"/>
        <family val="0"/>
        <charset val="1"/>
      </rPr>
      <t xml:space="preserve">23</t>
    </r>
    <r>
      <rPr>
        <sz val="10"/>
        <color rgb="FF444444"/>
        <rFont val="Noto Sans CJK SC"/>
        <family val="2"/>
      </rPr>
      <t xml:space="preserve">、退步</t>
    </r>
    <r>
      <rPr>
        <sz val="10"/>
        <color rgb="FF444444"/>
        <rFont val="Microsoft JhengHei"/>
        <family val="0"/>
        <charset val="1"/>
      </rPr>
      <t xml:space="preserve">9</t>
    </r>
    <r>
      <rPr>
        <sz val="10"/>
        <color rgb="FF444444"/>
        <rFont val="Noto Sans CJK SC"/>
        <family val="2"/>
      </rPr>
      <t xml:space="preserve">、共同成功</t>
    </r>
    <r>
      <rPr>
        <sz val="10"/>
        <color rgb="FF444444"/>
        <rFont val="Microsoft JhengHei"/>
        <family val="0"/>
        <charset val="1"/>
      </rPr>
      <t xml:space="preserve">25</t>
    </r>
    <r>
      <rPr>
        <sz val="10"/>
        <color rgb="FF444444"/>
        <rFont val="Noto Sans CJK SC"/>
        <family val="2"/>
      </rPr>
      <t xml:space="preserve">。其他三</t>
    </r>
    <r>
      <rPr>
        <sz val="10"/>
        <color rgb="FF444444"/>
        <rFont val="Microsoft JhengHei"/>
        <family val="0"/>
        <charset val="1"/>
      </rPr>
      <t xml:space="preserve">Plot</t>
    </r>
    <r>
      <rPr>
        <sz val="10"/>
        <color rgb="FF444444"/>
        <rFont val="Noto Sans CJK SC"/>
        <family val="2"/>
      </rPr>
      <t xml:space="preserve">未完成新</t>
    </r>
    <r>
      <rPr>
        <sz val="10"/>
        <color rgb="FF444444"/>
        <rFont val="Microsoft JhengHei"/>
        <family val="0"/>
        <charset val="1"/>
      </rPr>
      <t xml:space="preserve">DTM</t>
    </r>
    <r>
      <rPr>
        <sz val="10"/>
        <color rgb="FF444444"/>
        <rFont val="Noto Sans CJK SC"/>
        <family val="2"/>
      </rPr>
      <t xml:space="preserve">全流程；</t>
    </r>
    <r>
      <rPr>
        <sz val="10"/>
        <color rgb="FF444444"/>
        <rFont val="Microsoft JhengHei"/>
        <family val="0"/>
        <charset val="1"/>
      </rPr>
      <t xml:space="preserve">ETH</t>
    </r>
    <r>
      <rPr>
        <sz val="10"/>
        <color rgb="FF444444"/>
        <rFont val="Noto Sans CJK SC"/>
        <family val="2"/>
      </rPr>
      <t xml:space="preserve">此改動待補。</t>
    </r>
  </si>
  <si>
    <r>
      <rPr>
        <b val="true"/>
        <sz val="14"/>
        <rFont val="Noto Sans CJK SC"/>
        <family val="2"/>
      </rPr>
      <t xml:space="preserve">固定原</t>
    </r>
    <r>
      <rPr>
        <b val="true"/>
        <sz val="14"/>
        <rFont val="Microsoft JhengHei"/>
        <family val="0"/>
        <charset val="1"/>
      </rPr>
      <t xml:space="preserve">CN</t>
    </r>
    <r>
      <rPr>
        <b val="true"/>
        <sz val="14"/>
        <rFont val="Noto Sans CJK SC"/>
        <family val="2"/>
      </rPr>
      <t xml:space="preserve">配對的高度診斷（不是</t>
    </r>
    <r>
      <rPr>
        <b val="true"/>
        <sz val="14"/>
        <rFont val="Microsoft JhengHei"/>
        <family val="0"/>
        <charset val="1"/>
      </rPr>
      <t xml:space="preserve">e_p</t>
    </r>
    <r>
      <rPr>
        <b val="true"/>
        <sz val="14"/>
        <rFont val="Noto Sans CJK SC"/>
        <family val="2"/>
      </rPr>
      <t xml:space="preserve">）</t>
    </r>
  </si>
  <si>
    <t xml:space="preserve">指標</t>
  </si>
  <si>
    <r>
      <rPr>
        <b val="true"/>
        <sz val="13"/>
        <rFont val="Noto Sans CJK SC"/>
        <family val="2"/>
      </rPr>
      <t xml:space="preserve">原值</t>
    </r>
    <r>
      <rPr>
        <b val="true"/>
        <sz val="13"/>
        <rFont val="Microsoft JhengHei"/>
        <family val="0"/>
        <charset val="1"/>
      </rPr>
      <t xml:space="preserve">cm</t>
    </r>
  </si>
  <si>
    <r>
      <rPr>
        <b val="true"/>
        <sz val="13"/>
        <rFont val="Noto Sans CJK SC"/>
        <family val="2"/>
      </rPr>
      <t xml:space="preserve">新值</t>
    </r>
    <r>
      <rPr>
        <b val="true"/>
        <sz val="13"/>
        <rFont val="Microsoft JhengHei"/>
        <family val="0"/>
        <charset val="1"/>
      </rPr>
      <t xml:space="preserve">cm</t>
    </r>
  </si>
  <si>
    <t xml:space="preserve">改善案例</t>
  </si>
  <si>
    <t xml:space="preserve">總案例</t>
  </si>
  <si>
    <t xml:space="preserve">用途</t>
  </si>
  <si>
    <t xml:space="preserve">證據強度</t>
  </si>
  <si>
    <r>
      <rPr>
        <sz val="13"/>
        <rFont val="Noto Sans CJK SC"/>
        <family val="2"/>
      </rPr>
      <t xml:space="preserve">每</t>
    </r>
    <r>
      <rPr>
        <sz val="13"/>
        <rFont val="Microsoft JhengHei"/>
        <family val="0"/>
        <charset val="1"/>
      </rPr>
      <t xml:space="preserve">case |Δz|</t>
    </r>
    <r>
      <rPr>
        <sz val="13"/>
        <rFont val="Noto Sans CJK SC"/>
        <family val="2"/>
      </rPr>
      <t xml:space="preserve">中位數，再跨</t>
    </r>
    <r>
      <rPr>
        <sz val="13"/>
        <rFont val="Microsoft JhengHei"/>
        <family val="0"/>
        <charset val="1"/>
      </rPr>
      <t xml:space="preserve">case</t>
    </r>
    <r>
      <rPr>
        <sz val="13"/>
        <rFont val="Noto Sans CJK SC"/>
        <family val="2"/>
      </rPr>
      <t xml:space="preserve">中位數</t>
    </r>
  </si>
  <si>
    <r>
      <rPr>
        <sz val="13"/>
        <rFont val="Noto Sans CJK SC"/>
        <family val="2"/>
      </rPr>
      <t xml:space="preserve">事後</t>
    </r>
    <r>
      <rPr>
        <sz val="13"/>
        <rFont val="Microsoft JhengHei"/>
        <family val="0"/>
        <charset val="1"/>
      </rPr>
      <t xml:space="preserve">GT</t>
    </r>
    <r>
      <rPr>
        <sz val="13"/>
        <rFont val="Noto Sans CJK SC"/>
        <family val="2"/>
      </rPr>
      <t xml:space="preserve">診斷</t>
    </r>
  </si>
  <si>
    <t xml:space="preserve">支持部分高度不一致改善</t>
  </si>
  <si>
    <t xml:space="preserve">H</t>
  </si>
  <si>
    <r>
      <rPr>
        <sz val="10"/>
        <color rgb="FF444444"/>
        <rFont val="Microsoft JhengHei"/>
        <family val="0"/>
        <charset val="1"/>
      </rPr>
      <t xml:space="preserve">H</t>
    </r>
    <r>
      <rPr>
        <sz val="10"/>
        <color rgb="FF444444"/>
        <rFont val="Noto Sans CJK SC"/>
        <family val="2"/>
      </rPr>
      <t xml:space="preserve">：原</t>
    </r>
    <r>
      <rPr>
        <sz val="10"/>
        <color rgb="FF444444"/>
        <rFont val="Microsoft JhengHei"/>
        <family val="0"/>
        <charset val="1"/>
      </rPr>
      <t xml:space="preserve">CN</t>
    </r>
    <r>
      <rPr>
        <sz val="10"/>
        <color rgb="FF444444"/>
        <rFont val="Noto Sans CJK SC"/>
        <family val="2"/>
      </rPr>
      <t xml:space="preserve">配對保持不變；沒有人工地形標註，因此無法證明絕對</t>
    </r>
    <r>
      <rPr>
        <sz val="10"/>
        <color rgb="FF444444"/>
        <rFont val="Microsoft JhengHei"/>
        <family val="0"/>
        <charset val="1"/>
      </rPr>
      <t xml:space="preserve">DTM</t>
    </r>
    <r>
      <rPr>
        <sz val="10"/>
        <color rgb="FF444444"/>
        <rFont val="Noto Sans CJK SC"/>
        <family val="2"/>
      </rPr>
      <t xml:space="preserve">誤差降低。</t>
    </r>
    <r>
      <rPr>
        <sz val="10"/>
        <color rgb="FF444444"/>
        <rFont val="Microsoft JhengHei"/>
        <family val="0"/>
        <charset val="1"/>
      </rPr>
      <t xml:space="preserve">fit_radius</t>
    </r>
    <r>
      <rPr>
        <sz val="10"/>
        <color rgb="FF444444"/>
        <rFont val="Noto Sans CJK SC"/>
        <family val="2"/>
      </rPr>
      <t xml:space="preserve">與</t>
    </r>
    <r>
      <rPr>
        <sz val="10"/>
        <color rgb="FF444444"/>
        <rFont val="Microsoft JhengHei"/>
        <family val="0"/>
        <charset val="1"/>
      </rPr>
      <t xml:space="preserve">fill_max_radius</t>
    </r>
    <r>
      <rPr>
        <sz val="10"/>
        <color rgb="FF444444"/>
        <rFont val="Noto Sans CJK SC"/>
        <family val="2"/>
      </rPr>
      <t xml:space="preserve">一起改，無單參數因果結論。</t>
    </r>
  </si>
  <si>
    <r>
      <rPr>
        <b val="true"/>
        <sz val="14"/>
        <rFont val="Microsoft JhengHei"/>
        <family val="0"/>
        <charset val="1"/>
      </rPr>
      <t xml:space="preserve">Plot2</t>
    </r>
    <r>
      <rPr>
        <b val="true"/>
        <sz val="14"/>
        <rFont val="Noto Sans CJK SC"/>
        <family val="2"/>
      </rPr>
      <t xml:space="preserve">三種流程，成功集合不同</t>
    </r>
  </si>
  <si>
    <t xml:space="preserve">方法</t>
  </si>
  <si>
    <t xml:space="preserve">成功率</t>
  </si>
  <si>
    <t xml:space="preserve">原設定</t>
  </si>
  <si>
    <t xml:space="preserve">只改交點</t>
  </si>
  <si>
    <t xml:space="preserve">完整重提取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</si>
</sst>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&quot;100/100 (&quot;0.0%\)"/>
    <numFmt numFmtId="167" formatCode="0.0&quot; pp&quot;"/>
    <numFmt numFmtId="168" formatCode="&quot;33/100 (&quot;0.0%\)"/>
    <numFmt numFmtId="169" formatCode="&quot;34/100 (&quot;0.0%\)"/>
    <numFmt numFmtId="170" formatCode="&quot;48/100 (&quot;0.0%\)"/>
    <numFmt numFmtId="171" formatCode="&quot;76/100 (&quot;0.0%\)"/>
    <numFmt numFmtId="172" formatCode="&quot;95/100 (&quot;0.0%\)"/>
    <numFmt numFmtId="173" formatCode="&quot;96/100 (&quot;0.0%\)"/>
    <numFmt numFmtId="174" formatCode="&quot;114/150 (&quot;0.0%\)"/>
    <numFmt numFmtId="175" formatCode="0.000"/>
    <numFmt numFmtId="17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b val="true"/>
      <sz val="18"/>
      <name val="Microsoft JhengHei"/>
      <family val="0"/>
      <charset val="1"/>
    </font>
    <font>
      <sz val="10"/>
      <color rgb="FF444444"/>
      <name val="Noto Sans CJK SC"/>
      <family val="2"/>
    </font>
    <font>
      <sz val="10"/>
      <color rgb="FF444444"/>
      <name val="Microsoft JhengHei"/>
      <family val="0"/>
      <charset val="1"/>
    </font>
    <font>
      <b val="true"/>
      <sz val="14"/>
      <name val="Noto Sans CJK SC"/>
      <family val="2"/>
    </font>
    <font>
      <b val="true"/>
      <sz val="14"/>
      <name val="Microsoft JhengHei"/>
      <family val="0"/>
      <charset val="1"/>
    </font>
    <font>
      <b val="true"/>
      <sz val="13"/>
      <name val="Microsoft JhengHei"/>
      <family val="0"/>
      <charset val="1"/>
    </font>
    <font>
      <b val="true"/>
      <sz val="13"/>
      <name val="Noto Sans CJK SC"/>
      <family val="2"/>
    </font>
    <font>
      <sz val="13"/>
      <name val="Microsoft JhengHei"/>
      <family val="0"/>
      <charset val="1"/>
    </font>
    <font>
      <sz val="13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B81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Plot2：同為48%不代表同一批成功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證據與圖表!B21</c:f>
              <c:strCache>
                <c:ptCount val="1"/>
                <c:pt idx="0">
                  <c:v>成功率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證據與圖表!$A$22:$A$24</c:f>
              <c:strCache>
                <c:ptCount val="3"/>
                <c:pt idx="0">
                  <c:v>原設定</c:v>
                </c:pt>
                <c:pt idx="1">
                  <c:v>只改交點</c:v>
                </c:pt>
                <c:pt idx="2">
                  <c:v>完整重提取</c:v>
                </c:pt>
              </c:strCache>
            </c:strRef>
          </c:cat>
          <c:val>
            <c:numRef>
              <c:f>證據與圖表!$B$22:$B$24</c:f>
              <c:numCache>
                <c:formatCode>0.0%</c:formatCode>
                <c:ptCount val="3"/>
                <c:pt idx="0">
                  <c:v>0.34</c:v>
                </c:pt>
                <c:pt idx="1">
                  <c:v>0.48</c:v>
                </c:pt>
                <c:pt idx="2">
                  <c:v>0.48</c:v>
                </c:pt>
              </c:numCache>
            </c:numRef>
          </c:val>
        </c:ser>
        <c:gapWidth val="150"/>
        <c:overlap val="0"/>
        <c:axId val="19789989"/>
        <c:axId val="30765040"/>
      </c:barChart>
      <c:catAx>
        <c:axId val="197899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65040"/>
        <c:crosses val="autoZero"/>
        <c:auto val="1"/>
        <c:lblAlgn val="ctr"/>
        <c:lblOffset val="100"/>
        <c:noMultiLvlLbl val="0"/>
      </c:catAx>
      <c:valAx>
        <c:axId val="3076504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成功率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789989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四Plot定位測試（非全新提取流程）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結果比較!E5</c:f>
              <c:strCache>
                <c:ptCount val="1"/>
                <c:pt idx="0">
                  <c:v>修改前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結果比較!$A$6:$A$9</c:f>
              <c:strCache>
                <c:ptCount val="4"/>
                <c:pt idx="0">
                  <c:v>Tongji／Plot1／僅定位</c:v>
                </c:pt>
                <c:pt idx="1">
                  <c:v>Tongji／Plot2／僅定位</c:v>
                </c:pt>
                <c:pt idx="2">
                  <c:v>Tongji／Plot3／僅定位</c:v>
                </c:pt>
                <c:pt idx="3">
                  <c:v>Tongji／Plot4／僅定位</c:v>
                </c:pt>
              </c:strCache>
            </c:strRef>
          </c:cat>
          <c:val>
            <c:numRef>
              <c:f>結果比較!$E$6:$E$9</c:f>
              <c:numCache>
                <c:formatCode>"100/100 ("0.0%\)</c:formatCode>
                <c:ptCount val="4"/>
                <c:pt idx="0">
                  <c:v>1</c:v>
                </c:pt>
                <c:pt idx="1">
                  <c:v>0.34</c:v>
                </c:pt>
                <c:pt idx="2">
                  <c:v>1</c:v>
                </c:pt>
                <c:pt idx="3">
                  <c:v>0.95</c:v>
                </c:pt>
              </c:numCache>
            </c:numRef>
          </c:val>
        </c:ser>
        <c:ser>
          <c:idx val="1"/>
          <c:order val="1"/>
          <c:tx>
            <c:strRef>
              <c:f>結果比較!F5</c:f>
              <c:strCache>
                <c:ptCount val="1"/>
                <c:pt idx="0">
                  <c:v>修改後</c:v>
                </c:pt>
              </c:strCache>
            </c:strRef>
          </c:tx>
          <c:spPr>
            <a:solidFill>
              <a:srgbClr val="305B81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結果比較!$A$6:$A$9</c:f>
              <c:strCache>
                <c:ptCount val="4"/>
                <c:pt idx="0">
                  <c:v>Tongji／Plot1／僅定位</c:v>
                </c:pt>
                <c:pt idx="1">
                  <c:v>Tongji／Plot2／僅定位</c:v>
                </c:pt>
                <c:pt idx="2">
                  <c:v>Tongji／Plot3／僅定位</c:v>
                </c:pt>
                <c:pt idx="3">
                  <c:v>Tongji／Plot4／僅定位</c:v>
                </c:pt>
              </c:strCache>
            </c:strRef>
          </c:cat>
          <c:val>
            <c:numRef>
              <c:f>結果比較!$F$6:$F$9</c:f>
              <c:numCache>
                <c:formatCode>"100/100 ("0.0%\)</c:formatCode>
                <c:ptCount val="4"/>
                <c:pt idx="0">
                  <c:v>1</c:v>
                </c:pt>
                <c:pt idx="1">
                  <c:v>0.48</c:v>
                </c:pt>
                <c:pt idx="2">
                  <c:v>1</c:v>
                </c:pt>
                <c:pt idx="3">
                  <c:v>0.96</c:v>
                </c:pt>
              </c:numCache>
            </c:numRef>
          </c:val>
        </c:ser>
        <c:gapWidth val="150"/>
        <c:overlap val="0"/>
        <c:axId val="79894338"/>
        <c:axId val="53249199"/>
      </c:barChart>
      <c:catAx>
        <c:axId val="79894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249199"/>
        <c:crosses val="autoZero"/>
        <c:auto val="1"/>
        <c:lblAlgn val="ctr"/>
        <c:lblOffset val="100"/>
        <c:noMultiLvlLbl val="0"/>
      </c:catAx>
      <c:valAx>
        <c:axId val="5324919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成功率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894338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6</xdr:col>
      <xdr:colOff>63360</xdr:colOff>
      <xdr:row>46</xdr:row>
      <xdr:rowOff>149760</xdr:rowOff>
    </xdr:to>
    <xdr:graphicFrame>
      <xdr:nvGraphicFramePr>
        <xdr:cNvPr id="1" name="Chart 1"/>
        <xdr:cNvGraphicFramePr/>
      </xdr:nvGraphicFramePr>
      <xdr:xfrm>
        <a:off x="0" y="1053468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6</xdr:col>
      <xdr:colOff>63360</xdr:colOff>
      <xdr:row>70</xdr:row>
      <xdr:rowOff>149760</xdr:rowOff>
    </xdr:to>
    <xdr:graphicFrame>
      <xdr:nvGraphicFramePr>
        <xdr:cNvPr id="2" name="Chart 2"/>
        <xdr:cNvGraphicFramePr/>
      </xdr:nvGraphicFramePr>
      <xdr:xfrm>
        <a:off x="0" y="1510668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6" min="4" style="0" width="2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42" hidden="false" customHeight="true" outlineLevel="0" collapsed="false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5" t="s">
        <v>8</v>
      </c>
      <c r="G5" s="4" t="s">
        <v>9</v>
      </c>
      <c r="H5" s="4" t="s">
        <v>10</v>
      </c>
    </row>
    <row r="6" customFormat="false" ht="37.5" hidden="false" customHeight="true" outlineLevel="0" collapsed="false">
      <c r="A6" s="6" t="s">
        <v>11</v>
      </c>
      <c r="B6" s="6" t="s">
        <v>12</v>
      </c>
      <c r="C6" s="7" t="n">
        <v>1</v>
      </c>
      <c r="D6" s="8" t="n">
        <f aca="false">IF(100&gt;0,100/100,"待補")</f>
        <v>1</v>
      </c>
      <c r="E6" s="8" t="n">
        <f aca="false">IF(100&gt;0,100/100,"待補")</f>
        <v>1</v>
      </c>
      <c r="F6" s="8" t="n">
        <f aca="false">IF(100&gt;0,100/100,"待補")</f>
        <v>1</v>
      </c>
      <c r="G6" s="9" t="n">
        <f aca="false">IF(AND(ISNUMBER(C6),ISNUMBER(F6)),(F6-C6)*100,"待補")</f>
        <v>0</v>
      </c>
      <c r="H6" s="9" t="n">
        <f aca="false">IF(AND(ISNUMBER(E6),ISNUMBER(F6)),(F6-E6)*100,"待補")</f>
        <v>0</v>
      </c>
    </row>
    <row r="7" customFormat="false" ht="37.5" hidden="false" customHeight="true" outlineLevel="0" collapsed="false">
      <c r="A7" s="6" t="s">
        <v>13</v>
      </c>
      <c r="B7" s="6" t="s">
        <v>12</v>
      </c>
      <c r="C7" s="7" t="n">
        <v>1</v>
      </c>
      <c r="D7" s="10" t="n">
        <f aca="false">IF(100&gt;0,33/100,"待補")</f>
        <v>0.33</v>
      </c>
      <c r="E7" s="11" t="n">
        <f aca="false">IF(100&gt;0,34/100,"待補")</f>
        <v>0.34</v>
      </c>
      <c r="F7" s="12" t="n">
        <f aca="false">IF(100&gt;0,48/100,"待補")</f>
        <v>0.48</v>
      </c>
      <c r="G7" s="9" t="n">
        <f aca="false">IF(AND(ISNUMBER(C7),ISNUMBER(F7)),(F7-C7)*100,"待補")</f>
        <v>-52</v>
      </c>
      <c r="H7" s="9" t="n">
        <f aca="false">IF(AND(ISNUMBER(E7),ISNUMBER(F7)),(F7-E7)*100,"待補")</f>
        <v>14</v>
      </c>
    </row>
    <row r="8" customFormat="false" ht="37.5" hidden="false" customHeight="true" outlineLevel="0" collapsed="false">
      <c r="A8" s="6" t="s">
        <v>14</v>
      </c>
      <c r="B8" s="6" t="s">
        <v>12</v>
      </c>
      <c r="C8" s="7" t="n">
        <v>1</v>
      </c>
      <c r="D8" s="8" t="n">
        <f aca="false">IF(100&gt;0,100/100,"待補")</f>
        <v>1</v>
      </c>
      <c r="E8" s="8" t="n">
        <f aca="false">IF(100&gt;0,100/100,"待補")</f>
        <v>1</v>
      </c>
      <c r="F8" s="8" t="n">
        <f aca="false">IF(100&gt;0,100/100,"待補")</f>
        <v>1</v>
      </c>
      <c r="G8" s="9" t="n">
        <f aca="false">IF(AND(ISNUMBER(C8),ISNUMBER(F8)),(F8-C8)*100,"待補")</f>
        <v>0</v>
      </c>
      <c r="H8" s="9" t="n">
        <f aca="false">IF(AND(ISNUMBER(E8),ISNUMBER(F8)),(F8-E8)*100,"待補")</f>
        <v>0</v>
      </c>
    </row>
    <row r="9" customFormat="false" ht="37.5" hidden="false" customHeight="true" outlineLevel="0" collapsed="false">
      <c r="A9" s="6" t="s">
        <v>15</v>
      </c>
      <c r="B9" s="6" t="s">
        <v>12</v>
      </c>
      <c r="C9" s="7" t="n">
        <v>1</v>
      </c>
      <c r="D9" s="13" t="n">
        <f aca="false">IF(100&gt;0,76/100,"待補")</f>
        <v>0.76</v>
      </c>
      <c r="E9" s="14" t="n">
        <f aca="false">IF(100&gt;0,95/100,"待補")</f>
        <v>0.95</v>
      </c>
      <c r="F9" s="15" t="n">
        <f aca="false">IF(100&gt;0,96/100,"待補")</f>
        <v>0.96</v>
      </c>
      <c r="G9" s="9" t="n">
        <f aca="false">IF(AND(ISNUMBER(C9),ISNUMBER(F9)),(F9-C9)*100,"待補")</f>
        <v>-4</v>
      </c>
      <c r="H9" s="9" t="n">
        <f aca="false">IF(AND(ISNUMBER(E9),ISNUMBER(F9)),(F9-E9)*100,"待補")</f>
        <v>1</v>
      </c>
    </row>
    <row r="10" customFormat="false" ht="42" hidden="false" customHeight="true" outlineLevel="0" collapsed="false">
      <c r="A10" s="6" t="s">
        <v>16</v>
      </c>
      <c r="B10" s="6" t="s">
        <v>12</v>
      </c>
      <c r="C10" s="7" t="n">
        <v>1</v>
      </c>
      <c r="D10" s="10" t="n">
        <f aca="false">IF(100&gt;0,33/100,"待補")</f>
        <v>0.33</v>
      </c>
      <c r="E10" s="11" t="n">
        <f aca="false">IF(100&gt;0,34/100,"待補")</f>
        <v>0.34</v>
      </c>
      <c r="F10" s="12" t="n">
        <f aca="false">IF(100&gt;0,48/100,"待補")</f>
        <v>0.48</v>
      </c>
      <c r="G10" s="9" t="n">
        <f aca="false">IF(AND(ISNUMBER(C10),ISNUMBER(F10)),(F10-C10)*100,"待補")</f>
        <v>-52</v>
      </c>
      <c r="H10" s="9" t="n">
        <f aca="false">IF(AND(ISNUMBER(E10),ISNUMBER(F10)),(F10-E10)*100,"待補")</f>
        <v>14</v>
      </c>
    </row>
    <row r="11" customFormat="false" ht="37.5" hidden="false" customHeight="true" outlineLevel="0" collapsed="false">
      <c r="A11" s="6" t="s">
        <v>17</v>
      </c>
      <c r="B11" s="6" t="s">
        <v>18</v>
      </c>
      <c r="C11" s="7" t="n">
        <v>1</v>
      </c>
      <c r="D11" s="16" t="n">
        <f aca="false">IF(150&gt;0,114/150,"待補")</f>
        <v>0.76</v>
      </c>
      <c r="E11" s="17" t="s">
        <v>19</v>
      </c>
      <c r="F11" s="17" t="s">
        <v>19</v>
      </c>
      <c r="G11" s="9" t="str">
        <f aca="false">IF(AND(ISNUMBER(C11),ISNUMBER(F11)),(F11-C11)*100,"待補")</f>
        <v>待補</v>
      </c>
      <c r="H11" s="9" t="str">
        <f aca="false">IF(AND(ISNUMBER(E11),ISNUMBER(F11)),(F11-E11)*100,"待補")</f>
        <v>待補</v>
      </c>
    </row>
    <row r="13" customFormat="false" ht="42" hidden="false" customHeight="true" outlineLevel="0" collapsed="false">
      <c r="A13" s="2" t="s">
        <v>20</v>
      </c>
      <c r="B13" s="2"/>
      <c r="C13" s="2"/>
      <c r="D13" s="2"/>
      <c r="E13" s="2"/>
      <c r="F13" s="2"/>
      <c r="G13" s="2"/>
      <c r="H13" s="2"/>
    </row>
    <row r="15" customFormat="false" ht="36" hidden="false" customHeight="true" outlineLevel="0" collapsed="false">
      <c r="A15" s="3" t="s">
        <v>21</v>
      </c>
      <c r="B15" s="3"/>
      <c r="C15" s="3"/>
      <c r="D15" s="3"/>
      <c r="E15" s="3"/>
      <c r="F15" s="3"/>
      <c r="G15" s="3"/>
      <c r="H15" s="3"/>
    </row>
    <row r="16" customFormat="false" ht="37.5" hidden="false" customHeight="true" outlineLevel="0" collapsed="false">
      <c r="A16" s="4" t="s">
        <v>3</v>
      </c>
      <c r="B16" s="5" t="s">
        <v>22</v>
      </c>
      <c r="C16" s="4" t="s">
        <v>6</v>
      </c>
      <c r="D16" s="5" t="s">
        <v>7</v>
      </c>
      <c r="E16" s="5" t="s">
        <v>8</v>
      </c>
      <c r="F16" s="4" t="s">
        <v>23</v>
      </c>
      <c r="G16" s="4" t="s">
        <v>24</v>
      </c>
      <c r="H16" s="5" t="s">
        <v>25</v>
      </c>
    </row>
    <row r="17" customFormat="false" ht="42" hidden="false" customHeight="true" outlineLevel="0" collapsed="false">
      <c r="A17" s="6" t="s">
        <v>11</v>
      </c>
      <c r="B17" s="18" t="n">
        <v>5.2558</v>
      </c>
      <c r="C17" s="18" t="n">
        <v>16.8126481110469</v>
      </c>
      <c r="D17" s="18" t="n">
        <v>17.4235311056</v>
      </c>
      <c r="E17" s="18" t="n">
        <v>17.30624021409</v>
      </c>
      <c r="F17" s="7" t="n">
        <f aca="false">IF(AND(ISNUMBER(B17),ISNUMBER(E17),B17&lt;&gt;0),(B17-E17)/B17,"待補")</f>
        <v>-2.29278895964268</v>
      </c>
      <c r="G17" s="7" t="n">
        <f aca="false">IF(AND(ISNUMBER(D17),ISNUMBER(E17),D17&lt;&gt;0),(D17-E17)/D17,"待補")</f>
        <v>0.00673175206559025</v>
      </c>
      <c r="H17" s="6" t="s">
        <v>26</v>
      </c>
    </row>
    <row r="18" customFormat="false" ht="42" hidden="false" customHeight="true" outlineLevel="0" collapsed="false">
      <c r="A18" s="6" t="s">
        <v>13</v>
      </c>
      <c r="B18" s="18" t="n">
        <v>11.4808</v>
      </c>
      <c r="C18" s="18" t="n">
        <v>54.5049716385617</v>
      </c>
      <c r="D18" s="18" t="n">
        <v>50.90068114483</v>
      </c>
      <c r="E18" s="18" t="n">
        <v>47.60137985841</v>
      </c>
      <c r="F18" s="7" t="n">
        <f aca="false">IF(AND(ISNUMBER(B18),ISNUMBER(E18),B18&lt;&gt;0),(B18-E18)/B18,"待補")</f>
        <v>-3.14617272824281</v>
      </c>
      <c r="G18" s="7" t="n">
        <f aca="false">IF(AND(ISNUMBER(D18),ISNUMBER(E18),D18&lt;&gt;0),(D18-E18)/D18,"待補")</f>
        <v>0.0648184113102996</v>
      </c>
      <c r="H18" s="6" t="s">
        <v>26</v>
      </c>
    </row>
    <row r="19" customFormat="false" ht="42" hidden="false" customHeight="true" outlineLevel="0" collapsed="false">
      <c r="A19" s="6" t="s">
        <v>14</v>
      </c>
      <c r="B19" s="18" t="n">
        <v>4.8756</v>
      </c>
      <c r="C19" s="18" t="n">
        <v>5.3764508840688</v>
      </c>
      <c r="D19" s="18" t="n">
        <v>4.901756139286</v>
      </c>
      <c r="E19" s="18" t="n">
        <v>5.89067110913</v>
      </c>
      <c r="F19" s="7" t="n">
        <f aca="false">IF(AND(ISNUMBER(B19),ISNUMBER(E19),B19&lt;&gt;0),(B19-E19)/B19,"待補")</f>
        <v>-0.208194090805234</v>
      </c>
      <c r="G19" s="7" t="n">
        <f aca="false">IF(AND(ISNUMBER(D19),ISNUMBER(E19),D19&lt;&gt;0),(D19-E19)/D19,"待補")</f>
        <v>-0.201747076301525</v>
      </c>
      <c r="H19" s="6" t="s">
        <v>26</v>
      </c>
    </row>
    <row r="20" customFormat="false" ht="42" hidden="false" customHeight="true" outlineLevel="0" collapsed="false">
      <c r="A20" s="6" t="s">
        <v>15</v>
      </c>
      <c r="B20" s="18" t="n">
        <v>4.356</v>
      </c>
      <c r="C20" s="18" t="n">
        <v>123.234678935483</v>
      </c>
      <c r="D20" s="18" t="n">
        <v>109.373197171404</v>
      </c>
      <c r="E20" s="18" t="n">
        <v>138.311778408794</v>
      </c>
      <c r="F20" s="7" t="n">
        <f aca="false">IF(AND(ISNUMBER(B20),ISNUMBER(E20),B20&lt;&gt;0),(B20-E20)/B20,"待補")</f>
        <v>-30.7520152453613</v>
      </c>
      <c r="G20" s="17" t="s">
        <v>19</v>
      </c>
      <c r="H20" s="6" t="s">
        <v>27</v>
      </c>
    </row>
    <row r="21" customFormat="false" ht="42" hidden="false" customHeight="true" outlineLevel="0" collapsed="false">
      <c r="A21" s="6" t="s">
        <v>16</v>
      </c>
      <c r="B21" s="18" t="n">
        <v>11.4808</v>
      </c>
      <c r="C21" s="18" t="n">
        <v>54.5049716385617</v>
      </c>
      <c r="D21" s="18" t="n">
        <v>50.90068114483</v>
      </c>
      <c r="E21" s="18" t="n">
        <v>47.43486964589</v>
      </c>
      <c r="F21" s="7" t="n">
        <f aca="false">IF(AND(ISNUMBER(B21),ISNUMBER(E21),B21&lt;&gt;0),(B21-E21)/B21,"待補")</f>
        <v>-3.13166936501725</v>
      </c>
      <c r="G21" s="7" t="n">
        <f aca="false">IF(AND(ISNUMBER(D21),ISNUMBER(E21),D21&lt;&gt;0),(D21-E21)/D21,"待補")</f>
        <v>0.0680896880157375</v>
      </c>
      <c r="H21" s="6" t="s">
        <v>26</v>
      </c>
    </row>
    <row r="22" customFormat="false" ht="37.5" hidden="false" customHeight="true" outlineLevel="0" collapsed="false">
      <c r="A22" s="6" t="s">
        <v>17</v>
      </c>
      <c r="B22" s="18" t="n">
        <v>15.3427</v>
      </c>
      <c r="C22" s="18" t="n">
        <v>12.6209302105037</v>
      </c>
      <c r="D22" s="17" t="s">
        <v>19</v>
      </c>
      <c r="E22" s="17" t="s">
        <v>19</v>
      </c>
      <c r="F22" s="17" t="s">
        <v>19</v>
      </c>
      <c r="G22" s="17" t="s">
        <v>19</v>
      </c>
      <c r="H22" s="6" t="s">
        <v>28</v>
      </c>
    </row>
    <row r="24" customFormat="false" ht="42" hidden="false" customHeight="true" outlineLevel="0" collapsed="false">
      <c r="A24" s="19" t="s">
        <v>29</v>
      </c>
      <c r="B24" s="19"/>
      <c r="C24" s="19"/>
      <c r="D24" s="19"/>
      <c r="E24" s="19"/>
      <c r="F24" s="19"/>
      <c r="G24" s="19"/>
      <c r="H24" s="19"/>
    </row>
    <row r="26" customFormat="false" ht="36" hidden="false" customHeight="true" outlineLevel="0" collapsed="false">
      <c r="A26" s="3" t="s">
        <v>30</v>
      </c>
      <c r="B26" s="3"/>
      <c r="C26" s="3"/>
      <c r="D26" s="3"/>
      <c r="E26" s="3"/>
      <c r="F26" s="3"/>
      <c r="G26" s="3"/>
      <c r="H26" s="3"/>
    </row>
    <row r="27" customFormat="false" ht="37.5" hidden="false" customHeight="true" outlineLevel="0" collapsed="false">
      <c r="A27" s="4" t="s">
        <v>3</v>
      </c>
      <c r="B27" s="5" t="s">
        <v>31</v>
      </c>
      <c r="C27" s="5" t="s">
        <v>32</v>
      </c>
      <c r="D27" s="5" t="s">
        <v>33</v>
      </c>
      <c r="E27" s="5" t="s">
        <v>34</v>
      </c>
      <c r="F27" s="5" t="s">
        <v>35</v>
      </c>
      <c r="G27" s="5" t="s">
        <v>36</v>
      </c>
      <c r="H27" s="5" t="s">
        <v>37</v>
      </c>
    </row>
    <row r="28" customFormat="false" ht="37.5" hidden="false" customHeight="true" outlineLevel="0" collapsed="false">
      <c r="A28" s="6" t="s">
        <v>11</v>
      </c>
      <c r="B28" s="18" t="n">
        <v>0.653513343283497</v>
      </c>
      <c r="C28" s="18" t="n">
        <v>0.689562769167</v>
      </c>
      <c r="D28" s="18" t="n">
        <v>0.6681375712885</v>
      </c>
      <c r="E28" s="18" t="n">
        <v>14.6590013713592</v>
      </c>
      <c r="F28" s="18" t="n">
        <v>15.2649956211</v>
      </c>
      <c r="G28" s="18" t="n">
        <v>15.338734317338</v>
      </c>
      <c r="H28" s="17" t="s">
        <v>38</v>
      </c>
    </row>
    <row r="29" customFormat="false" ht="37.5" hidden="false" customHeight="true" outlineLevel="0" collapsed="false">
      <c r="A29" s="6" t="s">
        <v>13</v>
      </c>
      <c r="B29" s="18" t="n">
        <v>3.01056149864129</v>
      </c>
      <c r="C29" s="18" t="n">
        <v>2.805820850935</v>
      </c>
      <c r="D29" s="18" t="n">
        <v>2.419399103867</v>
      </c>
      <c r="E29" s="18" t="n">
        <v>34.3744841092224</v>
      </c>
      <c r="F29" s="18" t="n">
        <v>31.61299917308</v>
      </c>
      <c r="G29" s="18" t="n">
        <v>32.53223875682</v>
      </c>
      <c r="H29" s="17" t="s">
        <v>38</v>
      </c>
    </row>
    <row r="30" customFormat="false" ht="37.5" hidden="false" customHeight="true" outlineLevel="0" collapsed="false">
      <c r="A30" s="6" t="s">
        <v>14</v>
      </c>
      <c r="B30" s="18" t="n">
        <v>0.298030128253397</v>
      </c>
      <c r="C30" s="18" t="n">
        <v>0.2756560181046</v>
      </c>
      <c r="D30" s="18" t="n">
        <v>0.2374537932478</v>
      </c>
      <c r="E30" s="18" t="n">
        <v>4.98480600070703</v>
      </c>
      <c r="F30" s="18" t="n">
        <v>4.498764577382</v>
      </c>
      <c r="G30" s="18" t="n">
        <v>5.611043479289</v>
      </c>
      <c r="H30" s="17" t="s">
        <v>38</v>
      </c>
    </row>
    <row r="31" customFormat="false" ht="37.5" hidden="false" customHeight="true" outlineLevel="0" collapsed="false">
      <c r="A31" s="6" t="s">
        <v>15</v>
      </c>
      <c r="B31" s="18" t="n">
        <v>2.63898624070818</v>
      </c>
      <c r="C31" s="18" t="n">
        <v>4.01149570071879</v>
      </c>
      <c r="D31" s="18" t="n">
        <v>4.5802029783309</v>
      </c>
      <c r="E31" s="18" t="n">
        <v>123.939230727063</v>
      </c>
      <c r="F31" s="18" t="n">
        <v>110.716157682403</v>
      </c>
      <c r="G31" s="18" t="n">
        <v>140.11415705577</v>
      </c>
      <c r="H31" s="17" t="s">
        <v>38</v>
      </c>
    </row>
    <row r="32" customFormat="false" ht="42" hidden="false" customHeight="true" outlineLevel="0" collapsed="false">
      <c r="A32" s="6" t="s">
        <v>16</v>
      </c>
      <c r="B32" s="18" t="n">
        <v>3.01056149864129</v>
      </c>
      <c r="C32" s="18" t="n">
        <v>2.805820850935</v>
      </c>
      <c r="D32" s="18" t="n">
        <v>2.565010633964</v>
      </c>
      <c r="E32" s="18" t="n">
        <v>34.3744841092224</v>
      </c>
      <c r="F32" s="18" t="n">
        <v>31.61299917308</v>
      </c>
      <c r="G32" s="18" t="n">
        <v>30.53763041882</v>
      </c>
      <c r="H32" s="17" t="s">
        <v>38</v>
      </c>
    </row>
    <row r="33" customFormat="false" ht="37.5" hidden="false" customHeight="true" outlineLevel="0" collapsed="false">
      <c r="A33" s="6" t="s">
        <v>17</v>
      </c>
      <c r="B33" s="18" t="n">
        <v>0.83632567519141</v>
      </c>
      <c r="C33" s="17" t="s">
        <v>19</v>
      </c>
      <c r="D33" s="17" t="s">
        <v>19</v>
      </c>
      <c r="E33" s="18" t="n">
        <v>11.094383645931</v>
      </c>
      <c r="F33" s="17" t="s">
        <v>19</v>
      </c>
      <c r="G33" s="17" t="s">
        <v>19</v>
      </c>
      <c r="H33" s="17" t="s">
        <v>38</v>
      </c>
    </row>
    <row r="35" customFormat="false" ht="42" hidden="false" customHeight="true" outlineLevel="0" collapsed="false">
      <c r="A35" s="2" t="s">
        <v>39</v>
      </c>
      <c r="B35" s="2"/>
      <c r="C35" s="2"/>
      <c r="D35" s="2"/>
      <c r="E35" s="2"/>
      <c r="F35" s="2"/>
      <c r="G35" s="2"/>
      <c r="H35" s="2"/>
    </row>
    <row r="37" customFormat="false" ht="36" hidden="false" customHeight="true" outlineLevel="0" collapsed="false">
      <c r="A37" s="3" t="s">
        <v>40</v>
      </c>
      <c r="B37" s="3"/>
      <c r="C37" s="3"/>
      <c r="D37" s="3"/>
      <c r="E37" s="3"/>
      <c r="F37" s="3"/>
      <c r="G37" s="3"/>
      <c r="H37" s="3"/>
    </row>
    <row r="38" customFormat="false" ht="37.5" hidden="false" customHeight="true" outlineLevel="0" collapsed="false">
      <c r="A38" s="4" t="s">
        <v>3</v>
      </c>
      <c r="B38" s="5" t="s">
        <v>41</v>
      </c>
      <c r="C38" s="5" t="s">
        <v>42</v>
      </c>
      <c r="D38" s="5" t="s">
        <v>43</v>
      </c>
      <c r="E38" s="5" t="s">
        <v>44</v>
      </c>
      <c r="F38" s="5" t="s">
        <v>45</v>
      </c>
      <c r="G38" s="5" t="s">
        <v>46</v>
      </c>
      <c r="H38" s="5" t="s">
        <v>47</v>
      </c>
    </row>
    <row r="39" customFormat="false" ht="37.5" hidden="false" customHeight="true" outlineLevel="0" collapsed="false">
      <c r="A39" s="6" t="s">
        <v>11</v>
      </c>
      <c r="B39" s="18" t="n">
        <v>20.718</v>
      </c>
      <c r="C39" s="18" t="n">
        <v>11.657</v>
      </c>
      <c r="D39" s="18" t="n">
        <v>7.99219146</v>
      </c>
      <c r="E39" s="18" t="n">
        <v>53.85829634</v>
      </c>
      <c r="F39" s="18" t="n">
        <v>9.21988191</v>
      </c>
      <c r="G39" s="17" t="s">
        <v>19</v>
      </c>
      <c r="H39" s="17" t="s">
        <v>48</v>
      </c>
    </row>
    <row r="40" customFormat="false" ht="37.5" hidden="false" customHeight="true" outlineLevel="0" collapsed="false">
      <c r="A40" s="6" t="s">
        <v>13</v>
      </c>
      <c r="B40" s="18" t="n">
        <v>30.699</v>
      </c>
      <c r="C40" s="18" t="n">
        <v>16.712</v>
      </c>
      <c r="D40" s="18" t="n">
        <v>15.16964886</v>
      </c>
      <c r="E40" s="18" t="n">
        <v>32.24372665</v>
      </c>
      <c r="F40" s="18" t="n">
        <v>17.26372979</v>
      </c>
      <c r="G40" s="17" t="s">
        <v>19</v>
      </c>
      <c r="H40" s="17" t="s">
        <v>48</v>
      </c>
    </row>
    <row r="41" customFormat="false" ht="37.5" hidden="false" customHeight="true" outlineLevel="0" collapsed="false">
      <c r="A41" s="6" t="s">
        <v>14</v>
      </c>
      <c r="B41" s="18" t="n">
        <v>4.5596</v>
      </c>
      <c r="C41" s="18" t="n">
        <v>8.3584</v>
      </c>
      <c r="D41" s="18" t="n">
        <v>2.98112216</v>
      </c>
      <c r="E41" s="18" t="n">
        <v>7.6173294</v>
      </c>
      <c r="F41" s="18" t="n">
        <v>4.08560725</v>
      </c>
      <c r="G41" s="17" t="s">
        <v>19</v>
      </c>
      <c r="H41" s="17" t="s">
        <v>48</v>
      </c>
    </row>
    <row r="42" customFormat="false" ht="37.5" hidden="false" customHeight="true" outlineLevel="0" collapsed="false">
      <c r="A42" s="6" t="s">
        <v>15</v>
      </c>
      <c r="B42" s="18" t="n">
        <v>19.522</v>
      </c>
      <c r="C42" s="18" t="n">
        <v>9.4516</v>
      </c>
      <c r="D42" s="18" t="n">
        <v>3.62236579</v>
      </c>
      <c r="E42" s="18" t="n">
        <v>9.79095948</v>
      </c>
      <c r="F42" s="18" t="n">
        <v>6.12982422</v>
      </c>
      <c r="G42" s="17" t="s">
        <v>19</v>
      </c>
      <c r="H42" s="17" t="s">
        <v>48</v>
      </c>
    </row>
    <row r="43" customFormat="false" ht="42" hidden="false" customHeight="true" outlineLevel="0" collapsed="false">
      <c r="A43" s="6" t="s">
        <v>16</v>
      </c>
      <c r="B43" s="18" t="n">
        <v>30.699</v>
      </c>
      <c r="C43" s="18" t="n">
        <v>16.712</v>
      </c>
      <c r="D43" s="18" t="n">
        <v>15.16964886</v>
      </c>
      <c r="E43" s="18" t="n">
        <v>32.24372665</v>
      </c>
      <c r="F43" s="18" t="n">
        <v>16.97246262</v>
      </c>
      <c r="G43" s="17" t="s">
        <v>19</v>
      </c>
      <c r="H43" s="17" t="s">
        <v>48</v>
      </c>
    </row>
    <row r="44" customFormat="false" ht="37.5" hidden="false" customHeight="true" outlineLevel="0" collapsed="false">
      <c r="A44" s="6" t="s">
        <v>17</v>
      </c>
      <c r="B44" s="18" t="n">
        <v>3.0405</v>
      </c>
      <c r="C44" s="18" t="n">
        <v>8.6992</v>
      </c>
      <c r="D44" s="18" t="n">
        <v>2.32949157333333</v>
      </c>
      <c r="E44" s="17" t="s">
        <v>19</v>
      </c>
      <c r="F44" s="17" t="s">
        <v>19</v>
      </c>
      <c r="G44" s="17" t="s">
        <v>19</v>
      </c>
      <c r="H44" s="17" t="s">
        <v>48</v>
      </c>
    </row>
    <row r="46" customFormat="false" ht="42" hidden="false" customHeight="true" outlineLevel="0" collapsed="false">
      <c r="A46" s="19" t="s">
        <v>49</v>
      </c>
      <c r="B46" s="19"/>
      <c r="C46" s="19"/>
      <c r="D46" s="19"/>
      <c r="E46" s="19"/>
      <c r="F46" s="19"/>
      <c r="G46" s="19"/>
      <c r="H46" s="19"/>
    </row>
    <row r="48" customFormat="false" ht="42" hidden="false" customHeight="true" outlineLevel="0" collapsed="false">
      <c r="A48" s="19" t="s">
        <v>50</v>
      </c>
      <c r="B48" s="19"/>
      <c r="C48" s="19"/>
      <c r="D48" s="19"/>
      <c r="E48" s="19"/>
      <c r="F48" s="19"/>
      <c r="G48" s="19"/>
      <c r="H48" s="19"/>
    </row>
  </sheetData>
  <autoFilter ref="A5:H11"/>
  <mergeCells count="11">
    <mergeCell ref="A1:H1"/>
    <mergeCell ref="A2:H2"/>
    <mergeCell ref="A4:H4"/>
    <mergeCell ref="A13:H13"/>
    <mergeCell ref="A15:H15"/>
    <mergeCell ref="A24:H24"/>
    <mergeCell ref="A26:H26"/>
    <mergeCell ref="A35:H35"/>
    <mergeCell ref="A37:H37"/>
    <mergeCell ref="A46:H46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4" man="true" max="16383" min="0"/>
    <brk id="25" man="true" max="16383" min="0"/>
    <brk id="36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8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2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3" t="s">
        <v>51</v>
      </c>
      <c r="B4" s="3"/>
      <c r="C4" s="3"/>
      <c r="D4" s="3"/>
      <c r="E4" s="3"/>
      <c r="F4" s="3"/>
    </row>
    <row r="5" customFormat="false" ht="37.5" hidden="false" customHeight="true" outlineLevel="0" collapsed="false">
      <c r="A5" s="5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</row>
    <row r="6" customFormat="false" ht="37.5" hidden="false" customHeight="true" outlineLevel="0" collapsed="false">
      <c r="A6" s="6" t="s">
        <v>58</v>
      </c>
      <c r="B6" s="6" t="s">
        <v>59</v>
      </c>
      <c r="C6" s="6" t="s">
        <v>59</v>
      </c>
      <c r="D6" s="6" t="s">
        <v>59</v>
      </c>
      <c r="E6" s="17" t="s">
        <v>60</v>
      </c>
      <c r="F6" s="6" t="s">
        <v>61</v>
      </c>
    </row>
    <row r="7" customFormat="false" ht="37.5" hidden="false" customHeight="true" outlineLevel="0" collapsed="false">
      <c r="A7" s="6" t="s">
        <v>62</v>
      </c>
      <c r="B7" s="6" t="s">
        <v>63</v>
      </c>
      <c r="C7" s="6" t="s">
        <v>63</v>
      </c>
      <c r="D7" s="6" t="s">
        <v>63</v>
      </c>
      <c r="E7" s="6" t="s">
        <v>64</v>
      </c>
      <c r="F7" s="6" t="s">
        <v>65</v>
      </c>
    </row>
    <row r="8" customFormat="false" ht="37.5" hidden="false" customHeight="true" outlineLevel="0" collapsed="false">
      <c r="A8" s="6" t="s">
        <v>66</v>
      </c>
      <c r="B8" s="6" t="s">
        <v>67</v>
      </c>
      <c r="C8" s="6" t="s">
        <v>67</v>
      </c>
      <c r="D8" s="6" t="s">
        <v>67</v>
      </c>
      <c r="E8" s="6" t="s">
        <v>68</v>
      </c>
      <c r="F8" s="6" t="s">
        <v>61</v>
      </c>
    </row>
    <row r="9" customFormat="false" ht="37.5" hidden="false" customHeight="true" outlineLevel="0" collapsed="false">
      <c r="A9" s="17" t="s">
        <v>69</v>
      </c>
      <c r="B9" s="6" t="s">
        <v>70</v>
      </c>
      <c r="C9" s="6" t="s">
        <v>70</v>
      </c>
      <c r="D9" s="6" t="s">
        <v>70</v>
      </c>
      <c r="E9" s="17" t="s">
        <v>71</v>
      </c>
      <c r="F9" s="6" t="s">
        <v>72</v>
      </c>
    </row>
    <row r="10" customFormat="false" ht="37.5" hidden="false" customHeight="true" outlineLevel="0" collapsed="false">
      <c r="A10" s="17" t="s">
        <v>73</v>
      </c>
      <c r="B10" s="6" t="s">
        <v>74</v>
      </c>
      <c r="C10" s="6" t="s">
        <v>74</v>
      </c>
      <c r="D10" s="6" t="s">
        <v>74</v>
      </c>
      <c r="E10" s="17" t="s">
        <v>75</v>
      </c>
      <c r="F10" s="6" t="s">
        <v>76</v>
      </c>
    </row>
    <row r="11" customFormat="false" ht="37.5" hidden="false" customHeight="true" outlineLevel="0" collapsed="false">
      <c r="A11" s="6" t="s">
        <v>77</v>
      </c>
      <c r="B11" s="17" t="s">
        <v>78</v>
      </c>
      <c r="C11" s="6" t="s">
        <v>79</v>
      </c>
      <c r="D11" s="6" t="s">
        <v>79</v>
      </c>
      <c r="E11" s="17" t="s">
        <v>80</v>
      </c>
      <c r="F11" s="6" t="s">
        <v>81</v>
      </c>
    </row>
    <row r="12" customFormat="false" ht="37.5" hidden="false" customHeight="true" outlineLevel="0" collapsed="false">
      <c r="A12" s="6" t="s">
        <v>82</v>
      </c>
      <c r="B12" s="17" t="s">
        <v>19</v>
      </c>
      <c r="C12" s="6" t="s">
        <v>83</v>
      </c>
      <c r="D12" s="6" t="s">
        <v>84</v>
      </c>
      <c r="E12" s="17" t="s">
        <v>85</v>
      </c>
      <c r="F12" s="6" t="s">
        <v>86</v>
      </c>
    </row>
    <row r="13" customFormat="false" ht="37.5" hidden="false" customHeight="true" outlineLevel="0" collapsed="false">
      <c r="A13" s="6" t="s">
        <v>87</v>
      </c>
      <c r="B13" s="17" t="s">
        <v>19</v>
      </c>
      <c r="C13" s="6" t="s">
        <v>88</v>
      </c>
      <c r="D13" s="6" t="s">
        <v>84</v>
      </c>
      <c r="E13" s="17" t="s">
        <v>89</v>
      </c>
      <c r="F13" s="6" t="s">
        <v>90</v>
      </c>
    </row>
    <row r="14" customFormat="false" ht="37.5" hidden="false" customHeight="true" outlineLevel="0" collapsed="false">
      <c r="A14" s="6" t="s">
        <v>91</v>
      </c>
      <c r="B14" s="17" t="s">
        <v>19</v>
      </c>
      <c r="C14" s="6" t="s">
        <v>92</v>
      </c>
      <c r="D14" s="17" t="s">
        <v>93</v>
      </c>
      <c r="E14" s="17" t="s">
        <v>94</v>
      </c>
      <c r="F14" s="6" t="s">
        <v>90</v>
      </c>
    </row>
    <row r="15" customFormat="false" ht="42" hidden="false" customHeight="true" outlineLevel="0" collapsed="false">
      <c r="A15" s="17" t="s">
        <v>95</v>
      </c>
      <c r="B15" s="17" t="s">
        <v>96</v>
      </c>
      <c r="C15" s="17" t="s">
        <v>97</v>
      </c>
      <c r="D15" s="17" t="s">
        <v>98</v>
      </c>
      <c r="E15" s="17" t="s">
        <v>99</v>
      </c>
      <c r="F15" s="6" t="s">
        <v>100</v>
      </c>
    </row>
    <row r="16" customFormat="false" ht="37.5" hidden="false" customHeight="true" outlineLevel="0" collapsed="false">
      <c r="A16" s="6" t="s">
        <v>101</v>
      </c>
      <c r="B16" s="17" t="s">
        <v>102</v>
      </c>
      <c r="C16" s="6" t="s">
        <v>103</v>
      </c>
      <c r="D16" s="17" t="s">
        <v>93</v>
      </c>
      <c r="E16" s="17" t="s">
        <v>104</v>
      </c>
      <c r="F16" s="6" t="s">
        <v>90</v>
      </c>
    </row>
    <row r="18" customFormat="false" ht="42" hidden="false" customHeight="true" outlineLevel="0" collapsed="false">
      <c r="A18" s="2" t="s">
        <v>105</v>
      </c>
      <c r="B18" s="2"/>
      <c r="C18" s="2"/>
      <c r="D18" s="2"/>
      <c r="E18" s="2"/>
      <c r="F18" s="2"/>
    </row>
  </sheetData>
  <mergeCells count="4">
    <mergeCell ref="A1:F1"/>
    <mergeCell ref="A2:F2"/>
    <mergeCell ref="A4:F4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6" min="4" style="0" width="2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106</v>
      </c>
      <c r="B4" s="3"/>
      <c r="C4" s="3"/>
      <c r="D4" s="3"/>
      <c r="E4" s="3"/>
      <c r="F4" s="3"/>
      <c r="G4" s="3"/>
      <c r="H4" s="3"/>
    </row>
    <row r="5" customFormat="false" ht="37.5" hidden="false" customHeight="true" outlineLevel="0" collapsed="false">
      <c r="A5" s="5" t="s">
        <v>107</v>
      </c>
      <c r="B5" s="5" t="s">
        <v>108</v>
      </c>
      <c r="C5" s="5" t="s">
        <v>109</v>
      </c>
      <c r="D5" s="5" t="s">
        <v>110</v>
      </c>
      <c r="E5" s="5" t="s">
        <v>111</v>
      </c>
      <c r="F5" s="5" t="s">
        <v>112</v>
      </c>
      <c r="G5" s="5" t="s">
        <v>113</v>
      </c>
      <c r="H5" s="5" t="s">
        <v>114</v>
      </c>
    </row>
    <row r="6" customFormat="false" ht="37.5" hidden="false" customHeight="true" outlineLevel="0" collapsed="false">
      <c r="A6" s="6" t="s">
        <v>11</v>
      </c>
      <c r="B6" s="6" t="n">
        <v>0</v>
      </c>
      <c r="C6" s="6" t="n">
        <v>0</v>
      </c>
      <c r="D6" s="6" t="n">
        <v>100</v>
      </c>
      <c r="E6" s="18" t="n">
        <v>17.4235311056</v>
      </c>
      <c r="F6" s="18" t="n">
        <v>17.30624021409</v>
      </c>
      <c r="G6" s="7" t="n">
        <f aca="false">IF(AND(ISNUMBER(E6),ISNUMBER(F6),E6&lt;&gt;0),(E6-F6)/E6,"待補")</f>
        <v>0.00673175206559025</v>
      </c>
      <c r="H6" s="17" t="s">
        <v>115</v>
      </c>
    </row>
    <row r="7" customFormat="false" ht="37.5" hidden="false" customHeight="true" outlineLevel="0" collapsed="false">
      <c r="A7" s="6" t="s">
        <v>13</v>
      </c>
      <c r="B7" s="6" t="n">
        <v>21</v>
      </c>
      <c r="C7" s="6" t="n">
        <v>7</v>
      </c>
      <c r="D7" s="6" t="n">
        <v>27</v>
      </c>
      <c r="E7" s="18" t="n">
        <v>23.136556591963</v>
      </c>
      <c r="F7" s="18" t="n">
        <v>20.6528017433704</v>
      </c>
      <c r="G7" s="7" t="n">
        <f aca="false">IF(AND(ISNUMBER(E7),ISNUMBER(F7),E7&lt;&gt;0),(E7-F7)/E7,"待補")</f>
        <v>0.107351966517584</v>
      </c>
      <c r="H7" s="17" t="s">
        <v>115</v>
      </c>
    </row>
    <row r="8" customFormat="false" ht="37.5" hidden="false" customHeight="true" outlineLevel="0" collapsed="false">
      <c r="A8" s="6" t="s">
        <v>14</v>
      </c>
      <c r="B8" s="6" t="n">
        <v>0</v>
      </c>
      <c r="C8" s="6" t="n">
        <v>0</v>
      </c>
      <c r="D8" s="6" t="n">
        <v>100</v>
      </c>
      <c r="E8" s="18" t="n">
        <v>4.901756139286</v>
      </c>
      <c r="F8" s="18" t="n">
        <v>5.89067110913</v>
      </c>
      <c r="G8" s="7" t="n">
        <f aca="false">IF(AND(ISNUMBER(E8),ISNUMBER(F8),E8&lt;&gt;0),(E8-F8)/E8,"待補")</f>
        <v>-0.201747076301525</v>
      </c>
      <c r="H8" s="17" t="s">
        <v>115</v>
      </c>
    </row>
    <row r="9" customFormat="false" ht="37.5" hidden="false" customHeight="true" outlineLevel="0" collapsed="false">
      <c r="A9" s="6" t="s">
        <v>15</v>
      </c>
      <c r="B9" s="6" t="n">
        <v>1</v>
      </c>
      <c r="C9" s="6" t="n">
        <v>0</v>
      </c>
      <c r="D9" s="6" t="n">
        <v>95</v>
      </c>
      <c r="E9" s="18" t="n">
        <v>9.20239130093684</v>
      </c>
      <c r="F9" s="18" t="n">
        <v>6.81323372073053</v>
      </c>
      <c r="G9" s="7" t="n">
        <f aca="false">IF(AND(ISNUMBER(E9),ISNUMBER(F9),E9&lt;&gt;0),(E9-F9)/E9,"待補")</f>
        <v>0.259623558928981</v>
      </c>
      <c r="H9" s="17" t="s">
        <v>115</v>
      </c>
    </row>
    <row r="10" customFormat="false" ht="42" hidden="false" customHeight="true" outlineLevel="0" collapsed="false">
      <c r="A10" s="6" t="s">
        <v>16</v>
      </c>
      <c r="B10" s="6" t="n">
        <v>23</v>
      </c>
      <c r="C10" s="6" t="n">
        <v>9</v>
      </c>
      <c r="D10" s="6" t="n">
        <v>25</v>
      </c>
      <c r="E10" s="18" t="n">
        <v>22.88577835892</v>
      </c>
      <c r="F10" s="18" t="n">
        <v>19.52254242356</v>
      </c>
      <c r="G10" s="7" t="n">
        <f aca="false">IF(AND(ISNUMBER(E10),ISNUMBER(F10),E10&lt;&gt;0),(E10-F10)/E10,"待補")</f>
        <v>0.146957463391195</v>
      </c>
      <c r="H10" s="17" t="s">
        <v>115</v>
      </c>
    </row>
    <row r="12" customFormat="false" ht="42" hidden="false" customHeight="true" outlineLevel="0" collapsed="false">
      <c r="A12" s="19" t="s">
        <v>116</v>
      </c>
      <c r="B12" s="19"/>
      <c r="C12" s="19"/>
      <c r="D12" s="19"/>
      <c r="E12" s="19"/>
      <c r="F12" s="19"/>
      <c r="G12" s="19"/>
      <c r="H12" s="19"/>
    </row>
    <row r="14" customFormat="false" ht="36" hidden="false" customHeight="true" outlineLevel="0" collapsed="false">
      <c r="A14" s="3" t="s">
        <v>117</v>
      </c>
      <c r="B14" s="3"/>
      <c r="C14" s="3"/>
      <c r="D14" s="3"/>
      <c r="E14" s="3"/>
      <c r="F14" s="3"/>
      <c r="G14" s="3"/>
      <c r="H14" s="3"/>
    </row>
    <row r="15" customFormat="false" ht="37.5" hidden="false" customHeight="true" outlineLevel="0" collapsed="false">
      <c r="A15" s="5" t="s">
        <v>118</v>
      </c>
      <c r="B15" s="5" t="s">
        <v>119</v>
      </c>
      <c r="C15" s="5" t="s">
        <v>120</v>
      </c>
      <c r="D15" s="5" t="s">
        <v>121</v>
      </c>
      <c r="E15" s="5" t="s">
        <v>122</v>
      </c>
      <c r="F15" s="5" t="s">
        <v>123</v>
      </c>
      <c r="G15" s="5" t="s">
        <v>124</v>
      </c>
      <c r="H15" s="5" t="s">
        <v>57</v>
      </c>
    </row>
    <row r="16" customFormat="false" ht="42" hidden="false" customHeight="true" outlineLevel="0" collapsed="false">
      <c r="A16" s="17" t="s">
        <v>125</v>
      </c>
      <c r="B16" s="18" t="n">
        <v>45.403641893714</v>
      </c>
      <c r="C16" s="18" t="n">
        <v>37.811130289682</v>
      </c>
      <c r="D16" s="6" t="n">
        <v>79</v>
      </c>
      <c r="E16" s="6" t="n">
        <v>100</v>
      </c>
      <c r="F16" s="17" t="s">
        <v>126</v>
      </c>
      <c r="G16" s="17" t="s">
        <v>127</v>
      </c>
      <c r="H16" s="6" t="s">
        <v>128</v>
      </c>
    </row>
    <row r="18" customFormat="false" ht="42" hidden="false" customHeight="true" outlineLevel="0" collapsed="false">
      <c r="A18" s="19" t="s">
        <v>129</v>
      </c>
      <c r="B18" s="19"/>
      <c r="C18" s="19"/>
      <c r="D18" s="19"/>
      <c r="E18" s="19"/>
      <c r="F18" s="19"/>
      <c r="G18" s="19"/>
      <c r="H18" s="19"/>
    </row>
    <row r="20" customFormat="false" ht="36" hidden="false" customHeight="true" outlineLevel="0" collapsed="false">
      <c r="A20" s="20" t="s">
        <v>130</v>
      </c>
      <c r="B20" s="20"/>
      <c r="C20" s="20"/>
      <c r="D20" s="20"/>
      <c r="E20" s="20"/>
      <c r="F20" s="20"/>
      <c r="G20" s="20"/>
      <c r="H20" s="20"/>
    </row>
    <row r="21" customFormat="false" ht="37.5" hidden="false" customHeight="true" outlineLevel="0" collapsed="false">
      <c r="A21" s="5" t="s">
        <v>131</v>
      </c>
      <c r="B21" s="5" t="s">
        <v>132</v>
      </c>
    </row>
    <row r="22" customFormat="false" ht="37.5" hidden="false" customHeight="true" outlineLevel="0" collapsed="false">
      <c r="A22" s="17" t="s">
        <v>133</v>
      </c>
      <c r="B22" s="7" t="n">
        <f aca="false">34/100</f>
        <v>0.34</v>
      </c>
    </row>
    <row r="23" customFormat="false" ht="37.5" hidden="false" customHeight="true" outlineLevel="0" collapsed="false">
      <c r="A23" s="17" t="s">
        <v>134</v>
      </c>
      <c r="B23" s="7" t="n">
        <f aca="false">48/100</f>
        <v>0.48</v>
      </c>
    </row>
    <row r="24" customFormat="false" ht="37.5" hidden="false" customHeight="true" outlineLevel="0" collapsed="false">
      <c r="A24" s="17" t="s">
        <v>135</v>
      </c>
      <c r="B24" s="7" t="n">
        <f aca="false">48/100</f>
        <v>0.48</v>
      </c>
    </row>
  </sheetData>
  <mergeCells count="7">
    <mergeCell ref="A1:H1"/>
    <mergeCell ref="A2:H2"/>
    <mergeCell ref="A4:H4"/>
    <mergeCell ref="A12:H12"/>
    <mergeCell ref="A14:H14"/>
    <mergeCell ref="A18:H1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6" man="true" max="16383" min="0"/>
    <brk id="5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2026-10-26T03:45:49Z</dcterms:created>
  <dc:creator>openpyxl</dc:creator>
  <dc:description/>
  <dc:language>en-US</dc:language>
  <cp:lastModifiedBy/>
  <dcterms:modified xsi:type="dcterms:W3CDTF">2026-10-26T03:45:49Z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