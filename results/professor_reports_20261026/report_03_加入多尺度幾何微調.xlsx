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結果比較" sheetId="1" state="visible" r:id="rId3"/>
    <sheet name="參數方法改動" sheetId="2" state="visible" r:id="rId4"/>
    <sheet name="證據與圖表" sheetId="3" state="visible" r:id="rId5"/>
  </sheets>
  <definedNames>
    <definedName function="false" hidden="false" localSheetId="1" name="_xlnm.Print_Area" vbProcedure="false">參數方法改動!$A$1:$F$19</definedName>
    <definedName function="false" hidden="false" localSheetId="1" name="_xlnm.Print_Titles" vbProcedure="false">參數方法改動!$1:$3</definedName>
    <definedName function="false" hidden="false" localSheetId="0" name="_xlnm.Print_Area" vbProcedure="false">結果比較!$A$1:$H$44</definedName>
    <definedName function="false" hidden="false" localSheetId="0" name="_xlnm.Print_Titles" vbProcedure="false">結果比較!$1:$3</definedName>
    <definedName function="false" hidden="true" localSheetId="0" name="_xlnm._FilterDatabase" vbProcedure="false">結果比較!$A$5:$H$10</definedName>
    <definedName function="false" hidden="false" localSheetId="2" name="_xlnm.Print_Area" vbProcedure="false">證據與圖表!$A$1:$H$96</definedName>
    <definedName function="false" hidden="false" localSheetId="2" name="_xlnm.Print_Titles" vbProcedure="false">證據與圖表!$1:$3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<sst xmlns="http://schemas.openxmlformats.org/spreadsheetml/2006/main" count="203" uniqueCount="129">
  <si>
    <r>
      <rPr>
        <b val="true"/>
        <sz val="18"/>
        <rFont val="Noto Sans CJK SC"/>
        <family val="2"/>
      </rPr>
      <t xml:space="preserve">第</t>
    </r>
    <r>
      <rPr>
        <b val="true"/>
        <sz val="18"/>
        <rFont val="Microsoft JhengHei"/>
        <family val="0"/>
        <charset val="1"/>
      </rPr>
      <t xml:space="preserve">3</t>
    </r>
    <r>
      <rPr>
        <b val="true"/>
        <sz val="18"/>
        <rFont val="Noto Sans CJK SC"/>
        <family val="2"/>
      </rPr>
      <t xml:space="preserve">次｜加入多尺度幾何微調</t>
    </r>
  </si>
  <si>
    <r>
      <rPr>
        <sz val="10"/>
        <color rgb="FF444444"/>
        <rFont val="Noto Sans CJK SC"/>
        <family val="2"/>
      </rPr>
      <t xml:space="preserve">兩個</t>
    </r>
    <r>
      <rPr>
        <sz val="10"/>
        <color rgb="FF444444"/>
        <rFont val="Microsoft JhengHei"/>
        <family val="0"/>
        <charset val="1"/>
      </rPr>
      <t xml:space="preserve">dataset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Tongji</t>
    </r>
    <r>
      <rPr>
        <sz val="10"/>
        <color rgb="FF444444"/>
        <rFont val="Noto Sans CJK SC"/>
        <family val="2"/>
      </rPr>
      <t xml:space="preserve">四</t>
    </r>
    <r>
      <rPr>
        <sz val="10"/>
        <color rgb="FF444444"/>
        <rFont val="Microsoft JhengHei"/>
        <family val="0"/>
        <charset val="1"/>
      </rPr>
      <t xml:space="preserve">Plot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ETH</t>
    </r>
    <r>
      <rPr>
        <sz val="10"/>
        <color rgb="FF444444"/>
        <rFont val="Noto Sans CJK SC"/>
        <family val="2"/>
      </rPr>
      <t xml:space="preserve">；本地</t>
    </r>
    <r>
      <rPr>
        <sz val="10"/>
        <color rgb="FF444444"/>
        <rFont val="Microsoft JhengHei"/>
        <family val="0"/>
        <charset val="1"/>
      </rPr>
      <t xml:space="preserve">5cm</t>
    </r>
    <r>
      <rPr>
        <sz val="10"/>
        <color rgb="FF444444"/>
        <rFont val="Noto Sans CJK SC"/>
        <family val="2"/>
      </rPr>
      <t xml:space="preserve">是參考實作，作者原作重跑待補。下降率</t>
    </r>
    <r>
      <rPr>
        <sz val="10"/>
        <color rgb="FF444444"/>
        <rFont val="Microsoft JhengHei"/>
        <family val="0"/>
        <charset val="1"/>
      </rPr>
      <t xml:space="preserve">=(</t>
    </r>
    <r>
      <rPr>
        <sz val="10"/>
        <color rgb="FF444444"/>
        <rFont val="Noto Sans CJK SC"/>
        <family val="2"/>
      </rPr>
      <t xml:space="preserve">基準−修改</t>
    </r>
    <r>
      <rPr>
        <sz val="10"/>
        <color rgb="FF444444"/>
        <rFont val="Microsoft JhengHei"/>
        <family val="0"/>
        <charset val="1"/>
      </rPr>
      <t xml:space="preserve">)/</t>
    </r>
    <r>
      <rPr>
        <sz val="10"/>
        <color rgb="FF444444"/>
        <rFont val="Noto Sans CJK SC"/>
        <family val="2"/>
      </rPr>
      <t xml:space="preserve">基準；成功率差異用</t>
    </r>
    <r>
      <rPr>
        <sz val="10"/>
        <color rgb="FF444444"/>
        <rFont val="Microsoft JhengHei"/>
        <family val="0"/>
        <charset val="1"/>
      </rPr>
      <t xml:space="preserve">pp</t>
    </r>
    <r>
      <rPr>
        <sz val="10"/>
        <color rgb="FF444444"/>
        <rFont val="Noto Sans CJK SC"/>
        <family val="2"/>
      </rPr>
      <t xml:space="preserve">。</t>
    </r>
  </si>
  <si>
    <r>
      <rPr>
        <b val="true"/>
        <sz val="14"/>
        <rFont val="Noto Sans CJK SC"/>
        <family val="2"/>
      </rPr>
      <t xml:space="preserve">成功率：修改前</t>
    </r>
    <r>
      <rPr>
        <b val="true"/>
        <sz val="14"/>
        <rFont val="Microsoft JhengHei"/>
        <family val="0"/>
        <charset val="1"/>
      </rPr>
      <t xml:space="preserve">=ETH</t>
    </r>
    <r>
      <rPr>
        <b val="true"/>
        <sz val="14"/>
        <rFont val="Noto Sans CJK SC"/>
        <family val="2"/>
      </rPr>
      <t xml:space="preserve">固定粗配準，無</t>
    </r>
    <r>
      <rPr>
        <b val="true"/>
        <sz val="14"/>
        <rFont val="Microsoft JhengHei"/>
        <family val="0"/>
        <charset val="1"/>
      </rPr>
      <t xml:space="preserve">refinement</t>
    </r>
    <r>
      <rPr>
        <b val="true"/>
        <sz val="14"/>
        <rFont val="Noto Sans CJK SC"/>
        <family val="2"/>
      </rPr>
      <t xml:space="preserve">；修改後</t>
    </r>
    <r>
      <rPr>
        <b val="true"/>
        <sz val="14"/>
        <rFont val="Microsoft JhengHei"/>
        <family val="0"/>
        <charset val="1"/>
      </rPr>
      <t xml:space="preserve">=</t>
    </r>
    <r>
      <rPr>
        <b val="true"/>
        <sz val="14"/>
        <rFont val="Noto Sans CJK SC"/>
        <family val="2"/>
      </rPr>
      <t xml:space="preserve">相同粗配準＋多尺度</t>
    </r>
    <r>
      <rPr>
        <b val="true"/>
        <sz val="14"/>
        <rFont val="Microsoft JhengHei"/>
        <family val="0"/>
        <charset val="1"/>
      </rPr>
      <t xml:space="preserve">refinement</t>
    </r>
  </si>
  <si>
    <r>
      <rPr>
        <b val="true"/>
        <sz val="13"/>
        <rFont val="Microsoft JhengHei"/>
        <family val="0"/>
        <charset val="1"/>
      </rPr>
      <t xml:space="preserve">dataset</t>
    </r>
    <r>
      <rPr>
        <b val="true"/>
        <sz val="13"/>
        <rFont val="Noto Sans CJK SC"/>
        <family val="2"/>
      </rPr>
      <t xml:space="preserve">／場景</t>
    </r>
  </si>
  <si>
    <r>
      <rPr>
        <b val="true"/>
        <sz val="13"/>
        <rFont val="Noto Sans CJK SC"/>
        <family val="2"/>
      </rPr>
      <t xml:space="preserve">唯一配對</t>
    </r>
    <r>
      <rPr>
        <b val="true"/>
        <sz val="13"/>
        <rFont val="Microsoft JhengHei"/>
        <family val="0"/>
        <charset val="1"/>
      </rPr>
      <t xml:space="preserve">×seed</t>
    </r>
  </si>
  <si>
    <t xml:space="preserve">論文成功率
分母待補</t>
  </si>
  <si>
    <r>
      <rPr>
        <b val="true"/>
        <sz val="13"/>
        <rFont val="Microsoft JhengHei"/>
        <family val="0"/>
        <charset val="1"/>
      </rPr>
      <t xml:space="preserve">5cm</t>
    </r>
    <r>
      <rPr>
        <b val="true"/>
        <sz val="13"/>
        <rFont val="Noto Sans CJK SC"/>
        <family val="2"/>
      </rPr>
      <t xml:space="preserve">參考</t>
    </r>
  </si>
  <si>
    <t xml:space="preserve">修改前</t>
  </si>
  <si>
    <t xml:space="preserve">修改後</t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</si>
  <si>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論文 </t>
    </r>
    <r>
      <rPr>
        <b val="true"/>
        <sz val="13"/>
        <rFont val="Microsoft JhengHei"/>
        <family val="0"/>
        <charset val="1"/>
      </rPr>
      <t xml:space="preserve">pp</t>
    </r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</si>
  <si>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修改前 </t>
    </r>
    <r>
      <rPr>
        <b val="true"/>
        <sz val="13"/>
        <rFont val="Microsoft JhengHei"/>
        <family val="0"/>
        <charset val="1"/>
      </rPr>
      <t xml:space="preserve">pp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</si>
  <si>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Plot1</t>
    </r>
  </si>
  <si>
    <r>
      <rPr>
        <sz val="13"/>
        <rFont val="Microsoft JhengHei"/>
        <family val="0"/>
        <charset val="1"/>
      </rPr>
      <t xml:space="preserve">10</t>
    </r>
    <r>
      <rPr>
        <sz val="13"/>
        <rFont val="Noto Sans CJK SC"/>
        <family val="2"/>
      </rPr>
      <t xml:space="preserve">配對</t>
    </r>
    <r>
      <rPr>
        <sz val="13"/>
        <rFont val="Microsoft JhengHei"/>
        <family val="0"/>
        <charset val="1"/>
      </rPr>
      <t xml:space="preserve">×10seed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</si>
  <si>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Plot2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</si>
  <si>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Plot3</t>
    </r>
  </si>
  <si>
    <r>
      <rPr>
        <sz val="13"/>
        <rFont val="Microsoft JhengHei"/>
        <family val="0"/>
        <charset val="1"/>
      </rPr>
      <t xml:space="preserve">Tongji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Plot4</t>
    </r>
  </si>
  <si>
    <t xml:space="preserve">ETH-tree</t>
  </si>
  <si>
    <r>
      <rPr>
        <sz val="13"/>
        <rFont val="Microsoft JhengHei"/>
        <family val="0"/>
        <charset val="1"/>
      </rPr>
      <t xml:space="preserve">15</t>
    </r>
    <r>
      <rPr>
        <sz val="13"/>
        <rFont val="Noto Sans CJK SC"/>
        <family val="2"/>
      </rPr>
      <t xml:space="preserve">配對</t>
    </r>
    <r>
      <rPr>
        <sz val="13"/>
        <rFont val="Microsoft JhengHei"/>
        <family val="0"/>
        <charset val="1"/>
      </rPr>
      <t xml:space="preserve">×10seed</t>
    </r>
  </si>
  <si>
    <r>
      <rPr>
        <sz val="10"/>
        <color rgb="FF444444"/>
        <rFont val="Noto Sans CJK SC"/>
        <family val="2"/>
      </rPr>
      <t xml:space="preserve">來源</t>
    </r>
    <r>
      <rPr>
        <sz val="10"/>
        <color rgb="FF444444"/>
        <rFont val="Microsoft JhengHei"/>
        <family val="0"/>
        <charset val="1"/>
      </rPr>
      <t xml:space="preserve">P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PDF p4 Table I</t>
    </r>
    <r>
      <rPr>
        <sz val="10"/>
        <color rgb="FF444444"/>
        <rFont val="Noto Sans CJK SC"/>
        <family val="2"/>
      </rPr>
      <t xml:space="preserve">；本地</t>
    </r>
    <r>
      <rPr>
        <sz val="10"/>
        <color rgb="FF444444"/>
        <rFont val="Microsoft JhengHei"/>
        <family val="0"/>
        <charset val="1"/>
      </rPr>
      <t xml:space="preserve">U/D/DF</t>
    </r>
    <r>
      <rPr>
        <sz val="10"/>
        <color rgb="FF444444"/>
        <rFont val="Noto Sans CJK SC"/>
        <family val="2"/>
      </rPr>
      <t xml:space="preserve">，精確篩選與</t>
    </r>
    <r>
      <rPr>
        <sz val="10"/>
        <color rgb="FF444444"/>
        <rFont val="Microsoft JhengHei"/>
        <family val="0"/>
        <charset val="1"/>
      </rPr>
      <t xml:space="preserve">CSV</t>
    </r>
    <r>
      <rPr>
        <sz val="10"/>
        <color rgb="FF444444"/>
        <rFont val="Noto Sans CJK SC"/>
        <family val="2"/>
      </rPr>
      <t xml:space="preserve">列號見</t>
    </r>
    <r>
      <rPr>
        <sz val="10"/>
        <color rgb="FF444444"/>
        <rFont val="Microsoft JhengHei"/>
        <family val="0"/>
        <charset val="1"/>
      </rPr>
      <t xml:space="preserve">source_manifest.json</t>
    </r>
    <r>
      <rPr>
        <sz val="10"/>
        <color rgb="FF444444"/>
        <rFont val="Noto Sans CJK SC"/>
        <family val="2"/>
      </rPr>
      <t xml:space="preserve">。每個</t>
    </r>
    <r>
      <rPr>
        <sz val="10"/>
        <color rgb="FF444444"/>
        <rFont val="Microsoft JhengHei"/>
        <family val="0"/>
        <charset val="1"/>
      </rPr>
      <t xml:space="preserve">seed</t>
    </r>
    <r>
      <rPr>
        <sz val="10"/>
        <color rgb="FF444444"/>
        <rFont val="Noto Sans CJK SC"/>
        <family val="2"/>
      </rPr>
      <t xml:space="preserve">是同一配對重跑，不能當成獨立森林。論文與專案成功門檻未確認一致；作者原作重跑待補。</t>
    </r>
  </si>
  <si>
    <r>
      <rPr>
        <b val="true"/>
        <sz val="14"/>
        <rFont val="Noto Sans CJK SC"/>
        <family val="2"/>
      </rPr>
      <t xml:space="preserve">平均</t>
    </r>
    <r>
      <rPr>
        <b val="true"/>
        <sz val="14"/>
        <rFont val="Microsoft JhengHei"/>
        <family val="0"/>
        <charset val="1"/>
      </rPr>
      <t xml:space="preserve">e_p</t>
    </r>
    <r>
      <rPr>
        <b val="true"/>
        <sz val="14"/>
        <rFont val="Noto Sans CJK SC"/>
        <family val="2"/>
      </rPr>
      <t xml:space="preserve">：全部有限誤差，包含能計算的失敗；單位</t>
    </r>
    <r>
      <rPr>
        <b val="true"/>
        <sz val="14"/>
        <rFont val="Microsoft JhengHei"/>
        <family val="0"/>
        <charset val="1"/>
      </rPr>
      <t xml:space="preserve">cm</t>
    </r>
  </si>
  <si>
    <r>
      <rPr>
        <b val="true"/>
        <sz val="13"/>
        <rFont val="Noto Sans CJK SC"/>
        <family val="2"/>
      </rPr>
      <t xml:space="preserve">論文平均</t>
    </r>
    <r>
      <rPr>
        <b val="true"/>
        <sz val="13"/>
        <rFont val="Microsoft JhengHei"/>
        <family val="0"/>
        <charset val="1"/>
      </rPr>
      <t xml:space="preserve">e_p</t>
    </r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</si>
  <si>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論文下降率</t>
    </r>
  </si>
  <si>
    <r>
      <rPr>
        <b val="true"/>
        <sz val="13"/>
        <rFont val="Microsoft JhengHei"/>
        <family val="0"/>
        <charset val="1"/>
      </rPr>
      <t xml:space="preserve">vs</t>
    </r>
    <r>
      <rPr>
        <b val="true"/>
        <sz val="13"/>
        <rFont val="Noto Sans CJK SC"/>
        <family val="2"/>
      </rPr>
      <t xml:space="preserve">前下降率</t>
    </r>
  </si>
  <si>
    <r>
      <rPr>
        <b val="true"/>
        <sz val="13"/>
        <rFont val="Noto Sans CJK SC"/>
        <family val="2"/>
      </rPr>
      <t xml:space="preserve">有限</t>
    </r>
    <r>
      <rPr>
        <b val="true"/>
        <sz val="13"/>
        <rFont val="Microsoft JhengHei"/>
        <family val="0"/>
        <charset val="1"/>
      </rPr>
      <t xml:space="preserve">N</t>
    </r>
    <r>
      <rPr>
        <b val="true"/>
        <sz val="13"/>
        <rFont val="Noto Sans CJK SC"/>
        <family val="2"/>
      </rPr>
      <t xml:space="preserve">：參考／前／後</t>
    </r>
  </si>
  <si>
    <r>
      <rPr>
        <sz val="13"/>
        <rFont val="Microsoft JhengHei"/>
        <family val="0"/>
        <charset val="1"/>
      </rPr>
      <t xml:space="preserve">100/100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100/100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100/100</t>
    </r>
  </si>
  <si>
    <t xml:space="preserve">待補</t>
  </si>
  <si>
    <r>
      <rPr>
        <sz val="13"/>
        <rFont val="Microsoft JhengHei"/>
        <family val="0"/>
        <charset val="1"/>
      </rPr>
      <t xml:space="preserve">83/100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99/100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99/100</t>
    </r>
  </si>
  <si>
    <r>
      <rPr>
        <sz val="13"/>
        <rFont val="Microsoft JhengHei"/>
        <family val="0"/>
        <charset val="1"/>
      </rPr>
      <t xml:space="preserve">127/150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150/150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150/150</t>
    </r>
  </si>
  <si>
    <r>
      <rPr>
        <sz val="10"/>
        <color rgb="FF444444"/>
        <rFont val="Microsoft JhengHei"/>
        <family val="0"/>
        <charset val="1"/>
      </rPr>
      <t xml:space="preserve">P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p4 Eq.(8)/Table I</t>
    </r>
    <r>
      <rPr>
        <sz val="10"/>
        <color rgb="FF444444"/>
        <rFont val="Noto Sans CJK SC"/>
        <family val="2"/>
      </rPr>
      <t xml:space="preserve">。全來源點</t>
    </r>
    <r>
      <rPr>
        <sz val="10"/>
        <color rgb="FF444444"/>
        <rFont val="Microsoft JhengHei"/>
        <family val="0"/>
        <charset val="1"/>
      </rPr>
      <t xml:space="preserve">e_p</t>
    </r>
    <r>
      <rPr>
        <sz val="10"/>
        <color rgb="FF444444"/>
        <rFont val="Noto Sans CJK SC"/>
        <family val="2"/>
      </rPr>
      <t xml:space="preserve">再跨</t>
    </r>
    <r>
      <rPr>
        <sz val="10"/>
        <color rgb="FF444444"/>
        <rFont val="Microsoft JhengHei"/>
        <family val="0"/>
        <charset val="1"/>
      </rPr>
      <t xml:space="preserve">case</t>
    </r>
    <r>
      <rPr>
        <sz val="10"/>
        <color rgb="FF444444"/>
        <rFont val="Noto Sans CJK SC"/>
        <family val="2"/>
      </rPr>
      <t xml:space="preserve">取</t>
    </r>
    <r>
      <rPr>
        <sz val="10"/>
        <color rgb="FF444444"/>
        <rFont val="Microsoft JhengHei"/>
        <family val="0"/>
        <charset val="1"/>
      </rPr>
      <t xml:space="preserve">mean</t>
    </r>
    <r>
      <rPr>
        <sz val="10"/>
        <color rgb="FF444444"/>
        <rFont val="Noto Sans CJK SC"/>
        <family val="2"/>
      </rPr>
      <t xml:space="preserve">，含有限失敗；缺變換不填</t>
    </r>
    <r>
      <rPr>
        <sz val="10"/>
        <color rgb="FF444444"/>
        <rFont val="Microsoft JhengHei"/>
        <family val="0"/>
        <charset val="1"/>
      </rPr>
      <t xml:space="preserve">0</t>
    </r>
    <r>
      <rPr>
        <sz val="10"/>
        <color rgb="FF444444"/>
        <rFont val="Noto Sans CJK SC"/>
        <family val="2"/>
      </rPr>
      <t xml:space="preserve">。修改後缺輸出則</t>
    </r>
    <r>
      <rPr>
        <sz val="10"/>
        <color rgb="FF444444"/>
        <rFont val="Microsoft JhengHei"/>
        <family val="0"/>
        <charset val="1"/>
      </rPr>
      <t xml:space="preserve">vs</t>
    </r>
    <r>
      <rPr>
        <sz val="10"/>
        <color rgb="FF444444"/>
        <rFont val="Noto Sans CJK SC"/>
        <family val="2"/>
      </rPr>
      <t xml:space="preserve">論文下降率待補；本地有限</t>
    </r>
    <r>
      <rPr>
        <sz val="10"/>
        <color rgb="FF444444"/>
        <rFont val="Microsoft JhengHei"/>
        <family val="0"/>
        <charset val="1"/>
      </rPr>
      <t xml:space="preserve">case</t>
    </r>
    <r>
      <rPr>
        <sz val="10"/>
        <color rgb="FF444444"/>
        <rFont val="Noto Sans CJK SC"/>
        <family val="2"/>
      </rPr>
      <t xml:space="preserve">集合不同則</t>
    </r>
    <r>
      <rPr>
        <sz val="10"/>
        <color rgb="FF444444"/>
        <rFont val="Microsoft JhengHei"/>
        <family val="0"/>
        <charset val="1"/>
      </rPr>
      <t xml:space="preserve">vs</t>
    </r>
    <r>
      <rPr>
        <sz val="10"/>
        <color rgb="FF444444"/>
        <rFont val="Noto Sans CJK SC"/>
        <family val="2"/>
      </rPr>
      <t xml:space="preserve">前下降率待補，另見第三頁共同成功比較。論文數字僅參考，協定未完全核對。</t>
    </r>
  </si>
  <si>
    <t xml:space="preserve">旋轉與平移：保留可計算失敗；不是論文額外指標</t>
  </si>
  <si>
    <r>
      <rPr>
        <b val="true"/>
        <sz val="13"/>
        <rFont val="Noto Sans CJK SC"/>
        <family val="2"/>
      </rPr>
      <t xml:space="preserve">參考 </t>
    </r>
    <r>
      <rPr>
        <b val="true"/>
        <sz val="13"/>
        <rFont val="Microsoft JhengHei"/>
        <family val="0"/>
        <charset val="1"/>
      </rPr>
      <t xml:space="preserve">e_R </t>
    </r>
    <r>
      <rPr>
        <b val="true"/>
        <sz val="13"/>
        <rFont val="Noto Sans CJK SC"/>
        <family val="2"/>
      </rPr>
      <t xml:space="preserve">度</t>
    </r>
  </si>
  <si>
    <r>
      <rPr>
        <b val="true"/>
        <sz val="13"/>
        <rFont val="Noto Sans CJK SC"/>
        <family val="2"/>
      </rPr>
      <t xml:space="preserve">前 </t>
    </r>
    <r>
      <rPr>
        <b val="true"/>
        <sz val="13"/>
        <rFont val="Microsoft JhengHei"/>
        <family val="0"/>
        <charset val="1"/>
      </rPr>
      <t xml:space="preserve">e_R </t>
    </r>
    <r>
      <rPr>
        <b val="true"/>
        <sz val="13"/>
        <rFont val="Noto Sans CJK SC"/>
        <family val="2"/>
      </rPr>
      <t xml:space="preserve">度</t>
    </r>
  </si>
  <si>
    <r>
      <rPr>
        <b val="true"/>
        <sz val="13"/>
        <rFont val="Noto Sans CJK SC"/>
        <family val="2"/>
      </rPr>
      <t xml:space="preserve">後 </t>
    </r>
    <r>
      <rPr>
        <b val="true"/>
        <sz val="13"/>
        <rFont val="Microsoft JhengHei"/>
        <family val="0"/>
        <charset val="1"/>
      </rPr>
      <t xml:space="preserve">e_R </t>
    </r>
    <r>
      <rPr>
        <b val="true"/>
        <sz val="13"/>
        <rFont val="Noto Sans CJK SC"/>
        <family val="2"/>
      </rPr>
      <t xml:space="preserve">度</t>
    </r>
  </si>
  <si>
    <r>
      <rPr>
        <b val="true"/>
        <sz val="13"/>
        <rFont val="Noto Sans CJK SC"/>
        <family val="2"/>
      </rPr>
      <t xml:space="preserve">參考 </t>
    </r>
    <r>
      <rPr>
        <b val="true"/>
        <sz val="13"/>
        <rFont val="Microsoft JhengHei"/>
        <family val="0"/>
        <charset val="1"/>
      </rPr>
      <t xml:space="preserve">e_t cm</t>
    </r>
  </si>
  <si>
    <r>
      <rPr>
        <b val="true"/>
        <sz val="13"/>
        <rFont val="Noto Sans CJK SC"/>
        <family val="2"/>
      </rPr>
      <t xml:space="preserve">前 </t>
    </r>
    <r>
      <rPr>
        <b val="true"/>
        <sz val="13"/>
        <rFont val="Microsoft JhengHei"/>
        <family val="0"/>
        <charset val="1"/>
      </rPr>
      <t xml:space="preserve">e_t cm</t>
    </r>
  </si>
  <si>
    <r>
      <rPr>
        <b val="true"/>
        <sz val="13"/>
        <rFont val="Noto Sans CJK SC"/>
        <family val="2"/>
      </rPr>
      <t xml:space="preserve">後 </t>
    </r>
    <r>
      <rPr>
        <b val="true"/>
        <sz val="13"/>
        <rFont val="Microsoft JhengHei"/>
        <family val="0"/>
        <charset val="1"/>
      </rPr>
      <t xml:space="preserve">e_t cm</t>
    </r>
  </si>
  <si>
    <t xml:space="preserve">論文欄位狀態</t>
  </si>
  <si>
    <r>
      <rPr>
        <sz val="13"/>
        <rFont val="Noto Sans CJK SC"/>
        <family val="2"/>
      </rPr>
      <t xml:space="preserve">論文</t>
    </r>
    <r>
      <rPr>
        <sz val="13"/>
        <rFont val="Microsoft JhengHei"/>
        <family val="0"/>
        <charset val="1"/>
      </rPr>
      <t xml:space="preserve">e_R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e_t</t>
    </r>
    <r>
      <rPr>
        <sz val="13"/>
        <rFont val="Noto Sans CJK SC"/>
        <family val="2"/>
      </rPr>
      <t xml:space="preserve">：待補</t>
    </r>
  </si>
  <si>
    <r>
      <rPr>
        <sz val="10"/>
        <color rgb="FF444444"/>
        <rFont val="Noto Sans CJK SC"/>
        <family val="2"/>
      </rPr>
      <t xml:space="preserve">來源同上原始</t>
    </r>
    <r>
      <rPr>
        <sz val="10"/>
        <color rgb="FF444444"/>
        <rFont val="Microsoft JhengHei"/>
        <family val="0"/>
        <charset val="1"/>
      </rPr>
      <t xml:space="preserve">CSV</t>
    </r>
    <r>
      <rPr>
        <sz val="10"/>
        <color rgb="FF444444"/>
        <rFont val="Noto Sans CJK SC"/>
        <family val="2"/>
      </rPr>
      <t xml:space="preserve">之</t>
    </r>
    <r>
      <rPr>
        <sz val="10"/>
        <color rgb="FF444444"/>
        <rFont val="Microsoft JhengHei"/>
        <family val="0"/>
        <charset val="1"/>
      </rPr>
      <t xml:space="preserve">rot_err_deg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trans_err_m</t>
    </r>
    <r>
      <rPr>
        <sz val="10"/>
        <color rgb="FF444444"/>
        <rFont val="Noto Sans CJK SC"/>
        <family val="2"/>
      </rPr>
      <t xml:space="preserve">；</t>
    </r>
    <r>
      <rPr>
        <sz val="10"/>
        <color rgb="FF444444"/>
        <rFont val="Microsoft JhengHei"/>
        <family val="0"/>
        <charset val="1"/>
      </rPr>
      <t xml:space="preserve">e_R=R_gtᵀR_est</t>
    </r>
    <r>
      <rPr>
        <sz val="10"/>
        <color rgb="FF444444"/>
        <rFont val="Noto Sans CJK SC"/>
        <family val="2"/>
      </rPr>
      <t xml:space="preserve">的旋轉角，</t>
    </r>
    <r>
      <rPr>
        <sz val="10"/>
        <color rgb="FF444444"/>
        <rFont val="Microsoft JhengHei"/>
        <family val="0"/>
        <charset val="1"/>
      </rPr>
      <t xml:space="preserve">e_t=||t_est−t_gt||</t>
    </r>
    <r>
      <rPr>
        <sz val="10"/>
        <color rgb="FF444444"/>
        <rFont val="Noto Sans CJK SC"/>
        <family val="2"/>
      </rPr>
      <t xml:space="preserve">。</t>
    </r>
    <r>
      <rPr>
        <sz val="10"/>
        <color rgb="FF444444"/>
        <rFont val="Microsoft JhengHei"/>
        <family val="0"/>
        <charset val="1"/>
      </rPr>
      <t xml:space="preserve">Table I</t>
    </r>
    <r>
      <rPr>
        <sz val="10"/>
        <color rgb="FF444444"/>
        <rFont val="Noto Sans CJK SC"/>
        <family val="2"/>
      </rPr>
      <t xml:space="preserve">只列</t>
    </r>
    <r>
      <rPr>
        <sz val="10"/>
        <color rgb="FF444444"/>
        <rFont val="Microsoft JhengHei"/>
        <family val="0"/>
        <charset val="1"/>
      </rPr>
      <t xml:space="preserve">e_p</t>
    </r>
    <r>
      <rPr>
        <sz val="10"/>
        <color rgb="FF444444"/>
        <rFont val="Noto Sans CJK SC"/>
        <family val="2"/>
      </rPr>
      <t xml:space="preserve">及成功率，未列</t>
    </r>
    <r>
      <rPr>
        <sz val="10"/>
        <color rgb="FF444444"/>
        <rFont val="Microsoft JhengHei"/>
        <family val="0"/>
        <charset val="1"/>
      </rPr>
      <t xml:space="preserve">e_R/e_t</t>
    </r>
    <r>
      <rPr>
        <sz val="10"/>
        <color rgb="FF444444"/>
        <rFont val="Noto Sans CJK SC"/>
        <family val="2"/>
      </rPr>
      <t xml:space="preserve">，故原論文欄待補。本地成功為</t>
    </r>
    <r>
      <rPr>
        <sz val="10"/>
        <color rgb="FF444444"/>
        <rFont val="Microsoft JhengHei"/>
        <family val="0"/>
        <charset val="1"/>
      </rPr>
      <t xml:space="preserve">e_R&lt;2°</t>
    </r>
    <r>
      <rPr>
        <sz val="10"/>
        <color rgb="FF444444"/>
        <rFont val="Noto Sans CJK SC"/>
        <family val="2"/>
      </rPr>
      <t xml:space="preserve">且</t>
    </r>
    <r>
      <rPr>
        <sz val="10"/>
        <color rgb="FF444444"/>
        <rFont val="Microsoft JhengHei"/>
        <family val="0"/>
        <charset val="1"/>
      </rPr>
      <t xml:space="preserve">e_t&lt;50cm</t>
    </r>
    <r>
      <rPr>
        <sz val="10"/>
        <color rgb="FF444444"/>
        <rFont val="Noto Sans CJK SC"/>
        <family val="2"/>
      </rPr>
      <t xml:space="preserve">。</t>
    </r>
  </si>
  <si>
    <r>
      <rPr>
        <b val="true"/>
        <sz val="14"/>
        <rFont val="Noto Sans CJK SC"/>
        <family val="2"/>
      </rPr>
      <t xml:space="preserve">時間：論文</t>
    </r>
    <r>
      <rPr>
        <b val="true"/>
        <sz val="14"/>
        <rFont val="Microsoft JhengHei"/>
        <family val="0"/>
        <charset val="1"/>
      </rPr>
      <t xml:space="preserve">matching</t>
    </r>
    <r>
      <rPr>
        <b val="true"/>
        <sz val="14"/>
        <rFont val="Noto Sans CJK SC"/>
        <family val="2"/>
      </rPr>
      <t xml:space="preserve">與</t>
    </r>
    <r>
      <rPr>
        <b val="true"/>
        <sz val="14"/>
        <rFont val="Microsoft JhengHei"/>
        <family val="0"/>
        <charset val="1"/>
      </rPr>
      <t xml:space="preserve">total</t>
    </r>
    <r>
      <rPr>
        <b val="true"/>
        <sz val="14"/>
        <rFont val="Noto Sans CJK SC"/>
        <family val="2"/>
      </rPr>
      <t xml:space="preserve">分開；本地皆為配對內部時間</t>
    </r>
  </si>
  <si>
    <r>
      <rPr>
        <b val="true"/>
        <sz val="13"/>
        <rFont val="Noto Sans CJK SC"/>
        <family val="2"/>
      </rPr>
      <t xml:space="preserve">論文</t>
    </r>
    <r>
      <rPr>
        <b val="true"/>
        <sz val="13"/>
        <rFont val="Microsoft JhengHei"/>
        <family val="0"/>
        <charset val="1"/>
      </rPr>
      <t xml:space="preserve">matching ms</t>
    </r>
  </si>
  <si>
    <r>
      <rPr>
        <b val="true"/>
        <sz val="13"/>
        <rFont val="Noto Sans CJK SC"/>
        <family val="2"/>
      </rPr>
      <t xml:space="preserve">論文</t>
    </r>
    <r>
      <rPr>
        <b val="true"/>
        <sz val="13"/>
        <rFont val="Microsoft JhengHei"/>
        <family val="0"/>
        <charset val="1"/>
      </rPr>
      <t xml:space="preserve">total s</t>
    </r>
  </si>
  <si>
    <r>
      <rPr>
        <b val="true"/>
        <sz val="13"/>
        <rFont val="Noto Sans CJK SC"/>
        <family val="2"/>
      </rPr>
      <t xml:space="preserve">參考</t>
    </r>
    <r>
      <rPr>
        <b val="true"/>
        <sz val="13"/>
        <rFont val="Microsoft JhengHei"/>
        <family val="0"/>
        <charset val="1"/>
      </rPr>
      <t xml:space="preserve">online ms</t>
    </r>
  </si>
  <si>
    <r>
      <rPr>
        <b val="true"/>
        <sz val="13"/>
        <rFont val="Noto Sans CJK SC"/>
        <family val="2"/>
      </rPr>
      <t xml:space="preserve">前</t>
    </r>
    <r>
      <rPr>
        <b val="true"/>
        <sz val="13"/>
        <rFont val="Microsoft JhengHei"/>
        <family val="0"/>
        <charset val="1"/>
      </rPr>
      <t xml:space="preserve">online ms</t>
    </r>
  </si>
  <si>
    <r>
      <rPr>
        <b val="true"/>
        <sz val="13"/>
        <rFont val="Noto Sans CJK SC"/>
        <family val="2"/>
      </rPr>
      <t xml:space="preserve">後</t>
    </r>
    <r>
      <rPr>
        <b val="true"/>
        <sz val="13"/>
        <rFont val="Microsoft JhengHei"/>
        <family val="0"/>
        <charset val="1"/>
      </rPr>
      <t xml:space="preserve">online ms</t>
    </r>
  </si>
  <si>
    <t xml:space="preserve">本地下降率</t>
  </si>
  <si>
    <t xml:space="preserve">範圍／硬體限制</t>
  </si>
  <si>
    <t xml:space="preserve">見下方計時限制</t>
  </si>
  <si>
    <r>
      <rPr>
        <sz val="10"/>
        <color rgb="FF444444"/>
        <rFont val="Microsoft JhengHei"/>
        <family val="0"/>
        <charset val="1"/>
      </rPr>
      <t xml:space="preserve">P</t>
    </r>
    <r>
      <rPr>
        <sz val="10"/>
        <color rgb="FF444444"/>
        <rFont val="Noto Sans CJK SC"/>
        <family val="2"/>
      </rPr>
      <t xml:space="preserve">：</t>
    </r>
    <r>
      <rPr>
        <sz val="10"/>
        <color rgb="FF444444"/>
        <rFont val="Microsoft JhengHei"/>
        <family val="0"/>
        <charset val="1"/>
      </rPr>
      <t xml:space="preserve">p4 Table II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p5 Table III</t>
    </r>
    <r>
      <rPr>
        <sz val="10"/>
        <color rgb="FF444444"/>
        <rFont val="Noto Sans CJK SC"/>
        <family val="2"/>
      </rPr>
      <t xml:space="preserve">；</t>
    </r>
    <r>
      <rPr>
        <sz val="10"/>
        <color rgb="FF444444"/>
        <rFont val="Microsoft JhengHei"/>
        <family val="0"/>
        <charset val="1"/>
      </rPr>
      <t xml:space="preserve">i7-9700F 3GHz</t>
    </r>
    <r>
      <rPr>
        <sz val="10"/>
        <color rgb="FF444444"/>
        <rFont val="Noto Sans CJK SC"/>
        <family val="2"/>
      </rPr>
      <t xml:space="preserve">，</t>
    </r>
    <r>
      <rPr>
        <sz val="10"/>
        <color rgb="FF444444"/>
        <rFont val="Microsoft JhengHei"/>
        <family val="0"/>
        <charset val="1"/>
      </rPr>
      <t xml:space="preserve">OpenMP</t>
    </r>
    <r>
      <rPr>
        <sz val="10"/>
        <color rgb="FF444444"/>
        <rFont val="Noto Sans CJK SC"/>
        <family val="2"/>
      </rPr>
      <t xml:space="preserve">執行緒數待補。</t>
    </r>
    <r>
      <rPr>
        <sz val="10"/>
        <color rgb="FF444444"/>
        <rFont val="Microsoft JhengHei"/>
        <family val="0"/>
        <charset val="1"/>
      </rPr>
      <t xml:space="preserve">U online</t>
    </r>
    <r>
      <rPr>
        <sz val="10"/>
        <color rgb="FF444444"/>
        <rFont val="Noto Sans CJK SC"/>
        <family val="2"/>
      </rPr>
      <t xml:space="preserve">含讀樹位／</t>
    </r>
    <r>
      <rPr>
        <sz val="10"/>
        <color rgb="FF444444"/>
        <rFont val="Microsoft JhengHei"/>
        <family val="0"/>
        <charset val="1"/>
      </rPr>
      <t xml:space="preserve">descriptor</t>
    </r>
    <r>
      <rPr>
        <sz val="10"/>
        <color rgb="FF444444"/>
        <rFont val="Noto Sans CJK SC"/>
        <family val="2"/>
      </rPr>
      <t xml:space="preserve">／</t>
    </r>
    <r>
      <rPr>
        <sz val="10"/>
        <color rgb="FF444444"/>
        <rFont val="Microsoft JhengHei"/>
        <family val="0"/>
        <charset val="1"/>
      </rPr>
      <t xml:space="preserve">matching</t>
    </r>
    <r>
      <rPr>
        <sz val="10"/>
        <color rgb="FF444444"/>
        <rFont val="Noto Sans CJK SC"/>
        <family val="2"/>
      </rPr>
      <t xml:space="preserve">／求解／</t>
    </r>
    <r>
      <rPr>
        <sz val="10"/>
        <color rgb="FF444444"/>
        <rFont val="Microsoft JhengHei"/>
        <family val="0"/>
        <charset val="1"/>
      </rPr>
      <t xml:space="preserve">refinement</t>
    </r>
    <r>
      <rPr>
        <sz val="10"/>
        <color rgb="FF444444"/>
        <rFont val="Noto Sans CJK SC"/>
        <family val="2"/>
      </rPr>
      <t xml:space="preserve">，不含幾何</t>
    </r>
    <r>
      <rPr>
        <sz val="10"/>
        <color rgb="FF444444"/>
        <rFont val="Microsoft JhengHei"/>
        <family val="0"/>
        <charset val="1"/>
      </rPr>
      <t xml:space="preserve">cache</t>
    </r>
    <r>
      <rPr>
        <sz val="10"/>
        <color rgb="FF444444"/>
        <rFont val="Noto Sans CJK SC"/>
        <family val="2"/>
      </rPr>
      <t xml:space="preserve">載入、原始點雲提取及</t>
    </r>
    <r>
      <rPr>
        <sz val="10"/>
        <color rgb="FF444444"/>
        <rFont val="Microsoft JhengHei"/>
        <family val="0"/>
        <charset val="1"/>
      </rPr>
      <t xml:space="preserve">GT</t>
    </r>
    <r>
      <rPr>
        <sz val="10"/>
        <color rgb="FF444444"/>
        <rFont val="Noto Sans CJK SC"/>
        <family val="2"/>
      </rPr>
      <t xml:space="preserve">評分；舊</t>
    </r>
    <r>
      <rPr>
        <sz val="10"/>
        <color rgb="FF444444"/>
        <rFont val="Microsoft JhengHei"/>
        <family val="0"/>
        <charset val="1"/>
      </rPr>
      <t xml:space="preserve">time_ms</t>
    </r>
    <r>
      <rPr>
        <sz val="10"/>
        <color rgb="FF444444"/>
        <rFont val="Noto Sans CJK SC"/>
        <family val="2"/>
      </rPr>
      <t xml:space="preserve">含</t>
    </r>
    <r>
      <rPr>
        <sz val="10"/>
        <color rgb="FF444444"/>
        <rFont val="Microsoft JhengHei"/>
        <family val="0"/>
        <charset val="1"/>
      </rPr>
      <t xml:space="preserve">descriptor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matching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recovery</t>
    </r>
    <r>
      <rPr>
        <sz val="10"/>
        <color rgb="FF444444"/>
        <rFont val="Noto Sans CJK SC"/>
        <family val="2"/>
      </rPr>
      <t xml:space="preserve">＋</t>
    </r>
    <r>
      <rPr>
        <sz val="10"/>
        <color rgb="FF444444"/>
        <rFont val="Microsoft JhengHei"/>
        <family val="0"/>
        <charset val="1"/>
      </rPr>
      <t xml:space="preserve">solver</t>
    </r>
    <r>
      <rPr>
        <sz val="10"/>
        <color rgb="FF444444"/>
        <rFont val="Noto Sans CJK SC"/>
        <family val="2"/>
      </rPr>
      <t xml:space="preserve">。論文速度下降率一律待補，範圍／硬體不同。</t>
    </r>
  </si>
  <si>
    <r>
      <rPr>
        <sz val="10"/>
        <color rgb="FF444444"/>
        <rFont val="Microsoft JhengHei"/>
        <family val="0"/>
        <charset val="1"/>
      </rPr>
      <t xml:space="preserve">R1/R3</t>
    </r>
    <r>
      <rPr>
        <sz val="10"/>
        <color rgb="FF444444"/>
        <rFont val="Noto Sans CJK SC"/>
        <family val="2"/>
      </rPr>
      <t xml:space="preserve">：前後為同一</t>
    </r>
    <r>
      <rPr>
        <sz val="10"/>
        <color rgb="FF444444"/>
        <rFont val="Microsoft JhengHei"/>
        <family val="0"/>
        <charset val="1"/>
      </rPr>
      <t xml:space="preserve">v1</t>
    </r>
    <r>
      <rPr>
        <sz val="10"/>
        <color rgb="FF444444"/>
        <rFont val="Noto Sans CJK SC"/>
        <family val="2"/>
      </rPr>
      <t xml:space="preserve">批次、</t>
    </r>
    <r>
      <rPr>
        <sz val="10"/>
        <color rgb="FF444444"/>
        <rFont val="Microsoft JhengHei"/>
        <family val="0"/>
        <charset val="1"/>
      </rPr>
      <t xml:space="preserve">4 OpenMP threads</t>
    </r>
    <r>
      <rPr>
        <sz val="10"/>
        <color rgb="FF444444"/>
        <rFont val="Noto Sans CJK SC"/>
        <family val="2"/>
      </rPr>
      <t xml:space="preserve">；可描述本地</t>
    </r>
    <r>
      <rPr>
        <sz val="10"/>
        <color rgb="FF444444"/>
        <rFont val="Microsoft JhengHei"/>
        <family val="0"/>
        <charset val="1"/>
      </rPr>
      <t xml:space="preserve">online</t>
    </r>
    <r>
      <rPr>
        <sz val="10"/>
        <color rgb="FF444444"/>
        <rFont val="Noto Sans CJK SC"/>
        <family val="2"/>
      </rPr>
      <t xml:space="preserve">代價，舊</t>
    </r>
    <r>
      <rPr>
        <sz val="10"/>
        <color rgb="FF444444"/>
        <rFont val="Microsoft JhengHei"/>
        <family val="0"/>
        <charset val="1"/>
      </rPr>
      <t xml:space="preserve">epoch CPU</t>
    </r>
    <r>
      <rPr>
        <sz val="10"/>
        <color rgb="FF444444"/>
        <rFont val="Noto Sans CJK SC"/>
        <family val="2"/>
      </rPr>
      <t xml:space="preserve">型號待補，不能與論文作硬體一致的速度宣稱。</t>
    </r>
  </si>
  <si>
    <t xml:space="preserve">原論文明列值與本次實際改動</t>
  </si>
  <si>
    <t xml:space="preserve">參數／方法（單位）</t>
  </si>
  <si>
    <t xml:space="preserve">原論文</t>
  </si>
  <si>
    <t xml:space="preserve">本地修改前</t>
  </si>
  <si>
    <t xml:space="preserve">本次修改後</t>
  </si>
  <si>
    <t xml:space="preserve">目的與代價</t>
  </si>
  <si>
    <t xml:space="preserve">來源</t>
  </si>
  <si>
    <r>
      <rPr>
        <sz val="13"/>
        <rFont val="Microsoft JhengHei"/>
        <family val="0"/>
        <charset val="1"/>
      </rPr>
      <t xml:space="preserve">Thscore</t>
    </r>
    <r>
      <rPr>
        <sz val="13"/>
        <rFont val="Noto Sans CJK SC"/>
        <family val="2"/>
      </rPr>
      <t xml:space="preserve">（分數）</t>
    </r>
  </si>
  <si>
    <t xml:space="preserve">40</t>
  </si>
  <si>
    <t xml:space="preserve">判斷高分／三角回退，維持固定</t>
  </si>
  <si>
    <r>
      <rPr>
        <sz val="13"/>
        <rFont val="Microsoft JhengHei"/>
        <family val="0"/>
        <charset val="1"/>
      </rPr>
      <t xml:space="preserve">P p4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CFG</t>
    </r>
  </si>
  <si>
    <r>
      <rPr>
        <sz val="13"/>
        <rFont val="Microsoft JhengHei"/>
        <family val="0"/>
        <charset val="1"/>
      </rPr>
      <t xml:space="preserve">w</t>
    </r>
    <r>
      <rPr>
        <sz val="13"/>
        <rFont val="Noto Sans CJK SC"/>
        <family val="2"/>
      </rPr>
      <t xml:space="preserve">（無單位）</t>
    </r>
  </si>
  <si>
    <t xml:space="preserve">10</t>
  </si>
  <si>
    <r>
      <rPr>
        <sz val="13"/>
        <rFont val="Microsoft JhengHei"/>
        <family val="0"/>
        <charset val="1"/>
      </rPr>
      <t xml:space="preserve">FMscore</t>
    </r>
    <r>
      <rPr>
        <sz val="13"/>
        <rFont val="Noto Sans CJK SC"/>
        <family val="2"/>
      </rPr>
      <t xml:space="preserve">權重，維持固定</t>
    </r>
  </si>
  <si>
    <r>
      <rPr>
        <sz val="13"/>
        <rFont val="Microsoft JhengHei"/>
        <family val="0"/>
        <charset val="1"/>
      </rPr>
      <t xml:space="preserve">P Eq7 p4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CFG</t>
    </r>
  </si>
  <si>
    <r>
      <rPr>
        <sz val="13"/>
        <rFont val="Microsoft JhengHei"/>
        <family val="0"/>
        <charset val="1"/>
      </rPr>
      <t xml:space="preserve">N</t>
    </r>
    <r>
      <rPr>
        <sz val="13"/>
        <rFont val="Noto Sans CJK SC"/>
        <family val="2"/>
      </rPr>
      <t xml:space="preserve">（長度參數）</t>
    </r>
  </si>
  <si>
    <t xml:space="preserve">183</t>
  </si>
  <si>
    <r>
      <rPr>
        <sz val="13"/>
        <rFont val="Microsoft JhengHei"/>
        <family val="0"/>
        <charset val="1"/>
      </rPr>
      <t xml:space="preserve">CN</t>
    </r>
    <r>
      <rPr>
        <sz val="13"/>
        <rFont val="Noto Sans CJK SC"/>
        <family val="2"/>
      </rPr>
      <t xml:space="preserve">鄰域編碼解析度，維持固定</t>
    </r>
  </si>
  <si>
    <r>
      <rPr>
        <sz val="13"/>
        <rFont val="Noto Sans CJK SC"/>
        <family val="2"/>
      </rPr>
      <t xml:space="preserve">提取體素／法向半徑 </t>
    </r>
    <r>
      <rPr>
        <sz val="13"/>
        <rFont val="Microsoft JhengHei"/>
        <family val="0"/>
        <charset val="1"/>
      </rPr>
      <t xml:space="preserve">m</t>
    </r>
  </si>
  <si>
    <r>
      <rPr>
        <sz val="13"/>
        <rFont val="Microsoft JhengHei"/>
        <family val="0"/>
        <charset val="1"/>
      </rPr>
      <t xml:space="preserve">0.01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0.10</t>
    </r>
  </si>
  <si>
    <r>
      <rPr>
        <sz val="13"/>
        <rFont val="Noto Sans CJK SC"/>
        <family val="2"/>
      </rPr>
      <t xml:space="preserve">樹幹提取不隨</t>
    </r>
    <r>
      <rPr>
        <sz val="13"/>
        <rFont val="Microsoft JhengHei"/>
        <family val="0"/>
        <charset val="1"/>
      </rPr>
      <t xml:space="preserve">dataset</t>
    </r>
    <r>
      <rPr>
        <sz val="13"/>
        <rFont val="Noto Sans CJK SC"/>
        <family val="2"/>
      </rPr>
      <t xml:space="preserve">改</t>
    </r>
  </si>
  <si>
    <r>
      <rPr>
        <sz val="13"/>
        <rFont val="Microsoft JhengHei"/>
        <family val="0"/>
        <charset val="1"/>
      </rPr>
      <t xml:space="preserve">P p2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BASECFG</t>
    </r>
  </si>
  <si>
    <r>
      <rPr>
        <sz val="13"/>
        <rFont val="Noto Sans CJK SC"/>
        <family val="2"/>
      </rPr>
      <t xml:space="preserve">提取</t>
    </r>
    <r>
      <rPr>
        <sz val="13"/>
        <rFont val="Microsoft JhengHei"/>
        <family val="0"/>
        <charset val="1"/>
      </rPr>
      <t xml:space="preserve">verticality</t>
    </r>
  </si>
  <si>
    <t xml:space="preserve">&gt;0.9</t>
  </si>
  <si>
    <r>
      <rPr>
        <sz val="13"/>
        <rFont val="Noto Sans CJK SC"/>
        <family val="2"/>
      </rPr>
      <t xml:space="preserve">全部場景共用；與</t>
    </r>
    <r>
      <rPr>
        <sz val="13"/>
        <rFont val="Microsoft JhengHei"/>
        <family val="0"/>
        <charset val="1"/>
      </rPr>
      <t xml:space="preserve">v3</t>
    </r>
    <r>
      <rPr>
        <sz val="13"/>
        <rFont val="Noto Sans CJK SC"/>
        <family val="2"/>
      </rPr>
      <t xml:space="preserve">驗證門檻不同</t>
    </r>
  </si>
  <si>
    <r>
      <rPr>
        <sz val="13"/>
        <rFont val="Microsoft JhengHei"/>
        <family val="0"/>
        <charset val="1"/>
      </rPr>
      <t xml:space="preserve">P Eq4 p2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CFG</t>
    </r>
  </si>
  <si>
    <r>
      <rPr>
        <sz val="13"/>
        <rFont val="Microsoft JhengHei"/>
        <family val="0"/>
        <charset val="1"/>
      </rPr>
      <t xml:space="preserve">refinement</t>
    </r>
    <r>
      <rPr>
        <sz val="13"/>
        <rFont val="Noto Sans CJK SC"/>
        <family val="2"/>
      </rPr>
      <t xml:space="preserve">架構</t>
    </r>
  </si>
  <si>
    <r>
      <rPr>
        <sz val="13"/>
        <rFont val="Noto Sans CJK SC"/>
        <family val="2"/>
      </rPr>
      <t xml:space="preserve">文中粗配準；未列本組</t>
    </r>
    <r>
      <rPr>
        <sz val="13"/>
        <rFont val="Microsoft JhengHei"/>
        <family val="0"/>
        <charset val="1"/>
      </rPr>
      <t xml:space="preserve">ICP</t>
    </r>
    <r>
      <rPr>
        <sz val="13"/>
        <rFont val="Noto Sans CJK SC"/>
        <family val="2"/>
      </rPr>
      <t xml:space="preserve">參數</t>
    </r>
  </si>
  <si>
    <r>
      <rPr>
        <sz val="13"/>
        <rFont val="Noto Sans CJK SC"/>
        <family val="2"/>
      </rPr>
      <t xml:space="preserve">無</t>
    </r>
    <r>
      <rPr>
        <sz val="13"/>
        <rFont val="Microsoft JhengHei"/>
        <family val="0"/>
        <charset val="1"/>
      </rPr>
      <t xml:space="preserve">surface refinement</t>
    </r>
  </si>
  <si>
    <r>
      <rPr>
        <sz val="13"/>
        <rFont val="Noto Sans CJK SC"/>
        <family val="2"/>
      </rPr>
      <t xml:space="preserve">新增完整</t>
    </r>
    <r>
      <rPr>
        <sz val="13"/>
        <rFont val="Microsoft JhengHei"/>
        <family val="0"/>
        <charset val="1"/>
      </rPr>
      <t xml:space="preserve">6DOF</t>
    </r>
    <r>
      <rPr>
        <sz val="13"/>
        <rFont val="Noto Sans CJK SC"/>
        <family val="2"/>
      </rPr>
      <t xml:space="preserve">點對平面</t>
    </r>
  </si>
  <si>
    <t xml:space="preserve">修正剩餘旋轉／平移誤差</t>
  </si>
  <si>
    <t xml:space="preserve">CODE_REF</t>
  </si>
  <si>
    <t xml:space="preserve">refinement voxel m</t>
  </si>
  <si>
    <t xml:space="preserve">未報告本組設定</t>
  </si>
  <si>
    <t xml:space="preserve">無</t>
  </si>
  <si>
    <t xml:space="preserve">0.50→0.20→0.10</t>
  </si>
  <si>
    <r>
      <rPr>
        <sz val="13"/>
        <rFont val="Noto Sans CJK SC"/>
        <family val="2"/>
      </rPr>
      <t xml:space="preserve">新增階段，原提取</t>
    </r>
    <r>
      <rPr>
        <sz val="13"/>
        <rFont val="Microsoft JhengHei"/>
        <family val="0"/>
        <charset val="1"/>
      </rPr>
      <t xml:space="preserve">1cm</t>
    </r>
    <r>
      <rPr>
        <sz val="13"/>
        <rFont val="Noto Sans CJK SC"/>
        <family val="2"/>
      </rPr>
      <t xml:space="preserve">保持固定</t>
    </r>
  </si>
  <si>
    <t xml:space="preserve">CFG</t>
  </si>
  <si>
    <t xml:space="preserve">每尺度最大迭代 次</t>
  </si>
  <si>
    <t xml:space="preserve">0</t>
  </si>
  <si>
    <t xml:space="preserve">30→25→20</t>
  </si>
  <si>
    <t xml:space="preserve">由粗至細，增加逐配對成本</t>
  </si>
  <si>
    <t xml:space="preserve">法向／鄰域</t>
  </si>
  <si>
    <t xml:space="preserve">無新階段</t>
  </si>
  <si>
    <r>
      <rPr>
        <sz val="13"/>
        <rFont val="Noto Sans CJK SC"/>
        <family val="2"/>
      </rPr>
      <t xml:space="preserve">半徑</t>
    </r>
    <r>
      <rPr>
        <sz val="13"/>
        <rFont val="Microsoft JhengHei"/>
        <family val="0"/>
        <charset val="1"/>
      </rPr>
      <t xml:space="preserve">2.5h</t>
    </r>
    <r>
      <rPr>
        <sz val="13"/>
        <rFont val="Noto Sans CJK SC"/>
        <family val="2"/>
      </rPr>
      <t xml:space="preserve">；至少</t>
    </r>
    <r>
      <rPr>
        <sz val="13"/>
        <rFont val="Microsoft JhengHei"/>
        <family val="0"/>
        <charset val="1"/>
      </rPr>
      <t xml:space="preserve">6</t>
    </r>
    <r>
      <rPr>
        <sz val="13"/>
        <rFont val="Noto Sans CJK SC"/>
        <family val="2"/>
      </rPr>
      <t xml:space="preserve">點；曲率≤</t>
    </r>
    <r>
      <rPr>
        <sz val="13"/>
        <rFont val="Microsoft JhengHei"/>
        <family val="0"/>
        <charset val="1"/>
      </rPr>
      <t xml:space="preserve">0.1</t>
    </r>
  </si>
  <si>
    <t xml:space="preserve">抑制不穩定表面法向</t>
  </si>
  <si>
    <r>
      <rPr>
        <sz val="13"/>
        <rFont val="Noto Sans CJK SC"/>
        <family val="2"/>
      </rPr>
      <t xml:space="preserve">幾何對應與</t>
    </r>
    <r>
      <rPr>
        <sz val="13"/>
        <rFont val="Microsoft JhengHei"/>
        <family val="0"/>
        <charset val="1"/>
      </rPr>
      <t xml:space="preserve">robust</t>
    </r>
  </si>
  <si>
    <r>
      <rPr>
        <sz val="13"/>
        <rFont val="Noto Sans CJK SC"/>
        <family val="2"/>
      </rPr>
      <t xml:space="preserve">距離</t>
    </r>
    <r>
      <rPr>
        <sz val="13"/>
        <rFont val="Microsoft JhengHei"/>
        <family val="0"/>
        <charset val="1"/>
      </rPr>
      <t xml:space="preserve">&lt;3h</t>
    </r>
    <r>
      <rPr>
        <sz val="13"/>
        <rFont val="Noto Sans CJK SC"/>
        <family val="2"/>
      </rPr>
      <t xml:space="preserve">、</t>
    </r>
    <r>
      <rPr>
        <sz val="13"/>
        <rFont val="Microsoft JhengHei"/>
        <family val="0"/>
        <charset val="1"/>
      </rPr>
      <t xml:space="preserve">|normal dot|≥0.7</t>
    </r>
    <r>
      <rPr>
        <sz val="13"/>
        <rFont val="Noto Sans CJK SC"/>
        <family val="2"/>
      </rPr>
      <t xml:space="preserve">、保留</t>
    </r>
    <r>
      <rPr>
        <sz val="13"/>
        <rFont val="Microsoft JhengHei"/>
        <family val="0"/>
        <charset val="1"/>
      </rPr>
      <t xml:space="preserve">70%</t>
    </r>
  </si>
  <si>
    <r>
      <rPr>
        <sz val="13"/>
        <rFont val="Noto Sans CJK SC"/>
        <family val="2"/>
      </rPr>
      <t xml:space="preserve">一對一</t>
    </r>
    <r>
      <rPr>
        <sz val="13"/>
        <rFont val="Microsoft JhengHei"/>
        <family val="0"/>
        <charset val="1"/>
      </rPr>
      <t xml:space="preserve">target</t>
    </r>
    <r>
      <rPr>
        <sz val="13"/>
        <rFont val="Noto Sans CJK SC"/>
        <family val="2"/>
      </rPr>
      <t xml:space="preserve">＋</t>
    </r>
    <r>
      <rPr>
        <sz val="13"/>
        <rFont val="Microsoft JhengHei"/>
        <family val="0"/>
        <charset val="1"/>
      </rPr>
      <t xml:space="preserve">Huber</t>
    </r>
    <r>
      <rPr>
        <sz val="13"/>
        <rFont val="Noto Sans CJK SC"/>
        <family val="2"/>
      </rPr>
      <t xml:space="preserve">，整組加入</t>
    </r>
  </si>
  <si>
    <t xml:space="preserve">點數預算／退化保護</t>
  </si>
  <si>
    <r>
      <rPr>
        <sz val="13"/>
        <rFont val="Noto Sans CJK SC"/>
        <family val="2"/>
      </rPr>
      <t xml:space="preserve">來源最多</t>
    </r>
    <r>
      <rPr>
        <sz val="13"/>
        <rFont val="Microsoft JhengHei"/>
        <family val="0"/>
        <charset val="1"/>
      </rPr>
      <t xml:space="preserve">20000</t>
    </r>
    <r>
      <rPr>
        <sz val="13"/>
        <rFont val="Noto Sans CJK SC"/>
        <family val="2"/>
      </rPr>
      <t xml:space="preserve">；評分雙向各</t>
    </r>
    <r>
      <rPr>
        <sz val="13"/>
        <rFont val="Microsoft JhengHei"/>
        <family val="0"/>
        <charset val="1"/>
      </rPr>
      <t xml:space="preserve">8000</t>
    </r>
  </si>
  <si>
    <r>
      <rPr>
        <sz val="13"/>
        <rFont val="Microsoft JhengHei"/>
        <family val="0"/>
        <charset val="1"/>
      </rPr>
      <t xml:space="preserve">Hessian ratio1e−8</t>
    </r>
    <r>
      <rPr>
        <sz val="13"/>
        <rFont val="Noto Sans CJK SC"/>
        <family val="2"/>
      </rPr>
      <t xml:space="preserve">；惡化保留初值</t>
    </r>
  </si>
  <si>
    <r>
      <rPr>
        <sz val="13"/>
        <rFont val="Microsoft JhengHei"/>
        <family val="0"/>
        <charset val="1"/>
      </rPr>
      <t xml:space="preserve">CFG</t>
    </r>
    <r>
      <rPr>
        <sz val="13"/>
        <rFont val="Noto Sans CJK SC"/>
        <family val="2"/>
      </rPr>
      <t xml:space="preserve">／</t>
    </r>
    <r>
      <rPr>
        <sz val="13"/>
        <rFont val="Microsoft JhengHei"/>
        <family val="0"/>
        <charset val="1"/>
      </rPr>
      <t xml:space="preserve">CODE_REF</t>
    </r>
  </si>
  <si>
    <t xml:space="preserve">公平控制</t>
  </si>
  <si>
    <t xml:space="preserve">作者程式待補</t>
  </si>
  <si>
    <r>
      <rPr>
        <sz val="13"/>
        <rFont val="Microsoft JhengHei"/>
        <family val="0"/>
        <charset val="1"/>
      </rPr>
      <t xml:space="preserve">5cm</t>
    </r>
    <r>
      <rPr>
        <sz val="13"/>
        <rFont val="Noto Sans CJK SC"/>
        <family val="2"/>
      </rPr>
      <t xml:space="preserve">參考／</t>
    </r>
    <r>
      <rPr>
        <sz val="13"/>
        <rFont val="Microsoft JhengHei"/>
        <family val="0"/>
        <charset val="1"/>
      </rPr>
      <t xml:space="preserve">ETH</t>
    </r>
    <r>
      <rPr>
        <sz val="13"/>
        <rFont val="Noto Sans CJK SC"/>
        <family val="2"/>
      </rPr>
      <t xml:space="preserve">固定粗配準</t>
    </r>
  </si>
  <si>
    <r>
      <rPr>
        <sz val="13"/>
        <rFont val="Noto Sans CJK SC"/>
        <family val="2"/>
      </rPr>
      <t xml:space="preserve">兩者都另有相同</t>
    </r>
    <r>
      <rPr>
        <sz val="13"/>
        <rFont val="Microsoft JhengHei"/>
        <family val="0"/>
        <charset val="1"/>
      </rPr>
      <t xml:space="preserve">refinement</t>
    </r>
  </si>
  <si>
    <r>
      <rPr>
        <sz val="13"/>
        <rFont val="Noto Sans CJK SC"/>
        <family val="2"/>
      </rPr>
      <t xml:space="preserve">不能把</t>
    </r>
    <r>
      <rPr>
        <sz val="13"/>
        <rFont val="Microsoft JhengHei"/>
        <family val="0"/>
        <charset val="1"/>
      </rPr>
      <t xml:space="preserve">ICP</t>
    </r>
    <r>
      <rPr>
        <sz val="13"/>
        <rFont val="Noto Sans CJK SC"/>
        <family val="2"/>
      </rPr>
      <t xml:space="preserve">只給候選版</t>
    </r>
  </si>
  <si>
    <t xml:space="preserve">U</t>
  </si>
  <si>
    <r>
      <rPr>
        <sz val="10"/>
        <color rgb="FF444444"/>
        <rFont val="Noto Sans CJK SC"/>
        <family val="2"/>
      </rPr>
      <t xml:space="preserve">原論文未交代的值標待補，不能把本地預設數字當作者設定。各版本共用本地額外圓柱檢查、</t>
    </r>
    <r>
      <rPr>
        <sz val="10"/>
        <color rgb="FF444444"/>
        <rFont val="Microsoft JhengHei"/>
        <family val="0"/>
        <charset val="1"/>
      </rPr>
      <t xml:space="preserve">20cm</t>
    </r>
    <r>
      <rPr>
        <sz val="10"/>
        <color rgb="FF444444"/>
        <rFont val="Noto Sans CJK SC"/>
        <family val="2"/>
      </rPr>
      <t xml:space="preserve">分群與</t>
    </r>
    <r>
      <rPr>
        <sz val="10"/>
        <color rgb="FF444444"/>
        <rFont val="Microsoft JhengHei"/>
        <family val="0"/>
        <charset val="1"/>
      </rPr>
      <t xml:space="preserve">scanner origin=(0,0,0)</t>
    </r>
    <r>
      <rPr>
        <sz val="10"/>
        <color rgb="FF444444"/>
        <rFont val="Noto Sans CJK SC"/>
        <family val="2"/>
      </rPr>
      <t xml:space="preserve">假設；細節</t>
    </r>
    <r>
      <rPr>
        <sz val="10"/>
        <color rgb="FF444444"/>
        <rFont val="Microsoft JhengHei"/>
        <family val="0"/>
        <charset val="1"/>
      </rPr>
      <t xml:space="preserve">BASECFG</t>
    </r>
    <r>
      <rPr>
        <sz val="10"/>
        <color rgb="FF444444"/>
        <rFont val="Noto Sans CJK SC"/>
        <family val="2"/>
      </rPr>
      <t xml:space="preserve">。</t>
    </r>
    <r>
      <rPr>
        <sz val="10"/>
        <color rgb="FF444444"/>
        <rFont val="Microsoft JhengHei"/>
        <family val="0"/>
        <charset val="1"/>
      </rPr>
      <t xml:space="preserve">Thscore/w/N</t>
    </r>
    <r>
      <rPr>
        <sz val="10"/>
        <color rgb="FF444444"/>
        <rFont val="Noto Sans CJK SC"/>
        <family val="2"/>
      </rPr>
      <t xml:space="preserve">與</t>
    </r>
    <r>
      <rPr>
        <sz val="10"/>
        <color rgb="FF444444"/>
        <rFont val="Microsoft JhengHei"/>
        <family val="0"/>
        <charset val="1"/>
      </rPr>
      <t xml:space="preserve">step</t>
    </r>
    <r>
      <rPr>
        <sz val="10"/>
        <color rgb="FF444444"/>
        <rFont val="Noto Sans CJK SC"/>
        <family val="2"/>
      </rPr>
      <t xml:space="preserve">抽樣維持固定。</t>
    </r>
  </si>
  <si>
    <r>
      <rPr>
        <b val="true"/>
        <sz val="14"/>
        <rFont val="Noto Sans CJK SC"/>
        <family val="2"/>
      </rPr>
      <t xml:space="preserve">相同初始化：</t>
    </r>
    <r>
      <rPr>
        <b val="true"/>
        <sz val="14"/>
        <rFont val="Microsoft JhengHei"/>
        <family val="0"/>
        <charset val="1"/>
      </rPr>
      <t xml:space="preserve">refinement</t>
    </r>
    <r>
      <rPr>
        <b val="true"/>
        <sz val="14"/>
        <rFont val="Noto Sans CJK SC"/>
        <family val="2"/>
      </rPr>
      <t xml:space="preserve">前後的共同成功案例</t>
    </r>
  </si>
  <si>
    <t xml:space="preserve">場景</t>
  </si>
  <si>
    <t xml:space="preserve">新增成功</t>
  </si>
  <si>
    <t xml:space="preserve">退步失敗</t>
  </si>
  <si>
    <r>
      <rPr>
        <b val="true"/>
        <sz val="13"/>
        <rFont val="Noto Sans CJK SC"/>
        <family val="2"/>
      </rPr>
      <t xml:space="preserve">共同成功</t>
    </r>
    <r>
      <rPr>
        <b val="true"/>
        <sz val="13"/>
        <rFont val="Microsoft JhengHei"/>
        <family val="0"/>
        <charset val="1"/>
      </rPr>
      <t xml:space="preserve">N</t>
    </r>
  </si>
  <si>
    <r>
      <rPr>
        <b val="true"/>
        <sz val="13"/>
        <rFont val="Noto Sans CJK SC"/>
        <family val="2"/>
      </rPr>
      <t xml:space="preserve">前</t>
    </r>
    <r>
      <rPr>
        <b val="true"/>
        <sz val="13"/>
        <rFont val="Microsoft JhengHei"/>
        <family val="0"/>
        <charset val="1"/>
      </rPr>
      <t xml:space="preserve">mean e_p cm</t>
    </r>
  </si>
  <si>
    <r>
      <rPr>
        <b val="true"/>
        <sz val="13"/>
        <rFont val="Noto Sans CJK SC"/>
        <family val="2"/>
      </rPr>
      <t xml:space="preserve">後</t>
    </r>
    <r>
      <rPr>
        <b val="true"/>
        <sz val="13"/>
        <rFont val="Microsoft JhengHei"/>
        <family val="0"/>
        <charset val="1"/>
      </rPr>
      <t xml:space="preserve">mean e_p cm</t>
    </r>
  </si>
  <si>
    <t xml:space="preserve">下降率</t>
  </si>
  <si>
    <t xml:space="preserve">控制</t>
  </si>
  <si>
    <t xml:space="preserve">同粗配準、同樹位</t>
  </si>
  <si>
    <r>
      <rPr>
        <sz val="10"/>
        <color rgb="FF444444"/>
        <rFont val="Microsoft JhengHei"/>
        <family val="0"/>
        <charset val="1"/>
      </rPr>
      <t xml:space="preserve">U raw</t>
    </r>
    <r>
      <rPr>
        <sz val="10"/>
        <color rgb="FF444444"/>
        <rFont val="Noto Sans CJK SC"/>
        <family val="2"/>
      </rPr>
      <t xml:space="preserve">；</t>
    </r>
    <r>
      <rPr>
        <sz val="10"/>
        <color rgb="FF444444"/>
        <rFont val="Microsoft JhengHei"/>
        <family val="0"/>
        <charset val="1"/>
      </rPr>
      <t xml:space="preserve">primary</t>
    </r>
    <r>
      <rPr>
        <sz val="10"/>
        <color rgb="FF444444"/>
        <rFont val="Noto Sans CJK SC"/>
        <family val="2"/>
      </rPr>
      <t xml:space="preserve">使用</t>
    </r>
    <r>
      <rPr>
        <sz val="10"/>
        <color rgb="FF444444"/>
        <rFont val="Microsoft JhengHei"/>
        <family val="0"/>
        <charset val="1"/>
      </rPr>
      <t xml:space="preserve">eth10_raw→eth10_refined</t>
    </r>
    <r>
      <rPr>
        <sz val="10"/>
        <color rgb="FF444444"/>
        <rFont val="Noto Sans CJK SC"/>
        <family val="2"/>
      </rPr>
      <t xml:space="preserve">。不是把兩個成功集合的平均直接相減。無法輸出變換的</t>
    </r>
    <r>
      <rPr>
        <sz val="10"/>
        <color rgb="FF444444"/>
        <rFont val="Microsoft JhengHei"/>
        <family val="0"/>
        <charset val="1"/>
      </rPr>
      <t xml:space="preserve">case</t>
    </r>
    <r>
      <rPr>
        <sz val="10"/>
        <color rgb="FF444444"/>
        <rFont val="Noto Sans CJK SC"/>
        <family val="2"/>
      </rPr>
      <t xml:space="preserve">不能靠此局部微調自行產生初值。</t>
    </r>
  </si>
  <si>
    <r>
      <rPr>
        <b val="true"/>
        <sz val="14"/>
        <rFont val="Noto Sans CJK SC"/>
        <family val="2"/>
      </rPr>
      <t xml:space="preserve">公平控制：</t>
    </r>
    <r>
      <rPr>
        <b val="true"/>
        <sz val="14"/>
        <rFont val="Microsoft JhengHei"/>
        <family val="0"/>
        <charset val="1"/>
      </rPr>
      <t xml:space="preserve">5cm</t>
    </r>
    <r>
      <rPr>
        <b val="true"/>
        <sz val="14"/>
        <rFont val="Noto Sans CJK SC"/>
        <family val="2"/>
      </rPr>
      <t xml:space="preserve">參考也加完全相同</t>
    </r>
    <r>
      <rPr>
        <b val="true"/>
        <sz val="14"/>
        <rFont val="Microsoft JhengHei"/>
        <family val="0"/>
        <charset val="1"/>
      </rPr>
      <t xml:space="preserve">refinement</t>
    </r>
  </si>
  <si>
    <t xml:space="preserve">參考成功</t>
  </si>
  <si>
    <t xml:space="preserve">加微調成功</t>
  </si>
  <si>
    <t xml:space="preserve">試驗</t>
  </si>
  <si>
    <r>
      <rPr>
        <b val="true"/>
        <sz val="13"/>
        <rFont val="Noto Sans CJK SC"/>
        <family val="2"/>
      </rPr>
      <t xml:space="preserve">前有限</t>
    </r>
    <r>
      <rPr>
        <b val="true"/>
        <sz val="13"/>
        <rFont val="Microsoft JhengHei"/>
        <family val="0"/>
        <charset val="1"/>
      </rPr>
      <t xml:space="preserve">mean cm</t>
    </r>
  </si>
  <si>
    <r>
      <rPr>
        <b val="true"/>
        <sz val="13"/>
        <rFont val="Noto Sans CJK SC"/>
        <family val="2"/>
      </rPr>
      <t xml:space="preserve">後有限</t>
    </r>
    <r>
      <rPr>
        <b val="true"/>
        <sz val="13"/>
        <rFont val="Microsoft JhengHei"/>
        <family val="0"/>
        <charset val="1"/>
      </rPr>
      <t xml:space="preserve">mean cm</t>
    </r>
  </si>
  <si>
    <t xml:space="preserve">退步</t>
  </si>
  <si>
    <r>
      <rPr>
        <sz val="10"/>
        <color rgb="FF444444"/>
        <rFont val="Microsoft JhengHei"/>
        <family val="0"/>
        <charset val="1"/>
      </rPr>
      <t xml:space="preserve">U reference5_raw/reference5_refined</t>
    </r>
    <r>
      <rPr>
        <sz val="10"/>
        <color rgb="FF444444"/>
        <rFont val="Noto Sans CJK SC"/>
        <family val="2"/>
      </rPr>
      <t xml:space="preserve">；</t>
    </r>
    <r>
      <rPr>
        <sz val="10"/>
        <color rgb="FF444444"/>
        <rFont val="Microsoft JhengHei"/>
        <family val="0"/>
        <charset val="1"/>
      </rPr>
      <t xml:space="preserve">Plot4</t>
    </r>
    <r>
      <rPr>
        <sz val="10"/>
        <color rgb="FF444444"/>
        <rFont val="Noto Sans CJK SC"/>
        <family val="2"/>
      </rPr>
      <t xml:space="preserve">仍有缺變換及大錯配，</t>
    </r>
    <r>
      <rPr>
        <sz val="10"/>
        <color rgb="FF444444"/>
        <rFont val="Microsoft JhengHei"/>
        <family val="0"/>
        <charset val="1"/>
      </rPr>
      <t xml:space="preserve">mean</t>
    </r>
    <r>
      <rPr>
        <sz val="10"/>
        <color rgb="FF444444"/>
        <rFont val="Noto Sans CJK SC"/>
        <family val="2"/>
      </rPr>
      <t xml:space="preserve">有限集合必須連同成功數閱讀。新增</t>
    </r>
    <r>
      <rPr>
        <sz val="10"/>
        <color rgb="FF444444"/>
        <rFont val="Microsoft JhengHei"/>
        <family val="0"/>
        <charset val="1"/>
      </rPr>
      <t xml:space="preserve">refinement</t>
    </r>
    <r>
      <rPr>
        <sz val="10"/>
        <color rgb="FF444444"/>
        <rFont val="Noto Sans CJK SC"/>
        <family val="2"/>
      </rPr>
      <t xml:space="preserve">是一組設定，未逐一隔離三尺度、</t>
    </r>
    <r>
      <rPr>
        <sz val="10"/>
        <color rgb="FF444444"/>
        <rFont val="Microsoft JhengHei"/>
        <family val="0"/>
        <charset val="1"/>
      </rPr>
      <t xml:space="preserve">Huber</t>
    </r>
    <r>
      <rPr>
        <sz val="10"/>
        <color rgb="FF444444"/>
        <rFont val="Noto Sans CJK SC"/>
        <family val="2"/>
      </rPr>
      <t xml:space="preserve">、</t>
    </r>
    <r>
      <rPr>
        <sz val="10"/>
        <color rgb="FF444444"/>
        <rFont val="Microsoft JhengHei"/>
        <family val="0"/>
        <charset val="1"/>
      </rPr>
      <t xml:space="preserve">trim</t>
    </r>
    <r>
      <rPr>
        <sz val="10"/>
        <color rgb="FF444444"/>
        <rFont val="Noto Sans CJK SC"/>
        <family val="2"/>
      </rPr>
      <t xml:space="preserve">的效果。</t>
    </r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</si>
</sst>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%"/>
    <numFmt numFmtId="166" formatCode="&quot;100/100 (&quot;0.0%\)"/>
    <numFmt numFmtId="167" formatCode="0.0&quot; pp&quot;"/>
    <numFmt numFmtId="168" formatCode="&quot;33/100 (&quot;0.0%\)"/>
    <numFmt numFmtId="169" formatCode="&quot;34/100 (&quot;0.0%\)"/>
    <numFmt numFmtId="170" formatCode="&quot;76/100 (&quot;0.0%\)"/>
    <numFmt numFmtId="171" formatCode="&quot;95/100 (&quot;0.0%\)"/>
    <numFmt numFmtId="172" formatCode="&quot;96/100 (&quot;0.0%\)"/>
    <numFmt numFmtId="173" formatCode="&quot;114/150 (&quot;0.0%\)"/>
    <numFmt numFmtId="174" formatCode="&quot;150/150 (&quot;0.0%\)"/>
    <numFmt numFmtId="175" formatCode="0.000"/>
    <numFmt numFmtId="176" formatCode="0%"/>
    <numFmt numFmtId="177" formatCode="0.00"/>
    <numFmt numFmtId="178" formatCode="0.0"/>
    <numFmt numFmtId="179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Noto Sans CJK SC"/>
      <family val="2"/>
    </font>
    <font>
      <b val="true"/>
      <sz val="18"/>
      <name val="Microsoft JhengHei"/>
      <family val="0"/>
      <charset val="1"/>
    </font>
    <font>
      <sz val="10"/>
      <color rgb="FF444444"/>
      <name val="Noto Sans CJK SC"/>
      <family val="2"/>
    </font>
    <font>
      <sz val="10"/>
      <color rgb="FF444444"/>
      <name val="Microsoft JhengHei"/>
      <family val="0"/>
      <charset val="1"/>
    </font>
    <font>
      <b val="true"/>
      <sz val="14"/>
      <name val="Noto Sans CJK SC"/>
      <family val="2"/>
    </font>
    <font>
      <b val="true"/>
      <sz val="14"/>
      <name val="Microsoft JhengHei"/>
      <family val="0"/>
      <charset val="1"/>
    </font>
    <font>
      <b val="true"/>
      <sz val="13"/>
      <name val="Microsoft JhengHei"/>
      <family val="0"/>
      <charset val="1"/>
    </font>
    <font>
      <b val="true"/>
      <sz val="13"/>
      <name val="Noto Sans CJK SC"/>
      <family val="2"/>
    </font>
    <font>
      <sz val="13"/>
      <name val="Microsoft JhengHei"/>
      <family val="0"/>
      <charset val="1"/>
    </font>
    <font>
      <sz val="13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8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5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B81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固定粗配準：微調前後成功率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結果比較!E5</c:f>
              <c:strCache>
                <c:ptCount val="1"/>
                <c:pt idx="0">
                  <c:v>修改前</c:v>
                </c:pt>
              </c:strCache>
            </c:strRef>
          </c:tx>
          <c:spPr>
            <a:solidFill>
              <a:srgbClr val="A6A6A6"/>
            </a:solidFill>
            <a:ln w="1260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結果比較!$A$6:$A$10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結果比較!$E$6:$E$10</c:f>
              <c:numCache>
                <c:formatCode>"100/100 ("0.0%\)</c:formatCode>
                <c:ptCount val="5"/>
                <c:pt idx="0">
                  <c:v>1</c:v>
                </c:pt>
                <c:pt idx="1">
                  <c:v>0.34</c:v>
                </c:pt>
                <c:pt idx="2">
                  <c:v>1</c:v>
                </c:pt>
                <c:pt idx="3">
                  <c:v>0.95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結果比較!F5</c:f>
              <c:strCache>
                <c:ptCount val="1"/>
                <c:pt idx="0">
                  <c:v>修改後</c:v>
                </c:pt>
              </c:strCache>
            </c:strRef>
          </c:tx>
          <c:spPr>
            <a:solidFill>
              <a:srgbClr val="305B81"/>
            </a:solidFill>
            <a:ln w="1260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結果比較!$A$6:$A$10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結果比較!$F$6:$F$10</c:f>
              <c:numCache>
                <c:formatCode>"100/100 ("0.0%\)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0.96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22091804"/>
        <c:axId val="57821746"/>
      </c:barChart>
      <c:catAx>
        <c:axId val="220918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場景／版本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821746"/>
        <c:crosses val="autoZero"/>
        <c:auto val="1"/>
        <c:lblAlgn val="ctr"/>
        <c:lblOffset val="100"/>
        <c:noMultiLvlLbl val="0"/>
      </c:catAx>
      <c:valAx>
        <c:axId val="5782174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成功率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091804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共同成功案例的mean e_p（同一集合）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證據與圖表!E5</c:f>
              <c:strCache>
                <c:ptCount val="1"/>
                <c:pt idx="0">
                  <c:v>前mean e_p cm</c:v>
                </c:pt>
              </c:strCache>
            </c:strRef>
          </c:tx>
          <c:spPr>
            <a:solidFill>
              <a:srgbClr val="A6A6A6"/>
            </a:solidFill>
            <a:ln w="1260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證據與圖表!$A$6:$A$10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證據與圖表!$E$6:$E$10</c:f>
              <c:numCache>
                <c:formatCode>0.000</c:formatCode>
                <c:ptCount val="5"/>
                <c:pt idx="0">
                  <c:v>17.4235311061114</c:v>
                </c:pt>
                <c:pt idx="1">
                  <c:v>27.7353242541874</c:v>
                </c:pt>
                <c:pt idx="2">
                  <c:v>4.90175613938037</c:v>
                </c:pt>
                <c:pt idx="3">
                  <c:v>9.20239130048303</c:v>
                </c:pt>
                <c:pt idx="4">
                  <c:v>8.18951523949</c:v>
                </c:pt>
              </c:numCache>
            </c:numRef>
          </c:val>
        </c:ser>
        <c:ser>
          <c:idx val="1"/>
          <c:order val="1"/>
          <c:tx>
            <c:strRef>
              <c:f>證據與圖表!F5</c:f>
              <c:strCache>
                <c:ptCount val="1"/>
                <c:pt idx="0">
                  <c:v>後mean e_p cm</c:v>
                </c:pt>
              </c:strCache>
            </c:strRef>
          </c:tx>
          <c:spPr>
            <a:solidFill>
              <a:srgbClr val="305B81"/>
            </a:solidFill>
            <a:ln w="1260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證據與圖表!$A$6:$A$10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證據與圖表!$F$6:$F$10</c:f>
              <c:numCache>
                <c:formatCode>0.000</c:formatCode>
                <c:ptCount val="5"/>
                <c:pt idx="0">
                  <c:v>2.88660050878924</c:v>
                </c:pt>
                <c:pt idx="1">
                  <c:v>1.04927480073943</c:v>
                </c:pt>
                <c:pt idx="2">
                  <c:v>1.10565935896849</c:v>
                </c:pt>
                <c:pt idx="3">
                  <c:v>3.18783191238276</c:v>
                </c:pt>
                <c:pt idx="4">
                  <c:v>0.603813517091087</c:v>
                </c:pt>
              </c:numCache>
            </c:numRef>
          </c:val>
        </c:ser>
        <c:gapWidth val="150"/>
        <c:overlap val="0"/>
        <c:axId val="28039740"/>
        <c:axId val="22948254"/>
      </c:barChart>
      <c:catAx>
        <c:axId val="280397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場景／版本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948254"/>
        <c:crosses val="autoZero"/>
        <c:auto val="1"/>
        <c:lblAlgn val="ctr"/>
        <c:lblOffset val="100"/>
        <c:noMultiLvlLbl val="0"/>
      </c:catAx>
      <c:valAx>
        <c:axId val="2294825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e_p 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039740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逐配對online時間（含refinement）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結果比較!E35</c:f>
              <c:strCache>
                <c:ptCount val="1"/>
                <c:pt idx="0">
                  <c:v>前online ms</c:v>
                </c:pt>
              </c:strCache>
            </c:strRef>
          </c:tx>
          <c:spPr>
            <a:solidFill>
              <a:srgbClr val="A6A6A6"/>
            </a:solidFill>
            <a:ln w="1260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結果比較!$A$36:$A$40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結果比較!$E$36:$E$40</c:f>
              <c:numCache>
                <c:formatCode>0.000</c:formatCode>
                <c:ptCount val="5"/>
                <c:pt idx="0">
                  <c:v>9.36665074</c:v>
                </c:pt>
                <c:pt idx="1">
                  <c:v>17.11263271</c:v>
                </c:pt>
                <c:pt idx="2">
                  <c:v>4.2305661</c:v>
                </c:pt>
                <c:pt idx="3">
                  <c:v>6.28245099</c:v>
                </c:pt>
                <c:pt idx="4">
                  <c:v>3.35179806666667</c:v>
                </c:pt>
              </c:numCache>
            </c:numRef>
          </c:val>
        </c:ser>
        <c:ser>
          <c:idx val="1"/>
          <c:order val="1"/>
          <c:tx>
            <c:strRef>
              <c:f>結果比較!F35</c:f>
              <c:strCache>
                <c:ptCount val="1"/>
                <c:pt idx="0">
                  <c:v>後online ms</c:v>
                </c:pt>
              </c:strCache>
            </c:strRef>
          </c:tx>
          <c:spPr>
            <a:solidFill>
              <a:srgbClr val="305B81"/>
            </a:solidFill>
            <a:ln w="1260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結果比較!$A$36:$A$40</c:f>
              <c:strCache>
                <c:ptCount val="5"/>
                <c:pt idx="0">
                  <c:v>Tongji／Plot1</c:v>
                </c:pt>
                <c:pt idx="1">
                  <c:v>Tongji／Plot2</c:v>
                </c:pt>
                <c:pt idx="2">
                  <c:v>Tongji／Plot3</c:v>
                </c:pt>
                <c:pt idx="3">
                  <c:v>Tongji／Plot4</c:v>
                </c:pt>
                <c:pt idx="4">
                  <c:v>ETH-tree</c:v>
                </c:pt>
              </c:strCache>
            </c:strRef>
          </c:cat>
          <c:val>
            <c:numRef>
              <c:f>結果比較!$F$36:$F$40</c:f>
              <c:numCache>
                <c:formatCode>0.000</c:formatCode>
                <c:ptCount val="5"/>
                <c:pt idx="0">
                  <c:v>773.47009792</c:v>
                </c:pt>
                <c:pt idx="1">
                  <c:v>943.13297948</c:v>
                </c:pt>
                <c:pt idx="2">
                  <c:v>543.56117039</c:v>
                </c:pt>
                <c:pt idx="3">
                  <c:v>461.19277371</c:v>
                </c:pt>
                <c:pt idx="4">
                  <c:v>578.461063473333</c:v>
                </c:pt>
              </c:numCache>
            </c:numRef>
          </c:val>
        </c:ser>
        <c:gapWidth val="150"/>
        <c:overlap val="0"/>
        <c:axId val="59030704"/>
        <c:axId val="7057035"/>
      </c:barChart>
      <c:catAx>
        <c:axId val="590307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場景／版本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57035"/>
        <c:crosses val="autoZero"/>
        <c:auto val="1"/>
        <c:lblAlgn val="ctr"/>
        <c:lblOffset val="100"/>
        <c:noMultiLvlLbl val="0"/>
      </c:catAx>
      <c:valAx>
        <c:axId val="705703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030704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6</xdr:col>
      <xdr:colOff>63360</xdr:colOff>
      <xdr:row>44</xdr:row>
      <xdr:rowOff>149400</xdr:rowOff>
    </xdr:to>
    <xdr:graphicFrame>
      <xdr:nvGraphicFramePr>
        <xdr:cNvPr id="1" name="Chart 1"/>
        <xdr:cNvGraphicFramePr/>
      </xdr:nvGraphicFramePr>
      <xdr:xfrm>
        <a:off x="0" y="9772560"/>
        <a:ext cx="97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6</xdr:col>
      <xdr:colOff>63360</xdr:colOff>
      <xdr:row>68</xdr:row>
      <xdr:rowOff>149400</xdr:rowOff>
    </xdr:to>
    <xdr:graphicFrame>
      <xdr:nvGraphicFramePr>
        <xdr:cNvPr id="2" name="Chart 2"/>
        <xdr:cNvGraphicFramePr/>
      </xdr:nvGraphicFramePr>
      <xdr:xfrm>
        <a:off x="0" y="14344560"/>
        <a:ext cx="97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72</xdr:row>
      <xdr:rowOff>0</xdr:rowOff>
    </xdr:from>
    <xdr:to>
      <xdr:col>6</xdr:col>
      <xdr:colOff>63360</xdr:colOff>
      <xdr:row>92</xdr:row>
      <xdr:rowOff>149400</xdr:rowOff>
    </xdr:to>
    <xdr:graphicFrame>
      <xdr:nvGraphicFramePr>
        <xdr:cNvPr id="3" name="Chart 3"/>
        <xdr:cNvGraphicFramePr/>
      </xdr:nvGraphicFramePr>
      <xdr:xfrm>
        <a:off x="0" y="18916560"/>
        <a:ext cx="97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6" min="4" style="0" width="23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42" hidden="false" customHeight="true" outlineLevel="0" collapsed="false">
      <c r="A5" s="4" t="s">
        <v>3</v>
      </c>
      <c r="B5" s="5" t="s">
        <v>4</v>
      </c>
      <c r="C5" s="5" t="s">
        <v>5</v>
      </c>
      <c r="D5" s="4" t="s">
        <v>6</v>
      </c>
      <c r="E5" s="5" t="s">
        <v>7</v>
      </c>
      <c r="F5" s="5" t="s">
        <v>8</v>
      </c>
      <c r="G5" s="4" t="s">
        <v>9</v>
      </c>
      <c r="H5" s="4" t="s">
        <v>10</v>
      </c>
    </row>
    <row r="6" customFormat="false" ht="37.5" hidden="false" customHeight="true" outlineLevel="0" collapsed="false">
      <c r="A6" s="6" t="s">
        <v>11</v>
      </c>
      <c r="B6" s="6" t="s">
        <v>12</v>
      </c>
      <c r="C6" s="7" t="n">
        <v>1</v>
      </c>
      <c r="D6" s="8" t="n">
        <f aca="false">IF(100&gt;0,100/100,"待補")</f>
        <v>1</v>
      </c>
      <c r="E6" s="8" t="n">
        <f aca="false">IF(100&gt;0,100/100,"待補")</f>
        <v>1</v>
      </c>
      <c r="F6" s="8" t="n">
        <f aca="false">IF(100&gt;0,100/100,"待補")</f>
        <v>1</v>
      </c>
      <c r="G6" s="9" t="n">
        <f aca="false">IF(AND(ISNUMBER(C6),ISNUMBER(F6)),(F6-C6)*100,"待補")</f>
        <v>0</v>
      </c>
      <c r="H6" s="9" t="n">
        <f aca="false">IF(AND(ISNUMBER(E6),ISNUMBER(F6)),(F6-E6)*100,"待補")</f>
        <v>0</v>
      </c>
    </row>
    <row r="7" customFormat="false" ht="37.5" hidden="false" customHeight="true" outlineLevel="0" collapsed="false">
      <c r="A7" s="6" t="s">
        <v>13</v>
      </c>
      <c r="B7" s="6" t="s">
        <v>12</v>
      </c>
      <c r="C7" s="7" t="n">
        <v>1</v>
      </c>
      <c r="D7" s="10" t="n">
        <f aca="false">IF(100&gt;0,33/100,"待補")</f>
        <v>0.33</v>
      </c>
      <c r="E7" s="11" t="n">
        <f aca="false">IF(100&gt;0,34/100,"待補")</f>
        <v>0.34</v>
      </c>
      <c r="F7" s="8" t="n">
        <f aca="false">IF(100&gt;0,100/100,"待補")</f>
        <v>1</v>
      </c>
      <c r="G7" s="9" t="n">
        <f aca="false">IF(AND(ISNUMBER(C7),ISNUMBER(F7)),(F7-C7)*100,"待補")</f>
        <v>0</v>
      </c>
      <c r="H7" s="9" t="n">
        <f aca="false">IF(AND(ISNUMBER(E7),ISNUMBER(F7)),(F7-E7)*100,"待補")</f>
        <v>66</v>
      </c>
    </row>
    <row r="8" customFormat="false" ht="37.5" hidden="false" customHeight="true" outlineLevel="0" collapsed="false">
      <c r="A8" s="6" t="s">
        <v>14</v>
      </c>
      <c r="B8" s="6" t="s">
        <v>12</v>
      </c>
      <c r="C8" s="7" t="n">
        <v>1</v>
      </c>
      <c r="D8" s="8" t="n">
        <f aca="false">IF(100&gt;0,100/100,"待補")</f>
        <v>1</v>
      </c>
      <c r="E8" s="8" t="n">
        <f aca="false">IF(100&gt;0,100/100,"待補")</f>
        <v>1</v>
      </c>
      <c r="F8" s="8" t="n">
        <f aca="false">IF(100&gt;0,100/100,"待補")</f>
        <v>1</v>
      </c>
      <c r="G8" s="9" t="n">
        <f aca="false">IF(AND(ISNUMBER(C8),ISNUMBER(F8)),(F8-C8)*100,"待補")</f>
        <v>0</v>
      </c>
      <c r="H8" s="9" t="n">
        <f aca="false">IF(AND(ISNUMBER(E8),ISNUMBER(F8)),(F8-E8)*100,"待補")</f>
        <v>0</v>
      </c>
    </row>
    <row r="9" customFormat="false" ht="37.5" hidden="false" customHeight="true" outlineLevel="0" collapsed="false">
      <c r="A9" s="6" t="s">
        <v>15</v>
      </c>
      <c r="B9" s="6" t="s">
        <v>12</v>
      </c>
      <c r="C9" s="7" t="n">
        <v>1</v>
      </c>
      <c r="D9" s="12" t="n">
        <f aca="false">IF(100&gt;0,76/100,"待補")</f>
        <v>0.76</v>
      </c>
      <c r="E9" s="13" t="n">
        <f aca="false">IF(100&gt;0,95/100,"待補")</f>
        <v>0.95</v>
      </c>
      <c r="F9" s="14" t="n">
        <f aca="false">IF(100&gt;0,96/100,"待補")</f>
        <v>0.96</v>
      </c>
      <c r="G9" s="9" t="n">
        <f aca="false">IF(AND(ISNUMBER(C9),ISNUMBER(F9)),(F9-C9)*100,"待補")</f>
        <v>-4</v>
      </c>
      <c r="H9" s="9" t="n">
        <f aca="false">IF(AND(ISNUMBER(E9),ISNUMBER(F9)),(F9-E9)*100,"待補")</f>
        <v>1</v>
      </c>
    </row>
    <row r="10" customFormat="false" ht="37.5" hidden="false" customHeight="true" outlineLevel="0" collapsed="false">
      <c r="A10" s="6" t="s">
        <v>16</v>
      </c>
      <c r="B10" s="6" t="s">
        <v>17</v>
      </c>
      <c r="C10" s="7" t="n">
        <v>1</v>
      </c>
      <c r="D10" s="15" t="n">
        <f aca="false">IF(150&gt;0,114/150,"待補")</f>
        <v>0.76</v>
      </c>
      <c r="E10" s="16" t="n">
        <f aca="false">IF(150&gt;0,150/150,"待補")</f>
        <v>1</v>
      </c>
      <c r="F10" s="16" t="n">
        <f aca="false">IF(150&gt;0,150/150,"待補")</f>
        <v>1</v>
      </c>
      <c r="G10" s="9" t="n">
        <f aca="false">IF(AND(ISNUMBER(C10),ISNUMBER(F10)),(F10-C10)*100,"待補")</f>
        <v>0</v>
      </c>
      <c r="H10" s="9" t="n">
        <f aca="false">IF(AND(ISNUMBER(E10),ISNUMBER(F10)),(F10-E10)*100,"待補")</f>
        <v>0</v>
      </c>
    </row>
    <row r="12" customFormat="false" ht="42" hidden="false" customHeight="true" outlineLevel="0" collapsed="false">
      <c r="A12" s="2" t="s">
        <v>18</v>
      </c>
      <c r="B12" s="2"/>
      <c r="C12" s="2"/>
      <c r="D12" s="2"/>
      <c r="E12" s="2"/>
      <c r="F12" s="2"/>
      <c r="G12" s="2"/>
      <c r="H12" s="2"/>
    </row>
    <row r="14" customFormat="false" ht="36" hidden="false" customHeight="true" outlineLevel="0" collapsed="false">
      <c r="A14" s="3" t="s">
        <v>19</v>
      </c>
      <c r="B14" s="3"/>
      <c r="C14" s="3"/>
      <c r="D14" s="3"/>
      <c r="E14" s="3"/>
      <c r="F14" s="3"/>
      <c r="G14" s="3"/>
      <c r="H14" s="3"/>
    </row>
    <row r="15" customFormat="false" ht="37.5" hidden="false" customHeight="true" outlineLevel="0" collapsed="false">
      <c r="A15" s="4" t="s">
        <v>3</v>
      </c>
      <c r="B15" s="5" t="s">
        <v>20</v>
      </c>
      <c r="C15" s="4" t="s">
        <v>6</v>
      </c>
      <c r="D15" s="5" t="s">
        <v>7</v>
      </c>
      <c r="E15" s="5" t="s">
        <v>8</v>
      </c>
      <c r="F15" s="4" t="s">
        <v>21</v>
      </c>
      <c r="G15" s="4" t="s">
        <v>22</v>
      </c>
      <c r="H15" s="5" t="s">
        <v>23</v>
      </c>
    </row>
    <row r="16" customFormat="false" ht="42" hidden="false" customHeight="true" outlineLevel="0" collapsed="false">
      <c r="A16" s="6" t="s">
        <v>11</v>
      </c>
      <c r="B16" s="17" t="n">
        <v>5.2558</v>
      </c>
      <c r="C16" s="17" t="n">
        <v>16.8126481110469</v>
      </c>
      <c r="D16" s="17" t="n">
        <v>17.4235311061114</v>
      </c>
      <c r="E16" s="17" t="n">
        <v>2.88660050878924</v>
      </c>
      <c r="F16" s="7" t="n">
        <f aca="false">IF(AND(ISNUMBER(B16),ISNUMBER(E16),B16&lt;&gt;0),(B16-E16)/B16,"待補")</f>
        <v>0.450778091101405</v>
      </c>
      <c r="G16" s="7" t="n">
        <f aca="false">IF(AND(ISNUMBER(D16),ISNUMBER(E16),D16&lt;&gt;0),(D16-E16)/D16,"待補")</f>
        <v>0.834327468340975</v>
      </c>
      <c r="H16" s="6" t="s">
        <v>24</v>
      </c>
    </row>
    <row r="17" customFormat="false" ht="42" hidden="false" customHeight="true" outlineLevel="0" collapsed="false">
      <c r="A17" s="6" t="s">
        <v>13</v>
      </c>
      <c r="B17" s="17" t="n">
        <v>11.4808</v>
      </c>
      <c r="C17" s="17" t="n">
        <v>54.5049716385617</v>
      </c>
      <c r="D17" s="17" t="n">
        <v>50.9006811444646</v>
      </c>
      <c r="E17" s="17" t="n">
        <v>1.18541585852884</v>
      </c>
      <c r="F17" s="7" t="n">
        <f aca="false">IF(AND(ISNUMBER(B17),ISNUMBER(E17),B17&lt;&gt;0),(B17-E17)/B17,"待補")</f>
        <v>0.896747974136921</v>
      </c>
      <c r="G17" s="7" t="n">
        <f aca="false">IF(AND(ISNUMBER(D17),ISNUMBER(E17),D17&lt;&gt;0),(D17-E17)/D17,"待補")</f>
        <v>0.976711198516884</v>
      </c>
      <c r="H17" s="6" t="s">
        <v>24</v>
      </c>
    </row>
    <row r="18" customFormat="false" ht="42" hidden="false" customHeight="true" outlineLevel="0" collapsed="false">
      <c r="A18" s="6" t="s">
        <v>14</v>
      </c>
      <c r="B18" s="17" t="n">
        <v>4.8756</v>
      </c>
      <c r="C18" s="17" t="n">
        <v>5.3764508840688</v>
      </c>
      <c r="D18" s="17" t="n">
        <v>4.90175613938037</v>
      </c>
      <c r="E18" s="17" t="n">
        <v>1.10565935896849</v>
      </c>
      <c r="F18" s="7" t="n">
        <f aca="false">IF(AND(ISNUMBER(B18),ISNUMBER(E18),B18&lt;&gt;0),(B18-E18)/B18,"待補")</f>
        <v>0.77322599085887</v>
      </c>
      <c r="G18" s="7" t="n">
        <f aca="false">IF(AND(ISNUMBER(D18),ISNUMBER(E18),D18&lt;&gt;0),(D18-E18)/D18,"待補")</f>
        <v>0.774436074025449</v>
      </c>
      <c r="H18" s="6" t="s">
        <v>24</v>
      </c>
    </row>
    <row r="19" customFormat="false" ht="37.5" hidden="false" customHeight="true" outlineLevel="0" collapsed="false">
      <c r="A19" s="6" t="s">
        <v>15</v>
      </c>
      <c r="B19" s="17" t="n">
        <v>4.356</v>
      </c>
      <c r="C19" s="17" t="n">
        <v>123.234678935483</v>
      </c>
      <c r="D19" s="17" t="n">
        <v>109.373197173545</v>
      </c>
      <c r="E19" s="17" t="n">
        <v>103.475573537476</v>
      </c>
      <c r="F19" s="18" t="s">
        <v>25</v>
      </c>
      <c r="G19" s="7" t="n">
        <f aca="false">IF(AND(ISNUMBER(D19),ISNUMBER(E19),D19&lt;&gt;0),(D19-E19)/D19,"待補")</f>
        <v>0.053922019182731</v>
      </c>
      <c r="H19" s="6" t="s">
        <v>26</v>
      </c>
    </row>
    <row r="20" customFormat="false" ht="42" hidden="false" customHeight="true" outlineLevel="0" collapsed="false">
      <c r="A20" s="6" t="s">
        <v>16</v>
      </c>
      <c r="B20" s="17" t="n">
        <v>15.3427</v>
      </c>
      <c r="C20" s="17" t="n">
        <v>12.6209302105037</v>
      </c>
      <c r="D20" s="17" t="n">
        <v>8.18951523949</v>
      </c>
      <c r="E20" s="17" t="n">
        <v>0.603813517091087</v>
      </c>
      <c r="F20" s="7" t="n">
        <f aca="false">IF(AND(ISNUMBER(B20),ISNUMBER(E20),B20&lt;&gt;0),(B20-E20)/B20,"待補")</f>
        <v>0.960644898414811</v>
      </c>
      <c r="G20" s="7" t="n">
        <f aca="false">IF(AND(ISNUMBER(D20),ISNUMBER(E20),D20&lt;&gt;0),(D20-E20)/D20,"待補")</f>
        <v>0.926269931805061</v>
      </c>
      <c r="H20" s="6" t="s">
        <v>27</v>
      </c>
    </row>
    <row r="22" customFormat="false" ht="42" hidden="false" customHeight="true" outlineLevel="0" collapsed="false">
      <c r="A22" s="19" t="s">
        <v>28</v>
      </c>
      <c r="B22" s="19"/>
      <c r="C22" s="19"/>
      <c r="D22" s="19"/>
      <c r="E22" s="19"/>
      <c r="F22" s="19"/>
      <c r="G22" s="19"/>
      <c r="H22" s="19"/>
    </row>
    <row r="24" customFormat="false" ht="36" hidden="false" customHeight="true" outlineLevel="0" collapsed="false">
      <c r="A24" s="3" t="s">
        <v>29</v>
      </c>
      <c r="B24" s="3"/>
      <c r="C24" s="3"/>
      <c r="D24" s="3"/>
      <c r="E24" s="3"/>
      <c r="F24" s="3"/>
      <c r="G24" s="3"/>
      <c r="H24" s="3"/>
    </row>
    <row r="25" customFormat="false" ht="37.5" hidden="false" customHeight="true" outlineLevel="0" collapsed="false">
      <c r="A25" s="4" t="s">
        <v>3</v>
      </c>
      <c r="B25" s="5" t="s">
        <v>30</v>
      </c>
      <c r="C25" s="5" t="s">
        <v>31</v>
      </c>
      <c r="D25" s="5" t="s">
        <v>32</v>
      </c>
      <c r="E25" s="5" t="s">
        <v>33</v>
      </c>
      <c r="F25" s="5" t="s">
        <v>34</v>
      </c>
      <c r="G25" s="5" t="s">
        <v>35</v>
      </c>
      <c r="H25" s="5" t="s">
        <v>36</v>
      </c>
    </row>
    <row r="26" customFormat="false" ht="37.5" hidden="false" customHeight="true" outlineLevel="0" collapsed="false">
      <c r="A26" s="6" t="s">
        <v>11</v>
      </c>
      <c r="B26" s="17" t="n">
        <v>0.653513343283497</v>
      </c>
      <c r="C26" s="17" t="n">
        <v>0.689562769163795</v>
      </c>
      <c r="D26" s="17" t="n">
        <v>0.0356799496337756</v>
      </c>
      <c r="E26" s="17" t="n">
        <v>14.6590013713592</v>
      </c>
      <c r="F26" s="17" t="n">
        <v>15.2649956206856</v>
      </c>
      <c r="G26" s="17" t="n">
        <v>2.91991628608318</v>
      </c>
      <c r="H26" s="18" t="s">
        <v>37</v>
      </c>
    </row>
    <row r="27" customFormat="false" ht="37.5" hidden="false" customHeight="true" outlineLevel="0" collapsed="false">
      <c r="A27" s="6" t="s">
        <v>13</v>
      </c>
      <c r="B27" s="17" t="n">
        <v>3.01056149864129</v>
      </c>
      <c r="C27" s="17" t="n">
        <v>2.80582085093118</v>
      </c>
      <c r="D27" s="17" t="n">
        <v>0.055756468034214</v>
      </c>
      <c r="E27" s="17" t="n">
        <v>34.3744841092224</v>
      </c>
      <c r="F27" s="17" t="n">
        <v>31.6129991724933</v>
      </c>
      <c r="G27" s="17" t="n">
        <v>1.03523546682043</v>
      </c>
      <c r="H27" s="18" t="s">
        <v>37</v>
      </c>
    </row>
    <row r="28" customFormat="false" ht="37.5" hidden="false" customHeight="true" outlineLevel="0" collapsed="false">
      <c r="A28" s="6" t="s">
        <v>14</v>
      </c>
      <c r="B28" s="17" t="n">
        <v>0.298030128253397</v>
      </c>
      <c r="C28" s="17" t="n">
        <v>0.275656018103578</v>
      </c>
      <c r="D28" s="17" t="n">
        <v>0.0195433622867506</v>
      </c>
      <c r="E28" s="17" t="n">
        <v>4.98480600070703</v>
      </c>
      <c r="F28" s="17" t="n">
        <v>4.49876457746908</v>
      </c>
      <c r="G28" s="17" t="n">
        <v>1.09670799276677</v>
      </c>
      <c r="H28" s="18" t="s">
        <v>37</v>
      </c>
    </row>
    <row r="29" customFormat="false" ht="37.5" hidden="false" customHeight="true" outlineLevel="0" collapsed="false">
      <c r="A29" s="6" t="s">
        <v>15</v>
      </c>
      <c r="B29" s="17" t="n">
        <v>2.63898624070818</v>
      </c>
      <c r="C29" s="17" t="n">
        <v>4.01149570032715</v>
      </c>
      <c r="D29" s="17" t="n">
        <v>3.64634897522263</v>
      </c>
      <c r="E29" s="17" t="n">
        <v>123.939230727063</v>
      </c>
      <c r="F29" s="17" t="n">
        <v>110.716157682721</v>
      </c>
      <c r="G29" s="17" t="n">
        <v>104.907357178315</v>
      </c>
      <c r="H29" s="18" t="s">
        <v>37</v>
      </c>
    </row>
    <row r="30" customFormat="false" ht="37.5" hidden="false" customHeight="true" outlineLevel="0" collapsed="false">
      <c r="A30" s="6" t="s">
        <v>16</v>
      </c>
      <c r="B30" s="17" t="n">
        <v>0.83632567519141</v>
      </c>
      <c r="C30" s="17" t="n">
        <v>0.508517701840402</v>
      </c>
      <c r="D30" s="17" t="n">
        <v>0.0541601395640472</v>
      </c>
      <c r="E30" s="17" t="n">
        <v>11.094383645931</v>
      </c>
      <c r="F30" s="17" t="n">
        <v>7.29591916182178</v>
      </c>
      <c r="G30" s="17" t="n">
        <v>0.402572763715749</v>
      </c>
      <c r="H30" s="18" t="s">
        <v>37</v>
      </c>
    </row>
    <row r="32" customFormat="false" ht="42" hidden="false" customHeight="true" outlineLevel="0" collapsed="false">
      <c r="A32" s="2" t="s">
        <v>38</v>
      </c>
      <c r="B32" s="2"/>
      <c r="C32" s="2"/>
      <c r="D32" s="2"/>
      <c r="E32" s="2"/>
      <c r="F32" s="2"/>
      <c r="G32" s="2"/>
      <c r="H32" s="2"/>
    </row>
    <row r="34" customFormat="false" ht="36" hidden="false" customHeight="true" outlineLevel="0" collapsed="false">
      <c r="A34" s="3" t="s">
        <v>39</v>
      </c>
      <c r="B34" s="3"/>
      <c r="C34" s="3"/>
      <c r="D34" s="3"/>
      <c r="E34" s="3"/>
      <c r="F34" s="3"/>
      <c r="G34" s="3"/>
      <c r="H34" s="3"/>
    </row>
    <row r="35" customFormat="false" ht="37.5" hidden="false" customHeight="true" outlineLevel="0" collapsed="false">
      <c r="A35" s="4" t="s">
        <v>3</v>
      </c>
      <c r="B35" s="5" t="s">
        <v>40</v>
      </c>
      <c r="C35" s="5" t="s">
        <v>41</v>
      </c>
      <c r="D35" s="5" t="s">
        <v>42</v>
      </c>
      <c r="E35" s="5" t="s">
        <v>43</v>
      </c>
      <c r="F35" s="5" t="s">
        <v>44</v>
      </c>
      <c r="G35" s="5" t="s">
        <v>45</v>
      </c>
      <c r="H35" s="5" t="s">
        <v>46</v>
      </c>
    </row>
    <row r="36" customFormat="false" ht="37.5" hidden="false" customHeight="true" outlineLevel="0" collapsed="false">
      <c r="A36" s="6" t="s">
        <v>11</v>
      </c>
      <c r="B36" s="17" t="n">
        <v>20.718</v>
      </c>
      <c r="C36" s="17" t="n">
        <v>11.657</v>
      </c>
      <c r="D36" s="17" t="n">
        <v>7.99219146</v>
      </c>
      <c r="E36" s="17" t="n">
        <v>9.36665074</v>
      </c>
      <c r="F36" s="17" t="n">
        <v>773.47009792</v>
      </c>
      <c r="G36" s="7" t="n">
        <f aca="false">IF(AND(ISNUMBER(E36),ISNUMBER(F36),E36&lt;&gt;0),(E36-F36)/E36,"待補")</f>
        <v>-81.5770191918141</v>
      </c>
      <c r="H36" s="18" t="s">
        <v>47</v>
      </c>
    </row>
    <row r="37" customFormat="false" ht="37.5" hidden="false" customHeight="true" outlineLevel="0" collapsed="false">
      <c r="A37" s="6" t="s">
        <v>13</v>
      </c>
      <c r="B37" s="17" t="n">
        <v>30.699</v>
      </c>
      <c r="C37" s="17" t="n">
        <v>16.712</v>
      </c>
      <c r="D37" s="17" t="n">
        <v>15.16964886</v>
      </c>
      <c r="E37" s="17" t="n">
        <v>17.11263271</v>
      </c>
      <c r="F37" s="17" t="n">
        <v>943.13297948</v>
      </c>
      <c r="G37" s="7" t="n">
        <f aca="false">IF(AND(ISNUMBER(E37),ISNUMBER(F37),E37&lt;&gt;0),(E37-F37)/E37,"待補")</f>
        <v>-54.1132602132498</v>
      </c>
      <c r="H37" s="18" t="s">
        <v>47</v>
      </c>
    </row>
    <row r="38" customFormat="false" ht="37.5" hidden="false" customHeight="true" outlineLevel="0" collapsed="false">
      <c r="A38" s="6" t="s">
        <v>14</v>
      </c>
      <c r="B38" s="17" t="n">
        <v>4.5596</v>
      </c>
      <c r="C38" s="17" t="n">
        <v>8.3584</v>
      </c>
      <c r="D38" s="17" t="n">
        <v>2.98112216</v>
      </c>
      <c r="E38" s="17" t="n">
        <v>4.2305661</v>
      </c>
      <c r="F38" s="17" t="n">
        <v>543.56117039</v>
      </c>
      <c r="G38" s="7" t="n">
        <f aca="false">IF(AND(ISNUMBER(E38),ISNUMBER(F38),E38&lt;&gt;0),(E38-F38)/E38,"待補")</f>
        <v>-127.484263699366</v>
      </c>
      <c r="H38" s="18" t="s">
        <v>47</v>
      </c>
    </row>
    <row r="39" customFormat="false" ht="37.5" hidden="false" customHeight="true" outlineLevel="0" collapsed="false">
      <c r="A39" s="6" t="s">
        <v>15</v>
      </c>
      <c r="B39" s="17" t="n">
        <v>19.522</v>
      </c>
      <c r="C39" s="17" t="n">
        <v>9.4516</v>
      </c>
      <c r="D39" s="17" t="n">
        <v>3.62236579</v>
      </c>
      <c r="E39" s="17" t="n">
        <v>6.28245099</v>
      </c>
      <c r="F39" s="17" t="n">
        <v>461.19277371</v>
      </c>
      <c r="G39" s="7" t="n">
        <f aca="false">IF(AND(ISNUMBER(E39),ISNUMBER(F39),E39&lt;&gt;0),(E39-F39)/E39,"待補")</f>
        <v>-72.4096890599062</v>
      </c>
      <c r="H39" s="18" t="s">
        <v>47</v>
      </c>
    </row>
    <row r="40" customFormat="false" ht="37.5" hidden="false" customHeight="true" outlineLevel="0" collapsed="false">
      <c r="A40" s="6" t="s">
        <v>16</v>
      </c>
      <c r="B40" s="17" t="n">
        <v>3.0405</v>
      </c>
      <c r="C40" s="17" t="n">
        <v>8.6992</v>
      </c>
      <c r="D40" s="17" t="n">
        <v>2.32949157333333</v>
      </c>
      <c r="E40" s="17" t="n">
        <v>3.35179806666667</v>
      </c>
      <c r="F40" s="17" t="n">
        <v>578.461063473333</v>
      </c>
      <c r="G40" s="7" t="n">
        <f aca="false">IF(AND(ISNUMBER(E40),ISNUMBER(F40),E40&lt;&gt;0),(E40-F40)/E40,"待補")</f>
        <v>-171.582313125029</v>
      </c>
      <c r="H40" s="18" t="s">
        <v>47</v>
      </c>
    </row>
    <row r="42" customFormat="false" ht="42" hidden="false" customHeight="true" outlineLevel="0" collapsed="false">
      <c r="A42" s="19" t="s">
        <v>48</v>
      </c>
      <c r="B42" s="19"/>
      <c r="C42" s="19"/>
      <c r="D42" s="19"/>
      <c r="E42" s="19"/>
      <c r="F42" s="19"/>
      <c r="G42" s="19"/>
      <c r="H42" s="19"/>
    </row>
    <row r="44" customFormat="false" ht="42" hidden="false" customHeight="true" outlineLevel="0" collapsed="false">
      <c r="A44" s="19" t="s">
        <v>49</v>
      </c>
      <c r="B44" s="19"/>
      <c r="C44" s="19"/>
      <c r="D44" s="19"/>
      <c r="E44" s="19"/>
      <c r="F44" s="19"/>
      <c r="G44" s="19"/>
      <c r="H44" s="19"/>
    </row>
  </sheetData>
  <autoFilter ref="A5:H10"/>
  <mergeCells count="11">
    <mergeCell ref="A1:H1"/>
    <mergeCell ref="A2:H2"/>
    <mergeCell ref="A4:H4"/>
    <mergeCell ref="A12:H12"/>
    <mergeCell ref="A14:H14"/>
    <mergeCell ref="A22:H22"/>
    <mergeCell ref="A24:H24"/>
    <mergeCell ref="A32:H32"/>
    <mergeCell ref="A34:H34"/>
    <mergeCell ref="A42:H42"/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13" man="true" max="16383" min="0"/>
    <brk id="23" man="true" max="16383" min="0"/>
    <brk id="33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8"/>
    <col collapsed="false" customWidth="true" hidden="false" outlineLevel="0" max="4" min="4" style="0" width="36"/>
    <col collapsed="false" customWidth="true" hidden="false" outlineLevel="0" max="5" min="5" style="0" width="44"/>
    <col collapsed="false" customWidth="true" hidden="false" outlineLevel="0" max="6" min="6" style="0" width="2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6" hidden="false" customHeight="true" outlineLevel="0" collapsed="false">
      <c r="A4" s="3" t="s">
        <v>50</v>
      </c>
      <c r="B4" s="3"/>
      <c r="C4" s="3"/>
      <c r="D4" s="3"/>
      <c r="E4" s="3"/>
      <c r="F4" s="3"/>
    </row>
    <row r="5" customFormat="false" ht="37.5" hidden="false" customHeight="true" outlineLevel="0" collapsed="false">
      <c r="A5" s="5" t="s">
        <v>51</v>
      </c>
      <c r="B5" s="5" t="s">
        <v>52</v>
      </c>
      <c r="C5" s="5" t="s">
        <v>53</v>
      </c>
      <c r="D5" s="5" t="s">
        <v>54</v>
      </c>
      <c r="E5" s="5" t="s">
        <v>55</v>
      </c>
      <c r="F5" s="5" t="s">
        <v>56</v>
      </c>
    </row>
    <row r="6" customFormat="false" ht="37.5" hidden="false" customHeight="true" outlineLevel="0" collapsed="false">
      <c r="A6" s="6" t="s">
        <v>57</v>
      </c>
      <c r="B6" s="6" t="s">
        <v>58</v>
      </c>
      <c r="C6" s="6" t="s">
        <v>58</v>
      </c>
      <c r="D6" s="6" t="s">
        <v>58</v>
      </c>
      <c r="E6" s="18" t="s">
        <v>59</v>
      </c>
      <c r="F6" s="6" t="s">
        <v>60</v>
      </c>
    </row>
    <row r="7" customFormat="false" ht="37.5" hidden="false" customHeight="true" outlineLevel="0" collapsed="false">
      <c r="A7" s="6" t="s">
        <v>61</v>
      </c>
      <c r="B7" s="6" t="s">
        <v>62</v>
      </c>
      <c r="C7" s="6" t="s">
        <v>62</v>
      </c>
      <c r="D7" s="6" t="s">
        <v>62</v>
      </c>
      <c r="E7" s="6" t="s">
        <v>63</v>
      </c>
      <c r="F7" s="6" t="s">
        <v>64</v>
      </c>
    </row>
    <row r="8" customFormat="false" ht="37.5" hidden="false" customHeight="true" outlineLevel="0" collapsed="false">
      <c r="A8" s="6" t="s">
        <v>65</v>
      </c>
      <c r="B8" s="6" t="s">
        <v>66</v>
      </c>
      <c r="C8" s="6" t="s">
        <v>66</v>
      </c>
      <c r="D8" s="6" t="s">
        <v>66</v>
      </c>
      <c r="E8" s="6" t="s">
        <v>67</v>
      </c>
      <c r="F8" s="6" t="s">
        <v>60</v>
      </c>
    </row>
    <row r="9" customFormat="false" ht="37.5" hidden="false" customHeight="true" outlineLevel="0" collapsed="false">
      <c r="A9" s="18" t="s">
        <v>68</v>
      </c>
      <c r="B9" s="6" t="s">
        <v>69</v>
      </c>
      <c r="C9" s="6" t="s">
        <v>69</v>
      </c>
      <c r="D9" s="6" t="s">
        <v>69</v>
      </c>
      <c r="E9" s="18" t="s">
        <v>70</v>
      </c>
      <c r="F9" s="6" t="s">
        <v>71</v>
      </c>
    </row>
    <row r="10" customFormat="false" ht="37.5" hidden="false" customHeight="true" outlineLevel="0" collapsed="false">
      <c r="A10" s="18" t="s">
        <v>72</v>
      </c>
      <c r="B10" s="6" t="s">
        <v>73</v>
      </c>
      <c r="C10" s="6" t="s">
        <v>73</v>
      </c>
      <c r="D10" s="6" t="s">
        <v>73</v>
      </c>
      <c r="E10" s="18" t="s">
        <v>74</v>
      </c>
      <c r="F10" s="6" t="s">
        <v>75</v>
      </c>
    </row>
    <row r="11" customFormat="false" ht="42" hidden="false" customHeight="true" outlineLevel="0" collapsed="false">
      <c r="A11" s="6" t="s">
        <v>76</v>
      </c>
      <c r="B11" s="18" t="s">
        <v>77</v>
      </c>
      <c r="C11" s="18" t="s">
        <v>78</v>
      </c>
      <c r="D11" s="18" t="s">
        <v>79</v>
      </c>
      <c r="E11" s="18" t="s">
        <v>80</v>
      </c>
      <c r="F11" s="6" t="s">
        <v>81</v>
      </c>
    </row>
    <row r="12" customFormat="false" ht="37.5" hidden="false" customHeight="true" outlineLevel="0" collapsed="false">
      <c r="A12" s="6" t="s">
        <v>82</v>
      </c>
      <c r="B12" s="18" t="s">
        <v>83</v>
      </c>
      <c r="C12" s="18" t="s">
        <v>84</v>
      </c>
      <c r="D12" s="6" t="s">
        <v>85</v>
      </c>
      <c r="E12" s="18" t="s">
        <v>86</v>
      </c>
      <c r="F12" s="6" t="s">
        <v>87</v>
      </c>
    </row>
    <row r="13" customFormat="false" ht="37.5" hidden="false" customHeight="true" outlineLevel="0" collapsed="false">
      <c r="A13" s="18" t="s">
        <v>88</v>
      </c>
      <c r="B13" s="18" t="s">
        <v>25</v>
      </c>
      <c r="C13" s="6" t="s">
        <v>89</v>
      </c>
      <c r="D13" s="6" t="s">
        <v>90</v>
      </c>
      <c r="E13" s="18" t="s">
        <v>91</v>
      </c>
      <c r="F13" s="6" t="s">
        <v>87</v>
      </c>
    </row>
    <row r="14" customFormat="false" ht="37.5" hidden="false" customHeight="true" outlineLevel="0" collapsed="false">
      <c r="A14" s="18" t="s">
        <v>92</v>
      </c>
      <c r="B14" s="18" t="s">
        <v>25</v>
      </c>
      <c r="C14" s="18" t="s">
        <v>93</v>
      </c>
      <c r="D14" s="18" t="s">
        <v>94</v>
      </c>
      <c r="E14" s="18" t="s">
        <v>95</v>
      </c>
      <c r="F14" s="6" t="s">
        <v>87</v>
      </c>
    </row>
    <row r="15" customFormat="false" ht="42" hidden="false" customHeight="true" outlineLevel="0" collapsed="false">
      <c r="A15" s="18" t="s">
        <v>96</v>
      </c>
      <c r="B15" s="18" t="s">
        <v>25</v>
      </c>
      <c r="C15" s="18" t="s">
        <v>93</v>
      </c>
      <c r="D15" s="18" t="s">
        <v>97</v>
      </c>
      <c r="E15" s="18" t="s">
        <v>98</v>
      </c>
      <c r="F15" s="6" t="s">
        <v>87</v>
      </c>
    </row>
    <row r="16" customFormat="false" ht="42" hidden="false" customHeight="true" outlineLevel="0" collapsed="false">
      <c r="A16" s="18" t="s">
        <v>99</v>
      </c>
      <c r="B16" s="18" t="s">
        <v>25</v>
      </c>
      <c r="C16" s="18" t="s">
        <v>84</v>
      </c>
      <c r="D16" s="18" t="s">
        <v>100</v>
      </c>
      <c r="E16" s="6" t="s">
        <v>101</v>
      </c>
      <c r="F16" s="6" t="s">
        <v>102</v>
      </c>
    </row>
    <row r="17" customFormat="false" ht="37.5" hidden="false" customHeight="true" outlineLevel="0" collapsed="false">
      <c r="A17" s="18" t="s">
        <v>103</v>
      </c>
      <c r="B17" s="18" t="s">
        <v>104</v>
      </c>
      <c r="C17" s="6" t="s">
        <v>105</v>
      </c>
      <c r="D17" s="18" t="s">
        <v>106</v>
      </c>
      <c r="E17" s="18" t="s">
        <v>107</v>
      </c>
      <c r="F17" s="6" t="s">
        <v>108</v>
      </c>
    </row>
    <row r="19" customFormat="false" ht="42" hidden="false" customHeight="true" outlineLevel="0" collapsed="false">
      <c r="A19" s="2" t="s">
        <v>109</v>
      </c>
      <c r="B19" s="2"/>
      <c r="C19" s="2"/>
      <c r="D19" s="2"/>
      <c r="E19" s="2"/>
      <c r="F19" s="2"/>
    </row>
  </sheetData>
  <mergeCells count="4">
    <mergeCell ref="A1:F1"/>
    <mergeCell ref="A2:F2"/>
    <mergeCell ref="A4:F4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6" min="4" style="0" width="23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110</v>
      </c>
      <c r="B4" s="3"/>
      <c r="C4" s="3"/>
      <c r="D4" s="3"/>
      <c r="E4" s="3"/>
      <c r="F4" s="3"/>
      <c r="G4" s="3"/>
      <c r="H4" s="3"/>
    </row>
    <row r="5" customFormat="false" ht="37.5" hidden="false" customHeight="true" outlineLevel="0" collapsed="false">
      <c r="A5" s="5" t="s">
        <v>111</v>
      </c>
      <c r="B5" s="5" t="s">
        <v>112</v>
      </c>
      <c r="C5" s="5" t="s">
        <v>113</v>
      </c>
      <c r="D5" s="5" t="s">
        <v>114</v>
      </c>
      <c r="E5" s="5" t="s">
        <v>115</v>
      </c>
      <c r="F5" s="5" t="s">
        <v>116</v>
      </c>
      <c r="G5" s="5" t="s">
        <v>117</v>
      </c>
      <c r="H5" s="5" t="s">
        <v>118</v>
      </c>
    </row>
    <row r="6" customFormat="false" ht="37.5" hidden="false" customHeight="true" outlineLevel="0" collapsed="false">
      <c r="A6" s="6" t="s">
        <v>11</v>
      </c>
      <c r="B6" s="6" t="n">
        <v>0</v>
      </c>
      <c r="C6" s="6" t="n">
        <v>0</v>
      </c>
      <c r="D6" s="6" t="n">
        <v>100</v>
      </c>
      <c r="E6" s="17" t="n">
        <v>17.4235311061114</v>
      </c>
      <c r="F6" s="17" t="n">
        <v>2.88660050878924</v>
      </c>
      <c r="G6" s="7" t="n">
        <f aca="false">IF(AND(ISNUMBER(E6),ISNUMBER(F6),E6&lt;&gt;0),(E6-F6)/E6,"待補")</f>
        <v>0.834327468340975</v>
      </c>
      <c r="H6" s="18" t="s">
        <v>119</v>
      </c>
    </row>
    <row r="7" customFormat="false" ht="37.5" hidden="false" customHeight="true" outlineLevel="0" collapsed="false">
      <c r="A7" s="6" t="s">
        <v>13</v>
      </c>
      <c r="B7" s="6" t="n">
        <v>66</v>
      </c>
      <c r="C7" s="6" t="n">
        <v>0</v>
      </c>
      <c r="D7" s="6" t="n">
        <v>34</v>
      </c>
      <c r="E7" s="17" t="n">
        <v>27.7353242541874</v>
      </c>
      <c r="F7" s="17" t="n">
        <v>1.04927480073943</v>
      </c>
      <c r="G7" s="7" t="n">
        <f aca="false">IF(AND(ISNUMBER(E7),ISNUMBER(F7),E7&lt;&gt;0),(E7-F7)/E7,"待補")</f>
        <v>0.962168287952104</v>
      </c>
      <c r="H7" s="18" t="s">
        <v>119</v>
      </c>
    </row>
    <row r="8" customFormat="false" ht="37.5" hidden="false" customHeight="true" outlineLevel="0" collapsed="false">
      <c r="A8" s="6" t="s">
        <v>14</v>
      </c>
      <c r="B8" s="6" t="n">
        <v>0</v>
      </c>
      <c r="C8" s="6" t="n">
        <v>0</v>
      </c>
      <c r="D8" s="6" t="n">
        <v>100</v>
      </c>
      <c r="E8" s="17" t="n">
        <v>4.90175613938037</v>
      </c>
      <c r="F8" s="17" t="n">
        <v>1.10565935896849</v>
      </c>
      <c r="G8" s="7" t="n">
        <f aca="false">IF(AND(ISNUMBER(E8),ISNUMBER(F8),E8&lt;&gt;0),(E8-F8)/E8,"待補")</f>
        <v>0.774436074025449</v>
      </c>
      <c r="H8" s="18" t="s">
        <v>119</v>
      </c>
    </row>
    <row r="9" customFormat="false" ht="37.5" hidden="false" customHeight="true" outlineLevel="0" collapsed="false">
      <c r="A9" s="6" t="s">
        <v>15</v>
      </c>
      <c r="B9" s="6" t="n">
        <v>1</v>
      </c>
      <c r="C9" s="6" t="n">
        <v>0</v>
      </c>
      <c r="D9" s="6" t="n">
        <v>95</v>
      </c>
      <c r="E9" s="17" t="n">
        <v>9.20239130048303</v>
      </c>
      <c r="F9" s="17" t="n">
        <v>3.18783191238276</v>
      </c>
      <c r="G9" s="7" t="n">
        <f aca="false">IF(AND(ISNUMBER(E9),ISNUMBER(F9),E9&lt;&gt;0),(E9-F9)/E9,"待補")</f>
        <v>0.65358657241456</v>
      </c>
      <c r="H9" s="18" t="s">
        <v>119</v>
      </c>
    </row>
    <row r="10" customFormat="false" ht="37.5" hidden="false" customHeight="true" outlineLevel="0" collapsed="false">
      <c r="A10" s="6" t="s">
        <v>16</v>
      </c>
      <c r="B10" s="6" t="n">
        <v>0</v>
      </c>
      <c r="C10" s="6" t="n">
        <v>0</v>
      </c>
      <c r="D10" s="6" t="n">
        <v>150</v>
      </c>
      <c r="E10" s="17" t="n">
        <v>8.18951523949</v>
      </c>
      <c r="F10" s="17" t="n">
        <v>0.603813517091087</v>
      </c>
      <c r="G10" s="7" t="n">
        <f aca="false">IF(AND(ISNUMBER(E10),ISNUMBER(F10),E10&lt;&gt;0),(E10-F10)/E10,"待補")</f>
        <v>0.926269931805061</v>
      </c>
      <c r="H10" s="18" t="s">
        <v>119</v>
      </c>
    </row>
    <row r="12" customFormat="false" ht="42" hidden="false" customHeight="true" outlineLevel="0" collapsed="false">
      <c r="A12" s="19" t="s">
        <v>120</v>
      </c>
      <c r="B12" s="19"/>
      <c r="C12" s="19"/>
      <c r="D12" s="19"/>
      <c r="E12" s="19"/>
      <c r="F12" s="19"/>
      <c r="G12" s="19"/>
      <c r="H12" s="19"/>
    </row>
    <row r="14" customFormat="false" ht="36" hidden="false" customHeight="true" outlineLevel="0" collapsed="false">
      <c r="A14" s="3" t="s">
        <v>121</v>
      </c>
      <c r="B14" s="3"/>
      <c r="C14" s="3"/>
      <c r="D14" s="3"/>
      <c r="E14" s="3"/>
      <c r="F14" s="3"/>
      <c r="G14" s="3"/>
      <c r="H14" s="3"/>
    </row>
    <row r="15" customFormat="false" ht="37.5" hidden="false" customHeight="true" outlineLevel="0" collapsed="false">
      <c r="A15" s="5" t="s">
        <v>111</v>
      </c>
      <c r="B15" s="5" t="s">
        <v>122</v>
      </c>
      <c r="C15" s="5" t="s">
        <v>123</v>
      </c>
      <c r="D15" s="5" t="s">
        <v>124</v>
      </c>
      <c r="E15" s="5" t="s">
        <v>125</v>
      </c>
      <c r="F15" s="5" t="s">
        <v>126</v>
      </c>
      <c r="G15" s="5" t="s">
        <v>112</v>
      </c>
      <c r="H15" s="5" t="s">
        <v>127</v>
      </c>
    </row>
    <row r="16" customFormat="false" ht="37.5" hidden="false" customHeight="true" outlineLevel="0" collapsed="false">
      <c r="A16" s="6" t="s">
        <v>11</v>
      </c>
      <c r="B16" s="6" t="n">
        <v>100</v>
      </c>
      <c r="C16" s="6" t="n">
        <v>100</v>
      </c>
      <c r="D16" s="6" t="n">
        <v>100</v>
      </c>
      <c r="E16" s="17" t="n">
        <v>16.8126481110469</v>
      </c>
      <c r="F16" s="17" t="n">
        <v>2.88660050881514</v>
      </c>
      <c r="G16" s="6" t="n">
        <v>0</v>
      </c>
      <c r="H16" s="6" t="n">
        <v>0</v>
      </c>
    </row>
    <row r="17" customFormat="false" ht="37.5" hidden="false" customHeight="true" outlineLevel="0" collapsed="false">
      <c r="A17" s="6" t="s">
        <v>13</v>
      </c>
      <c r="B17" s="6" t="n">
        <v>33</v>
      </c>
      <c r="C17" s="6" t="n">
        <v>99</v>
      </c>
      <c r="D17" s="6" t="n">
        <v>100</v>
      </c>
      <c r="E17" s="17" t="n">
        <v>54.5049716385617</v>
      </c>
      <c r="F17" s="17" t="n">
        <v>5.88647806440335</v>
      </c>
      <c r="G17" s="6" t="n">
        <v>66</v>
      </c>
      <c r="H17" s="6" t="n">
        <v>0</v>
      </c>
    </row>
    <row r="18" customFormat="false" ht="37.5" hidden="false" customHeight="true" outlineLevel="0" collapsed="false">
      <c r="A18" s="6" t="s">
        <v>14</v>
      </c>
      <c r="B18" s="6" t="n">
        <v>100</v>
      </c>
      <c r="C18" s="6" t="n">
        <v>100</v>
      </c>
      <c r="D18" s="6" t="n">
        <v>100</v>
      </c>
      <c r="E18" s="17" t="n">
        <v>5.3764508840688</v>
      </c>
      <c r="F18" s="17" t="n">
        <v>1.10565935959731</v>
      </c>
      <c r="G18" s="6" t="n">
        <v>0</v>
      </c>
      <c r="H18" s="6" t="n">
        <v>0</v>
      </c>
    </row>
    <row r="19" customFormat="false" ht="37.5" hidden="false" customHeight="true" outlineLevel="0" collapsed="false">
      <c r="A19" s="6" t="s">
        <v>15</v>
      </c>
      <c r="B19" s="6" t="n">
        <v>76</v>
      </c>
      <c r="C19" s="6" t="n">
        <v>81</v>
      </c>
      <c r="D19" s="6" t="n">
        <v>100</v>
      </c>
      <c r="E19" s="17" t="n">
        <v>123.234678935483</v>
      </c>
      <c r="F19" s="17" t="n">
        <v>114.445179354463</v>
      </c>
      <c r="G19" s="6" t="n">
        <v>5</v>
      </c>
      <c r="H19" s="6" t="n">
        <v>0</v>
      </c>
    </row>
    <row r="20" customFormat="false" ht="37.5" hidden="false" customHeight="true" outlineLevel="0" collapsed="false">
      <c r="A20" s="6" t="s">
        <v>16</v>
      </c>
      <c r="B20" s="6" t="n">
        <v>114</v>
      </c>
      <c r="C20" s="6" t="n">
        <v>127</v>
      </c>
      <c r="D20" s="6" t="n">
        <v>150</v>
      </c>
      <c r="E20" s="17" t="n">
        <v>12.6209302105037</v>
      </c>
      <c r="F20" s="17" t="n">
        <v>0.591833565807173</v>
      </c>
      <c r="G20" s="6" t="n">
        <v>13</v>
      </c>
      <c r="H20" s="6" t="n">
        <v>0</v>
      </c>
    </row>
    <row r="22" customFormat="false" ht="42" hidden="false" customHeight="true" outlineLevel="0" collapsed="false">
      <c r="A22" s="19" t="s">
        <v>128</v>
      </c>
      <c r="B22" s="19"/>
      <c r="C22" s="19"/>
      <c r="D22" s="19"/>
      <c r="E22" s="19"/>
      <c r="F22" s="19"/>
      <c r="G22" s="19"/>
      <c r="H22" s="19"/>
    </row>
  </sheetData>
  <mergeCells count="6">
    <mergeCell ref="A1:H1"/>
    <mergeCell ref="A2:H2"/>
    <mergeCell ref="A4:H4"/>
    <mergeCell ref="A12:H12"/>
    <mergeCell ref="A14:H14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24" man="true" max="16383" min="0"/>
    <brk id="48" man="true" max="16383" min="0"/>
    <brk id="72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2026-10-26T03:45:49Z</dcterms:created>
  <dc:creator>openpyxl</dc:creator>
  <dc:description/>
  <dc:language>en-US</dc:language>
  <cp:lastModifiedBy/>
  <dcterms:modified xsi:type="dcterms:W3CDTF">2026-10-26T03:45:49Z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