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說明" sheetId="1" state="visible" r:id="rId3"/>
    <sheet name="逐對結果" sheetId="2" state="visible" r:id="rId4"/>
    <sheet name="估計變換" sheetId="3" state="visible" r:id="rId5"/>
    <sheet name="資料集摘要" sheetId="4" state="visible" r:id="rId6"/>
    <sheet name="每seed" sheetId="5" state="visible" r:id="rId7"/>
    <sheet name="配對比較" sheetId="6" state="visible" r:id="rId8"/>
    <sheet name="跨資料集" sheetId="7" state="visible" r:id="rId9"/>
    <sheet name="方法設定" sheetId="8" state="visible" r:id="rId10"/>
    <sheet name="資料來源" sheetId="9" state="visible" r:id="rId11"/>
    <sheet name="ETH篩選" sheetId="10" state="visible" r:id="rId12"/>
    <sheet name="ETH提取" sheetId="11" state="visible" r:id="rId13"/>
    <sheet name="ETH圖選邊" sheetId="12" state="visible" r:id="rId14"/>
    <sheet name="外部提取逐次" sheetId="13" state="visible" r:id="rId15"/>
    <sheet name="外部提取摘要" sheetId="14" state="visible" r:id="rId16"/>
    <sheet name="外部提取比較" sheetId="15" state="visible" r:id="rId17"/>
    <sheet name="外部資料核驗" sheetId="16" state="visible" r:id="rId18"/>
    <sheet name="定義與核驗" sheetId="17" state="visible" r:id="rId19"/>
  </sheets>
  <definedNames>
    <definedName function="false" hidden="false" localSheetId="11" name="_xlnm.Print_Titles" vbProcedure="false">ETH圖選邊!$1:$1</definedName>
    <definedName function="false" hidden="true" localSheetId="11" name="_xlnm._FilterDatabase" vbProcedure="false">ETH圖選邊!$A$1:$G$131</definedName>
    <definedName function="false" hidden="false" localSheetId="10" name="_xlnm.Print_Titles" vbProcedure="false">ETH提取!$1:$1</definedName>
    <definedName function="false" hidden="true" localSheetId="10" name="_xlnm._FilterDatabase" vbProcedure="false">ETH提取!$A$1:$G$19</definedName>
    <definedName function="false" hidden="false" localSheetId="9" name="_xlnm.Print_Titles" vbProcedure="false">ETH篩選!$1:$1</definedName>
    <definedName function="false" hidden="true" localSheetId="9" name="_xlnm._FilterDatabase" vbProcedure="false">ETH篩選!$A$1:$G$19</definedName>
    <definedName function="false" hidden="false" localSheetId="2" name="_xlnm.Print_Titles" vbProcedure="false">估計變換!$1:$1</definedName>
    <definedName function="false" hidden="true" localSheetId="2" name="_xlnm._FilterDatabase" vbProcedure="false">估計變換!$A$1:$S$1951</definedName>
    <definedName function="false" hidden="false" localSheetId="13" name="_xlnm.Print_Titles" vbProcedure="false">外部提取摘要!$1:$1</definedName>
    <definedName function="false" hidden="true" localSheetId="13" name="_xlnm._FilterDatabase" vbProcedure="false">外部提取摘要!$A$1:$J$19</definedName>
    <definedName function="false" hidden="false" localSheetId="14" name="_xlnm.Print_Titles" vbProcedure="false">外部提取比較!$1:$1</definedName>
    <definedName function="false" hidden="true" localSheetId="14" name="_xlnm._FilterDatabase" vbProcedure="false">外部提取比較!$A$1:$G$7</definedName>
    <definedName function="false" hidden="false" localSheetId="12" name="_xlnm.Print_Titles" vbProcedure="false">外部提取逐次!$1:$1</definedName>
    <definedName function="false" hidden="true" localSheetId="12" name="_xlnm._FilterDatabase" vbProcedure="false">外部提取逐次!$A$1:$K$181</definedName>
    <definedName function="false" hidden="false" localSheetId="15" name="_xlnm.Print_Titles" vbProcedure="false">外部資料核驗!$1:$1</definedName>
    <definedName function="false" hidden="true" localSheetId="15" name="_xlnm._FilterDatabase" vbProcedure="false">外部資料核驗!$A$1:$B$20</definedName>
    <definedName function="false" hidden="false" localSheetId="16" name="_xlnm.Print_Titles" vbProcedure="false">定義與核驗!$1:$1</definedName>
    <definedName function="false" hidden="true" localSheetId="16" name="_xlnm._FilterDatabase" vbProcedure="false">定義與核驗!$A$1:$B$15</definedName>
    <definedName function="false" hidden="false" localSheetId="7" name="_xlnm.Print_Titles" vbProcedure="false">方法設定!$1:$1</definedName>
    <definedName function="false" hidden="true" localSheetId="7" name="_xlnm._FilterDatabase" vbProcedure="false">方法設定!$A$1:$N$14</definedName>
    <definedName function="false" hidden="false" localSheetId="4" name="_xlnm.Print_Titles" vbProcedure="false">每seed!$1:$1</definedName>
    <definedName function="false" hidden="true" localSheetId="4" name="_xlnm._FilterDatabase" vbProcedure="false">每seed!$A$1:$G$131</definedName>
    <definedName function="false" hidden="false" localSheetId="0" name="_xlnm.Print_Titles" vbProcedure="false">說明!$1:$1</definedName>
    <definedName function="false" hidden="true" localSheetId="0" name="_xlnm._FilterDatabase" vbProcedure="false">說明!$A$1:$B$18</definedName>
    <definedName function="false" hidden="false" localSheetId="8" name="_xlnm.Print_Titles" vbProcedure="false">資料來源!$1:$1</definedName>
    <definedName function="false" hidden="true" localSheetId="8" name="_xlnm._FilterDatabase" vbProcedure="false">資料來源!$A$1:$C$35</definedName>
    <definedName function="false" hidden="false" localSheetId="3" name="_xlnm.Print_Titles" vbProcedure="false">資料集摘要!$1:$1</definedName>
    <definedName function="false" hidden="true" localSheetId="3" name="_xlnm._FilterDatabase" vbProcedure="false">資料集摘要!$A$1:$N$14</definedName>
    <definedName function="false" hidden="false" localSheetId="6" name="_xlnm.Print_Titles" vbProcedure="false">跨資料集!$1:$1</definedName>
    <definedName function="false" hidden="true" localSheetId="6" name="_xlnm._FilterDatabase" vbProcedure="false">跨資料集!$A$1:$G$14</definedName>
    <definedName function="false" hidden="false" localSheetId="1" name="_xlnm.Print_Titles" vbProcedure="false">逐對結果!$1:$1</definedName>
    <definedName function="false" hidden="true" localSheetId="1" name="_xlnm._FilterDatabase" vbProcedure="false">逐對結果!$A$1:$T$1951</definedName>
    <definedName function="false" hidden="false" localSheetId="5" name="_xlnm.Print_Titles" vbProcedure="false">配對比較!$1:$1</definedName>
    <definedName function="false" hidden="true" localSheetId="5" name="_xlnm._FilterDatabase" vbProcedure="false">配對比較!$A$1:$L$14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<sst xmlns="http://schemas.openxmlformats.org/spreadsheetml/2006/main" count="27100" uniqueCount="368">
  <si>
    <t xml:space="preserve">項目</t>
  </si>
  <si>
    <t xml:space="preserve">內容</t>
  </si>
  <si>
    <t xml:space="preserve">已完成配準資料集數</t>
  </si>
  <si>
    <t xml:space="preserve">已完成配準資料集</t>
  </si>
  <si>
    <t xml:space="preserve">ETH-Trees</t>
  </si>
  <si>
    <t xml:space="preserve">跨資料集配準狀態</t>
  </si>
  <si>
    <t xml:space="preserve">尚未完成：其他原始站點與配準真值待取得</t>
  </si>
  <si>
    <t xml:space="preserve">外部樹木提取驗證</t>
  </si>
  <si>
    <r>
      <rPr>
        <sz val="10"/>
        <rFont val="Arial"/>
        <family val="0"/>
        <charset val="1"/>
      </rPr>
      <t xml:space="preserve">Liang2018 / TreeTool</t>
    </r>
    <r>
      <rPr>
        <sz val="10"/>
        <rFont val="DejaVu Sans"/>
        <family val="2"/>
      </rPr>
      <t xml:space="preserve">處理後六樣區、三設定、</t>
    </r>
    <r>
      <rPr>
        <sz val="10"/>
        <rFont val="Arial"/>
        <family val="0"/>
        <charset val="1"/>
      </rPr>
      <t xml:space="preserve">seed11–20</t>
    </r>
    <r>
      <rPr>
        <sz val="10"/>
        <rFont val="DejaVu Sans"/>
        <family val="2"/>
      </rPr>
      <t xml:space="preserve">；見外部提取工作表</t>
    </r>
  </si>
  <si>
    <r>
      <rPr>
        <sz val="10"/>
        <rFont val="DejaVu Sans"/>
        <family val="2"/>
      </rPr>
      <t xml:space="preserve">本輪</t>
    </r>
    <r>
      <rPr>
        <sz val="10"/>
        <rFont val="Arial"/>
        <family val="0"/>
        <charset val="1"/>
      </rPr>
      <t xml:space="preserve">ETH</t>
    </r>
    <r>
      <rPr>
        <sz val="10"/>
        <rFont val="DejaVu Sans"/>
        <family val="2"/>
      </rPr>
      <t xml:space="preserve">的</t>
    </r>
    <r>
      <rPr>
        <sz val="10"/>
        <rFont val="Arial"/>
        <family val="0"/>
        <charset val="1"/>
      </rPr>
      <t xml:space="preserve">seed</t>
    </r>
  </si>
  <si>
    <r>
      <rPr>
        <sz val="10"/>
        <rFont val="Arial"/>
        <family val="0"/>
        <charset val="1"/>
      </rPr>
      <t xml:space="preserve">11–20</t>
    </r>
    <r>
      <rPr>
        <sz val="10"/>
        <rFont val="DejaVu Sans"/>
        <family val="2"/>
      </rPr>
      <t xml:space="preserve">；篩選使用舊</t>
    </r>
    <r>
      <rPr>
        <sz val="10"/>
        <rFont val="Arial"/>
        <family val="0"/>
        <charset val="1"/>
      </rPr>
      <t xml:space="preserve">seed1–5</t>
    </r>
    <r>
      <rPr>
        <sz val="10"/>
        <rFont val="DejaVu Sans"/>
        <family val="2"/>
      </rPr>
      <t xml:space="preserve">，</t>
    </r>
    <r>
      <rPr>
        <sz val="10"/>
        <rFont val="Arial"/>
        <family val="0"/>
        <charset val="1"/>
      </rPr>
      <t xml:space="preserve">6–10</t>
    </r>
    <r>
      <rPr>
        <sz val="10"/>
        <rFont val="DejaVu Sans"/>
        <family val="2"/>
      </rPr>
      <t xml:space="preserve">另列</t>
    </r>
  </si>
  <si>
    <t xml:space="preserve">成功定義</t>
  </si>
  <si>
    <r>
      <rPr>
        <sz val="10"/>
        <rFont val="DejaVu Sans"/>
        <family val="2"/>
      </rPr>
      <t xml:space="preserve">旋轉誤差 </t>
    </r>
    <r>
      <rPr>
        <sz val="10"/>
        <rFont val="Arial"/>
        <family val="0"/>
        <charset val="1"/>
      </rPr>
      <t xml:space="preserve">&lt; 2° </t>
    </r>
    <r>
      <rPr>
        <sz val="10"/>
        <rFont val="DejaVu Sans"/>
        <family val="2"/>
      </rPr>
      <t xml:space="preserve">且平移誤差 </t>
    </r>
    <r>
      <rPr>
        <sz val="10"/>
        <rFont val="Arial"/>
        <family val="0"/>
        <charset val="1"/>
      </rPr>
      <t xml:space="preserve">&lt; 0.5 m</t>
    </r>
  </si>
  <si>
    <t xml:space="preserve">兩站方法</t>
  </si>
  <si>
    <r>
      <rPr>
        <sz val="10"/>
        <rFont val="DejaVu Sans"/>
        <family val="2"/>
      </rPr>
      <t xml:space="preserve">每次只用兩站；控制組</t>
    </r>
    <r>
      <rPr>
        <sz val="10"/>
        <rFont val="Arial"/>
        <family val="0"/>
        <charset val="1"/>
      </rPr>
      <t xml:space="preserve">5 cm</t>
    </r>
    <r>
      <rPr>
        <sz val="10"/>
        <rFont val="DejaVu Sans"/>
        <family val="2"/>
      </rPr>
      <t xml:space="preserve">＋</t>
    </r>
    <r>
      <rPr>
        <sz val="10"/>
        <rFont val="Arial"/>
        <family val="0"/>
        <charset val="1"/>
      </rPr>
      <t xml:space="preserve">SVD</t>
    </r>
    <r>
      <rPr>
        <sz val="10"/>
        <rFont val="DejaVu Sans"/>
        <family val="2"/>
      </rPr>
      <t xml:space="preserve">，候選為固定</t>
    </r>
    <r>
      <rPr>
        <sz val="10"/>
        <rFont val="Arial"/>
        <family val="0"/>
        <charset val="1"/>
      </rPr>
      <t xml:space="preserve">10 cm</t>
    </r>
    <r>
      <rPr>
        <sz val="10"/>
        <rFont val="DejaVu Sans"/>
        <family val="2"/>
      </rPr>
      <t xml:space="preserve">＋配準</t>
    </r>
    <r>
      <rPr>
        <sz val="10"/>
        <rFont val="Arial"/>
        <family val="0"/>
        <charset val="1"/>
      </rPr>
      <t xml:space="preserve">RANSAC</t>
    </r>
  </si>
  <si>
    <t xml:space="preserve">多站方法</t>
  </si>
  <si>
    <t xml:space="preserve">最大生成樹使用同場景全部站；與獨立兩站任務分開解讀</t>
  </si>
  <si>
    <r>
      <rPr>
        <sz val="10"/>
        <rFont val="Arial"/>
        <family val="0"/>
        <charset val="1"/>
      </rPr>
      <t xml:space="preserve">e_p</t>
    </r>
    <r>
      <rPr>
        <sz val="10"/>
        <rFont val="DejaVu Sans"/>
        <family val="2"/>
      </rPr>
      <t xml:space="preserve">定義</t>
    </r>
  </si>
  <si>
    <r>
      <rPr>
        <sz val="10"/>
        <rFont val="Arial"/>
        <family val="0"/>
        <charset val="1"/>
      </rPr>
      <t xml:space="preserve">source</t>
    </r>
    <r>
      <rPr>
        <sz val="10"/>
        <rFont val="DejaVu Sans"/>
        <family val="2"/>
      </rPr>
      <t xml:space="preserve">全部點的平均變換差；表內中位數只對成功案例</t>
    </r>
  </si>
  <si>
    <t xml:space="preserve">新資料策略</t>
  </si>
  <si>
    <r>
      <rPr>
        <sz val="10"/>
        <rFont val="DejaVu Sans"/>
        <family val="2"/>
      </rPr>
      <t xml:space="preserve">使用</t>
    </r>
    <r>
      <rPr>
        <sz val="10"/>
        <rFont val="Arial"/>
        <family val="0"/>
        <charset val="1"/>
      </rPr>
      <t xml:space="preserve">ETH</t>
    </r>
    <r>
      <rPr>
        <sz val="10"/>
        <rFont val="DejaVu Sans"/>
        <family val="2"/>
      </rPr>
      <t xml:space="preserve">固定參數直接套用，不先針對新資料重調</t>
    </r>
  </si>
  <si>
    <r>
      <rPr>
        <sz val="10"/>
        <rFont val="Arial"/>
        <family val="0"/>
        <charset val="1"/>
      </rPr>
      <t xml:space="preserve">ETH</t>
    </r>
    <r>
      <rPr>
        <sz val="10"/>
        <rFont val="DejaVu Sans"/>
        <family val="2"/>
      </rPr>
      <t xml:space="preserve">建議</t>
    </r>
  </si>
  <si>
    <r>
      <rPr>
        <sz val="10"/>
        <rFont val="DejaVu Sans"/>
        <family val="2"/>
      </rPr>
      <t xml:space="preserve">獨立兩站優先</t>
    </r>
    <r>
      <rPr>
        <sz val="10"/>
        <rFont val="Arial"/>
        <family val="0"/>
        <charset val="1"/>
      </rPr>
      <t xml:space="preserve">10cm</t>
    </r>
    <r>
      <rPr>
        <sz val="10"/>
        <rFont val="DejaVu Sans"/>
        <family val="2"/>
      </rPr>
      <t xml:space="preserve">＋配準</t>
    </r>
    <r>
      <rPr>
        <sz val="10"/>
        <rFont val="Arial"/>
        <family val="0"/>
        <charset val="1"/>
      </rPr>
      <t xml:space="preserve">RANSAC</t>
    </r>
    <r>
      <rPr>
        <sz val="10"/>
        <rFont val="DejaVu Sans"/>
        <family val="2"/>
      </rPr>
      <t xml:space="preserve">：</t>
    </r>
    <r>
      <rPr>
        <sz val="10"/>
        <rFont val="Arial"/>
        <family val="0"/>
        <charset val="1"/>
      </rPr>
      <t xml:space="preserve">142/150 (94.7%)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control SVD</t>
    </r>
    <r>
      <rPr>
        <sz val="10"/>
        <rFont val="DejaVu Sans"/>
        <family val="2"/>
      </rPr>
      <t xml:space="preserve">為</t>
    </r>
    <r>
      <rPr>
        <sz val="10"/>
        <rFont val="Arial"/>
        <family val="0"/>
        <charset val="1"/>
      </rPr>
      <t xml:space="preserve">118/150 (78.7%)</t>
    </r>
  </si>
  <si>
    <t xml:space="preserve">多站路徑建議</t>
  </si>
  <si>
    <r>
      <rPr>
        <sz val="10"/>
        <rFont val="DejaVu Sans"/>
        <family val="2"/>
      </rPr>
      <t xml:space="preserve">六站最大生成樹</t>
    </r>
    <r>
      <rPr>
        <sz val="10"/>
        <rFont val="Arial"/>
        <family val="0"/>
        <charset val="1"/>
      </rPr>
      <t xml:space="preserve">150/150</t>
    </r>
    <r>
      <rPr>
        <sz val="10"/>
        <rFont val="DejaVu Sans"/>
        <family val="2"/>
      </rPr>
      <t xml:space="preserve">；需取得全部站點，不與獨立兩站作相同條件宣稱</t>
    </r>
  </si>
  <si>
    <t xml:space="preserve">資料缺漏</t>
  </si>
  <si>
    <r>
      <rPr>
        <sz val="10"/>
        <rFont val="DejaVu Sans"/>
        <family val="2"/>
      </rPr>
      <t xml:space="preserve">未下載／未執行列明確標示；不是</t>
    </r>
    <r>
      <rPr>
        <sz val="10"/>
        <rFont val="Arial"/>
        <family val="0"/>
        <charset val="1"/>
      </rPr>
      <t xml:space="preserve">0%</t>
    </r>
    <r>
      <rPr>
        <sz val="10"/>
        <rFont val="DejaVu Sans"/>
        <family val="2"/>
      </rPr>
      <t xml:space="preserve">成功率</t>
    </r>
  </si>
  <si>
    <r>
      <rPr>
        <sz val="10"/>
        <rFont val="Arial"/>
        <family val="0"/>
        <charset val="1"/>
      </rPr>
      <t xml:space="preserve">Git</t>
    </r>
    <r>
      <rPr>
        <sz val="10"/>
        <rFont val="DejaVu Sans"/>
        <family val="2"/>
      </rPr>
      <t xml:space="preserve">基底</t>
    </r>
  </si>
  <si>
    <t xml:space="preserve">18a26c39e11101c6d8914db96c592482e73307bf</t>
  </si>
  <si>
    <r>
      <rPr>
        <sz val="10"/>
        <rFont val="Arial"/>
        <family val="0"/>
        <charset val="1"/>
      </rPr>
      <t xml:space="preserve">Git</t>
    </r>
    <r>
      <rPr>
        <sz val="10"/>
        <rFont val="DejaVu Sans"/>
        <family val="2"/>
      </rPr>
      <t xml:space="preserve">分支</t>
    </r>
  </si>
  <si>
    <t xml:space="preserve">experiment/eth-tuning-20261025</t>
  </si>
  <si>
    <t xml:space="preserve">外部提取結論</t>
  </si>
  <si>
    <r>
      <rPr>
        <sz val="10"/>
        <rFont val="DejaVu Sans"/>
        <family val="2"/>
      </rPr>
      <t xml:space="preserve">六樣區等權參考匹配比例：</t>
    </r>
    <r>
      <rPr>
        <sz val="10"/>
        <rFont val="Arial"/>
        <family val="0"/>
        <charset val="1"/>
      </rPr>
      <t xml:space="preserve">control 38.34%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vertical085 34.94%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ransac999 38.52%</t>
    </r>
    <r>
      <rPr>
        <sz val="10"/>
        <rFont val="DejaVu Sans"/>
        <family val="2"/>
      </rPr>
      <t xml:space="preserve">。保留垂直度</t>
    </r>
    <r>
      <rPr>
        <sz val="10"/>
        <rFont val="Arial"/>
        <family val="0"/>
        <charset val="1"/>
      </rPr>
      <t xml:space="preserve">0.90</t>
    </r>
    <r>
      <rPr>
        <sz val="10"/>
        <rFont val="DejaVu Sans"/>
        <family val="2"/>
      </rPr>
      <t xml:space="preserve">；增加圓柱擬合資源的改善有限。</t>
    </r>
  </si>
  <si>
    <t xml:space="preserve">後續優先順序</t>
  </si>
  <si>
    <r>
      <rPr>
        <sz val="10"/>
        <rFont val="DejaVu Sans"/>
        <family val="2"/>
      </rPr>
      <t xml:space="preserve">取得原始分站資料與配準真值，驗證固定</t>
    </r>
    <r>
      <rPr>
        <sz val="10"/>
        <rFont val="Arial"/>
        <family val="0"/>
        <charset val="1"/>
      </rPr>
      <t xml:space="preserve">10cm</t>
    </r>
    <r>
      <rPr>
        <sz val="10"/>
        <rFont val="DejaVu Sans"/>
        <family val="2"/>
      </rPr>
      <t xml:space="preserve">＋配準</t>
    </r>
    <r>
      <rPr>
        <sz val="10"/>
        <rFont val="Arial"/>
        <family val="0"/>
        <charset val="1"/>
      </rPr>
      <t xml:space="preserve">RANSAC</t>
    </r>
    <r>
      <rPr>
        <sz val="10"/>
        <rFont val="DejaVu Sans"/>
        <family val="2"/>
      </rPr>
      <t xml:space="preserve">；提取先檢查漏樹原因、感測器原點與標註範圍。</t>
    </r>
  </si>
  <si>
    <t xml:space="preserve">資料集</t>
  </si>
  <si>
    <t xml:space="preserve">場景</t>
  </si>
  <si>
    <t xml:space="preserve">任務</t>
  </si>
  <si>
    <t xml:space="preserve">方法代碼</t>
  </si>
  <si>
    <t xml:space="preserve">solver</t>
  </si>
  <si>
    <t xml:space="preserve">seed</t>
  </si>
  <si>
    <t xml:space="preserve">pair</t>
  </si>
  <si>
    <t xml:space="preserve">官方配對</t>
  </si>
  <si>
    <t xml:space="preserve">求得變換</t>
  </si>
  <si>
    <t xml:space="preserve">成功</t>
  </si>
  <si>
    <r>
      <rPr>
        <b val="true"/>
        <sz val="10"/>
        <rFont val="DejaVu Sans"/>
        <family val="2"/>
      </rPr>
      <t xml:space="preserve">旋轉誤差</t>
    </r>
    <r>
      <rPr>
        <b val="true"/>
        <sz val="10"/>
        <rFont val="Arial"/>
        <family val="0"/>
        <charset val="1"/>
      </rPr>
      <t xml:space="preserve">°</t>
    </r>
  </si>
  <si>
    <r>
      <rPr>
        <b val="true"/>
        <sz val="10"/>
        <rFont val="DejaVu Sans"/>
        <family val="2"/>
      </rPr>
      <t xml:space="preserve">平移誤差</t>
    </r>
    <r>
      <rPr>
        <b val="true"/>
        <sz val="10"/>
        <rFont val="Arial"/>
        <family val="0"/>
        <charset val="1"/>
      </rPr>
      <t xml:space="preserve">m</t>
    </r>
  </si>
  <si>
    <t xml:space="preserve">e_p m</t>
  </si>
  <si>
    <r>
      <rPr>
        <b val="true"/>
        <sz val="10"/>
        <rFont val="Arial"/>
        <family val="0"/>
        <charset val="1"/>
      </rPr>
      <t xml:space="preserve">CN</t>
    </r>
    <r>
      <rPr>
        <b val="true"/>
        <sz val="10"/>
        <rFont val="DejaVu Sans"/>
        <family val="2"/>
      </rPr>
      <t xml:space="preserve">匹配數</t>
    </r>
  </si>
  <si>
    <r>
      <rPr>
        <b val="true"/>
        <sz val="10"/>
        <rFont val="Arial"/>
        <family val="0"/>
        <charset val="1"/>
      </rPr>
      <t xml:space="preserve">GT</t>
    </r>
    <r>
      <rPr>
        <b val="true"/>
        <sz val="10"/>
        <rFont val="DejaVu Sans"/>
        <family val="2"/>
      </rPr>
      <t xml:space="preserve">正確匹配數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僅評分</t>
    </r>
    <r>
      <rPr>
        <b val="true"/>
        <sz val="10"/>
        <rFont val="Arial"/>
        <family val="0"/>
        <charset val="1"/>
      </rPr>
      <t xml:space="preserve">)</t>
    </r>
  </si>
  <si>
    <t xml:space="preserve">RANSAC inliers</t>
  </si>
  <si>
    <t xml:space="preserve">多站路徑</t>
  </si>
  <si>
    <r>
      <rPr>
        <b val="true"/>
        <sz val="10"/>
        <rFont val="DejaVu Sans"/>
        <family val="2"/>
      </rPr>
      <t xml:space="preserve">匹配＋求解</t>
    </r>
    <r>
      <rPr>
        <b val="true"/>
        <sz val="10"/>
        <rFont val="Arial"/>
        <family val="0"/>
        <charset val="1"/>
      </rPr>
      <t xml:space="preserve">ms</t>
    </r>
  </si>
  <si>
    <t xml:space="preserve">擷取設定</t>
  </si>
  <si>
    <t xml:space="preserve">結果來源</t>
  </si>
  <si>
    <t xml:space="preserve">Trees</t>
  </si>
  <si>
    <t xml:space="preserve">兩站</t>
  </si>
  <si>
    <t xml:space="preserve">fresh_control</t>
  </si>
  <si>
    <t xml:space="preserve">svd</t>
  </si>
  <si>
    <t xml:space="preserve">s1-s2</t>
  </si>
  <si>
    <t xml:space="preserve">control</t>
  </si>
  <si>
    <t xml:space="preserve">results/eth_trees/tuning_20261025/runs/fresh_rows.csv</t>
  </si>
  <si>
    <t xml:space="preserve">svd+ransac</t>
  </si>
  <si>
    <t xml:space="preserve">s1-s3</t>
  </si>
  <si>
    <t xml:space="preserve">s1-s4</t>
  </si>
  <si>
    <t xml:space="preserve">s1-s5</t>
  </si>
  <si>
    <t xml:space="preserve">s1-s6</t>
  </si>
  <si>
    <t xml:space="preserve">s2-s3</t>
  </si>
  <si>
    <t xml:space="preserve">s2-s4</t>
  </si>
  <si>
    <t xml:space="preserve">s2-s5</t>
  </si>
  <si>
    <t xml:space="preserve">s2-s6</t>
  </si>
  <si>
    <t xml:space="preserve">s3-s4</t>
  </si>
  <si>
    <t xml:space="preserve">s3-s5</t>
  </si>
  <si>
    <t xml:space="preserve">s3-s6</t>
  </si>
  <si>
    <t xml:space="preserve">s4-s5</t>
  </si>
  <si>
    <t xml:space="preserve">s4-s6</t>
  </si>
  <si>
    <t xml:space="preserve">s5-s6</t>
  </si>
  <si>
    <t xml:space="preserve">fresh_matching</t>
  </si>
  <si>
    <t xml:space="preserve">fresh_vertical085</t>
  </si>
  <si>
    <t xml:space="preserve">vertical085</t>
  </si>
  <si>
    <t xml:space="preserve">fresh_vertical085_matching</t>
  </si>
  <si>
    <t xml:space="preserve">fresh_ransac999</t>
  </si>
  <si>
    <t xml:space="preserve">ransac999</t>
  </si>
  <si>
    <t xml:space="preserve">fresh_ransac999_matching</t>
  </si>
  <si>
    <t xml:space="preserve">多站</t>
  </si>
  <si>
    <t xml:space="preserve">graph_mst</t>
  </si>
  <si>
    <t xml:space="preserve">s1&gt;s2</t>
  </si>
  <si>
    <t xml:space="preserve">results/eth_trees/tuning_20261025/runs/graph_rows.csv</t>
  </si>
  <si>
    <t xml:space="preserve">s1&gt;s2&gt;s5&gt;s4&gt;s3</t>
  </si>
  <si>
    <t xml:space="preserve">s1&gt;s2&gt;s5&gt;s4</t>
  </si>
  <si>
    <t xml:space="preserve">s1&gt;s2&gt;s5</t>
  </si>
  <si>
    <t xml:space="preserve">s1&gt;s2&gt;s5&gt;s4&gt;s6</t>
  </si>
  <si>
    <t xml:space="preserve">s2&gt;s5&gt;s4&gt;s3</t>
  </si>
  <si>
    <t xml:space="preserve">s2&gt;s5&gt;s4</t>
  </si>
  <si>
    <t xml:space="preserve">s2&gt;s5</t>
  </si>
  <si>
    <t xml:space="preserve">s2&gt;s5&gt;s4&gt;s6</t>
  </si>
  <si>
    <t xml:space="preserve">s3&gt;s4</t>
  </si>
  <si>
    <t xml:space="preserve">s3&gt;s4&gt;s5</t>
  </si>
  <si>
    <t xml:space="preserve">s3&gt;s4&gt;s6</t>
  </si>
  <si>
    <t xml:space="preserve">s4&gt;s5</t>
  </si>
  <si>
    <t xml:space="preserve">s4&gt;s6</t>
  </si>
  <si>
    <t xml:space="preserve">s5&gt;s4&gt;s6</t>
  </si>
  <si>
    <t xml:space="preserve">s1&gt;s2&gt;s3</t>
  </si>
  <si>
    <t xml:space="preserve">s1&gt;s2&gt;s3&gt;s5&gt;s4</t>
  </si>
  <si>
    <t xml:space="preserve">s1&gt;s2&gt;s3&gt;s5</t>
  </si>
  <si>
    <t xml:space="preserve">s1&gt;s2&gt;s3&gt;s5&gt;s6</t>
  </si>
  <si>
    <t xml:space="preserve">s2&gt;s3</t>
  </si>
  <si>
    <t xml:space="preserve">s2&gt;s3&gt;s5&gt;s4</t>
  </si>
  <si>
    <t xml:space="preserve">s2&gt;s3&gt;s5</t>
  </si>
  <si>
    <t xml:space="preserve">s2&gt;s3&gt;s5&gt;s6</t>
  </si>
  <si>
    <t xml:space="preserve">s3&gt;s5&gt;s4</t>
  </si>
  <si>
    <t xml:space="preserve">s3&gt;s5</t>
  </si>
  <si>
    <t xml:space="preserve">s3&gt;s5&gt;s6</t>
  </si>
  <si>
    <t xml:space="preserve">s4&gt;s5&gt;s6</t>
  </si>
  <si>
    <t xml:space="preserve">s5&gt;s6</t>
  </si>
  <si>
    <t xml:space="preserve">s1&gt;s2&gt;s3&gt;s4</t>
  </si>
  <si>
    <t xml:space="preserve">s1&gt;s2&gt;s3&gt;s4&gt;s5</t>
  </si>
  <si>
    <t xml:space="preserve">s1&gt;s2&gt;s3&gt;s4&gt;s6</t>
  </si>
  <si>
    <t xml:space="preserve">s2&gt;s3&gt;s4</t>
  </si>
  <si>
    <t xml:space="preserve">s2&gt;s3&gt;s4&gt;s5</t>
  </si>
  <si>
    <t xml:space="preserve">s2&gt;s3&gt;s4&gt;s6</t>
  </si>
  <si>
    <t xml:space="preserve">s1&gt;s3&gt;s2</t>
  </si>
  <si>
    <t xml:space="preserve">s1&gt;s3</t>
  </si>
  <si>
    <t xml:space="preserve">s1&gt;s3&gt;s5&gt;s4</t>
  </si>
  <si>
    <t xml:space="preserve">s1&gt;s3&gt;s5</t>
  </si>
  <si>
    <t xml:space="preserve">s1&gt;s3&gt;s5&gt;s4&gt;s6</t>
  </si>
  <si>
    <t xml:space="preserve">s2&gt;s3&gt;s5&gt;s4&gt;s6</t>
  </si>
  <si>
    <t xml:space="preserve">s3&gt;s5&gt;s4&gt;s6</t>
  </si>
  <si>
    <t xml:space="preserve">s1&gt;s3&gt;s5&gt;s6</t>
  </si>
  <si>
    <t xml:space="preserve">s1&gt;s2&gt;s3&gt;s4&gt;s6&gt;s5</t>
  </si>
  <si>
    <t xml:space="preserve">s2&gt;s3&gt;s4&gt;s6&gt;s5</t>
  </si>
  <si>
    <t xml:space="preserve">s3&gt;s4&gt;s6&gt;s5</t>
  </si>
  <si>
    <t xml:space="preserve">s4&gt;s6&gt;s5</t>
  </si>
  <si>
    <t xml:space="preserve">s1&gt;s2&gt;s6&gt;s5&gt;s4</t>
  </si>
  <si>
    <t xml:space="preserve">s1&gt;s2&gt;s6&gt;s5</t>
  </si>
  <si>
    <t xml:space="preserve">s1&gt;s2&gt;s6</t>
  </si>
  <si>
    <t xml:space="preserve">s2&gt;s6&gt;s5&gt;s4</t>
  </si>
  <si>
    <t xml:space="preserve">s2&gt;s6&gt;s5</t>
  </si>
  <si>
    <t xml:space="preserve">s2&gt;s6</t>
  </si>
  <si>
    <t xml:space="preserve">s3&gt;s2&gt;s6&gt;s5&gt;s4</t>
  </si>
  <si>
    <t xml:space="preserve">s3&gt;s2&gt;s6&gt;s5</t>
  </si>
  <si>
    <t xml:space="preserve">s3&gt;s2&gt;s6</t>
  </si>
  <si>
    <t xml:space="preserve">s2&gt;s1&gt;s3</t>
  </si>
  <si>
    <t xml:space="preserve">s2&gt;s1&gt;s3&gt;s5&gt;s4</t>
  </si>
  <si>
    <t xml:space="preserve">s2&gt;s1&gt;s3&gt;s5</t>
  </si>
  <si>
    <t xml:space="preserve">s2&gt;s1&gt;s3&gt;s5&gt;s4&gt;s6</t>
  </si>
  <si>
    <t xml:space="preserve">s3&gt;s1&gt;s2&gt;s5&gt;s4</t>
  </si>
  <si>
    <t xml:space="preserve">s3&gt;s1&gt;s2&gt;s5</t>
  </si>
  <si>
    <t xml:space="preserve">s3&gt;s1&gt;s2&gt;s5&gt;s4&gt;s6</t>
  </si>
  <si>
    <t xml:space="preserve">source</t>
  </si>
  <si>
    <t xml:space="preserve">target</t>
  </si>
  <si>
    <t xml:space="preserve">r00</t>
  </si>
  <si>
    <t xml:space="preserve">r01</t>
  </si>
  <si>
    <t xml:space="preserve">r02</t>
  </si>
  <si>
    <t xml:space="preserve">r10</t>
  </si>
  <si>
    <t xml:space="preserve">r11</t>
  </si>
  <si>
    <t xml:space="preserve">r12</t>
  </si>
  <si>
    <t xml:space="preserve">r20</t>
  </si>
  <si>
    <t xml:space="preserve">r21</t>
  </si>
  <si>
    <t xml:space="preserve">r22</t>
  </si>
  <si>
    <t xml:space="preserve">t0</t>
  </si>
  <si>
    <t xml:space="preserve">t1</t>
  </si>
  <si>
    <t xml:space="preserve">t2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</si>
  <si>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</si>
  <si>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</si>
  <si>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</si>
  <si>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</si>
  <si>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</si>
  <si>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</si>
  <si>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案例數</t>
  </si>
  <si>
    <t xml:space="preserve">成功數</t>
  </si>
  <si>
    <t xml:space="preserve">成功率</t>
  </si>
  <si>
    <t xml:space="preserve">官方案例數</t>
  </si>
  <si>
    <t xml:space="preserve">官方成功數</t>
  </si>
  <si>
    <t xml:space="preserve">官方成功率</t>
  </si>
  <si>
    <r>
      <rPr>
        <b val="true"/>
        <sz val="10"/>
        <rFont val="DejaVu Sans"/>
        <family val="2"/>
      </rPr>
      <t xml:space="preserve">成功</t>
    </r>
    <r>
      <rPr>
        <b val="true"/>
        <sz val="10"/>
        <rFont val="Arial"/>
        <family val="0"/>
        <charset val="1"/>
      </rPr>
      <t xml:space="preserve">e_p</t>
    </r>
    <r>
      <rPr>
        <b val="true"/>
        <sz val="10"/>
        <rFont val="DejaVu Sans"/>
        <family val="2"/>
      </rPr>
      <t xml:space="preserve">中位數</t>
    </r>
    <r>
      <rPr>
        <b val="true"/>
        <sz val="10"/>
        <rFont val="Arial"/>
        <family val="0"/>
        <charset val="1"/>
      </rPr>
      <t xml:space="preserve">m</t>
    </r>
  </si>
  <si>
    <r>
      <rPr>
        <b val="true"/>
        <sz val="10"/>
        <rFont val="DejaVu Sans"/>
        <family val="2"/>
      </rPr>
      <t xml:space="preserve">每</t>
    </r>
    <r>
      <rPr>
        <b val="true"/>
        <sz val="10"/>
        <rFont val="Arial"/>
        <family val="0"/>
        <charset val="1"/>
      </rPr>
      <t xml:space="preserve">seed</t>
    </r>
    <r>
      <rPr>
        <b val="true"/>
        <sz val="10"/>
        <rFont val="DejaVu Sans"/>
        <family val="2"/>
      </rPr>
      <t xml:space="preserve">成功對數</t>
    </r>
    <r>
      <rPr>
        <b val="true"/>
        <sz val="10"/>
        <rFont val="Arial"/>
        <family val="0"/>
        <charset val="1"/>
      </rPr>
      <t xml:space="preserve">SD</t>
    </r>
  </si>
  <si>
    <t xml:space="preserve">狀態</t>
  </si>
  <si>
    <r>
      <rPr>
        <b val="true"/>
        <sz val="10"/>
        <rFont val="DejaVu Sans"/>
        <family val="2"/>
      </rPr>
      <t xml:space="preserve">匹配＋求解</t>
    </r>
    <r>
      <rPr>
        <b val="true"/>
        <sz val="10"/>
        <rFont val="Arial"/>
        <family val="0"/>
        <charset val="1"/>
      </rPr>
      <t xml:space="preserve">ms</t>
    </r>
    <r>
      <rPr>
        <b val="true"/>
        <sz val="10"/>
        <rFont val="DejaVu Sans"/>
        <family val="2"/>
      </rPr>
      <t xml:space="preserve">中位數</t>
    </r>
  </si>
  <si>
    <t xml:space="preserve">完成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</si>
  <si>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DejaVu Sans"/>
        <family val="2"/>
      </rPr>
      <t xml:space="preserve">成功對數</t>
    </r>
    <r>
      <rPr>
        <b val="true"/>
        <sz val="10"/>
        <rFont val="Arial"/>
        <family val="0"/>
        <charset val="1"/>
      </rPr>
      <t xml:space="preserve">/seed</t>
    </r>
  </si>
  <si>
    <r>
      <rPr>
        <b val="true"/>
        <sz val="10"/>
        <rFont val="DejaVu Sans"/>
        <family val="2"/>
      </rPr>
      <t xml:space="preserve">勝</t>
    </r>
    <r>
      <rPr>
        <b val="true"/>
        <sz val="10"/>
        <rFont val="Arial"/>
        <family val="0"/>
        <charset val="1"/>
      </rPr>
      <t xml:space="preserve">seed</t>
    </r>
    <r>
      <rPr>
        <b val="true"/>
        <sz val="10"/>
        <rFont val="DejaVu Sans"/>
        <family val="2"/>
      </rPr>
      <t xml:space="preserve">數</t>
    </r>
  </si>
  <si>
    <r>
      <rPr>
        <b val="true"/>
        <sz val="10"/>
        <rFont val="DejaVu Sans"/>
        <family val="2"/>
      </rPr>
      <t xml:space="preserve">負</t>
    </r>
    <r>
      <rPr>
        <b val="true"/>
        <sz val="10"/>
        <rFont val="Arial"/>
        <family val="0"/>
        <charset val="1"/>
      </rPr>
      <t xml:space="preserve">seed</t>
    </r>
    <r>
      <rPr>
        <b val="true"/>
        <sz val="10"/>
        <rFont val="DejaVu Sans"/>
        <family val="2"/>
      </rPr>
      <t xml:space="preserve">數</t>
    </r>
  </si>
  <si>
    <r>
      <rPr>
        <b val="true"/>
        <sz val="10"/>
        <rFont val="DejaVu Sans"/>
        <family val="2"/>
      </rPr>
      <t xml:space="preserve">相同</t>
    </r>
    <r>
      <rPr>
        <b val="true"/>
        <sz val="10"/>
        <rFont val="Arial"/>
        <family val="0"/>
        <charset val="1"/>
      </rPr>
      <t xml:space="preserve">seed</t>
    </r>
    <r>
      <rPr>
        <b val="true"/>
        <sz val="10"/>
        <rFont val="DejaVu Sans"/>
        <family val="2"/>
      </rPr>
      <t xml:space="preserve">數</t>
    </r>
  </si>
  <si>
    <r>
      <rPr>
        <b val="true"/>
        <sz val="10"/>
        <rFont val="DejaVu Sans"/>
        <family val="2"/>
      </rPr>
      <t xml:space="preserve">符號檢定</t>
    </r>
    <r>
      <rPr>
        <b val="true"/>
        <sz val="10"/>
        <rFont val="Arial"/>
        <family val="0"/>
        <charset val="1"/>
      </rPr>
      <t xml:space="preserve">p</t>
    </r>
  </si>
  <si>
    <t xml:space="preserve">Bonferroni p</t>
  </si>
  <si>
    <t xml:space="preserve">共同成功案例</t>
  </si>
  <si>
    <r>
      <rPr>
        <b val="true"/>
        <sz val="10"/>
        <rFont val="Arial"/>
        <family val="0"/>
        <charset val="1"/>
      </rPr>
      <t xml:space="preserve">control</t>
    </r>
    <r>
      <rPr>
        <b val="true"/>
        <sz val="10"/>
        <rFont val="DejaVu Sans"/>
        <family val="2"/>
      </rPr>
      <t xml:space="preserve">共同成功</t>
    </r>
    <r>
      <rPr>
        <b val="true"/>
        <sz val="10"/>
        <rFont val="Arial"/>
        <family val="0"/>
        <charset val="1"/>
      </rPr>
      <t xml:space="preserve">e_p</t>
    </r>
  </si>
  <si>
    <r>
      <rPr>
        <b val="true"/>
        <sz val="10"/>
        <rFont val="DejaVu Sans"/>
        <family val="2"/>
      </rPr>
      <t xml:space="preserve">此方法共同成功</t>
    </r>
    <r>
      <rPr>
        <b val="true"/>
        <sz val="10"/>
        <rFont val="Arial"/>
        <family val="0"/>
        <charset val="1"/>
      </rPr>
      <t xml:space="preserve">e_p</t>
    </r>
  </si>
  <si>
    <t xml:space="preserve">Tongji-Trees</t>
  </si>
  <si>
    <t xml:space="preserve">WHU-FGI</t>
  </si>
  <si>
    <t xml:space="preserve">Liang2018</t>
  </si>
  <si>
    <t xml:space="preserve">未執行／待取得資料</t>
  </si>
  <si>
    <r>
      <rPr>
        <b val="true"/>
        <sz val="10"/>
        <rFont val="DejaVu Sans"/>
        <family val="2"/>
      </rPr>
      <t xml:space="preserve">匹配閾值</t>
    </r>
    <r>
      <rPr>
        <b val="true"/>
        <sz val="10"/>
        <rFont val="Arial"/>
        <family val="0"/>
        <charset val="1"/>
      </rPr>
      <t xml:space="preserve">m</t>
    </r>
  </si>
  <si>
    <t xml:space="preserve">N</t>
  </si>
  <si>
    <t xml:space="preserve">w</t>
  </si>
  <si>
    <t xml:space="preserve">Th_score</t>
  </si>
  <si>
    <t xml:space="preserve">min_dc</t>
  </si>
  <si>
    <t xml:space="preserve">cluster m</t>
  </si>
  <si>
    <t xml:space="preserve">verticality</t>
  </si>
  <si>
    <r>
      <rPr>
        <b val="true"/>
        <sz val="10"/>
        <rFont val="DejaVu Sans"/>
        <family val="2"/>
      </rPr>
      <t xml:space="preserve">圓柱</t>
    </r>
    <r>
      <rPr>
        <b val="true"/>
        <sz val="10"/>
        <rFont val="Arial"/>
        <family val="0"/>
        <charset val="1"/>
      </rPr>
      <t xml:space="preserve">prob</t>
    </r>
  </si>
  <si>
    <t xml:space="preserve">圓柱迭代上限</t>
  </si>
  <si>
    <r>
      <rPr>
        <b val="true"/>
        <sz val="10"/>
        <rFont val="DejaVu Sans"/>
        <family val="2"/>
      </rPr>
      <t xml:space="preserve">配準</t>
    </r>
    <r>
      <rPr>
        <b val="true"/>
        <sz val="10"/>
        <rFont val="Arial"/>
        <family val="0"/>
        <charset val="1"/>
      </rPr>
      <t xml:space="preserve">RANSAC inlier m</t>
    </r>
  </si>
  <si>
    <t xml:space="preserve">補充</t>
  </si>
  <si>
    <r>
      <rPr>
        <sz val="10"/>
        <rFont val="DejaVu Sans"/>
        <family val="2"/>
      </rPr>
      <t xml:space="preserve">完整</t>
    </r>
    <r>
      <rPr>
        <sz val="10"/>
        <rFont val="Arial"/>
        <family val="0"/>
        <charset val="1"/>
      </rPr>
      <t xml:space="preserve">6DOF</t>
    </r>
    <r>
      <rPr>
        <sz val="10"/>
        <rFont val="DejaVu Sans"/>
        <family val="2"/>
      </rPr>
      <t xml:space="preserve">；不做</t>
    </r>
    <r>
      <rPr>
        <sz val="10"/>
        <rFont val="Arial"/>
        <family val="0"/>
        <charset val="1"/>
      </rPr>
      <t xml:space="preserve">ICP</t>
    </r>
  </si>
  <si>
    <r>
      <rPr>
        <sz val="10"/>
        <rFont val="DejaVu Sans"/>
        <family val="2"/>
      </rPr>
      <t xml:space="preserve">至少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個</t>
    </r>
    <r>
      <rPr>
        <sz val="10"/>
        <rFont val="Arial"/>
        <family val="0"/>
        <charset val="1"/>
      </rPr>
      <t xml:space="preserve">CN</t>
    </r>
    <r>
      <rPr>
        <sz val="10"/>
        <rFont val="DejaVu Sans"/>
        <family val="2"/>
      </rPr>
      <t xml:space="preserve">配對、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個</t>
    </r>
    <r>
      <rPr>
        <sz val="10"/>
        <rFont val="Arial"/>
        <family val="0"/>
        <charset val="1"/>
      </rPr>
      <t xml:space="preserve">3D</t>
    </r>
    <r>
      <rPr>
        <sz val="10"/>
        <rFont val="DejaVu Sans"/>
        <family val="2"/>
      </rPr>
      <t xml:space="preserve">支持；互為最近鄰距離</t>
    </r>
    <r>
      <rPr>
        <sz val="10"/>
        <rFont val="Arial"/>
        <family val="0"/>
        <charset val="1"/>
      </rPr>
      <t xml:space="preserve">&lt;0.30m</t>
    </r>
    <r>
      <rPr>
        <sz val="10"/>
        <rFont val="DejaVu Sans"/>
        <family val="2"/>
      </rPr>
      <t xml:space="preserve">，中位殘差</t>
    </r>
    <r>
      <rPr>
        <sz val="10"/>
        <rFont val="Arial"/>
        <family val="0"/>
        <charset val="1"/>
      </rPr>
      <t xml:space="preserve">&lt;=0.15m</t>
    </r>
    <r>
      <rPr>
        <sz val="10"/>
        <rFont val="DejaVu Sans"/>
        <family val="2"/>
      </rPr>
      <t xml:space="preserve">；不讀</t>
    </r>
    <r>
      <rPr>
        <sz val="10"/>
        <rFont val="Arial"/>
        <family val="0"/>
        <charset val="1"/>
      </rPr>
      <t xml:space="preserve">GT</t>
    </r>
    <r>
      <rPr>
        <sz val="10"/>
        <rFont val="DejaVu Sans"/>
        <family val="2"/>
      </rPr>
      <t xml:space="preserve">選邊</t>
    </r>
  </si>
  <si>
    <t xml:space="preserve">已可執行配準比較</t>
  </si>
  <si>
    <t xml:space="preserve">已完成</t>
  </si>
  <si>
    <t xml:space="preserve">場景／子集</t>
  </si>
  <si>
    <t xml:space="preserve">已核驗站數</t>
  </si>
  <si>
    <t xml:space="preserve">已核驗點數</t>
  </si>
  <si>
    <t xml:space="preserve">來源頁</t>
  </si>
  <si>
    <t xml:space="preserve">https://ethz.ch/content/dam/ethz/special-interest/baug/igp/photogrammetry-remote-sensing-dam/documents/sourcecode-and-datasets/PascalTheiler/trees.zip</t>
  </si>
  <si>
    <r>
      <rPr>
        <sz val="10"/>
        <rFont val="DejaVu Sans"/>
        <family val="2"/>
      </rPr>
      <t xml:space="preserve">本地核驗</t>
    </r>
    <r>
      <rPr>
        <sz val="10"/>
        <rFont val="Arial"/>
        <family val="0"/>
        <charset val="1"/>
      </rPr>
      <t xml:space="preserve">SHA256</t>
    </r>
  </si>
  <si>
    <t xml:space="preserve">ecb3f5e8791804341a3e7837c29f25789987c99fdf575aa3ebfbfd67d3acd37c</t>
  </si>
  <si>
    <t xml:space="preserve">引用</t>
  </si>
  <si>
    <t xml:space="preserve">Theiler et al., ISPRS J. 109 (2015); CircularMatch [11]</t>
  </si>
  <si>
    <t xml:space="preserve">未執行：官方要求申請下載連結</t>
  </si>
  <si>
    <t xml:space="preserve">https://github.com/zexinyang/GlobalMatch</t>
  </si>
  <si>
    <t xml:space="preserve">原始下載候選</t>
  </si>
  <si>
    <t xml:space="preserve">https://forms.gle/c8BXMHYTqd1iULBv8</t>
  </si>
  <si>
    <t xml:space="preserve">Wang et al., GlobalMatch, ISPRS J. 197 (2023); CircularMatch [9]</t>
  </si>
  <si>
    <r>
      <rPr>
        <sz val="10"/>
        <rFont val="DejaVu Sans"/>
        <family val="2"/>
      </rPr>
      <t xml:space="preserve">未執行：公開整理版已下載，但不含</t>
    </r>
    <r>
      <rPr>
        <sz val="10"/>
        <rFont val="Arial"/>
        <family val="0"/>
        <charset val="1"/>
      </rPr>
      <t xml:space="preserve">FGI-Forest</t>
    </r>
  </si>
  <si>
    <r>
      <rPr>
        <sz val="10"/>
        <rFont val="Arial"/>
        <family val="0"/>
        <charset val="1"/>
      </rPr>
      <t xml:space="preserve">FGI-Forest</t>
    </r>
    <r>
      <rPr>
        <sz val="10"/>
        <rFont val="DejaVu Sans"/>
        <family val="2"/>
      </rPr>
      <t xml:space="preserve">（待核驗）</t>
    </r>
  </si>
  <si>
    <t xml:space="preserve">https://github.com/WHU-USI3DV/WHU-TLS</t>
  </si>
  <si>
    <t xml:space="preserve">https://drive.google.com/file/d/1QjlxIVMQPinNWt5LKhtaG9TTo2j3TGs_/view</t>
  </si>
  <si>
    <t xml:space="preserve">Dong et al., ISPRS J. 163 (2020); CircularMatch [12]</t>
  </si>
  <si>
    <t xml:space="preserve">補充來源</t>
  </si>
  <si>
    <t xml:space="preserve">https://github.com/HpWang-whu/YOHO#-dataset--pretrained-model</t>
  </si>
  <si>
    <t xml:space="preserve">注意</t>
  </si>
  <si>
    <r>
      <rPr>
        <sz val="10"/>
        <rFont val="DejaVu Sans"/>
        <family val="2"/>
      </rPr>
      <t xml:space="preserve">已取得</t>
    </r>
    <r>
      <rPr>
        <sz val="10"/>
        <rFont val="Arial"/>
        <family val="0"/>
        <charset val="1"/>
      </rPr>
      <t xml:space="preserve">YOHO</t>
    </r>
    <r>
      <rPr>
        <sz val="10"/>
        <rFont val="DejaVu Sans"/>
        <family val="2"/>
      </rPr>
      <t xml:space="preserve">公開</t>
    </r>
    <r>
      <rPr>
        <sz val="10"/>
        <rFont val="Arial"/>
        <family val="0"/>
        <charset val="1"/>
      </rPr>
      <t xml:space="preserve">WHU-TLS.tar.gz</t>
    </r>
    <r>
      <rPr>
        <sz val="10"/>
        <rFont val="DejaVu Sans"/>
        <family val="2"/>
      </rPr>
      <t xml:space="preserve">，</t>
    </r>
    <r>
      <rPr>
        <sz val="10"/>
        <rFont val="Arial"/>
        <family val="0"/>
        <charset val="1"/>
      </rPr>
      <t xml:space="preserve">387437741 bytes</t>
    </r>
    <r>
      <rPr>
        <sz val="10"/>
        <rFont val="DejaVu Sans"/>
        <family val="2"/>
      </rPr>
      <t xml:space="preserve">，</t>
    </r>
    <r>
      <rPr>
        <sz val="10"/>
        <rFont val="Arial"/>
        <family val="0"/>
        <charset val="1"/>
      </rPr>
      <t xml:space="preserve">SHA256 33a7a29577faa631c2a3bec828f9552182dbcbfd0da67ce572c8c28df60caf0a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gzip CRC</t>
    </r>
    <r>
      <rPr>
        <sz val="10"/>
        <rFont val="DejaVu Sans"/>
        <family val="2"/>
      </rPr>
      <t xml:space="preserve">已驗證。內容只有</t>
    </r>
    <r>
      <rPr>
        <sz val="10"/>
        <rFont val="Arial"/>
        <family val="0"/>
        <charset val="1"/>
      </rPr>
      <t xml:space="preserve">Campus/Mountain/Park/RiverBank/Tunnel/UndergroundExcavation</t>
    </r>
    <r>
      <rPr>
        <sz val="10"/>
        <rFont val="DejaVu Sans"/>
        <family val="2"/>
      </rPr>
      <t xml:space="preserve">，未含</t>
    </r>
    <r>
      <rPr>
        <sz val="10"/>
        <rFont val="Arial"/>
        <family val="0"/>
        <charset val="1"/>
      </rPr>
      <t xml:space="preserve">FGI-Forest</t>
    </r>
    <r>
      <rPr>
        <sz val="10"/>
        <rFont val="DejaVu Sans"/>
        <family val="2"/>
      </rPr>
      <t xml:space="preserve">；不能用這些場景代替論文</t>
    </r>
    <r>
      <rPr>
        <sz val="10"/>
        <rFont val="Arial"/>
        <family val="0"/>
        <charset val="1"/>
      </rPr>
      <t xml:space="preserve">FGI</t>
    </r>
    <r>
      <rPr>
        <sz val="10"/>
        <rFont val="DejaVu Sans"/>
        <family val="2"/>
      </rPr>
      <t xml:space="preserve">。</t>
    </r>
  </si>
  <si>
    <t xml:space="preserve">已取得森林點雲</t>
  </si>
  <si>
    <t xml:space="preserve">外部提取驗證完成</t>
  </si>
  <si>
    <r>
      <rPr>
        <sz val="10"/>
        <rFont val="DejaVu Sans"/>
        <family val="2"/>
      </rPr>
      <t xml:space="preserve">固定參數提取驗證</t>
    </r>
    <r>
      <rPr>
        <sz val="10"/>
        <rFont val="Arial"/>
        <family val="0"/>
        <charset val="1"/>
      </rPr>
      <t xml:space="preserve">180</t>
    </r>
    <r>
      <rPr>
        <sz val="10"/>
        <rFont val="DejaVu Sans"/>
        <family val="2"/>
      </rPr>
      <t xml:space="preserve">次已完成；配準缺少分站與真值</t>
    </r>
  </si>
  <si>
    <r>
      <rPr>
        <sz val="10"/>
        <rFont val="Arial"/>
        <family val="0"/>
        <charset val="1"/>
      </rPr>
      <t xml:space="preserve">TreeTool</t>
    </r>
    <r>
      <rPr>
        <sz val="10"/>
        <rFont val="DejaVu Sans"/>
        <family val="2"/>
      </rPr>
      <t xml:space="preserve">處理後六樣區；原始分站資料待取得</t>
    </r>
  </si>
  <si>
    <t xml:space="preserve">https://laserscanning.fi/results-available-for-international-benchmarking-of-terrestrial-laser-scanning-methods/</t>
  </si>
  <si>
    <t xml:space="preserve">https://helsinkifi-my.sharepoint.com/:f:/g/personal/jpyorala_ad_helsinki_fi/EvL7Zbq8VOpCqWMViRlswsIB06GH3HyOAQ1rupwb3fOEXg?e=KdWmd7</t>
  </si>
  <si>
    <t xml:space="preserve">已取得處理版下載</t>
  </si>
  <si>
    <t xml:space="preserve">https://drive.google.com/drive/folders/1AhYd8pwCrTAJCV4OIc9MWot8tjNgIJSx</t>
  </si>
  <si>
    <t xml:space="preserve">Liang et al., ISPRS J. 144 (2018), DOI 10.1016/j.isprsjprs.2018.06.021; CircularMatch [13]</t>
  </si>
  <si>
    <t xml:space="preserve">https://github.com/porteratzo/TreeTool</t>
  </si>
  <si>
    <r>
      <rPr>
        <sz val="10"/>
        <rFont val="DejaVu Sans"/>
        <family val="2"/>
      </rPr>
      <t xml:space="preserve">已取得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份處理後</t>
    </r>
    <r>
      <rPr>
        <sz val="10"/>
        <rFont val="Arial"/>
        <family val="0"/>
        <charset val="1"/>
      </rPr>
      <t xml:space="preserve">PCD</t>
    </r>
    <r>
      <rPr>
        <sz val="10"/>
        <rFont val="DejaVu Sans"/>
        <family val="2"/>
      </rPr>
      <t xml:space="preserve">及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份</t>
    </r>
    <r>
      <rPr>
        <sz val="10"/>
        <rFont val="Arial"/>
        <family val="0"/>
        <charset val="1"/>
      </rPr>
      <t xml:space="preserve">LHD</t>
    </r>
    <r>
      <rPr>
        <sz val="10"/>
        <rFont val="DejaVu Sans"/>
        <family val="2"/>
      </rPr>
      <t xml:space="preserve">參考樹資料。此版本每樣區僅一份點雲，未附原始站點、姿態或配準真值；可做提取驗證，不能當作完整配準資料。原始作者</t>
    </r>
    <r>
      <rPr>
        <sz val="10"/>
        <rFont val="Arial"/>
        <family val="0"/>
        <charset val="1"/>
      </rPr>
      <t xml:space="preserve">SharePoint</t>
    </r>
    <r>
      <rPr>
        <sz val="10"/>
        <rFont val="DejaVu Sans"/>
        <family val="2"/>
      </rPr>
      <t xml:space="preserve">分享網頁</t>
    </r>
    <r>
      <rPr>
        <sz val="10"/>
        <rFont val="Arial"/>
        <family val="0"/>
        <charset val="1"/>
      </rPr>
      <t xml:space="preserve">403</t>
    </r>
    <r>
      <rPr>
        <sz val="10"/>
        <rFont val="DejaVu Sans"/>
        <family val="2"/>
      </rPr>
      <t xml:space="preserve">、公開</t>
    </r>
    <r>
      <rPr>
        <sz val="10"/>
        <rFont val="Arial"/>
        <family val="0"/>
        <charset val="1"/>
      </rPr>
      <t xml:space="preserve">API401</t>
    </r>
    <r>
      <rPr>
        <sz val="10"/>
        <rFont val="DejaVu Sans"/>
        <family val="2"/>
      </rPr>
      <t xml:space="preserve">。</t>
    </r>
  </si>
  <si>
    <t xml:space="preserve">設定</t>
  </si>
  <si>
    <r>
      <rPr>
        <b val="true"/>
        <sz val="10"/>
        <rFont val="Arial"/>
        <family val="0"/>
        <charset val="1"/>
      </rPr>
      <t xml:space="preserve">seed1–5</t>
    </r>
    <r>
      <rPr>
        <b val="true"/>
        <sz val="10"/>
        <rFont val="DejaVu Sans"/>
        <family val="2"/>
      </rPr>
      <t xml:space="preserve">成功</t>
    </r>
  </si>
  <si>
    <r>
      <rPr>
        <b val="true"/>
        <sz val="10"/>
        <rFont val="Arial"/>
        <family val="0"/>
        <charset val="1"/>
      </rPr>
      <t xml:space="preserve">seed1–5</t>
    </r>
    <r>
      <rPr>
        <b val="true"/>
        <sz val="10"/>
        <rFont val="DejaVu Sans"/>
        <family val="2"/>
      </rPr>
      <t xml:space="preserve">案例</t>
    </r>
  </si>
  <si>
    <r>
      <rPr>
        <b val="true"/>
        <sz val="10"/>
        <rFont val="Arial"/>
        <family val="0"/>
        <charset val="1"/>
      </rPr>
      <t xml:space="preserve">seed6–10</t>
    </r>
    <r>
      <rPr>
        <b val="true"/>
        <sz val="10"/>
        <rFont val="DejaVu Sans"/>
        <family val="2"/>
      </rPr>
      <t xml:space="preserve">成功</t>
    </r>
  </si>
  <si>
    <r>
      <rPr>
        <b val="true"/>
        <sz val="10"/>
        <rFont val="Arial"/>
        <family val="0"/>
        <charset val="1"/>
      </rPr>
      <t xml:space="preserve">seed6–10</t>
    </r>
    <r>
      <rPr>
        <b val="true"/>
        <sz val="10"/>
        <rFont val="DejaVu Sans"/>
        <family val="2"/>
      </rPr>
      <t xml:space="preserve">案例</t>
    </r>
  </si>
  <si>
    <t xml:space="preserve">參數</t>
  </si>
  <si>
    <t xml:space="preserve">{"name": "control", "threshold": 0.05}</t>
  </si>
  <si>
    <t xml:space="preserve">threshold075</t>
  </si>
  <si>
    <t xml:space="preserve">{"name": "threshold075", "threshold": 0.075}</t>
  </si>
  <si>
    <t xml:space="preserve">threshold100</t>
  </si>
  <si>
    <t xml:space="preserve">{"name": "threshold100", "threshold": 0.1}</t>
  </si>
  <si>
    <t xml:space="preserve">score20</t>
  </si>
  <si>
    <t xml:space="preserve">{"name": "score20", "threshold": 0.05, "th_score": 20}</t>
  </si>
  <si>
    <t xml:space="preserve">score60</t>
  </si>
  <si>
    <t xml:space="preserve">{"name": "score60", "threshold": 0.05, "th_score": 60}</t>
  </si>
  <si>
    <t xml:space="preserve">min_dc4</t>
  </si>
  <si>
    <t xml:space="preserve">{"name": "min_dc4", "threshold": 0.05, "min_dc": 4}</t>
  </si>
  <si>
    <t xml:space="preserve">sectors93</t>
  </si>
  <si>
    <t xml:space="preserve">{"name": "sectors93", "threshold": 0.05, "N": 93}</t>
  </si>
  <si>
    <t xml:space="preserve">merge015</t>
  </si>
  <si>
    <t xml:space="preserve">{"name": "merge015", "threshold": 0.05, "merge_radius": 0.15}</t>
  </si>
  <si>
    <t xml:space="preserve">merge030</t>
  </si>
  <si>
    <t xml:space="preserve">{"name": "merge030", "threshold": 0.05, "merge_radius": 0.3}</t>
  </si>
  <si>
    <t xml:space="preserve">站點</t>
  </si>
  <si>
    <r>
      <rPr>
        <b val="true"/>
        <sz val="10"/>
        <rFont val="Arial"/>
        <family val="0"/>
        <charset val="1"/>
      </rPr>
      <t xml:space="preserve">seed</t>
    </r>
    <r>
      <rPr>
        <b val="true"/>
        <sz val="10"/>
        <rFont val="DejaVu Sans"/>
        <family val="2"/>
      </rPr>
      <t xml:space="preserve">數</t>
    </r>
  </si>
  <si>
    <t xml:space="preserve">平均樹數</t>
  </si>
  <si>
    <r>
      <rPr>
        <b val="true"/>
        <sz val="10"/>
        <rFont val="DejaVu Sans"/>
        <family val="2"/>
      </rPr>
      <t xml:space="preserve">樹數</t>
    </r>
    <r>
      <rPr>
        <b val="true"/>
        <sz val="10"/>
        <rFont val="Arial"/>
        <family val="0"/>
        <charset val="1"/>
      </rPr>
      <t xml:space="preserve">SD</t>
    </r>
  </si>
  <si>
    <r>
      <rPr>
        <b val="true"/>
        <sz val="10"/>
        <rFont val="Arial"/>
        <family val="0"/>
        <charset val="1"/>
      </rPr>
      <t xml:space="preserve">10seed</t>
    </r>
    <r>
      <rPr>
        <b val="true"/>
        <sz val="10"/>
        <rFont val="DejaVu Sans"/>
        <family val="2"/>
      </rPr>
      <t xml:space="preserve">批次壁鐘秒</t>
    </r>
  </si>
  <si>
    <t xml:space="preserve">計時條件</t>
  </si>
  <si>
    <t xml:space="preserve">共享前處理、同時有其他工作；非獨占主機效能基準</t>
  </si>
  <si>
    <t xml:space="preserve">採用</t>
  </si>
  <si>
    <r>
      <rPr>
        <b val="true"/>
        <sz val="10"/>
        <rFont val="DejaVu Sans"/>
        <family val="2"/>
      </rPr>
      <t xml:space="preserve">品質</t>
    </r>
    <r>
      <rPr>
        <b val="true"/>
        <sz val="10"/>
        <rFont val="Arial"/>
        <family val="0"/>
        <charset val="1"/>
      </rPr>
      <t xml:space="preserve">score</t>
    </r>
  </si>
  <si>
    <r>
      <rPr>
        <b val="true"/>
        <sz val="10"/>
        <rFont val="Arial"/>
        <family val="0"/>
        <charset val="1"/>
      </rPr>
      <t xml:space="preserve">3D</t>
    </r>
    <r>
      <rPr>
        <b val="true"/>
        <sz val="10"/>
        <rFont val="DejaVu Sans"/>
        <family val="2"/>
      </rPr>
      <t xml:space="preserve">支持點</t>
    </r>
  </si>
  <si>
    <t xml:space="preserve">overlap</t>
  </si>
  <si>
    <r>
      <rPr>
        <b val="true"/>
        <sz val="10"/>
        <rFont val="DejaVu Sans"/>
        <family val="2"/>
      </rPr>
      <t xml:space="preserve">中位殘差</t>
    </r>
    <r>
      <rPr>
        <b val="true"/>
        <sz val="10"/>
        <rFont val="Arial"/>
        <family val="0"/>
        <charset val="1"/>
      </rPr>
      <t xml:space="preserve">m</t>
    </r>
  </si>
  <si>
    <t xml:space="preserve">資料版本</t>
  </si>
  <si>
    <t xml:space="preserve">Plot</t>
  </si>
  <si>
    <t xml:space="preserve">論文使用樣區</t>
  </si>
  <si>
    <t xml:space="preserve">提取設定</t>
  </si>
  <si>
    <t xml:space="preserve">參考樹數</t>
  </si>
  <si>
    <t xml:space="preserve">偵測數</t>
  </si>
  <si>
    <t xml:space="preserve">匹配數</t>
  </si>
  <si>
    <t xml:space="preserve">參考匹配比例</t>
  </si>
  <si>
    <r>
      <rPr>
        <b val="true"/>
        <sz val="10"/>
        <rFont val="DejaVu Sans"/>
        <family val="2"/>
      </rPr>
      <t xml:space="preserve">匹配</t>
    </r>
    <r>
      <rPr>
        <b val="true"/>
        <sz val="10"/>
        <rFont val="Arial"/>
        <family val="0"/>
        <charset val="1"/>
      </rPr>
      <t xml:space="preserve">XY RMSE m</t>
    </r>
  </si>
  <si>
    <r>
      <rPr>
        <b val="true"/>
        <sz val="10"/>
        <rFont val="DejaVu Sans"/>
        <family val="2"/>
      </rPr>
      <t xml:space="preserve">匹配</t>
    </r>
    <r>
      <rPr>
        <b val="true"/>
        <sz val="10"/>
        <rFont val="Arial"/>
        <family val="0"/>
        <charset val="1"/>
      </rPr>
      <t xml:space="preserve">XY</t>
    </r>
    <r>
      <rPr>
        <b val="true"/>
        <sz val="10"/>
        <rFont val="DejaVu Sans"/>
        <family val="2"/>
      </rPr>
      <t xml:space="preserve">中位數</t>
    </r>
    <r>
      <rPr>
        <b val="true"/>
        <sz val="10"/>
        <rFont val="Arial"/>
        <family val="0"/>
        <charset val="1"/>
      </rPr>
      <t xml:space="preserve">m</t>
    </r>
  </si>
  <si>
    <t xml:space="preserve">Liang2018-TreeTool</t>
  </si>
  <si>
    <t xml:space="preserve">平均偵測數</t>
  </si>
  <si>
    <t xml:space="preserve">平均匹配數</t>
  </si>
  <si>
    <t xml:space="preserve">平均參考匹配比例</t>
  </si>
  <si>
    <r>
      <rPr>
        <b val="true"/>
        <sz val="10"/>
        <rFont val="Arial"/>
        <family val="0"/>
        <charset val="1"/>
      </rPr>
      <t xml:space="preserve">seed</t>
    </r>
    <r>
      <rPr>
        <b val="true"/>
        <sz val="10"/>
        <rFont val="DejaVu Sans"/>
        <family val="2"/>
      </rPr>
      <t xml:space="preserve">比例</t>
    </r>
    <r>
      <rPr>
        <b val="true"/>
        <sz val="10"/>
        <rFont val="Arial"/>
        <family val="0"/>
        <charset val="1"/>
      </rPr>
      <t xml:space="preserve">SD</t>
    </r>
  </si>
  <si>
    <r>
      <rPr>
        <b val="true"/>
        <sz val="10"/>
        <rFont val="DejaVu Sans"/>
        <family val="2"/>
      </rPr>
      <t xml:space="preserve">每</t>
    </r>
    <r>
      <rPr>
        <b val="true"/>
        <sz val="10"/>
        <rFont val="Arial"/>
        <family val="0"/>
        <charset val="1"/>
      </rPr>
      <t xml:space="preserve">seed</t>
    </r>
    <r>
      <rPr>
        <b val="true"/>
        <sz val="10"/>
        <rFont val="DejaVu Sans"/>
        <family val="2"/>
      </rPr>
      <t xml:space="preserve">匹配</t>
    </r>
    <r>
      <rPr>
        <b val="true"/>
        <sz val="10"/>
        <rFont val="Arial"/>
        <family val="0"/>
        <charset val="1"/>
      </rPr>
      <t xml:space="preserve">RMSE</t>
    </r>
    <r>
      <rPr>
        <b val="true"/>
        <sz val="10"/>
        <rFont val="DejaVu Sans"/>
        <family val="2"/>
      </rPr>
      <t xml:space="preserve">中位數</t>
    </r>
    <r>
      <rPr>
        <b val="true"/>
        <sz val="10"/>
        <rFont val="Arial"/>
        <family val="0"/>
        <charset val="1"/>
      </rPr>
      <t xml:space="preserve">m</t>
    </r>
  </si>
  <si>
    <t xml:space="preserve">樣區集合</t>
  </si>
  <si>
    <t xml:space="preserve">樣區數</t>
  </si>
  <si>
    <r>
      <rPr>
        <b val="true"/>
        <sz val="10"/>
        <rFont val="DejaVu Sans"/>
        <family val="2"/>
      </rPr>
      <t xml:space="preserve">每樣區</t>
    </r>
    <r>
      <rPr>
        <b val="true"/>
        <sz val="10"/>
        <rFont val="Arial"/>
        <family val="0"/>
        <charset val="1"/>
      </rPr>
      <t xml:space="preserve">seed</t>
    </r>
    <r>
      <rPr>
        <b val="true"/>
        <sz val="10"/>
        <rFont val="DejaVu Sans"/>
        <family val="2"/>
      </rPr>
      <t xml:space="preserve">數</t>
    </r>
  </si>
  <si>
    <r>
      <rPr>
        <b val="true"/>
        <sz val="10"/>
        <rFont val="DejaVu Sans"/>
        <family val="2"/>
      </rPr>
      <t xml:space="preserve">相對</t>
    </r>
    <r>
      <rPr>
        <b val="true"/>
        <sz val="10"/>
        <rFont val="Arial"/>
        <family val="0"/>
        <charset val="1"/>
      </rPr>
      <t xml:space="preserve">control</t>
    </r>
    <r>
      <rPr>
        <b val="true"/>
        <sz val="10"/>
        <rFont val="DejaVu Sans"/>
        <family val="2"/>
      </rPr>
      <t xml:space="preserve">差值</t>
    </r>
  </si>
  <si>
    <t xml:space="preserve">解讀</t>
  </si>
  <si>
    <t xml:space="preserve">全部六樣區</t>
  </si>
  <si>
    <r>
      <rPr>
        <sz val="10"/>
        <rFont val="DejaVu Sans"/>
        <family val="2"/>
      </rPr>
      <t xml:space="preserve">各樣區等權；固定</t>
    </r>
    <r>
      <rPr>
        <sz val="10"/>
        <rFont val="Arial"/>
        <family val="0"/>
        <charset val="1"/>
      </rPr>
      <t xml:space="preserve">0.5m</t>
    </r>
    <r>
      <rPr>
        <sz val="10"/>
        <rFont val="DejaVu Sans"/>
        <family val="2"/>
      </rPr>
      <t xml:space="preserve">一對一</t>
    </r>
    <r>
      <rPr>
        <sz val="10"/>
        <rFont val="Arial"/>
        <family val="0"/>
        <charset val="1"/>
      </rPr>
      <t xml:space="preserve">XY</t>
    </r>
    <r>
      <rPr>
        <sz val="10"/>
        <rFont val="DejaVu Sans"/>
        <family val="2"/>
      </rPr>
      <t xml:space="preserve">匹配，未調新資料參數</t>
    </r>
  </si>
  <si>
    <r>
      <rPr>
        <sz val="10"/>
        <rFont val="DejaVu Sans"/>
        <family val="2"/>
      </rPr>
      <t xml:space="preserve">論文</t>
    </r>
    <r>
      <rPr>
        <sz val="10"/>
        <rFont val="Arial"/>
        <family val="0"/>
        <charset val="1"/>
      </rPr>
      <t xml:space="preserve">Plot1/3/5</t>
    </r>
  </si>
  <si>
    <t xml:space="preserve">版本</t>
  </si>
  <si>
    <r>
      <rPr>
        <sz val="10"/>
        <rFont val="Arial"/>
        <family val="0"/>
        <charset val="1"/>
      </rPr>
      <t xml:space="preserve">TreeTool</t>
    </r>
    <r>
      <rPr>
        <sz val="10"/>
        <rFont val="DejaVu Sans"/>
        <family val="2"/>
      </rPr>
      <t xml:space="preserve">公開處理後</t>
    </r>
    <r>
      <rPr>
        <sz val="10"/>
        <rFont val="Arial"/>
        <family val="0"/>
        <charset val="1"/>
      </rPr>
      <t xml:space="preserve">PCD</t>
    </r>
    <r>
      <rPr>
        <sz val="10"/>
        <rFont val="DejaVu Sans"/>
        <family val="2"/>
      </rPr>
      <t xml:space="preserve">，每樣區一份；不是原始分站掃描</t>
    </r>
  </si>
  <si>
    <t xml:space="preserve">原點</t>
  </si>
  <si>
    <r>
      <rPr>
        <sz val="10"/>
        <rFont val="DejaVu Sans"/>
        <family val="2"/>
      </rPr>
      <t xml:space="preserve">沿用</t>
    </r>
    <r>
      <rPr>
        <sz val="10"/>
        <rFont val="Arial"/>
        <family val="0"/>
        <charset val="1"/>
      </rPr>
      <t xml:space="preserve">PCD VIEWPOINT</t>
    </r>
    <r>
      <rPr>
        <sz val="10"/>
        <rFont val="DejaVu Sans"/>
        <family val="2"/>
      </rPr>
      <t xml:space="preserve">零原點；角度格網檢查不能獨立確認真實掃描中心</t>
    </r>
  </si>
  <si>
    <t xml:space="preserve">匹配</t>
  </si>
  <si>
    <r>
      <rPr>
        <sz val="10"/>
        <rFont val="DejaVu Sans"/>
        <family val="2"/>
      </rPr>
      <t xml:space="preserve">參考檔欄位</t>
    </r>
    <r>
      <rPr>
        <sz val="10"/>
        <rFont val="Arial"/>
        <family val="0"/>
        <charset val="1"/>
      </rPr>
      <t xml:space="preserve">TreeID/X/Y/height/diameter</t>
    </r>
    <r>
      <rPr>
        <sz val="10"/>
        <rFont val="DejaVu Sans"/>
        <family val="2"/>
      </rPr>
      <t xml:space="preserve">；地面樹位與參考</t>
    </r>
    <r>
      <rPr>
        <sz val="10"/>
        <rFont val="Arial"/>
        <family val="0"/>
        <charset val="1"/>
      </rPr>
      <t xml:space="preserve">XY</t>
    </r>
    <r>
      <rPr>
        <sz val="10"/>
        <rFont val="DejaVu Sans"/>
        <family val="2"/>
      </rPr>
      <t xml:space="preserve">，一對一最大匹配數，閾值</t>
    </r>
    <r>
      <rPr>
        <sz val="10"/>
        <rFont val="Arial"/>
        <family val="0"/>
        <charset val="1"/>
      </rPr>
      <t xml:space="preserve">0.5m</t>
    </r>
  </si>
  <si>
    <t xml:space="preserve">主要指標</t>
  </si>
  <si>
    <r>
      <rPr>
        <sz val="10"/>
        <rFont val="DejaVu Sans"/>
        <family val="2"/>
      </rPr>
      <t xml:space="preserve">匹配參考樹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全部提供的參考樹；六樣區等權平均，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個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是重複擬合</t>
    </r>
  </si>
  <si>
    <r>
      <rPr>
        <sz val="10"/>
        <rFont val="DejaVu Sans"/>
        <family val="2"/>
      </rPr>
      <t xml:space="preserve">未報</t>
    </r>
    <r>
      <rPr>
        <sz val="10"/>
        <rFont val="Arial"/>
        <family val="0"/>
        <charset val="1"/>
      </rPr>
      <t xml:space="preserve">precision</t>
    </r>
  </si>
  <si>
    <t xml:space="preserve">標註範圍不明，未匹配偵測可能位於標註範圍之外，不能直接當誤報</t>
  </si>
  <si>
    <t xml:space="preserve">位置誤差限制</t>
  </si>
  <si>
    <r>
      <rPr>
        <sz val="10"/>
        <rFont val="DejaVu Sans"/>
        <family val="2"/>
      </rPr>
      <t xml:space="preserve">參考</t>
    </r>
    <r>
      <rPr>
        <sz val="10"/>
        <rFont val="Arial"/>
        <family val="0"/>
        <charset val="1"/>
      </rPr>
      <t xml:space="preserve">XY</t>
    </r>
    <r>
      <rPr>
        <sz val="10"/>
        <rFont val="DejaVu Sans"/>
        <family val="2"/>
      </rPr>
      <t xml:space="preserve">錨點高度不明；只列匹配</t>
    </r>
    <r>
      <rPr>
        <sz val="10"/>
        <rFont val="Arial"/>
        <family val="0"/>
        <charset val="1"/>
      </rPr>
      <t xml:space="preserve">XY</t>
    </r>
    <r>
      <rPr>
        <sz val="10"/>
        <rFont val="DejaVu Sans"/>
        <family val="2"/>
      </rPr>
      <t xml:space="preserve">誤差，未評</t>
    </r>
    <r>
      <rPr>
        <sz val="10"/>
        <rFont val="Arial"/>
        <family val="0"/>
        <charset val="1"/>
      </rPr>
      <t xml:space="preserve">DBH/</t>
    </r>
    <r>
      <rPr>
        <sz val="10"/>
        <rFont val="DejaVu Sans"/>
        <family val="2"/>
      </rPr>
      <t xml:space="preserve">高度精度</t>
    </r>
  </si>
  <si>
    <t xml:space="preserve">跨資料集限制</t>
  </si>
  <si>
    <r>
      <rPr>
        <sz val="10"/>
        <rFont val="DejaVu Sans"/>
        <family val="2"/>
      </rPr>
      <t xml:space="preserve">只驗證提取階段；沒有分站配準真值，不能評</t>
    </r>
    <r>
      <rPr>
        <sz val="10"/>
        <rFont val="Arial"/>
        <family val="0"/>
        <charset val="1"/>
      </rPr>
      <t xml:space="preserve">10cm</t>
    </r>
    <r>
      <rPr>
        <sz val="10"/>
        <rFont val="DejaVu Sans"/>
        <family val="2"/>
      </rPr>
      <t xml:space="preserve">匹配參數或多站路徑的外部配準效果</t>
    </r>
  </si>
  <si>
    <t xml:space="preserve">downsampledlesscloudEURO1.pcd</t>
  </si>
  <si>
    <t xml:space="preserve">799e23912f7c2ad02abdd8dc951b29922b2f8a14724e20d173e41fb0a5798689</t>
  </si>
  <si>
    <t xml:space="preserve">TLS_Benchmarking_Plot_1_LHD.txt</t>
  </si>
  <si>
    <t xml:space="preserve">9adb412f73736d0f5887aae50d32a75f1b7f7f68bad2815196e25150ad3ba0b6</t>
  </si>
  <si>
    <t xml:space="preserve">downsampledlesscloudEURO2.pcd</t>
  </si>
  <si>
    <t xml:space="preserve">0f1b53c9c3f1cfb58d503817911fec3b3f3179e3473be7610dabc314337d8357</t>
  </si>
  <si>
    <t xml:space="preserve">TLS_Benchmarking_Plot_2_LHD.txt</t>
  </si>
  <si>
    <t xml:space="preserve">9c740d069b44def28af90121c36ba66dbca325c3d986fccc4d5d33048f069e20</t>
  </si>
  <si>
    <t xml:space="preserve">downsampledlesscloudEURO3.pcd</t>
  </si>
  <si>
    <t xml:space="preserve">3c8ea08990486b651464c665a5dc69b098664467707847e91029ae3aeed227aa</t>
  </si>
  <si>
    <t xml:space="preserve">TLS_Benchmarking_Plot_3_LHD.txt</t>
  </si>
  <si>
    <t xml:space="preserve">fe0bccc464dada65aad62e86a4c63f6d3f2e05cda55b4267a990b656bf1adce5</t>
  </si>
  <si>
    <t xml:space="preserve">downsampledlesscloudEURO4.pcd</t>
  </si>
  <si>
    <t xml:space="preserve">5be971024377dd3e37669c5b3bb3d3f8ecf3fcca46090378a5804471e919cf30</t>
  </si>
  <si>
    <t xml:space="preserve">TLS_Benchmarking_Plot_4_LHD.txt</t>
  </si>
  <si>
    <t xml:space="preserve">bd6c7a7db7833aeb49d3c5cbea33c5d965ef06ed947b7ead093fc46b8b47fb0a</t>
  </si>
  <si>
    <t xml:space="preserve">downsampledlesscloudEURO5.pcd</t>
  </si>
  <si>
    <t xml:space="preserve">c83af621b1f7c39e3f42f9e0f32ccaf34936d1023b3b87cbe00f94705d7fd0c3</t>
  </si>
  <si>
    <t xml:space="preserve">TLS_Benchmarking_Plot_5_LHD.txt</t>
  </si>
  <si>
    <t xml:space="preserve">c39effc97699506d1f6207a4cea6697b778b59332b26904c1d899b04650c9f95</t>
  </si>
  <si>
    <t xml:space="preserve">downsampledlesscloudEURO6.pcd</t>
  </si>
  <si>
    <t xml:space="preserve">52bbf667f32196e64466015cedf9fd443fd66643678756433d425ddd3bfd0930</t>
  </si>
  <si>
    <t xml:space="preserve">TLS_Benchmarking_Plot_6_LHD.txt</t>
  </si>
  <si>
    <t xml:space="preserve">ea65ad37541378fa2b0ceba2ab238f05a55093b27a8737302b666abf983e9498</t>
  </si>
  <si>
    <t xml:space="preserve">說明</t>
  </si>
  <si>
    <t xml:space="preserve">可作的結論</t>
  </si>
  <si>
    <r>
      <rPr>
        <sz val="10"/>
        <rFont val="Arial"/>
        <family val="0"/>
        <charset val="1"/>
      </rPr>
      <t xml:space="preserve">ETH</t>
    </r>
    <r>
      <rPr>
        <sz val="10"/>
        <rFont val="DejaVu Sans"/>
        <family val="2"/>
      </rPr>
      <t xml:space="preserve">新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的配準改善；外部提取工作表列</t>
    </r>
    <r>
      <rPr>
        <sz val="10"/>
        <rFont val="Arial"/>
        <family val="0"/>
        <charset val="1"/>
      </rPr>
      <t xml:space="preserve">Liang</t>
    </r>
    <r>
      <rPr>
        <sz val="10"/>
        <rFont val="DejaVu Sans"/>
        <family val="2"/>
      </rPr>
      <t xml:space="preserve">處理版結果，跨資料集配準尚待原始站點及真值。</t>
    </r>
  </si>
  <si>
    <t xml:space="preserve">不能混用的基準</t>
  </si>
  <si>
    <r>
      <rPr>
        <sz val="10"/>
        <rFont val="DejaVu Sans"/>
        <family val="2"/>
      </rPr>
      <t xml:space="preserve">本輪</t>
    </r>
    <r>
      <rPr>
        <sz val="10"/>
        <rFont val="Arial"/>
        <family val="0"/>
        <charset val="1"/>
      </rPr>
      <t xml:space="preserve">control</t>
    </r>
    <r>
      <rPr>
        <sz val="10"/>
        <rFont val="DejaVu Sans"/>
        <family val="2"/>
      </rPr>
      <t xml:space="preserve">是</t>
    </r>
    <r>
      <rPr>
        <sz val="10"/>
        <rFont val="Arial"/>
        <family val="0"/>
        <charset val="1"/>
      </rPr>
      <t xml:space="preserve">seed11–20</t>
    </r>
    <r>
      <rPr>
        <sz val="10"/>
        <rFont val="DejaVu Sans"/>
        <family val="2"/>
      </rPr>
      <t xml:space="preserve">的</t>
    </r>
    <r>
      <rPr>
        <sz val="10"/>
        <rFont val="Arial"/>
        <family val="0"/>
        <charset val="1"/>
      </rPr>
      <t xml:space="preserve">78.7%</t>
    </r>
    <r>
      <rPr>
        <sz val="10"/>
        <rFont val="DejaVu Sans"/>
        <family val="2"/>
      </rPr>
      <t xml:space="preserve">；不是舊</t>
    </r>
    <r>
      <rPr>
        <sz val="10"/>
        <rFont val="Arial"/>
        <family val="0"/>
        <charset val="1"/>
      </rPr>
      <t xml:space="preserve">seed1–10</t>
    </r>
    <r>
      <rPr>
        <sz val="10"/>
        <rFont val="DejaVu Sans"/>
        <family val="2"/>
      </rPr>
      <t xml:space="preserve">的</t>
    </r>
    <r>
      <rPr>
        <sz val="10"/>
        <rFont val="Arial"/>
        <family val="0"/>
        <charset val="1"/>
      </rPr>
      <t xml:space="preserve">84%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</si>
  <si>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資料集與</t>
    </r>
    <r>
      <rPr>
        <sz val="10"/>
        <rFont val="Arial"/>
        <family val="0"/>
        <charset val="1"/>
      </rPr>
      <t xml:space="preserve">seed</t>
    </r>
  </si>
  <si>
    <r>
      <rPr>
        <sz val="10"/>
        <rFont val="DejaVu Sans"/>
        <family val="2"/>
      </rPr>
      <t xml:space="preserve">多個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重複同片森林，不等於多個獨立資料集。</t>
    </r>
  </si>
  <si>
    <t xml:space="preserve">多站比較</t>
  </si>
  <si>
    <t xml:space="preserve">圖方法存取同場景全部站；兩站方法只存取單一配對。不可混稱同一輸入條件。</t>
  </si>
  <si>
    <t xml:space="preserve">參數篩選</t>
  </si>
  <si>
    <r>
      <rPr>
        <sz val="10"/>
        <rFont val="DejaVu Sans"/>
        <family val="2"/>
      </rPr>
      <t xml:space="preserve">只用舊</t>
    </r>
    <r>
      <rPr>
        <sz val="10"/>
        <rFont val="Arial"/>
        <family val="0"/>
        <charset val="1"/>
      </rPr>
      <t xml:space="preserve">seed1–5</t>
    </r>
    <r>
      <rPr>
        <sz val="10"/>
        <rFont val="DejaVu Sans"/>
        <family val="2"/>
      </rPr>
      <t xml:space="preserve">決定</t>
    </r>
    <r>
      <rPr>
        <sz val="10"/>
        <rFont val="Arial"/>
        <family val="0"/>
        <charset val="1"/>
      </rPr>
      <t xml:space="preserve">10cm</t>
    </r>
    <r>
      <rPr>
        <sz val="10"/>
        <rFont val="DejaVu Sans"/>
        <family val="2"/>
      </rPr>
      <t xml:space="preserve">＋</t>
    </r>
    <r>
      <rPr>
        <sz val="10"/>
        <rFont val="Arial"/>
        <family val="0"/>
        <charset val="1"/>
      </rPr>
      <t xml:space="preserve">SVD/RANSAC</t>
    </r>
    <r>
      <rPr>
        <sz val="10"/>
        <rFont val="DejaVu Sans"/>
        <family val="2"/>
      </rPr>
      <t xml:space="preserve">；擷取與組合設定在新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評分前指定。</t>
    </r>
  </si>
  <si>
    <r>
      <rPr>
        <sz val="10"/>
        <rFont val="Arial"/>
        <family val="0"/>
        <charset val="1"/>
      </rPr>
      <t xml:space="preserve">p</t>
    </r>
    <r>
      <rPr>
        <sz val="10"/>
        <rFont val="DejaVu Sans"/>
        <family val="2"/>
      </rPr>
      <t xml:space="preserve">值</t>
    </r>
  </si>
  <si>
    <r>
      <rPr>
        <sz val="10"/>
        <rFont val="DejaVu Sans"/>
        <family val="2"/>
      </rPr>
      <t xml:space="preserve">以每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成功對數比較，非把</t>
    </r>
    <r>
      <rPr>
        <sz val="10"/>
        <rFont val="Arial"/>
        <family val="0"/>
        <charset val="1"/>
      </rPr>
      <t xml:space="preserve">150</t>
    </r>
    <r>
      <rPr>
        <sz val="10"/>
        <rFont val="DejaVu Sans"/>
        <family val="2"/>
      </rPr>
      <t xml:space="preserve">個配對視為獨立森林樣本；</t>
    </r>
    <r>
      <rPr>
        <sz val="10"/>
        <rFont val="Arial"/>
        <family val="0"/>
        <charset val="1"/>
      </rPr>
      <t xml:space="preserve">Bonferroni</t>
    </r>
    <r>
      <rPr>
        <sz val="10"/>
        <rFont val="DejaVu Sans"/>
        <family val="2"/>
      </rPr>
      <t xml:space="preserve">校正所有非</t>
    </r>
    <r>
      <rPr>
        <sz val="10"/>
        <rFont val="Arial"/>
        <family val="0"/>
        <charset val="1"/>
      </rPr>
      <t xml:space="preserve">control</t>
    </r>
    <r>
      <rPr>
        <sz val="10"/>
        <rFont val="DejaVu Sans"/>
        <family val="2"/>
      </rPr>
      <t xml:space="preserve">比較。</t>
    </r>
  </si>
  <si>
    <t xml:space="preserve">精度比較</t>
  </si>
  <si>
    <r>
      <rPr>
        <sz val="10"/>
        <rFont val="DejaVu Sans"/>
        <family val="2"/>
      </rPr>
      <t xml:space="preserve">成功</t>
    </r>
    <r>
      <rPr>
        <sz val="10"/>
        <rFont val="Arial"/>
        <family val="0"/>
        <charset val="1"/>
      </rPr>
      <t xml:space="preserve">e_p</t>
    </r>
    <r>
      <rPr>
        <sz val="10"/>
        <rFont val="DejaVu Sans"/>
        <family val="2"/>
      </rPr>
      <t xml:space="preserve">中位數可能受成功集合不同影響；配對比較另列雙方共同成功的案例。</t>
    </r>
  </si>
  <si>
    <t xml:space="preserve">真值使用</t>
  </si>
  <si>
    <r>
      <rPr>
        <sz val="10"/>
        <rFont val="Arial"/>
        <family val="0"/>
        <charset val="1"/>
      </rPr>
      <t xml:space="preserve">GT</t>
    </r>
    <r>
      <rPr>
        <sz val="10"/>
        <rFont val="DejaVu Sans"/>
        <family val="2"/>
      </rPr>
      <t xml:space="preserve">只用評分；圖路徑選邊只用估計變換後的</t>
    </r>
    <r>
      <rPr>
        <sz val="10"/>
        <rFont val="Arial"/>
        <family val="0"/>
        <charset val="1"/>
      </rPr>
      <t xml:space="preserve">3D</t>
    </r>
    <r>
      <rPr>
        <sz val="10"/>
        <rFont val="DejaVu Sans"/>
        <family val="2"/>
      </rPr>
      <t xml:space="preserve">支持點。</t>
    </r>
  </si>
  <si>
    <r>
      <rPr>
        <sz val="10"/>
        <rFont val="Arial"/>
        <family val="0"/>
        <charset val="1"/>
      </rPr>
      <t xml:space="preserve">e_p</t>
    </r>
    <r>
      <rPr>
        <sz val="10"/>
        <rFont val="DejaVu Sans"/>
        <family val="2"/>
      </rPr>
      <t xml:space="preserve">核對</t>
    </r>
  </si>
  <si>
    <r>
      <rPr>
        <sz val="10"/>
        <rFont val="Arial"/>
        <family val="0"/>
        <charset val="1"/>
      </rPr>
      <t xml:space="preserve">NumPy</t>
    </r>
    <r>
      <rPr>
        <sz val="10"/>
        <rFont val="DejaVu Sans"/>
        <family val="2"/>
      </rPr>
      <t xml:space="preserve">完整點雲與</t>
    </r>
    <r>
      <rPr>
        <sz val="10"/>
        <rFont val="Arial"/>
        <family val="0"/>
        <charset val="1"/>
      </rPr>
      <t xml:space="preserve">C++</t>
    </r>
    <r>
      <rPr>
        <sz val="10"/>
        <rFont val="DejaVu Sans"/>
        <family val="2"/>
      </rPr>
      <t xml:space="preserve">差異</t>
    </r>
    <r>
      <rPr>
        <sz val="10"/>
        <rFont val="Arial"/>
        <family val="0"/>
        <charset val="1"/>
      </rPr>
      <t xml:space="preserve">=3.17e-10m</t>
    </r>
  </si>
  <si>
    <r>
      <rPr>
        <sz val="10"/>
        <rFont val="Arial"/>
        <family val="0"/>
        <charset val="1"/>
      </rPr>
      <t xml:space="preserve">GT</t>
    </r>
    <r>
      <rPr>
        <sz val="10"/>
        <rFont val="DejaVu Sans"/>
        <family val="2"/>
      </rPr>
      <t xml:space="preserve">擾動核對</t>
    </r>
  </si>
  <si>
    <r>
      <rPr>
        <sz val="10"/>
        <rFont val="Arial"/>
        <family val="0"/>
        <charset val="1"/>
      </rPr>
      <t xml:space="preserve">True</t>
    </r>
    <r>
      <rPr>
        <sz val="10"/>
        <rFont val="DejaVu Sans"/>
        <family val="2"/>
      </rPr>
      <t xml:space="preserve">；評分</t>
    </r>
    <r>
      <rPr>
        <sz val="10"/>
        <rFont val="Arial"/>
        <family val="0"/>
        <charset val="1"/>
      </rPr>
      <t xml:space="preserve">GT</t>
    </r>
    <r>
      <rPr>
        <sz val="10"/>
        <rFont val="DejaVu Sans"/>
        <family val="2"/>
      </rPr>
      <t xml:space="preserve">平移</t>
    </r>
    <r>
      <rPr>
        <sz val="10"/>
        <rFont val="Arial"/>
        <family val="0"/>
        <charset val="1"/>
      </rPr>
      <t xml:space="preserve">100m</t>
    </r>
    <r>
      <rPr>
        <sz val="10"/>
        <rFont val="DejaVu Sans"/>
        <family val="2"/>
      </rPr>
      <t xml:space="preserve">，估計變換不變</t>
    </r>
  </si>
  <si>
    <t xml:space="preserve">批次擷取測試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</si>
  <si>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個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份</t>
    </r>
    <r>
      <rPr>
        <sz val="10"/>
        <rFont val="Arial"/>
        <family val="0"/>
        <charset val="1"/>
      </rPr>
      <t xml:space="preserve">CSV</t>
    </r>
    <r>
      <rPr>
        <sz val="10"/>
        <rFont val="DejaVu Sans"/>
        <family val="2"/>
      </rPr>
      <t xml:space="preserve">逐位元組一致；</t>
    </r>
    <r>
      <rPr>
        <sz val="10"/>
        <rFont val="Arial"/>
        <family val="0"/>
        <charset val="1"/>
      </rPr>
      <t xml:space="preserve">180</t>
    </r>
    <r>
      <rPr>
        <sz val="10"/>
        <rFont val="DejaVu Sans"/>
        <family val="2"/>
      </rPr>
      <t xml:space="preserve">份新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樹位數均與執行日誌一致</t>
    </r>
  </si>
  <si>
    <t xml:space="preserve">新增測試</t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</si>
  <si>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項</t>
    </r>
    <r>
      <rPr>
        <sz val="10"/>
        <rFont val="Arial"/>
        <family val="0"/>
        <charset val="1"/>
      </rPr>
      <t xml:space="preserve">Python</t>
    </r>
    <r>
      <rPr>
        <sz val="10"/>
        <rFont val="DejaVu Sans"/>
        <family val="2"/>
      </rPr>
      <t xml:space="preserve">測試通過，包含批次擷取一致性、空</t>
    </r>
    <r>
      <rPr>
        <sz val="10"/>
        <rFont val="Arial"/>
        <family val="0"/>
        <charset val="1"/>
      </rPr>
      <t xml:space="preserve">seed</t>
    </r>
    <r>
      <rPr>
        <sz val="10"/>
        <rFont val="DejaVu Sans"/>
        <family val="2"/>
      </rPr>
      <t xml:space="preserve">範圍、圖路徑正反向與</t>
    </r>
    <r>
      <rPr>
        <sz val="10"/>
        <rFont val="Arial"/>
        <family val="0"/>
        <charset val="1"/>
      </rPr>
      <t xml:space="preserve">3D</t>
    </r>
    <r>
      <rPr>
        <sz val="10"/>
        <rFont val="DejaVu Sans"/>
        <family val="2"/>
      </rPr>
      <t xml:space="preserve">支持</t>
    </r>
  </si>
  <si>
    <t xml:space="preserve">方法碼</t>
  </si>
  <si>
    <r>
      <rPr>
        <sz val="10"/>
        <rFont val="Arial"/>
        <family val="0"/>
        <charset val="1"/>
      </rPr>
      <t xml:space="preserve">svd+ransac</t>
    </r>
    <r>
      <rPr>
        <sz val="10"/>
        <rFont val="DejaVu Sans"/>
        <family val="2"/>
      </rPr>
      <t xml:space="preserve">指配準階段</t>
    </r>
    <r>
      <rPr>
        <sz val="10"/>
        <rFont val="Arial"/>
        <family val="0"/>
        <charset val="1"/>
      </rPr>
      <t xml:space="preserve">RANSAC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ransac999</t>
    </r>
    <r>
      <rPr>
        <sz val="10"/>
        <rFont val="DejaVu Sans"/>
        <family val="2"/>
      </rPr>
      <t xml:space="preserve">方法碼指擷取階段圓柱擬合，兩者不同</t>
    </r>
  </si>
  <si>
    <t xml:space="preserve">時間欄位</t>
  </si>
  <si>
    <r>
      <rPr>
        <sz val="10"/>
        <rFont val="DejaVu Sans"/>
        <family val="2"/>
      </rPr>
      <t xml:space="preserve">逐對結果的</t>
    </r>
    <r>
      <rPr>
        <sz val="10"/>
        <rFont val="Arial"/>
        <family val="0"/>
        <charset val="1"/>
      </rPr>
      <t xml:space="preserve">time_ms</t>
    </r>
    <r>
      <rPr>
        <sz val="10"/>
        <rFont val="DejaVu Sans"/>
        <family val="2"/>
      </rPr>
      <t xml:space="preserve">只含描述子、匹配與求解；不含完整點誤差計算和擷取時間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</si>
</sst>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%"/>
    <numFmt numFmtId="167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1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4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4" t="s">
        <v>12</v>
      </c>
    </row>
    <row r="8" customFormat="false" ht="15" hidden="false" customHeight="false" outlineLevel="0" collapsed="false">
      <c r="A8" s="2" t="s">
        <v>13</v>
      </c>
      <c r="B8" s="4" t="s">
        <v>14</v>
      </c>
    </row>
    <row r="9" customFormat="false" ht="15" hidden="false" customHeight="false" outlineLevel="0" collapsed="false">
      <c r="A9" s="2" t="s">
        <v>15</v>
      </c>
      <c r="B9" s="4" t="s">
        <v>16</v>
      </c>
    </row>
    <row r="10" customFormat="false" ht="15" hidden="false" customHeight="false" outlineLevel="0" collapsed="false">
      <c r="A10" s="5" t="s">
        <v>17</v>
      </c>
      <c r="B10" s="3" t="s">
        <v>18</v>
      </c>
    </row>
    <row r="11" customFormat="false" ht="15" hidden="false" customHeight="false" outlineLevel="0" collapsed="false">
      <c r="A11" s="2" t="s">
        <v>19</v>
      </c>
      <c r="B11" s="4" t="s">
        <v>20</v>
      </c>
    </row>
    <row r="12" customFormat="false" ht="15" hidden="false" customHeight="false" outlineLevel="0" collapsed="false">
      <c r="A12" s="5" t="s">
        <v>21</v>
      </c>
      <c r="B12" s="4" t="s">
        <v>22</v>
      </c>
    </row>
    <row r="13" customFormat="false" ht="15" hidden="false" customHeight="false" outlineLevel="0" collapsed="false">
      <c r="A13" s="2" t="s">
        <v>23</v>
      </c>
      <c r="B13" s="4" t="s">
        <v>24</v>
      </c>
    </row>
    <row r="14" customFormat="false" ht="15" hidden="false" customHeight="false" outlineLevel="0" collapsed="false">
      <c r="A14" s="2" t="s">
        <v>25</v>
      </c>
      <c r="B14" s="4" t="s">
        <v>26</v>
      </c>
    </row>
    <row r="15" customFormat="false" ht="15" hidden="false" customHeight="false" outlineLevel="0" collapsed="false">
      <c r="A15" s="5" t="s">
        <v>27</v>
      </c>
      <c r="B15" s="3" t="s">
        <v>28</v>
      </c>
    </row>
    <row r="16" customFormat="false" ht="15" hidden="false" customHeight="false" outlineLevel="0" collapsed="false">
      <c r="A16" s="5" t="s">
        <v>29</v>
      </c>
      <c r="B16" s="3" t="s">
        <v>30</v>
      </c>
    </row>
    <row r="17" customFormat="false" ht="33" hidden="false" customHeight="true" outlineLevel="0" collapsed="false">
      <c r="A17" s="2" t="s">
        <v>31</v>
      </c>
      <c r="B17" s="4" t="s">
        <v>32</v>
      </c>
    </row>
    <row r="18" customFormat="false" ht="15" hidden="false" customHeight="false" outlineLevel="0" collapsed="false">
      <c r="A18" s="2" t="s">
        <v>33</v>
      </c>
      <c r="B18" s="4" t="s">
        <v>34</v>
      </c>
    </row>
  </sheetData>
  <autoFilter ref="A1:B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9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8"/>
    <col collapsed="false" customWidth="true" hidden="false" outlineLevel="0" max="4" min="4" style="0" width="35"/>
    <col collapsed="false" customWidth="true" hidden="false" outlineLevel="0" max="5" min="5" style="0" width="17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13" min="11" style="0" width="15"/>
    <col collapsed="false" customWidth="true" hidden="false" outlineLevel="0" max="14" min="14" style="0" width="14"/>
    <col collapsed="false" customWidth="true" hidden="false" outlineLevel="0" max="15" min="15" style="0" width="22"/>
    <col collapsed="false" customWidth="true" hidden="false" outlineLevel="0" max="16" min="16" style="0" width="17"/>
    <col collapsed="false" customWidth="true" hidden="false" outlineLevel="0" max="17" min="17" style="0" width="30"/>
    <col collapsed="false" customWidth="true" hidden="false" outlineLevel="0" max="18" min="18" style="0" width="17"/>
    <col collapsed="false" customWidth="true" hidden="false" outlineLevel="0" max="19" min="19" style="0" width="18"/>
    <col collapsed="false" customWidth="true" hidden="false" outlineLevel="0" max="20" min="20" style="0" width="70"/>
  </cols>
  <sheetData>
    <row r="1" customFormat="false" ht="31.5" hidden="false" customHeight="tru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6" t="s">
        <v>39</v>
      </c>
      <c r="F1" s="6" t="s">
        <v>40</v>
      </c>
      <c r="G1" s="6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6" t="s">
        <v>47</v>
      </c>
      <c r="N1" s="6" t="s">
        <v>48</v>
      </c>
      <c r="O1" s="6" t="s">
        <v>49</v>
      </c>
      <c r="P1" s="6" t="s">
        <v>50</v>
      </c>
      <c r="Q1" s="1" t="s">
        <v>51</v>
      </c>
      <c r="R1" s="1" t="s">
        <v>52</v>
      </c>
      <c r="S1" s="1" t="s">
        <v>53</v>
      </c>
      <c r="T1" s="1" t="s">
        <v>54</v>
      </c>
    </row>
    <row r="2" customFormat="false" ht="15" hidden="false" customHeight="false" outlineLevel="0" collapsed="false">
      <c r="A2" s="5" t="s">
        <v>4</v>
      </c>
      <c r="B2" s="5" t="s">
        <v>55</v>
      </c>
      <c r="C2" s="2" t="s">
        <v>56</v>
      </c>
      <c r="D2" s="5" t="s">
        <v>57</v>
      </c>
      <c r="E2" s="5" t="s">
        <v>58</v>
      </c>
      <c r="F2" s="2" t="n">
        <v>11</v>
      </c>
      <c r="G2" s="5" t="s">
        <v>59</v>
      </c>
      <c r="H2" s="2" t="n">
        <v>1</v>
      </c>
      <c r="I2" s="2" t="n">
        <v>1</v>
      </c>
      <c r="J2" s="2" t="n">
        <v>1</v>
      </c>
      <c r="K2" s="7" t="n">
        <v>0.5477354363</v>
      </c>
      <c r="L2" s="7" t="n">
        <v>0.08027940384</v>
      </c>
      <c r="M2" s="7" t="n">
        <v>0.08702628933</v>
      </c>
      <c r="N2" s="7" t="n">
        <v>6</v>
      </c>
      <c r="O2" s="7" t="n">
        <v>6</v>
      </c>
      <c r="P2" s="7" t="n">
        <v>0</v>
      </c>
      <c r="Q2" s="2"/>
      <c r="R2" s="7" t="n">
        <v>1.713854</v>
      </c>
      <c r="S2" s="5" t="s">
        <v>60</v>
      </c>
      <c r="T2" s="5" t="s">
        <v>61</v>
      </c>
    </row>
    <row r="3" customFormat="false" ht="15" hidden="false" customHeight="false" outlineLevel="0" collapsed="false">
      <c r="A3" s="5" t="s">
        <v>4</v>
      </c>
      <c r="B3" s="5" t="s">
        <v>55</v>
      </c>
      <c r="C3" s="2" t="s">
        <v>56</v>
      </c>
      <c r="D3" s="5" t="s">
        <v>57</v>
      </c>
      <c r="E3" s="5" t="s">
        <v>62</v>
      </c>
      <c r="F3" s="2" t="n">
        <v>11</v>
      </c>
      <c r="G3" s="5" t="s">
        <v>59</v>
      </c>
      <c r="H3" s="2" t="n">
        <v>1</v>
      </c>
      <c r="I3" s="2" t="n">
        <v>1</v>
      </c>
      <c r="J3" s="2" t="n">
        <v>1</v>
      </c>
      <c r="K3" s="7" t="n">
        <v>0.5477354363</v>
      </c>
      <c r="L3" s="7" t="n">
        <v>0.08027940384</v>
      </c>
      <c r="M3" s="7" t="n">
        <v>0.08702628933</v>
      </c>
      <c r="N3" s="7" t="n">
        <v>6</v>
      </c>
      <c r="O3" s="7" t="n">
        <v>6</v>
      </c>
      <c r="P3" s="7" t="n">
        <v>6</v>
      </c>
      <c r="Q3" s="2"/>
      <c r="R3" s="7" t="n">
        <v>6.131956</v>
      </c>
      <c r="S3" s="5" t="s">
        <v>60</v>
      </c>
      <c r="T3" s="5" t="s">
        <v>61</v>
      </c>
    </row>
    <row r="4" customFormat="false" ht="15" hidden="false" customHeight="false" outlineLevel="0" collapsed="false">
      <c r="A4" s="5" t="s">
        <v>4</v>
      </c>
      <c r="B4" s="5" t="s">
        <v>55</v>
      </c>
      <c r="C4" s="2" t="s">
        <v>56</v>
      </c>
      <c r="D4" s="5" t="s">
        <v>57</v>
      </c>
      <c r="E4" s="5" t="s">
        <v>58</v>
      </c>
      <c r="F4" s="2" t="n">
        <v>11</v>
      </c>
      <c r="G4" s="5" t="s">
        <v>63</v>
      </c>
      <c r="H4" s="2" t="n">
        <v>1</v>
      </c>
      <c r="I4" s="2" t="n">
        <v>1</v>
      </c>
      <c r="J4" s="2" t="n">
        <v>1</v>
      </c>
      <c r="K4" s="7" t="n">
        <v>1.762201084</v>
      </c>
      <c r="L4" s="7" t="n">
        <v>0.274350169</v>
      </c>
      <c r="M4" s="7" t="n">
        <v>0.2890796166</v>
      </c>
      <c r="N4" s="7" t="n">
        <v>9</v>
      </c>
      <c r="O4" s="7" t="n">
        <v>9</v>
      </c>
      <c r="P4" s="7" t="n">
        <v>0</v>
      </c>
      <c r="Q4" s="2"/>
      <c r="R4" s="7" t="n">
        <v>1.415102</v>
      </c>
      <c r="S4" s="5" t="s">
        <v>60</v>
      </c>
      <c r="T4" s="5" t="s">
        <v>61</v>
      </c>
    </row>
    <row r="5" customFormat="false" ht="15" hidden="false" customHeight="false" outlineLevel="0" collapsed="false">
      <c r="A5" s="5" t="s">
        <v>4</v>
      </c>
      <c r="B5" s="5" t="s">
        <v>55</v>
      </c>
      <c r="C5" s="2" t="s">
        <v>56</v>
      </c>
      <c r="D5" s="5" t="s">
        <v>57</v>
      </c>
      <c r="E5" s="5" t="s">
        <v>62</v>
      </c>
      <c r="F5" s="2" t="n">
        <v>11</v>
      </c>
      <c r="G5" s="5" t="s">
        <v>63</v>
      </c>
      <c r="H5" s="2" t="n">
        <v>1</v>
      </c>
      <c r="I5" s="2" t="n">
        <v>1</v>
      </c>
      <c r="J5" s="2" t="n">
        <v>1</v>
      </c>
      <c r="K5" s="7" t="n">
        <v>1.2683517</v>
      </c>
      <c r="L5" s="7" t="n">
        <v>0.1065803228</v>
      </c>
      <c r="M5" s="7" t="n">
        <v>0.1281765999</v>
      </c>
      <c r="N5" s="7" t="n">
        <v>9</v>
      </c>
      <c r="O5" s="7" t="n">
        <v>9</v>
      </c>
      <c r="P5" s="7" t="n">
        <v>8</v>
      </c>
      <c r="Q5" s="2"/>
      <c r="R5" s="7" t="n">
        <v>1.925898</v>
      </c>
      <c r="S5" s="5" t="s">
        <v>60</v>
      </c>
      <c r="T5" s="5" t="s">
        <v>61</v>
      </c>
    </row>
    <row r="6" customFormat="false" ht="15" hidden="false" customHeight="false" outlineLevel="0" collapsed="false">
      <c r="A6" s="5" t="s">
        <v>4</v>
      </c>
      <c r="B6" s="5" t="s">
        <v>55</v>
      </c>
      <c r="C6" s="2" t="s">
        <v>56</v>
      </c>
      <c r="D6" s="5" t="s">
        <v>57</v>
      </c>
      <c r="E6" s="5" t="s">
        <v>58</v>
      </c>
      <c r="F6" s="2" t="n">
        <v>11</v>
      </c>
      <c r="G6" s="5" t="s">
        <v>64</v>
      </c>
      <c r="H6" s="2" t="n">
        <v>0</v>
      </c>
      <c r="I6" s="2" t="n">
        <v>1</v>
      </c>
      <c r="J6" s="2" t="n">
        <v>1</v>
      </c>
      <c r="K6" s="7" t="n">
        <v>0.9996711411</v>
      </c>
      <c r="L6" s="7" t="n">
        <v>0.2046100824</v>
      </c>
      <c r="M6" s="7" t="n">
        <v>0.2132355183</v>
      </c>
      <c r="N6" s="7" t="n">
        <v>6</v>
      </c>
      <c r="O6" s="7" t="n">
        <v>6</v>
      </c>
      <c r="P6" s="7" t="n">
        <v>0</v>
      </c>
      <c r="Q6" s="2"/>
      <c r="R6" s="7" t="n">
        <v>5.426543</v>
      </c>
      <c r="S6" s="5" t="s">
        <v>60</v>
      </c>
      <c r="T6" s="5" t="s">
        <v>61</v>
      </c>
    </row>
    <row r="7" customFormat="false" ht="15" hidden="false" customHeight="false" outlineLevel="0" collapsed="false">
      <c r="A7" s="5" t="s">
        <v>4</v>
      </c>
      <c r="B7" s="5" t="s">
        <v>55</v>
      </c>
      <c r="C7" s="2" t="s">
        <v>56</v>
      </c>
      <c r="D7" s="5" t="s">
        <v>57</v>
      </c>
      <c r="E7" s="5" t="s">
        <v>62</v>
      </c>
      <c r="F7" s="2" t="n">
        <v>11</v>
      </c>
      <c r="G7" s="5" t="s">
        <v>64</v>
      </c>
      <c r="H7" s="2" t="n">
        <v>0</v>
      </c>
      <c r="I7" s="2" t="n">
        <v>1</v>
      </c>
      <c r="J7" s="2" t="n">
        <v>1</v>
      </c>
      <c r="K7" s="7" t="n">
        <v>0.9996711411</v>
      </c>
      <c r="L7" s="7" t="n">
        <v>0.2046100824</v>
      </c>
      <c r="M7" s="7" t="n">
        <v>0.2132355183</v>
      </c>
      <c r="N7" s="7" t="n">
        <v>6</v>
      </c>
      <c r="O7" s="7" t="n">
        <v>6</v>
      </c>
      <c r="P7" s="7" t="n">
        <v>6</v>
      </c>
      <c r="Q7" s="2"/>
      <c r="R7" s="7" t="n">
        <v>5.859021</v>
      </c>
      <c r="S7" s="5" t="s">
        <v>60</v>
      </c>
      <c r="T7" s="5" t="s">
        <v>61</v>
      </c>
    </row>
    <row r="8" customFormat="false" ht="15" hidden="false" customHeight="false" outlineLevel="0" collapsed="false">
      <c r="A8" s="5" t="s">
        <v>4</v>
      </c>
      <c r="B8" s="5" t="s">
        <v>55</v>
      </c>
      <c r="C8" s="2" t="s">
        <v>56</v>
      </c>
      <c r="D8" s="5" t="s">
        <v>57</v>
      </c>
      <c r="E8" s="5" t="s">
        <v>58</v>
      </c>
      <c r="F8" s="2" t="n">
        <v>11</v>
      </c>
      <c r="G8" s="5" t="s">
        <v>65</v>
      </c>
      <c r="H8" s="2" t="n">
        <v>0</v>
      </c>
      <c r="I8" s="2" t="n">
        <v>1</v>
      </c>
      <c r="J8" s="2" t="n">
        <v>0</v>
      </c>
      <c r="K8" s="7" t="n">
        <v>2.016157254</v>
      </c>
      <c r="L8" s="7" t="n">
        <v>0.5794676043</v>
      </c>
      <c r="M8" s="7" t="n">
        <v>0.5874062499</v>
      </c>
      <c r="N8" s="7" t="n">
        <v>6</v>
      </c>
      <c r="O8" s="7" t="n">
        <v>6</v>
      </c>
      <c r="P8" s="7" t="n">
        <v>0</v>
      </c>
      <c r="Q8" s="2"/>
      <c r="R8" s="7" t="n">
        <v>2.41501</v>
      </c>
      <c r="S8" s="5" t="s">
        <v>60</v>
      </c>
      <c r="T8" s="5" t="s">
        <v>61</v>
      </c>
    </row>
    <row r="9" customFormat="false" ht="15" hidden="false" customHeight="false" outlineLevel="0" collapsed="false">
      <c r="A9" s="5" t="s">
        <v>4</v>
      </c>
      <c r="B9" s="5" t="s">
        <v>55</v>
      </c>
      <c r="C9" s="2" t="s">
        <v>56</v>
      </c>
      <c r="D9" s="5" t="s">
        <v>57</v>
      </c>
      <c r="E9" s="5" t="s">
        <v>62</v>
      </c>
      <c r="F9" s="2" t="n">
        <v>11</v>
      </c>
      <c r="G9" s="5" t="s">
        <v>65</v>
      </c>
      <c r="H9" s="2" t="n">
        <v>0</v>
      </c>
      <c r="I9" s="2" t="n">
        <v>1</v>
      </c>
      <c r="J9" s="2" t="n">
        <v>1</v>
      </c>
      <c r="K9" s="7" t="n">
        <v>0.5290780229</v>
      </c>
      <c r="L9" s="7" t="n">
        <v>0.1011007811</v>
      </c>
      <c r="M9" s="7" t="n">
        <v>0.1044993097</v>
      </c>
      <c r="N9" s="7" t="n">
        <v>6</v>
      </c>
      <c r="O9" s="7" t="n">
        <v>6</v>
      </c>
      <c r="P9" s="7" t="n">
        <v>5</v>
      </c>
      <c r="Q9" s="2"/>
      <c r="R9" s="7" t="n">
        <v>6.990876</v>
      </c>
      <c r="S9" s="5" t="s">
        <v>60</v>
      </c>
      <c r="T9" s="5" t="s">
        <v>61</v>
      </c>
    </row>
    <row r="10" customFormat="false" ht="15" hidden="false" customHeight="false" outlineLevel="0" collapsed="false">
      <c r="A10" s="5" t="s">
        <v>4</v>
      </c>
      <c r="B10" s="5" t="s">
        <v>55</v>
      </c>
      <c r="C10" s="2" t="s">
        <v>56</v>
      </c>
      <c r="D10" s="5" t="s">
        <v>57</v>
      </c>
      <c r="E10" s="5" t="s">
        <v>58</v>
      </c>
      <c r="F10" s="2" t="n">
        <v>11</v>
      </c>
      <c r="G10" s="5" t="s">
        <v>66</v>
      </c>
      <c r="H10" s="2" t="n">
        <v>0</v>
      </c>
      <c r="I10" s="2" t="n">
        <v>1</v>
      </c>
      <c r="J10" s="2" t="n">
        <v>0</v>
      </c>
      <c r="K10" s="7" t="n">
        <v>8.554461337</v>
      </c>
      <c r="L10" s="7" t="n">
        <v>3.693663646</v>
      </c>
      <c r="M10" s="7" t="n">
        <v>3.676007076</v>
      </c>
      <c r="N10" s="7" t="n">
        <v>3</v>
      </c>
      <c r="O10" s="7" t="n">
        <v>3</v>
      </c>
      <c r="P10" s="7" t="n">
        <v>0</v>
      </c>
      <c r="Q10" s="2"/>
      <c r="R10" s="7" t="n">
        <v>2.437844</v>
      </c>
      <c r="S10" s="5" t="s">
        <v>60</v>
      </c>
      <c r="T10" s="5" t="s">
        <v>61</v>
      </c>
    </row>
    <row r="11" customFormat="false" ht="15" hidden="false" customHeight="false" outlineLevel="0" collapsed="false">
      <c r="A11" s="5" t="s">
        <v>4</v>
      </c>
      <c r="B11" s="5" t="s">
        <v>55</v>
      </c>
      <c r="C11" s="2" t="s">
        <v>56</v>
      </c>
      <c r="D11" s="5" t="s">
        <v>57</v>
      </c>
      <c r="E11" s="5" t="s">
        <v>62</v>
      </c>
      <c r="F11" s="2" t="n">
        <v>11</v>
      </c>
      <c r="G11" s="5" t="s">
        <v>66</v>
      </c>
      <c r="H11" s="2" t="n">
        <v>0</v>
      </c>
      <c r="I11" s="2" t="n">
        <v>1</v>
      </c>
      <c r="J11" s="2" t="n">
        <v>0</v>
      </c>
      <c r="K11" s="7" t="n">
        <v>8.554461337</v>
      </c>
      <c r="L11" s="7" t="n">
        <v>3.693663646</v>
      </c>
      <c r="M11" s="7" t="n">
        <v>3.676007076</v>
      </c>
      <c r="N11" s="7" t="n">
        <v>3</v>
      </c>
      <c r="O11" s="7" t="n">
        <v>3</v>
      </c>
      <c r="P11" s="7" t="n">
        <v>3</v>
      </c>
      <c r="Q11" s="2"/>
      <c r="R11" s="7" t="n">
        <v>2.618301</v>
      </c>
      <c r="S11" s="5" t="s">
        <v>60</v>
      </c>
      <c r="T11" s="5" t="s">
        <v>61</v>
      </c>
    </row>
    <row r="12" customFormat="false" ht="15" hidden="false" customHeight="false" outlineLevel="0" collapsed="false">
      <c r="A12" s="5" t="s">
        <v>4</v>
      </c>
      <c r="B12" s="5" t="s">
        <v>55</v>
      </c>
      <c r="C12" s="2" t="s">
        <v>56</v>
      </c>
      <c r="D12" s="5" t="s">
        <v>57</v>
      </c>
      <c r="E12" s="5" t="s">
        <v>58</v>
      </c>
      <c r="F12" s="2" t="n">
        <v>12</v>
      </c>
      <c r="G12" s="5" t="s">
        <v>59</v>
      </c>
      <c r="H12" s="2" t="n">
        <v>1</v>
      </c>
      <c r="I12" s="2" t="n">
        <v>1</v>
      </c>
      <c r="J12" s="2" t="n">
        <v>1</v>
      </c>
      <c r="K12" s="7" t="n">
        <v>0.4383698889</v>
      </c>
      <c r="L12" s="7" t="n">
        <v>0.0622253835</v>
      </c>
      <c r="M12" s="7" t="n">
        <v>0.06761273283</v>
      </c>
      <c r="N12" s="7" t="n">
        <v>6</v>
      </c>
      <c r="O12" s="7" t="n">
        <v>6</v>
      </c>
      <c r="P12" s="7" t="n">
        <v>0</v>
      </c>
      <c r="Q12" s="2"/>
      <c r="R12" s="7" t="n">
        <v>1.57599</v>
      </c>
      <c r="S12" s="5" t="s">
        <v>60</v>
      </c>
      <c r="T12" s="5" t="s">
        <v>61</v>
      </c>
    </row>
    <row r="13" customFormat="false" ht="15" hidden="false" customHeight="false" outlineLevel="0" collapsed="false">
      <c r="A13" s="5" t="s">
        <v>4</v>
      </c>
      <c r="B13" s="5" t="s">
        <v>55</v>
      </c>
      <c r="C13" s="2" t="s">
        <v>56</v>
      </c>
      <c r="D13" s="5" t="s">
        <v>57</v>
      </c>
      <c r="E13" s="5" t="s">
        <v>62</v>
      </c>
      <c r="F13" s="2" t="n">
        <v>12</v>
      </c>
      <c r="G13" s="5" t="s">
        <v>59</v>
      </c>
      <c r="H13" s="2" t="n">
        <v>1</v>
      </c>
      <c r="I13" s="2" t="n">
        <v>1</v>
      </c>
      <c r="J13" s="2" t="n">
        <v>1</v>
      </c>
      <c r="K13" s="7" t="n">
        <v>0.4383698889</v>
      </c>
      <c r="L13" s="7" t="n">
        <v>0.0622253835</v>
      </c>
      <c r="M13" s="7" t="n">
        <v>0.06761273283</v>
      </c>
      <c r="N13" s="7" t="n">
        <v>6</v>
      </c>
      <c r="O13" s="7" t="n">
        <v>6</v>
      </c>
      <c r="P13" s="7" t="n">
        <v>6</v>
      </c>
      <c r="Q13" s="2"/>
      <c r="R13" s="7" t="n">
        <v>1.952296</v>
      </c>
      <c r="S13" s="5" t="s">
        <v>60</v>
      </c>
      <c r="T13" s="5" t="s">
        <v>61</v>
      </c>
    </row>
    <row r="14" customFormat="false" ht="15" hidden="false" customHeight="false" outlineLevel="0" collapsed="false">
      <c r="A14" s="5" t="s">
        <v>4</v>
      </c>
      <c r="B14" s="5" t="s">
        <v>55</v>
      </c>
      <c r="C14" s="2" t="s">
        <v>56</v>
      </c>
      <c r="D14" s="5" t="s">
        <v>57</v>
      </c>
      <c r="E14" s="5" t="s">
        <v>58</v>
      </c>
      <c r="F14" s="2" t="n">
        <v>12</v>
      </c>
      <c r="G14" s="5" t="s">
        <v>63</v>
      </c>
      <c r="H14" s="2" t="n">
        <v>1</v>
      </c>
      <c r="I14" s="2" t="n">
        <v>1</v>
      </c>
      <c r="J14" s="2" t="n">
        <v>1</v>
      </c>
      <c r="K14" s="7" t="n">
        <v>0.3312072489</v>
      </c>
      <c r="L14" s="7" t="n">
        <v>0.09193903107</v>
      </c>
      <c r="M14" s="7" t="n">
        <v>0.0951317138</v>
      </c>
      <c r="N14" s="7" t="n">
        <v>12</v>
      </c>
      <c r="O14" s="7" t="n">
        <v>12</v>
      </c>
      <c r="P14" s="7" t="n">
        <v>0</v>
      </c>
      <c r="Q14" s="2"/>
      <c r="R14" s="7" t="n">
        <v>1.343696</v>
      </c>
      <c r="S14" s="5" t="s">
        <v>60</v>
      </c>
      <c r="T14" s="5" t="s">
        <v>61</v>
      </c>
    </row>
    <row r="15" customFormat="false" ht="15" hidden="false" customHeight="false" outlineLevel="0" collapsed="false">
      <c r="A15" s="5" t="s">
        <v>4</v>
      </c>
      <c r="B15" s="5" t="s">
        <v>55</v>
      </c>
      <c r="C15" s="2" t="s">
        <v>56</v>
      </c>
      <c r="D15" s="5" t="s">
        <v>57</v>
      </c>
      <c r="E15" s="5" t="s">
        <v>62</v>
      </c>
      <c r="F15" s="2" t="n">
        <v>12</v>
      </c>
      <c r="G15" s="5" t="s">
        <v>63</v>
      </c>
      <c r="H15" s="2" t="n">
        <v>1</v>
      </c>
      <c r="I15" s="2" t="n">
        <v>1</v>
      </c>
      <c r="J15" s="2" t="n">
        <v>1</v>
      </c>
      <c r="K15" s="7" t="n">
        <v>0.3312072489</v>
      </c>
      <c r="L15" s="7" t="n">
        <v>0.09193903107</v>
      </c>
      <c r="M15" s="7" t="n">
        <v>0.0951317138</v>
      </c>
      <c r="N15" s="7" t="n">
        <v>12</v>
      </c>
      <c r="O15" s="7" t="n">
        <v>12</v>
      </c>
      <c r="P15" s="7" t="n">
        <v>12</v>
      </c>
      <c r="Q15" s="2"/>
      <c r="R15" s="7" t="n">
        <v>1.994288</v>
      </c>
      <c r="S15" s="5" t="s">
        <v>60</v>
      </c>
      <c r="T15" s="5" t="s">
        <v>61</v>
      </c>
    </row>
    <row r="16" customFormat="false" ht="15" hidden="false" customHeight="false" outlineLevel="0" collapsed="false">
      <c r="A16" s="5" t="s">
        <v>4</v>
      </c>
      <c r="B16" s="5" t="s">
        <v>55</v>
      </c>
      <c r="C16" s="2" t="s">
        <v>56</v>
      </c>
      <c r="D16" s="5" t="s">
        <v>57</v>
      </c>
      <c r="E16" s="5" t="s">
        <v>58</v>
      </c>
      <c r="F16" s="2" t="n">
        <v>12</v>
      </c>
      <c r="G16" s="5" t="s">
        <v>64</v>
      </c>
      <c r="H16" s="2" t="n">
        <v>0</v>
      </c>
      <c r="I16" s="2" t="n">
        <v>1</v>
      </c>
      <c r="J16" s="2" t="n">
        <v>1</v>
      </c>
      <c r="K16" s="7" t="n">
        <v>0.6141144993</v>
      </c>
      <c r="L16" s="7" t="n">
        <v>0.06011074433</v>
      </c>
      <c r="M16" s="7" t="n">
        <v>0.06997176914</v>
      </c>
      <c r="N16" s="7" t="n">
        <v>11</v>
      </c>
      <c r="O16" s="7" t="n">
        <v>11</v>
      </c>
      <c r="P16" s="7" t="n">
        <v>0</v>
      </c>
      <c r="Q16" s="2"/>
      <c r="R16" s="7" t="n">
        <v>2.160625</v>
      </c>
      <c r="S16" s="5" t="s">
        <v>60</v>
      </c>
      <c r="T16" s="5" t="s">
        <v>61</v>
      </c>
    </row>
    <row r="17" customFormat="false" ht="15" hidden="false" customHeight="false" outlineLevel="0" collapsed="false">
      <c r="A17" s="5" t="s">
        <v>4</v>
      </c>
      <c r="B17" s="5" t="s">
        <v>55</v>
      </c>
      <c r="C17" s="2" t="s">
        <v>56</v>
      </c>
      <c r="D17" s="5" t="s">
        <v>57</v>
      </c>
      <c r="E17" s="5" t="s">
        <v>62</v>
      </c>
      <c r="F17" s="2" t="n">
        <v>12</v>
      </c>
      <c r="G17" s="5" t="s">
        <v>64</v>
      </c>
      <c r="H17" s="2" t="n">
        <v>0</v>
      </c>
      <c r="I17" s="2" t="n">
        <v>1</v>
      </c>
      <c r="J17" s="2" t="n">
        <v>1</v>
      </c>
      <c r="K17" s="7" t="n">
        <v>0.6141144993</v>
      </c>
      <c r="L17" s="7" t="n">
        <v>0.06011074433</v>
      </c>
      <c r="M17" s="7" t="n">
        <v>0.06997176914</v>
      </c>
      <c r="N17" s="7" t="n">
        <v>11</v>
      </c>
      <c r="O17" s="7" t="n">
        <v>11</v>
      </c>
      <c r="P17" s="7" t="n">
        <v>11</v>
      </c>
      <c r="Q17" s="2"/>
      <c r="R17" s="7" t="n">
        <v>2.725059</v>
      </c>
      <c r="S17" s="5" t="s">
        <v>60</v>
      </c>
      <c r="T17" s="5" t="s">
        <v>61</v>
      </c>
    </row>
    <row r="18" customFormat="false" ht="15" hidden="false" customHeight="false" outlineLevel="0" collapsed="false">
      <c r="A18" s="5" t="s">
        <v>4</v>
      </c>
      <c r="B18" s="5" t="s">
        <v>55</v>
      </c>
      <c r="C18" s="2" t="s">
        <v>56</v>
      </c>
      <c r="D18" s="5" t="s">
        <v>57</v>
      </c>
      <c r="E18" s="5" t="s">
        <v>58</v>
      </c>
      <c r="F18" s="2" t="n">
        <v>12</v>
      </c>
      <c r="G18" s="5" t="s">
        <v>65</v>
      </c>
      <c r="H18" s="2" t="n">
        <v>0</v>
      </c>
      <c r="I18" s="2" t="n">
        <v>1</v>
      </c>
      <c r="J18" s="2" t="n">
        <v>1</v>
      </c>
      <c r="K18" s="7" t="n">
        <v>0.530779102</v>
      </c>
      <c r="L18" s="7" t="n">
        <v>0.1330458642</v>
      </c>
      <c r="M18" s="7" t="n">
        <v>0.1365759827</v>
      </c>
      <c r="N18" s="7" t="n">
        <v>4</v>
      </c>
      <c r="O18" s="7" t="n">
        <v>4</v>
      </c>
      <c r="P18" s="7" t="n">
        <v>0</v>
      </c>
      <c r="Q18" s="2"/>
      <c r="R18" s="7" t="n">
        <v>2.379869</v>
      </c>
      <c r="S18" s="5" t="s">
        <v>60</v>
      </c>
      <c r="T18" s="5" t="s">
        <v>61</v>
      </c>
    </row>
    <row r="19" customFormat="false" ht="15" hidden="false" customHeight="false" outlineLevel="0" collapsed="false">
      <c r="A19" s="5" t="s">
        <v>4</v>
      </c>
      <c r="B19" s="5" t="s">
        <v>55</v>
      </c>
      <c r="C19" s="2" t="s">
        <v>56</v>
      </c>
      <c r="D19" s="5" t="s">
        <v>57</v>
      </c>
      <c r="E19" s="5" t="s">
        <v>62</v>
      </c>
      <c r="F19" s="2" t="n">
        <v>12</v>
      </c>
      <c r="G19" s="5" t="s">
        <v>65</v>
      </c>
      <c r="H19" s="2" t="n">
        <v>0</v>
      </c>
      <c r="I19" s="2" t="n">
        <v>1</v>
      </c>
      <c r="J19" s="2" t="n">
        <v>1</v>
      </c>
      <c r="K19" s="7" t="n">
        <v>0.530779102</v>
      </c>
      <c r="L19" s="7" t="n">
        <v>0.1330458642</v>
      </c>
      <c r="M19" s="7" t="n">
        <v>0.1365759827</v>
      </c>
      <c r="N19" s="7" t="n">
        <v>4</v>
      </c>
      <c r="O19" s="7" t="n">
        <v>4</v>
      </c>
      <c r="P19" s="7" t="n">
        <v>4</v>
      </c>
      <c r="Q19" s="2"/>
      <c r="R19" s="7" t="n">
        <v>2.701113</v>
      </c>
      <c r="S19" s="5" t="s">
        <v>60</v>
      </c>
      <c r="T19" s="5" t="s">
        <v>61</v>
      </c>
    </row>
    <row r="20" customFormat="false" ht="15" hidden="false" customHeight="false" outlineLevel="0" collapsed="false">
      <c r="A20" s="5" t="s">
        <v>4</v>
      </c>
      <c r="B20" s="5" t="s">
        <v>55</v>
      </c>
      <c r="C20" s="2" t="s">
        <v>56</v>
      </c>
      <c r="D20" s="5" t="s">
        <v>57</v>
      </c>
      <c r="E20" s="5" t="s">
        <v>58</v>
      </c>
      <c r="F20" s="2" t="n">
        <v>12</v>
      </c>
      <c r="G20" s="5" t="s">
        <v>66</v>
      </c>
      <c r="H20" s="2" t="n">
        <v>0</v>
      </c>
      <c r="I20" s="2" t="n">
        <v>1</v>
      </c>
      <c r="J20" s="2" t="n">
        <v>1</v>
      </c>
      <c r="K20" s="7" t="n">
        <v>1.036471132</v>
      </c>
      <c r="L20" s="7" t="n">
        <v>0.1104121672</v>
      </c>
      <c r="M20" s="7" t="n">
        <v>0.1256253865</v>
      </c>
      <c r="N20" s="7" t="n">
        <v>5</v>
      </c>
      <c r="O20" s="7" t="n">
        <v>5</v>
      </c>
      <c r="P20" s="7" t="n">
        <v>0</v>
      </c>
      <c r="Q20" s="2"/>
      <c r="R20" s="7" t="n">
        <v>4.784584</v>
      </c>
      <c r="S20" s="5" t="s">
        <v>60</v>
      </c>
      <c r="T20" s="5" t="s">
        <v>61</v>
      </c>
    </row>
    <row r="21" customFormat="false" ht="15" hidden="false" customHeight="false" outlineLevel="0" collapsed="false">
      <c r="A21" s="5" t="s">
        <v>4</v>
      </c>
      <c r="B21" s="5" t="s">
        <v>55</v>
      </c>
      <c r="C21" s="2" t="s">
        <v>56</v>
      </c>
      <c r="D21" s="5" t="s">
        <v>57</v>
      </c>
      <c r="E21" s="5" t="s">
        <v>62</v>
      </c>
      <c r="F21" s="2" t="n">
        <v>12</v>
      </c>
      <c r="G21" s="5" t="s">
        <v>66</v>
      </c>
      <c r="H21" s="2" t="n">
        <v>0</v>
      </c>
      <c r="I21" s="2" t="n">
        <v>1</v>
      </c>
      <c r="J21" s="2" t="n">
        <v>1</v>
      </c>
      <c r="K21" s="7" t="n">
        <v>1.036471132</v>
      </c>
      <c r="L21" s="7" t="n">
        <v>0.1104121672</v>
      </c>
      <c r="M21" s="7" t="n">
        <v>0.1256253865</v>
      </c>
      <c r="N21" s="7" t="n">
        <v>5</v>
      </c>
      <c r="O21" s="7" t="n">
        <v>5</v>
      </c>
      <c r="P21" s="7" t="n">
        <v>5</v>
      </c>
      <c r="Q21" s="2"/>
      <c r="R21" s="7" t="n">
        <v>5.16717</v>
      </c>
      <c r="S21" s="5" t="s">
        <v>60</v>
      </c>
      <c r="T21" s="5" t="s">
        <v>61</v>
      </c>
    </row>
    <row r="22" customFormat="false" ht="15" hidden="false" customHeight="false" outlineLevel="0" collapsed="false">
      <c r="A22" s="5" t="s">
        <v>4</v>
      </c>
      <c r="B22" s="5" t="s">
        <v>55</v>
      </c>
      <c r="C22" s="2" t="s">
        <v>56</v>
      </c>
      <c r="D22" s="5" t="s">
        <v>57</v>
      </c>
      <c r="E22" s="5" t="s">
        <v>58</v>
      </c>
      <c r="F22" s="2" t="n">
        <v>13</v>
      </c>
      <c r="G22" s="5" t="s">
        <v>59</v>
      </c>
      <c r="H22" s="2" t="n">
        <v>1</v>
      </c>
      <c r="I22" s="2" t="n">
        <v>1</v>
      </c>
      <c r="J22" s="2" t="n">
        <v>1</v>
      </c>
      <c r="K22" s="7" t="n">
        <v>0.1711783565</v>
      </c>
      <c r="L22" s="7" t="n">
        <v>0.0404300319</v>
      </c>
      <c r="M22" s="7" t="n">
        <v>0.04142944888</v>
      </c>
      <c r="N22" s="7" t="n">
        <v>6</v>
      </c>
      <c r="O22" s="7" t="n">
        <v>6</v>
      </c>
      <c r="P22" s="7" t="n">
        <v>0</v>
      </c>
      <c r="Q22" s="2"/>
      <c r="R22" s="7" t="n">
        <v>1.464935</v>
      </c>
      <c r="S22" s="5" t="s">
        <v>60</v>
      </c>
      <c r="T22" s="5" t="s">
        <v>61</v>
      </c>
    </row>
    <row r="23" customFormat="false" ht="15" hidden="false" customHeight="false" outlineLevel="0" collapsed="false">
      <c r="A23" s="5" t="s">
        <v>4</v>
      </c>
      <c r="B23" s="5" t="s">
        <v>55</v>
      </c>
      <c r="C23" s="2" t="s">
        <v>56</v>
      </c>
      <c r="D23" s="5" t="s">
        <v>57</v>
      </c>
      <c r="E23" s="5" t="s">
        <v>62</v>
      </c>
      <c r="F23" s="2" t="n">
        <v>13</v>
      </c>
      <c r="G23" s="5" t="s">
        <v>59</v>
      </c>
      <c r="H23" s="2" t="n">
        <v>1</v>
      </c>
      <c r="I23" s="2" t="n">
        <v>1</v>
      </c>
      <c r="J23" s="2" t="n">
        <v>1</v>
      </c>
      <c r="K23" s="7" t="n">
        <v>0.1711783565</v>
      </c>
      <c r="L23" s="7" t="n">
        <v>0.0404300319</v>
      </c>
      <c r="M23" s="7" t="n">
        <v>0.04142944888</v>
      </c>
      <c r="N23" s="7" t="n">
        <v>6</v>
      </c>
      <c r="O23" s="7" t="n">
        <v>6</v>
      </c>
      <c r="P23" s="7" t="n">
        <v>6</v>
      </c>
      <c r="Q23" s="2"/>
      <c r="R23" s="7" t="n">
        <v>1.856934</v>
      </c>
      <c r="S23" s="5" t="s">
        <v>60</v>
      </c>
      <c r="T23" s="5" t="s">
        <v>61</v>
      </c>
    </row>
    <row r="24" customFormat="false" ht="15" hidden="false" customHeight="false" outlineLevel="0" collapsed="false">
      <c r="A24" s="5" t="s">
        <v>4</v>
      </c>
      <c r="B24" s="5" t="s">
        <v>55</v>
      </c>
      <c r="C24" s="2" t="s">
        <v>56</v>
      </c>
      <c r="D24" s="5" t="s">
        <v>57</v>
      </c>
      <c r="E24" s="5" t="s">
        <v>58</v>
      </c>
      <c r="F24" s="2" t="n">
        <v>13</v>
      </c>
      <c r="G24" s="5" t="s">
        <v>63</v>
      </c>
      <c r="H24" s="2" t="n">
        <v>1</v>
      </c>
      <c r="I24" s="2" t="n">
        <v>1</v>
      </c>
      <c r="J24" s="2" t="n">
        <v>1</v>
      </c>
      <c r="K24" s="7" t="n">
        <v>0.6065084518</v>
      </c>
      <c r="L24" s="7" t="n">
        <v>0.02070564074</v>
      </c>
      <c r="M24" s="7" t="n">
        <v>0.04004764117</v>
      </c>
      <c r="N24" s="7" t="n">
        <v>10</v>
      </c>
      <c r="O24" s="7" t="n">
        <v>10</v>
      </c>
      <c r="P24" s="7" t="n">
        <v>0</v>
      </c>
      <c r="Q24" s="2"/>
      <c r="R24" s="7" t="n">
        <v>1.240315</v>
      </c>
      <c r="S24" s="5" t="s">
        <v>60</v>
      </c>
      <c r="T24" s="5" t="s">
        <v>61</v>
      </c>
    </row>
    <row r="25" customFormat="false" ht="15" hidden="false" customHeight="false" outlineLevel="0" collapsed="false">
      <c r="A25" s="5" t="s">
        <v>4</v>
      </c>
      <c r="B25" s="5" t="s">
        <v>55</v>
      </c>
      <c r="C25" s="2" t="s">
        <v>56</v>
      </c>
      <c r="D25" s="5" t="s">
        <v>57</v>
      </c>
      <c r="E25" s="5" t="s">
        <v>62</v>
      </c>
      <c r="F25" s="2" t="n">
        <v>13</v>
      </c>
      <c r="G25" s="5" t="s">
        <v>63</v>
      </c>
      <c r="H25" s="2" t="n">
        <v>1</v>
      </c>
      <c r="I25" s="2" t="n">
        <v>1</v>
      </c>
      <c r="J25" s="2" t="n">
        <v>1</v>
      </c>
      <c r="K25" s="7" t="n">
        <v>0.6065084518</v>
      </c>
      <c r="L25" s="7" t="n">
        <v>0.02070564074</v>
      </c>
      <c r="M25" s="7" t="n">
        <v>0.04004764117</v>
      </c>
      <c r="N25" s="7" t="n">
        <v>10</v>
      </c>
      <c r="O25" s="7" t="n">
        <v>10</v>
      </c>
      <c r="P25" s="7" t="n">
        <v>10</v>
      </c>
      <c r="Q25" s="2"/>
      <c r="R25" s="7" t="n">
        <v>1.841573</v>
      </c>
      <c r="S25" s="5" t="s">
        <v>60</v>
      </c>
      <c r="T25" s="5" t="s">
        <v>61</v>
      </c>
    </row>
    <row r="26" customFormat="false" ht="15" hidden="false" customHeight="false" outlineLevel="0" collapsed="false">
      <c r="A26" s="5" t="s">
        <v>4</v>
      </c>
      <c r="B26" s="5" t="s">
        <v>55</v>
      </c>
      <c r="C26" s="2" t="s">
        <v>56</v>
      </c>
      <c r="D26" s="5" t="s">
        <v>57</v>
      </c>
      <c r="E26" s="5" t="s">
        <v>58</v>
      </c>
      <c r="F26" s="2" t="n">
        <v>13</v>
      </c>
      <c r="G26" s="5" t="s">
        <v>64</v>
      </c>
      <c r="H26" s="2" t="n">
        <v>0</v>
      </c>
      <c r="I26" s="2" t="n">
        <v>1</v>
      </c>
      <c r="J26" s="2" t="n">
        <v>1</v>
      </c>
      <c r="K26" s="7" t="n">
        <v>0.7507066773</v>
      </c>
      <c r="L26" s="7" t="n">
        <v>0.1199679067</v>
      </c>
      <c r="M26" s="7" t="n">
        <v>0.1294402271</v>
      </c>
      <c r="N26" s="7" t="n">
        <v>6</v>
      </c>
      <c r="O26" s="7" t="n">
        <v>6</v>
      </c>
      <c r="P26" s="7" t="n">
        <v>0</v>
      </c>
      <c r="Q26" s="2"/>
      <c r="R26" s="7" t="n">
        <v>1.395262</v>
      </c>
      <c r="S26" s="5" t="s">
        <v>60</v>
      </c>
      <c r="T26" s="5" t="s">
        <v>61</v>
      </c>
    </row>
    <row r="27" customFormat="false" ht="15" hidden="false" customHeight="false" outlineLevel="0" collapsed="false">
      <c r="A27" s="5" t="s">
        <v>4</v>
      </c>
      <c r="B27" s="5" t="s">
        <v>55</v>
      </c>
      <c r="C27" s="2" t="s">
        <v>56</v>
      </c>
      <c r="D27" s="5" t="s">
        <v>57</v>
      </c>
      <c r="E27" s="5" t="s">
        <v>62</v>
      </c>
      <c r="F27" s="2" t="n">
        <v>13</v>
      </c>
      <c r="G27" s="5" t="s">
        <v>64</v>
      </c>
      <c r="H27" s="2" t="n">
        <v>0</v>
      </c>
      <c r="I27" s="2" t="n">
        <v>1</v>
      </c>
      <c r="J27" s="2" t="n">
        <v>1</v>
      </c>
      <c r="K27" s="7" t="n">
        <v>0.7507066773</v>
      </c>
      <c r="L27" s="7" t="n">
        <v>0.1199679067</v>
      </c>
      <c r="M27" s="7" t="n">
        <v>0.1294402271</v>
      </c>
      <c r="N27" s="7" t="n">
        <v>6</v>
      </c>
      <c r="O27" s="7" t="n">
        <v>6</v>
      </c>
      <c r="P27" s="7" t="n">
        <v>6</v>
      </c>
      <c r="Q27" s="2"/>
      <c r="R27" s="7" t="n">
        <v>1.786741</v>
      </c>
      <c r="S27" s="5" t="s">
        <v>60</v>
      </c>
      <c r="T27" s="5" t="s">
        <v>61</v>
      </c>
    </row>
    <row r="28" customFormat="false" ht="15" hidden="false" customHeight="false" outlineLevel="0" collapsed="false">
      <c r="A28" s="5" t="s">
        <v>4</v>
      </c>
      <c r="B28" s="5" t="s">
        <v>55</v>
      </c>
      <c r="C28" s="2" t="s">
        <v>56</v>
      </c>
      <c r="D28" s="5" t="s">
        <v>57</v>
      </c>
      <c r="E28" s="5" t="s">
        <v>58</v>
      </c>
      <c r="F28" s="2" t="n">
        <v>13</v>
      </c>
      <c r="G28" s="5" t="s">
        <v>65</v>
      </c>
      <c r="H28" s="2" t="n">
        <v>0</v>
      </c>
      <c r="I28" s="2" t="n">
        <v>1</v>
      </c>
      <c r="J28" s="2" t="n">
        <v>1</v>
      </c>
      <c r="K28" s="7" t="n">
        <v>0.4820859847</v>
      </c>
      <c r="L28" s="7" t="n">
        <v>0.1078200103</v>
      </c>
      <c r="M28" s="7" t="n">
        <v>0.1118107664</v>
      </c>
      <c r="N28" s="7" t="n">
        <v>5</v>
      </c>
      <c r="O28" s="7" t="n">
        <v>5</v>
      </c>
      <c r="P28" s="7" t="n">
        <v>0</v>
      </c>
      <c r="Q28" s="2"/>
      <c r="R28" s="7" t="n">
        <v>2.213552</v>
      </c>
      <c r="S28" s="5" t="s">
        <v>60</v>
      </c>
      <c r="T28" s="5" t="s">
        <v>61</v>
      </c>
    </row>
    <row r="29" customFormat="false" ht="15" hidden="false" customHeight="false" outlineLevel="0" collapsed="false">
      <c r="A29" s="5" t="s">
        <v>4</v>
      </c>
      <c r="B29" s="5" t="s">
        <v>55</v>
      </c>
      <c r="C29" s="2" t="s">
        <v>56</v>
      </c>
      <c r="D29" s="5" t="s">
        <v>57</v>
      </c>
      <c r="E29" s="5" t="s">
        <v>62</v>
      </c>
      <c r="F29" s="2" t="n">
        <v>13</v>
      </c>
      <c r="G29" s="5" t="s">
        <v>65</v>
      </c>
      <c r="H29" s="2" t="n">
        <v>0</v>
      </c>
      <c r="I29" s="2" t="n">
        <v>1</v>
      </c>
      <c r="J29" s="2" t="n">
        <v>1</v>
      </c>
      <c r="K29" s="7" t="n">
        <v>0.4820859847</v>
      </c>
      <c r="L29" s="7" t="n">
        <v>0.1078200103</v>
      </c>
      <c r="M29" s="7" t="n">
        <v>0.1118107664</v>
      </c>
      <c r="N29" s="7" t="n">
        <v>5</v>
      </c>
      <c r="O29" s="7" t="n">
        <v>5</v>
      </c>
      <c r="P29" s="7" t="n">
        <v>5</v>
      </c>
      <c r="Q29" s="2"/>
      <c r="R29" s="7" t="n">
        <v>6.569632</v>
      </c>
      <c r="S29" s="5" t="s">
        <v>60</v>
      </c>
      <c r="T29" s="5" t="s">
        <v>61</v>
      </c>
    </row>
    <row r="30" customFormat="false" ht="15" hidden="false" customHeight="false" outlineLevel="0" collapsed="false">
      <c r="A30" s="5" t="s">
        <v>4</v>
      </c>
      <c r="B30" s="5" t="s">
        <v>55</v>
      </c>
      <c r="C30" s="2" t="s">
        <v>56</v>
      </c>
      <c r="D30" s="5" t="s">
        <v>57</v>
      </c>
      <c r="E30" s="5" t="s">
        <v>58</v>
      </c>
      <c r="F30" s="2" t="n">
        <v>13</v>
      </c>
      <c r="G30" s="5" t="s">
        <v>66</v>
      </c>
      <c r="H30" s="2" t="n">
        <v>0</v>
      </c>
      <c r="I30" s="2" t="n">
        <v>0</v>
      </c>
      <c r="J30" s="2" t="n">
        <v>0</v>
      </c>
      <c r="K30" s="2"/>
      <c r="L30" s="2"/>
      <c r="M30" s="2"/>
      <c r="N30" s="7" t="n">
        <v>0</v>
      </c>
      <c r="O30" s="7" t="n">
        <v>0</v>
      </c>
      <c r="P30" s="7" t="n">
        <v>0</v>
      </c>
      <c r="Q30" s="2"/>
      <c r="R30" s="7" t="n">
        <v>2.129048</v>
      </c>
      <c r="S30" s="5" t="s">
        <v>60</v>
      </c>
      <c r="T30" s="5" t="s">
        <v>61</v>
      </c>
    </row>
    <row r="31" customFormat="false" ht="15" hidden="false" customHeight="false" outlineLevel="0" collapsed="false">
      <c r="A31" s="5" t="s">
        <v>4</v>
      </c>
      <c r="B31" s="5" t="s">
        <v>55</v>
      </c>
      <c r="C31" s="2" t="s">
        <v>56</v>
      </c>
      <c r="D31" s="5" t="s">
        <v>57</v>
      </c>
      <c r="E31" s="5" t="s">
        <v>62</v>
      </c>
      <c r="F31" s="2" t="n">
        <v>13</v>
      </c>
      <c r="G31" s="5" t="s">
        <v>66</v>
      </c>
      <c r="H31" s="2" t="n">
        <v>0</v>
      </c>
      <c r="I31" s="2" t="n">
        <v>0</v>
      </c>
      <c r="J31" s="2" t="n">
        <v>0</v>
      </c>
      <c r="K31" s="2"/>
      <c r="L31" s="2"/>
      <c r="M31" s="2"/>
      <c r="N31" s="7" t="n">
        <v>0</v>
      </c>
      <c r="O31" s="7" t="n">
        <v>0</v>
      </c>
      <c r="P31" s="7" t="n">
        <v>0</v>
      </c>
      <c r="Q31" s="2"/>
      <c r="R31" s="7" t="n">
        <v>2.128918</v>
      </c>
      <c r="S31" s="5" t="s">
        <v>60</v>
      </c>
      <c r="T31" s="5" t="s">
        <v>61</v>
      </c>
    </row>
    <row r="32" customFormat="false" ht="15" hidden="false" customHeight="false" outlineLevel="0" collapsed="false">
      <c r="A32" s="5" t="s">
        <v>4</v>
      </c>
      <c r="B32" s="5" t="s">
        <v>55</v>
      </c>
      <c r="C32" s="2" t="s">
        <v>56</v>
      </c>
      <c r="D32" s="5" t="s">
        <v>57</v>
      </c>
      <c r="E32" s="5" t="s">
        <v>58</v>
      </c>
      <c r="F32" s="2" t="n">
        <v>14</v>
      </c>
      <c r="G32" s="5" t="s">
        <v>59</v>
      </c>
      <c r="H32" s="2" t="n">
        <v>1</v>
      </c>
      <c r="I32" s="2" t="n">
        <v>0</v>
      </c>
      <c r="J32" s="2" t="n">
        <v>0</v>
      </c>
      <c r="K32" s="2"/>
      <c r="L32" s="2"/>
      <c r="M32" s="2"/>
      <c r="N32" s="7" t="n">
        <v>2</v>
      </c>
      <c r="O32" s="7" t="n">
        <v>2</v>
      </c>
      <c r="P32" s="7" t="n">
        <v>0</v>
      </c>
      <c r="Q32" s="2"/>
      <c r="R32" s="7" t="n">
        <v>5.402709</v>
      </c>
      <c r="S32" s="5" t="s">
        <v>60</v>
      </c>
      <c r="T32" s="5" t="s">
        <v>61</v>
      </c>
    </row>
    <row r="33" customFormat="false" ht="15" hidden="false" customHeight="false" outlineLevel="0" collapsed="false">
      <c r="A33" s="5" t="s">
        <v>4</v>
      </c>
      <c r="B33" s="5" t="s">
        <v>55</v>
      </c>
      <c r="C33" s="2" t="s">
        <v>56</v>
      </c>
      <c r="D33" s="5" t="s">
        <v>57</v>
      </c>
      <c r="E33" s="5" t="s">
        <v>62</v>
      </c>
      <c r="F33" s="2" t="n">
        <v>14</v>
      </c>
      <c r="G33" s="5" t="s">
        <v>59</v>
      </c>
      <c r="H33" s="2" t="n">
        <v>1</v>
      </c>
      <c r="I33" s="2" t="n">
        <v>0</v>
      </c>
      <c r="J33" s="2" t="n">
        <v>0</v>
      </c>
      <c r="K33" s="2"/>
      <c r="L33" s="2"/>
      <c r="M33" s="2"/>
      <c r="N33" s="7" t="n">
        <v>2</v>
      </c>
      <c r="O33" s="7" t="n">
        <v>2</v>
      </c>
      <c r="P33" s="7" t="n">
        <v>0</v>
      </c>
      <c r="Q33" s="2"/>
      <c r="R33" s="7" t="n">
        <v>5.402749</v>
      </c>
      <c r="S33" s="5" t="s">
        <v>60</v>
      </c>
      <c r="T33" s="5" t="s">
        <v>61</v>
      </c>
    </row>
    <row r="34" customFormat="false" ht="15" hidden="false" customHeight="false" outlineLevel="0" collapsed="false">
      <c r="A34" s="5" t="s">
        <v>4</v>
      </c>
      <c r="B34" s="5" t="s">
        <v>55</v>
      </c>
      <c r="C34" s="2" t="s">
        <v>56</v>
      </c>
      <c r="D34" s="5" t="s">
        <v>57</v>
      </c>
      <c r="E34" s="5" t="s">
        <v>58</v>
      </c>
      <c r="F34" s="2" t="n">
        <v>14</v>
      </c>
      <c r="G34" s="5" t="s">
        <v>63</v>
      </c>
      <c r="H34" s="2" t="n">
        <v>1</v>
      </c>
      <c r="I34" s="2" t="n">
        <v>1</v>
      </c>
      <c r="J34" s="2" t="n">
        <v>1</v>
      </c>
      <c r="K34" s="7" t="n">
        <v>1.138151916</v>
      </c>
      <c r="L34" s="7" t="n">
        <v>0.127309759</v>
      </c>
      <c r="M34" s="7" t="n">
        <v>0.1429007139</v>
      </c>
      <c r="N34" s="7" t="n">
        <v>9</v>
      </c>
      <c r="O34" s="7" t="n">
        <v>9</v>
      </c>
      <c r="P34" s="7" t="n">
        <v>0</v>
      </c>
      <c r="Q34" s="2"/>
      <c r="R34" s="7" t="n">
        <v>1.25142</v>
      </c>
      <c r="S34" s="5" t="s">
        <v>60</v>
      </c>
      <c r="T34" s="5" t="s">
        <v>61</v>
      </c>
    </row>
    <row r="35" customFormat="false" ht="15" hidden="false" customHeight="false" outlineLevel="0" collapsed="false">
      <c r="A35" s="5" t="s">
        <v>4</v>
      </c>
      <c r="B35" s="5" t="s">
        <v>55</v>
      </c>
      <c r="C35" s="2" t="s">
        <v>56</v>
      </c>
      <c r="D35" s="5" t="s">
        <v>57</v>
      </c>
      <c r="E35" s="5" t="s">
        <v>62</v>
      </c>
      <c r="F35" s="2" t="n">
        <v>14</v>
      </c>
      <c r="G35" s="5" t="s">
        <v>63</v>
      </c>
      <c r="H35" s="2" t="n">
        <v>1</v>
      </c>
      <c r="I35" s="2" t="n">
        <v>1</v>
      </c>
      <c r="J35" s="2" t="n">
        <v>1</v>
      </c>
      <c r="K35" s="7" t="n">
        <v>1.138151916</v>
      </c>
      <c r="L35" s="7" t="n">
        <v>0.127309759</v>
      </c>
      <c r="M35" s="7" t="n">
        <v>0.1429007139</v>
      </c>
      <c r="N35" s="7" t="n">
        <v>9</v>
      </c>
      <c r="O35" s="7" t="n">
        <v>9</v>
      </c>
      <c r="P35" s="7" t="n">
        <v>9</v>
      </c>
      <c r="Q35" s="2"/>
      <c r="R35" s="7" t="n">
        <v>1.789976</v>
      </c>
      <c r="S35" s="5" t="s">
        <v>60</v>
      </c>
      <c r="T35" s="5" t="s">
        <v>61</v>
      </c>
    </row>
    <row r="36" customFormat="false" ht="15" hidden="false" customHeight="false" outlineLevel="0" collapsed="false">
      <c r="A36" s="5" t="s">
        <v>4</v>
      </c>
      <c r="B36" s="5" t="s">
        <v>55</v>
      </c>
      <c r="C36" s="2" t="s">
        <v>56</v>
      </c>
      <c r="D36" s="5" t="s">
        <v>57</v>
      </c>
      <c r="E36" s="5" t="s">
        <v>58</v>
      </c>
      <c r="F36" s="2" t="n">
        <v>14</v>
      </c>
      <c r="G36" s="5" t="s">
        <v>64</v>
      </c>
      <c r="H36" s="2" t="n">
        <v>0</v>
      </c>
      <c r="I36" s="2" t="n">
        <v>0</v>
      </c>
      <c r="J36" s="2" t="n">
        <v>0</v>
      </c>
      <c r="K36" s="2"/>
      <c r="L36" s="2"/>
      <c r="M36" s="2"/>
      <c r="N36" s="7" t="n">
        <v>2</v>
      </c>
      <c r="O36" s="7" t="n">
        <v>2</v>
      </c>
      <c r="P36" s="7" t="n">
        <v>0</v>
      </c>
      <c r="Q36" s="2"/>
      <c r="R36" s="7" t="n">
        <v>1.52806</v>
      </c>
      <c r="S36" s="5" t="s">
        <v>60</v>
      </c>
      <c r="T36" s="5" t="s">
        <v>61</v>
      </c>
    </row>
    <row r="37" customFormat="false" ht="15" hidden="false" customHeight="false" outlineLevel="0" collapsed="false">
      <c r="A37" s="5" t="s">
        <v>4</v>
      </c>
      <c r="B37" s="5" t="s">
        <v>55</v>
      </c>
      <c r="C37" s="2" t="s">
        <v>56</v>
      </c>
      <c r="D37" s="5" t="s">
        <v>57</v>
      </c>
      <c r="E37" s="5" t="s">
        <v>62</v>
      </c>
      <c r="F37" s="2" t="n">
        <v>14</v>
      </c>
      <c r="G37" s="5" t="s">
        <v>64</v>
      </c>
      <c r="H37" s="2" t="n">
        <v>0</v>
      </c>
      <c r="I37" s="2" t="n">
        <v>0</v>
      </c>
      <c r="J37" s="2" t="n">
        <v>0</v>
      </c>
      <c r="K37" s="2"/>
      <c r="L37" s="2"/>
      <c r="M37" s="2"/>
      <c r="N37" s="7" t="n">
        <v>2</v>
      </c>
      <c r="O37" s="7" t="n">
        <v>2</v>
      </c>
      <c r="P37" s="7" t="n">
        <v>0</v>
      </c>
      <c r="Q37" s="2"/>
      <c r="R37" s="7" t="n">
        <v>1.527999</v>
      </c>
      <c r="S37" s="5" t="s">
        <v>60</v>
      </c>
      <c r="T37" s="5" t="s">
        <v>61</v>
      </c>
    </row>
    <row r="38" customFormat="false" ht="15" hidden="false" customHeight="false" outlineLevel="0" collapsed="false">
      <c r="A38" s="5" t="s">
        <v>4</v>
      </c>
      <c r="B38" s="5" t="s">
        <v>55</v>
      </c>
      <c r="C38" s="2" t="s">
        <v>56</v>
      </c>
      <c r="D38" s="5" t="s">
        <v>57</v>
      </c>
      <c r="E38" s="5" t="s">
        <v>58</v>
      </c>
      <c r="F38" s="2" t="n">
        <v>14</v>
      </c>
      <c r="G38" s="5" t="s">
        <v>65</v>
      </c>
      <c r="H38" s="2" t="n">
        <v>0</v>
      </c>
      <c r="I38" s="2" t="n">
        <v>1</v>
      </c>
      <c r="J38" s="2" t="n">
        <v>1</v>
      </c>
      <c r="K38" s="7" t="n">
        <v>0.827234433</v>
      </c>
      <c r="L38" s="7" t="n">
        <v>0.2356557168</v>
      </c>
      <c r="M38" s="7" t="n">
        <v>0.2410591109</v>
      </c>
      <c r="N38" s="7" t="n">
        <v>3</v>
      </c>
      <c r="O38" s="7" t="n">
        <v>3</v>
      </c>
      <c r="P38" s="7" t="n">
        <v>0</v>
      </c>
      <c r="Q38" s="2"/>
      <c r="R38" s="7" t="n">
        <v>6.3309</v>
      </c>
      <c r="S38" s="5" t="s">
        <v>60</v>
      </c>
      <c r="T38" s="5" t="s">
        <v>61</v>
      </c>
    </row>
    <row r="39" customFormat="false" ht="15" hidden="false" customHeight="false" outlineLevel="0" collapsed="false">
      <c r="A39" s="5" t="s">
        <v>4</v>
      </c>
      <c r="B39" s="5" t="s">
        <v>55</v>
      </c>
      <c r="C39" s="2" t="s">
        <v>56</v>
      </c>
      <c r="D39" s="5" t="s">
        <v>57</v>
      </c>
      <c r="E39" s="5" t="s">
        <v>62</v>
      </c>
      <c r="F39" s="2" t="n">
        <v>14</v>
      </c>
      <c r="G39" s="5" t="s">
        <v>65</v>
      </c>
      <c r="H39" s="2" t="n">
        <v>0</v>
      </c>
      <c r="I39" s="2" t="n">
        <v>1</v>
      </c>
      <c r="J39" s="2" t="n">
        <v>1</v>
      </c>
      <c r="K39" s="7" t="n">
        <v>0.827234433</v>
      </c>
      <c r="L39" s="7" t="n">
        <v>0.2356557168</v>
      </c>
      <c r="M39" s="7" t="n">
        <v>0.2410591109</v>
      </c>
      <c r="N39" s="7" t="n">
        <v>3</v>
      </c>
      <c r="O39" s="7" t="n">
        <v>3</v>
      </c>
      <c r="P39" s="7" t="n">
        <v>3</v>
      </c>
      <c r="Q39" s="2"/>
      <c r="R39" s="7" t="n">
        <v>6.50681</v>
      </c>
      <c r="S39" s="5" t="s">
        <v>60</v>
      </c>
      <c r="T39" s="5" t="s">
        <v>61</v>
      </c>
    </row>
    <row r="40" customFormat="false" ht="15" hidden="false" customHeight="false" outlineLevel="0" collapsed="false">
      <c r="A40" s="5" t="s">
        <v>4</v>
      </c>
      <c r="B40" s="5" t="s">
        <v>55</v>
      </c>
      <c r="C40" s="2" t="s">
        <v>56</v>
      </c>
      <c r="D40" s="5" t="s">
        <v>57</v>
      </c>
      <c r="E40" s="5" t="s">
        <v>58</v>
      </c>
      <c r="F40" s="2" t="n">
        <v>14</v>
      </c>
      <c r="G40" s="5" t="s">
        <v>66</v>
      </c>
      <c r="H40" s="2" t="n">
        <v>0</v>
      </c>
      <c r="I40" s="2" t="n">
        <v>1</v>
      </c>
      <c r="J40" s="2" t="n">
        <v>0</v>
      </c>
      <c r="K40" s="7" t="n">
        <v>3.964273697</v>
      </c>
      <c r="L40" s="7" t="n">
        <v>0.2120175691</v>
      </c>
      <c r="M40" s="7" t="n">
        <v>0.3142458564</v>
      </c>
      <c r="N40" s="7" t="n">
        <v>4</v>
      </c>
      <c r="O40" s="7" t="n">
        <v>4</v>
      </c>
      <c r="P40" s="7" t="n">
        <v>0</v>
      </c>
      <c r="Q40" s="2"/>
      <c r="R40" s="7" t="n">
        <v>2.591262</v>
      </c>
      <c r="S40" s="5" t="s">
        <v>60</v>
      </c>
      <c r="T40" s="5" t="s">
        <v>61</v>
      </c>
    </row>
    <row r="41" customFormat="false" ht="15" hidden="false" customHeight="false" outlineLevel="0" collapsed="false">
      <c r="A41" s="5" t="s">
        <v>4</v>
      </c>
      <c r="B41" s="5" t="s">
        <v>55</v>
      </c>
      <c r="C41" s="2" t="s">
        <v>56</v>
      </c>
      <c r="D41" s="5" t="s">
        <v>57</v>
      </c>
      <c r="E41" s="5" t="s">
        <v>62</v>
      </c>
      <c r="F41" s="2" t="n">
        <v>14</v>
      </c>
      <c r="G41" s="5" t="s">
        <v>66</v>
      </c>
      <c r="H41" s="2" t="n">
        <v>0</v>
      </c>
      <c r="I41" s="2" t="n">
        <v>1</v>
      </c>
      <c r="J41" s="2" t="n">
        <v>1</v>
      </c>
      <c r="K41" s="7" t="n">
        <v>1.818689623</v>
      </c>
      <c r="L41" s="7" t="n">
        <v>0.1355149947</v>
      </c>
      <c r="M41" s="7" t="n">
        <v>0.1773039218</v>
      </c>
      <c r="N41" s="7" t="n">
        <v>4</v>
      </c>
      <c r="O41" s="7" t="n">
        <v>4</v>
      </c>
      <c r="P41" s="7" t="n">
        <v>3</v>
      </c>
      <c r="Q41" s="2"/>
      <c r="R41" s="7" t="n">
        <v>2.896703</v>
      </c>
      <c r="S41" s="5" t="s">
        <v>60</v>
      </c>
      <c r="T41" s="5" t="s">
        <v>61</v>
      </c>
    </row>
    <row r="42" customFormat="false" ht="15" hidden="false" customHeight="false" outlineLevel="0" collapsed="false">
      <c r="A42" s="5" t="s">
        <v>4</v>
      </c>
      <c r="B42" s="5" t="s">
        <v>55</v>
      </c>
      <c r="C42" s="2" t="s">
        <v>56</v>
      </c>
      <c r="D42" s="5" t="s">
        <v>57</v>
      </c>
      <c r="E42" s="5" t="s">
        <v>58</v>
      </c>
      <c r="F42" s="2" t="n">
        <v>15</v>
      </c>
      <c r="G42" s="5" t="s">
        <v>59</v>
      </c>
      <c r="H42" s="2" t="n">
        <v>1</v>
      </c>
      <c r="I42" s="2" t="n">
        <v>1</v>
      </c>
      <c r="J42" s="2" t="n">
        <v>1</v>
      </c>
      <c r="K42" s="7" t="n">
        <v>0.4769224193</v>
      </c>
      <c r="L42" s="7" t="n">
        <v>0.1094136873</v>
      </c>
      <c r="M42" s="7" t="n">
        <v>0.1185238976</v>
      </c>
      <c r="N42" s="7" t="n">
        <v>5</v>
      </c>
      <c r="O42" s="7" t="n">
        <v>5</v>
      </c>
      <c r="P42" s="7" t="n">
        <v>0</v>
      </c>
      <c r="Q42" s="2"/>
      <c r="R42" s="7" t="n">
        <v>5.481524</v>
      </c>
      <c r="S42" s="5" t="s">
        <v>60</v>
      </c>
      <c r="T42" s="5" t="s">
        <v>61</v>
      </c>
    </row>
    <row r="43" customFormat="false" ht="15" hidden="false" customHeight="false" outlineLevel="0" collapsed="false">
      <c r="A43" s="5" t="s">
        <v>4</v>
      </c>
      <c r="B43" s="5" t="s">
        <v>55</v>
      </c>
      <c r="C43" s="2" t="s">
        <v>56</v>
      </c>
      <c r="D43" s="5" t="s">
        <v>57</v>
      </c>
      <c r="E43" s="5" t="s">
        <v>62</v>
      </c>
      <c r="F43" s="2" t="n">
        <v>15</v>
      </c>
      <c r="G43" s="5" t="s">
        <v>59</v>
      </c>
      <c r="H43" s="2" t="n">
        <v>1</v>
      </c>
      <c r="I43" s="2" t="n">
        <v>1</v>
      </c>
      <c r="J43" s="2" t="n">
        <v>1</v>
      </c>
      <c r="K43" s="7" t="n">
        <v>0.4769224193</v>
      </c>
      <c r="L43" s="7" t="n">
        <v>0.1094136873</v>
      </c>
      <c r="M43" s="7" t="n">
        <v>0.1185238976</v>
      </c>
      <c r="N43" s="7" t="n">
        <v>5</v>
      </c>
      <c r="O43" s="7" t="n">
        <v>5</v>
      </c>
      <c r="P43" s="7" t="n">
        <v>5</v>
      </c>
      <c r="Q43" s="2"/>
      <c r="R43" s="7" t="n">
        <v>5.847985</v>
      </c>
      <c r="S43" s="5" t="s">
        <v>60</v>
      </c>
      <c r="T43" s="5" t="s">
        <v>61</v>
      </c>
    </row>
    <row r="44" customFormat="false" ht="15" hidden="false" customHeight="false" outlineLevel="0" collapsed="false">
      <c r="A44" s="5" t="s">
        <v>4</v>
      </c>
      <c r="B44" s="5" t="s">
        <v>55</v>
      </c>
      <c r="C44" s="2" t="s">
        <v>56</v>
      </c>
      <c r="D44" s="5" t="s">
        <v>57</v>
      </c>
      <c r="E44" s="5" t="s">
        <v>58</v>
      </c>
      <c r="F44" s="2" t="n">
        <v>15</v>
      </c>
      <c r="G44" s="5" t="s">
        <v>63</v>
      </c>
      <c r="H44" s="2" t="n">
        <v>1</v>
      </c>
      <c r="I44" s="2" t="n">
        <v>1</v>
      </c>
      <c r="J44" s="2" t="n">
        <v>1</v>
      </c>
      <c r="K44" s="7" t="n">
        <v>0.3635718224</v>
      </c>
      <c r="L44" s="7" t="n">
        <v>0.03498048988</v>
      </c>
      <c r="M44" s="7" t="n">
        <v>0.04071353567</v>
      </c>
      <c r="N44" s="7" t="n">
        <v>10</v>
      </c>
      <c r="O44" s="7" t="n">
        <v>10</v>
      </c>
      <c r="P44" s="7" t="n">
        <v>0</v>
      </c>
      <c r="Q44" s="2"/>
      <c r="R44" s="7" t="n">
        <v>1.435792</v>
      </c>
      <c r="S44" s="5" t="s">
        <v>60</v>
      </c>
      <c r="T44" s="5" t="s">
        <v>61</v>
      </c>
    </row>
    <row r="45" customFormat="false" ht="15" hidden="false" customHeight="false" outlineLevel="0" collapsed="false">
      <c r="A45" s="5" t="s">
        <v>4</v>
      </c>
      <c r="B45" s="5" t="s">
        <v>55</v>
      </c>
      <c r="C45" s="2" t="s">
        <v>56</v>
      </c>
      <c r="D45" s="5" t="s">
        <v>57</v>
      </c>
      <c r="E45" s="5" t="s">
        <v>62</v>
      </c>
      <c r="F45" s="2" t="n">
        <v>15</v>
      </c>
      <c r="G45" s="5" t="s">
        <v>63</v>
      </c>
      <c r="H45" s="2" t="n">
        <v>1</v>
      </c>
      <c r="I45" s="2" t="n">
        <v>1</v>
      </c>
      <c r="J45" s="2" t="n">
        <v>1</v>
      </c>
      <c r="K45" s="7" t="n">
        <v>0.3635718224</v>
      </c>
      <c r="L45" s="7" t="n">
        <v>0.03498048988</v>
      </c>
      <c r="M45" s="7" t="n">
        <v>0.04071353567</v>
      </c>
      <c r="N45" s="7" t="n">
        <v>10</v>
      </c>
      <c r="O45" s="7" t="n">
        <v>10</v>
      </c>
      <c r="P45" s="7" t="n">
        <v>10</v>
      </c>
      <c r="Q45" s="2"/>
      <c r="R45" s="7" t="n">
        <v>2.022249</v>
      </c>
      <c r="S45" s="5" t="s">
        <v>60</v>
      </c>
      <c r="T45" s="5" t="s">
        <v>61</v>
      </c>
    </row>
    <row r="46" customFormat="false" ht="15" hidden="false" customHeight="false" outlineLevel="0" collapsed="false">
      <c r="A46" s="5" t="s">
        <v>4</v>
      </c>
      <c r="B46" s="5" t="s">
        <v>55</v>
      </c>
      <c r="C46" s="2" t="s">
        <v>56</v>
      </c>
      <c r="D46" s="5" t="s">
        <v>57</v>
      </c>
      <c r="E46" s="5" t="s">
        <v>58</v>
      </c>
      <c r="F46" s="2" t="n">
        <v>15</v>
      </c>
      <c r="G46" s="5" t="s">
        <v>64</v>
      </c>
      <c r="H46" s="2" t="n">
        <v>0</v>
      </c>
      <c r="I46" s="2" t="n">
        <v>0</v>
      </c>
      <c r="J46" s="2" t="n">
        <v>0</v>
      </c>
      <c r="K46" s="2"/>
      <c r="L46" s="2"/>
      <c r="M46" s="2"/>
      <c r="N46" s="7" t="n">
        <v>1</v>
      </c>
      <c r="O46" s="7" t="n">
        <v>1</v>
      </c>
      <c r="P46" s="7" t="n">
        <v>0</v>
      </c>
      <c r="Q46" s="2"/>
      <c r="R46" s="7" t="n">
        <v>1.260484</v>
      </c>
      <c r="S46" s="5" t="s">
        <v>60</v>
      </c>
      <c r="T46" s="5" t="s">
        <v>61</v>
      </c>
    </row>
    <row r="47" customFormat="false" ht="15" hidden="false" customHeight="false" outlineLevel="0" collapsed="false">
      <c r="A47" s="5" t="s">
        <v>4</v>
      </c>
      <c r="B47" s="5" t="s">
        <v>55</v>
      </c>
      <c r="C47" s="2" t="s">
        <v>56</v>
      </c>
      <c r="D47" s="5" t="s">
        <v>57</v>
      </c>
      <c r="E47" s="5" t="s">
        <v>62</v>
      </c>
      <c r="F47" s="2" t="n">
        <v>15</v>
      </c>
      <c r="G47" s="5" t="s">
        <v>64</v>
      </c>
      <c r="H47" s="2" t="n">
        <v>0</v>
      </c>
      <c r="I47" s="2" t="n">
        <v>0</v>
      </c>
      <c r="J47" s="2" t="n">
        <v>0</v>
      </c>
      <c r="K47" s="2"/>
      <c r="L47" s="2"/>
      <c r="M47" s="2"/>
      <c r="N47" s="7" t="n">
        <v>1</v>
      </c>
      <c r="O47" s="7" t="n">
        <v>1</v>
      </c>
      <c r="P47" s="7" t="n">
        <v>0</v>
      </c>
      <c r="Q47" s="2"/>
      <c r="R47" s="7" t="n">
        <v>1.260634</v>
      </c>
      <c r="S47" s="5" t="s">
        <v>60</v>
      </c>
      <c r="T47" s="5" t="s">
        <v>61</v>
      </c>
    </row>
    <row r="48" customFormat="false" ht="15" hidden="false" customHeight="false" outlineLevel="0" collapsed="false">
      <c r="A48" s="5" t="s">
        <v>4</v>
      </c>
      <c r="B48" s="5" t="s">
        <v>55</v>
      </c>
      <c r="C48" s="2" t="s">
        <v>56</v>
      </c>
      <c r="D48" s="5" t="s">
        <v>57</v>
      </c>
      <c r="E48" s="5" t="s">
        <v>58</v>
      </c>
      <c r="F48" s="2" t="n">
        <v>15</v>
      </c>
      <c r="G48" s="5" t="s">
        <v>65</v>
      </c>
      <c r="H48" s="2" t="n">
        <v>0</v>
      </c>
      <c r="I48" s="2" t="n">
        <v>1</v>
      </c>
      <c r="J48" s="2" t="n">
        <v>1</v>
      </c>
      <c r="K48" s="7" t="n">
        <v>0.8580226462</v>
      </c>
      <c r="L48" s="7" t="n">
        <v>0.3129817204</v>
      </c>
      <c r="M48" s="7" t="n">
        <v>0.3151042963</v>
      </c>
      <c r="N48" s="7" t="n">
        <v>5</v>
      </c>
      <c r="O48" s="7" t="n">
        <v>5</v>
      </c>
      <c r="P48" s="7" t="n">
        <v>0</v>
      </c>
      <c r="Q48" s="2"/>
      <c r="R48" s="7" t="n">
        <v>2.165771</v>
      </c>
      <c r="S48" s="5" t="s">
        <v>60</v>
      </c>
      <c r="T48" s="5" t="s">
        <v>61</v>
      </c>
    </row>
    <row r="49" customFormat="false" ht="15" hidden="false" customHeight="false" outlineLevel="0" collapsed="false">
      <c r="A49" s="5" t="s">
        <v>4</v>
      </c>
      <c r="B49" s="5" t="s">
        <v>55</v>
      </c>
      <c r="C49" s="2" t="s">
        <v>56</v>
      </c>
      <c r="D49" s="5" t="s">
        <v>57</v>
      </c>
      <c r="E49" s="5" t="s">
        <v>62</v>
      </c>
      <c r="F49" s="2" t="n">
        <v>15</v>
      </c>
      <c r="G49" s="5" t="s">
        <v>65</v>
      </c>
      <c r="H49" s="2" t="n">
        <v>0</v>
      </c>
      <c r="I49" s="2" t="n">
        <v>1</v>
      </c>
      <c r="J49" s="2" t="n">
        <v>1</v>
      </c>
      <c r="K49" s="7" t="n">
        <v>0.8580226462</v>
      </c>
      <c r="L49" s="7" t="n">
        <v>0.3129817204</v>
      </c>
      <c r="M49" s="7" t="n">
        <v>0.3151042963</v>
      </c>
      <c r="N49" s="7" t="n">
        <v>5</v>
      </c>
      <c r="O49" s="7" t="n">
        <v>5</v>
      </c>
      <c r="P49" s="7" t="n">
        <v>5</v>
      </c>
      <c r="Q49" s="2"/>
      <c r="R49" s="7" t="n">
        <v>2.560925</v>
      </c>
      <c r="S49" s="5" t="s">
        <v>60</v>
      </c>
      <c r="T49" s="5" t="s">
        <v>61</v>
      </c>
    </row>
    <row r="50" customFormat="false" ht="15" hidden="false" customHeight="false" outlineLevel="0" collapsed="false">
      <c r="A50" s="5" t="s">
        <v>4</v>
      </c>
      <c r="B50" s="5" t="s">
        <v>55</v>
      </c>
      <c r="C50" s="2" t="s">
        <v>56</v>
      </c>
      <c r="D50" s="5" t="s">
        <v>57</v>
      </c>
      <c r="E50" s="5" t="s">
        <v>58</v>
      </c>
      <c r="F50" s="2" t="n">
        <v>15</v>
      </c>
      <c r="G50" s="5" t="s">
        <v>66</v>
      </c>
      <c r="H50" s="2" t="n">
        <v>0</v>
      </c>
      <c r="I50" s="2" t="n">
        <v>1</v>
      </c>
      <c r="J50" s="2" t="n">
        <v>1</v>
      </c>
      <c r="K50" s="7" t="n">
        <v>1.37790776</v>
      </c>
      <c r="L50" s="7" t="n">
        <v>0.09120431374</v>
      </c>
      <c r="M50" s="7" t="n">
        <v>0.1241736998</v>
      </c>
      <c r="N50" s="7" t="n">
        <v>6</v>
      </c>
      <c r="O50" s="7" t="n">
        <v>6</v>
      </c>
      <c r="P50" s="7" t="n">
        <v>0</v>
      </c>
      <c r="Q50" s="2"/>
      <c r="R50" s="7" t="n">
        <v>2.235886</v>
      </c>
      <c r="S50" s="5" t="s">
        <v>60</v>
      </c>
      <c r="T50" s="5" t="s">
        <v>61</v>
      </c>
    </row>
    <row r="51" customFormat="false" ht="15" hidden="false" customHeight="false" outlineLevel="0" collapsed="false">
      <c r="A51" s="5" t="s">
        <v>4</v>
      </c>
      <c r="B51" s="5" t="s">
        <v>55</v>
      </c>
      <c r="C51" s="2" t="s">
        <v>56</v>
      </c>
      <c r="D51" s="5" t="s">
        <v>57</v>
      </c>
      <c r="E51" s="5" t="s">
        <v>62</v>
      </c>
      <c r="F51" s="2" t="n">
        <v>15</v>
      </c>
      <c r="G51" s="5" t="s">
        <v>66</v>
      </c>
      <c r="H51" s="2" t="n">
        <v>0</v>
      </c>
      <c r="I51" s="2" t="n">
        <v>1</v>
      </c>
      <c r="J51" s="2" t="n">
        <v>1</v>
      </c>
      <c r="K51" s="7" t="n">
        <v>1.37790776</v>
      </c>
      <c r="L51" s="7" t="n">
        <v>0.09120431374</v>
      </c>
      <c r="M51" s="7" t="n">
        <v>0.1241736998</v>
      </c>
      <c r="N51" s="7" t="n">
        <v>6</v>
      </c>
      <c r="O51" s="7" t="n">
        <v>6</v>
      </c>
      <c r="P51" s="7" t="n">
        <v>6</v>
      </c>
      <c r="Q51" s="2"/>
      <c r="R51" s="7" t="n">
        <v>2.663769</v>
      </c>
      <c r="S51" s="5" t="s">
        <v>60</v>
      </c>
      <c r="T51" s="5" t="s">
        <v>61</v>
      </c>
    </row>
    <row r="52" customFormat="false" ht="15" hidden="false" customHeight="false" outlineLevel="0" collapsed="false">
      <c r="A52" s="5" t="s">
        <v>4</v>
      </c>
      <c r="B52" s="5" t="s">
        <v>55</v>
      </c>
      <c r="C52" s="2" t="s">
        <v>56</v>
      </c>
      <c r="D52" s="5" t="s">
        <v>57</v>
      </c>
      <c r="E52" s="5" t="s">
        <v>58</v>
      </c>
      <c r="F52" s="2" t="n">
        <v>16</v>
      </c>
      <c r="G52" s="5" t="s">
        <v>59</v>
      </c>
      <c r="H52" s="2" t="n">
        <v>1</v>
      </c>
      <c r="I52" s="2" t="n">
        <v>1</v>
      </c>
      <c r="J52" s="2" t="n">
        <v>1</v>
      </c>
      <c r="K52" s="7" t="n">
        <v>0.3653985662</v>
      </c>
      <c r="L52" s="7" t="n">
        <v>0.06243100374</v>
      </c>
      <c r="M52" s="7" t="n">
        <v>0.06542517742</v>
      </c>
      <c r="N52" s="7" t="n">
        <v>8</v>
      </c>
      <c r="O52" s="7" t="n">
        <v>8</v>
      </c>
      <c r="P52" s="7" t="n">
        <v>0</v>
      </c>
      <c r="Q52" s="2"/>
      <c r="R52" s="7" t="n">
        <v>1.471125</v>
      </c>
      <c r="S52" s="5" t="s">
        <v>60</v>
      </c>
      <c r="T52" s="5" t="s">
        <v>61</v>
      </c>
    </row>
    <row r="53" customFormat="false" ht="15" hidden="false" customHeight="false" outlineLevel="0" collapsed="false">
      <c r="A53" s="5" t="s">
        <v>4</v>
      </c>
      <c r="B53" s="5" t="s">
        <v>55</v>
      </c>
      <c r="C53" s="2" t="s">
        <v>56</v>
      </c>
      <c r="D53" s="5" t="s">
        <v>57</v>
      </c>
      <c r="E53" s="5" t="s">
        <v>62</v>
      </c>
      <c r="F53" s="2" t="n">
        <v>16</v>
      </c>
      <c r="G53" s="5" t="s">
        <v>59</v>
      </c>
      <c r="H53" s="2" t="n">
        <v>1</v>
      </c>
      <c r="I53" s="2" t="n">
        <v>1</v>
      </c>
      <c r="J53" s="2" t="n">
        <v>1</v>
      </c>
      <c r="K53" s="7" t="n">
        <v>0.3653985662</v>
      </c>
      <c r="L53" s="7" t="n">
        <v>0.06243100374</v>
      </c>
      <c r="M53" s="7" t="n">
        <v>0.06542517742</v>
      </c>
      <c r="N53" s="7" t="n">
        <v>8</v>
      </c>
      <c r="O53" s="7" t="n">
        <v>8</v>
      </c>
      <c r="P53" s="7" t="n">
        <v>8</v>
      </c>
      <c r="Q53" s="2"/>
      <c r="R53" s="7" t="n">
        <v>27.193963</v>
      </c>
      <c r="S53" s="5" t="s">
        <v>60</v>
      </c>
      <c r="T53" s="5" t="s">
        <v>61</v>
      </c>
    </row>
    <row r="54" customFormat="false" ht="15" hidden="false" customHeight="false" outlineLevel="0" collapsed="false">
      <c r="A54" s="5" t="s">
        <v>4</v>
      </c>
      <c r="B54" s="5" t="s">
        <v>55</v>
      </c>
      <c r="C54" s="2" t="s">
        <v>56</v>
      </c>
      <c r="D54" s="5" t="s">
        <v>57</v>
      </c>
      <c r="E54" s="5" t="s">
        <v>58</v>
      </c>
      <c r="F54" s="2" t="n">
        <v>16</v>
      </c>
      <c r="G54" s="5" t="s">
        <v>63</v>
      </c>
      <c r="H54" s="2" t="n">
        <v>1</v>
      </c>
      <c r="I54" s="2" t="n">
        <v>1</v>
      </c>
      <c r="J54" s="2" t="n">
        <v>1</v>
      </c>
      <c r="K54" s="7" t="n">
        <v>0.7166533721</v>
      </c>
      <c r="L54" s="7" t="n">
        <v>0.05189207304</v>
      </c>
      <c r="M54" s="7" t="n">
        <v>0.06514714927</v>
      </c>
      <c r="N54" s="7" t="n">
        <v>10</v>
      </c>
      <c r="O54" s="7" t="n">
        <v>10</v>
      </c>
      <c r="P54" s="7" t="n">
        <v>0</v>
      </c>
      <c r="Q54" s="2"/>
      <c r="R54" s="7" t="n">
        <v>1.220675</v>
      </c>
      <c r="S54" s="5" t="s">
        <v>60</v>
      </c>
      <c r="T54" s="5" t="s">
        <v>61</v>
      </c>
    </row>
    <row r="55" customFormat="false" ht="15" hidden="false" customHeight="false" outlineLevel="0" collapsed="false">
      <c r="A55" s="5" t="s">
        <v>4</v>
      </c>
      <c r="B55" s="5" t="s">
        <v>55</v>
      </c>
      <c r="C55" s="2" t="s">
        <v>56</v>
      </c>
      <c r="D55" s="5" t="s">
        <v>57</v>
      </c>
      <c r="E55" s="5" t="s">
        <v>62</v>
      </c>
      <c r="F55" s="2" t="n">
        <v>16</v>
      </c>
      <c r="G55" s="5" t="s">
        <v>63</v>
      </c>
      <c r="H55" s="2" t="n">
        <v>1</v>
      </c>
      <c r="I55" s="2" t="n">
        <v>1</v>
      </c>
      <c r="J55" s="2" t="n">
        <v>1</v>
      </c>
      <c r="K55" s="7" t="n">
        <v>0.7166533721</v>
      </c>
      <c r="L55" s="7" t="n">
        <v>0.05189207304</v>
      </c>
      <c r="M55" s="7" t="n">
        <v>0.06514714927</v>
      </c>
      <c r="N55" s="7" t="n">
        <v>10</v>
      </c>
      <c r="O55" s="7" t="n">
        <v>10</v>
      </c>
      <c r="P55" s="7" t="n">
        <v>10</v>
      </c>
      <c r="Q55" s="2"/>
      <c r="R55" s="7" t="n">
        <v>1.818559</v>
      </c>
      <c r="S55" s="5" t="s">
        <v>60</v>
      </c>
      <c r="T55" s="5" t="s">
        <v>61</v>
      </c>
    </row>
    <row r="56" customFormat="false" ht="15" hidden="false" customHeight="false" outlineLevel="0" collapsed="false">
      <c r="A56" s="5" t="s">
        <v>4</v>
      </c>
      <c r="B56" s="5" t="s">
        <v>55</v>
      </c>
      <c r="C56" s="2" t="s">
        <v>56</v>
      </c>
      <c r="D56" s="5" t="s">
        <v>57</v>
      </c>
      <c r="E56" s="5" t="s">
        <v>58</v>
      </c>
      <c r="F56" s="2" t="n">
        <v>16</v>
      </c>
      <c r="G56" s="5" t="s">
        <v>64</v>
      </c>
      <c r="H56" s="2" t="n">
        <v>0</v>
      </c>
      <c r="I56" s="2" t="n">
        <v>1</v>
      </c>
      <c r="J56" s="2" t="n">
        <v>1</v>
      </c>
      <c r="K56" s="7" t="n">
        <v>0.8458734913</v>
      </c>
      <c r="L56" s="7" t="n">
        <v>0.03208661607</v>
      </c>
      <c r="M56" s="7" t="n">
        <v>0.06772201358</v>
      </c>
      <c r="N56" s="7" t="n">
        <v>5</v>
      </c>
      <c r="O56" s="7" t="n">
        <v>5</v>
      </c>
      <c r="P56" s="7" t="n">
        <v>0</v>
      </c>
      <c r="Q56" s="2"/>
      <c r="R56" s="7" t="n">
        <v>1.426449</v>
      </c>
      <c r="S56" s="5" t="s">
        <v>60</v>
      </c>
      <c r="T56" s="5" t="s">
        <v>61</v>
      </c>
    </row>
    <row r="57" customFormat="false" ht="15" hidden="false" customHeight="false" outlineLevel="0" collapsed="false">
      <c r="A57" s="5" t="s">
        <v>4</v>
      </c>
      <c r="B57" s="5" t="s">
        <v>55</v>
      </c>
      <c r="C57" s="2" t="s">
        <v>56</v>
      </c>
      <c r="D57" s="5" t="s">
        <v>57</v>
      </c>
      <c r="E57" s="5" t="s">
        <v>62</v>
      </c>
      <c r="F57" s="2" t="n">
        <v>16</v>
      </c>
      <c r="G57" s="5" t="s">
        <v>64</v>
      </c>
      <c r="H57" s="2" t="n">
        <v>0</v>
      </c>
      <c r="I57" s="2" t="n">
        <v>1</v>
      </c>
      <c r="J57" s="2" t="n">
        <v>1</v>
      </c>
      <c r="K57" s="7" t="n">
        <v>0.8458734913</v>
      </c>
      <c r="L57" s="7" t="n">
        <v>0.03208661607</v>
      </c>
      <c r="M57" s="7" t="n">
        <v>0.06772201358</v>
      </c>
      <c r="N57" s="7" t="n">
        <v>5</v>
      </c>
      <c r="O57" s="7" t="n">
        <v>5</v>
      </c>
      <c r="P57" s="7" t="n">
        <v>5</v>
      </c>
      <c r="Q57" s="2"/>
      <c r="R57" s="7" t="n">
        <v>1.735746</v>
      </c>
      <c r="S57" s="5" t="s">
        <v>60</v>
      </c>
      <c r="T57" s="5" t="s">
        <v>61</v>
      </c>
    </row>
    <row r="58" customFormat="false" ht="15" hidden="false" customHeight="false" outlineLevel="0" collapsed="false">
      <c r="A58" s="5" t="s">
        <v>4</v>
      </c>
      <c r="B58" s="5" t="s">
        <v>55</v>
      </c>
      <c r="C58" s="2" t="s">
        <v>56</v>
      </c>
      <c r="D58" s="5" t="s">
        <v>57</v>
      </c>
      <c r="E58" s="5" t="s">
        <v>58</v>
      </c>
      <c r="F58" s="2" t="n">
        <v>16</v>
      </c>
      <c r="G58" s="5" t="s">
        <v>65</v>
      </c>
      <c r="H58" s="2" t="n">
        <v>0</v>
      </c>
      <c r="I58" s="2" t="n">
        <v>1</v>
      </c>
      <c r="J58" s="2" t="n">
        <v>1</v>
      </c>
      <c r="K58" s="7" t="n">
        <v>0.5282664915</v>
      </c>
      <c r="L58" s="7" t="n">
        <v>0.09608316149</v>
      </c>
      <c r="M58" s="7" t="n">
        <v>0.1019787097</v>
      </c>
      <c r="N58" s="7" t="n">
        <v>9</v>
      </c>
      <c r="O58" s="7" t="n">
        <v>9</v>
      </c>
      <c r="P58" s="7" t="n">
        <v>0</v>
      </c>
      <c r="Q58" s="2"/>
      <c r="R58" s="7" t="n">
        <v>6.261687</v>
      </c>
      <c r="S58" s="5" t="s">
        <v>60</v>
      </c>
      <c r="T58" s="5" t="s">
        <v>61</v>
      </c>
    </row>
    <row r="59" customFormat="false" ht="15" hidden="false" customHeight="false" outlineLevel="0" collapsed="false">
      <c r="A59" s="5" t="s">
        <v>4</v>
      </c>
      <c r="B59" s="5" t="s">
        <v>55</v>
      </c>
      <c r="C59" s="2" t="s">
        <v>56</v>
      </c>
      <c r="D59" s="5" t="s">
        <v>57</v>
      </c>
      <c r="E59" s="5" t="s">
        <v>62</v>
      </c>
      <c r="F59" s="2" t="n">
        <v>16</v>
      </c>
      <c r="G59" s="5" t="s">
        <v>65</v>
      </c>
      <c r="H59" s="2" t="n">
        <v>0</v>
      </c>
      <c r="I59" s="2" t="n">
        <v>1</v>
      </c>
      <c r="J59" s="2" t="n">
        <v>1</v>
      </c>
      <c r="K59" s="7" t="n">
        <v>0.5282664915</v>
      </c>
      <c r="L59" s="7" t="n">
        <v>0.09608316149</v>
      </c>
      <c r="M59" s="7" t="n">
        <v>0.1019787097</v>
      </c>
      <c r="N59" s="7" t="n">
        <v>9</v>
      </c>
      <c r="O59" s="7" t="n">
        <v>9</v>
      </c>
      <c r="P59" s="7" t="n">
        <v>9</v>
      </c>
      <c r="Q59" s="2"/>
      <c r="R59" s="7" t="n">
        <v>6.802136</v>
      </c>
      <c r="S59" s="5" t="s">
        <v>60</v>
      </c>
      <c r="T59" s="5" t="s">
        <v>61</v>
      </c>
    </row>
    <row r="60" customFormat="false" ht="15" hidden="false" customHeight="false" outlineLevel="0" collapsed="false">
      <c r="A60" s="5" t="s">
        <v>4</v>
      </c>
      <c r="B60" s="5" t="s">
        <v>55</v>
      </c>
      <c r="C60" s="2" t="s">
        <v>56</v>
      </c>
      <c r="D60" s="5" t="s">
        <v>57</v>
      </c>
      <c r="E60" s="5" t="s">
        <v>58</v>
      </c>
      <c r="F60" s="2" t="n">
        <v>16</v>
      </c>
      <c r="G60" s="5" t="s">
        <v>66</v>
      </c>
      <c r="H60" s="2" t="n">
        <v>0</v>
      </c>
      <c r="I60" s="2" t="n">
        <v>0</v>
      </c>
      <c r="J60" s="2" t="n">
        <v>0</v>
      </c>
      <c r="K60" s="2"/>
      <c r="L60" s="2"/>
      <c r="M60" s="2"/>
      <c r="N60" s="7" t="n">
        <v>0</v>
      </c>
      <c r="O60" s="7" t="n">
        <v>0</v>
      </c>
      <c r="P60" s="7" t="n">
        <v>0</v>
      </c>
      <c r="Q60" s="2"/>
      <c r="R60" s="7" t="n">
        <v>6.489945</v>
      </c>
      <c r="S60" s="5" t="s">
        <v>60</v>
      </c>
      <c r="T60" s="5" t="s">
        <v>61</v>
      </c>
    </row>
    <row r="61" customFormat="false" ht="15" hidden="false" customHeight="false" outlineLevel="0" collapsed="false">
      <c r="A61" s="5" t="s">
        <v>4</v>
      </c>
      <c r="B61" s="5" t="s">
        <v>55</v>
      </c>
      <c r="C61" s="2" t="s">
        <v>56</v>
      </c>
      <c r="D61" s="5" t="s">
        <v>57</v>
      </c>
      <c r="E61" s="5" t="s">
        <v>62</v>
      </c>
      <c r="F61" s="2" t="n">
        <v>16</v>
      </c>
      <c r="G61" s="5" t="s">
        <v>66</v>
      </c>
      <c r="H61" s="2" t="n">
        <v>0</v>
      </c>
      <c r="I61" s="2" t="n">
        <v>0</v>
      </c>
      <c r="J61" s="2" t="n">
        <v>0</v>
      </c>
      <c r="K61" s="2"/>
      <c r="L61" s="2"/>
      <c r="M61" s="2"/>
      <c r="N61" s="7" t="n">
        <v>0</v>
      </c>
      <c r="O61" s="7" t="n">
        <v>0</v>
      </c>
      <c r="P61" s="7" t="n">
        <v>0</v>
      </c>
      <c r="Q61" s="2"/>
      <c r="R61" s="7" t="n">
        <v>6.489515</v>
      </c>
      <c r="S61" s="5" t="s">
        <v>60</v>
      </c>
      <c r="T61" s="5" t="s">
        <v>61</v>
      </c>
    </row>
    <row r="62" customFormat="false" ht="15" hidden="false" customHeight="false" outlineLevel="0" collapsed="false">
      <c r="A62" s="5" t="s">
        <v>4</v>
      </c>
      <c r="B62" s="5" t="s">
        <v>55</v>
      </c>
      <c r="C62" s="2" t="s">
        <v>56</v>
      </c>
      <c r="D62" s="5" t="s">
        <v>57</v>
      </c>
      <c r="E62" s="5" t="s">
        <v>58</v>
      </c>
      <c r="F62" s="2" t="n">
        <v>17</v>
      </c>
      <c r="G62" s="5" t="s">
        <v>59</v>
      </c>
      <c r="H62" s="2" t="n">
        <v>1</v>
      </c>
      <c r="I62" s="2" t="n">
        <v>1</v>
      </c>
      <c r="J62" s="2" t="n">
        <v>1</v>
      </c>
      <c r="K62" s="7" t="n">
        <v>0.6496082632</v>
      </c>
      <c r="L62" s="7" t="n">
        <v>0.1598839631</v>
      </c>
      <c r="M62" s="7" t="n">
        <v>0.1662534663</v>
      </c>
      <c r="N62" s="7" t="n">
        <v>4</v>
      </c>
      <c r="O62" s="7" t="n">
        <v>4</v>
      </c>
      <c r="P62" s="7" t="n">
        <v>0</v>
      </c>
      <c r="Q62" s="2"/>
      <c r="R62" s="7" t="n">
        <v>1.59679</v>
      </c>
      <c r="S62" s="5" t="s">
        <v>60</v>
      </c>
      <c r="T62" s="5" t="s">
        <v>61</v>
      </c>
    </row>
    <row r="63" customFormat="false" ht="15" hidden="false" customHeight="false" outlineLevel="0" collapsed="false">
      <c r="A63" s="5" t="s">
        <v>4</v>
      </c>
      <c r="B63" s="5" t="s">
        <v>55</v>
      </c>
      <c r="C63" s="2" t="s">
        <v>56</v>
      </c>
      <c r="D63" s="5" t="s">
        <v>57</v>
      </c>
      <c r="E63" s="5" t="s">
        <v>62</v>
      </c>
      <c r="F63" s="2" t="n">
        <v>17</v>
      </c>
      <c r="G63" s="5" t="s">
        <v>59</v>
      </c>
      <c r="H63" s="2" t="n">
        <v>1</v>
      </c>
      <c r="I63" s="2" t="n">
        <v>1</v>
      </c>
      <c r="J63" s="2" t="n">
        <v>1</v>
      </c>
      <c r="K63" s="7" t="n">
        <v>0.6496082632</v>
      </c>
      <c r="L63" s="7" t="n">
        <v>0.1598839631</v>
      </c>
      <c r="M63" s="7" t="n">
        <v>0.1662534663</v>
      </c>
      <c r="N63" s="7" t="n">
        <v>4</v>
      </c>
      <c r="O63" s="7" t="n">
        <v>4</v>
      </c>
      <c r="P63" s="7" t="n">
        <v>4</v>
      </c>
      <c r="Q63" s="2"/>
      <c r="R63" s="7" t="n">
        <v>5.935295</v>
      </c>
      <c r="S63" s="5" t="s">
        <v>60</v>
      </c>
      <c r="T63" s="5" t="s">
        <v>61</v>
      </c>
    </row>
    <row r="64" customFormat="false" ht="15" hidden="false" customHeight="false" outlineLevel="0" collapsed="false">
      <c r="A64" s="5" t="s">
        <v>4</v>
      </c>
      <c r="B64" s="5" t="s">
        <v>55</v>
      </c>
      <c r="C64" s="2" t="s">
        <v>56</v>
      </c>
      <c r="D64" s="5" t="s">
        <v>57</v>
      </c>
      <c r="E64" s="5" t="s">
        <v>58</v>
      </c>
      <c r="F64" s="2" t="n">
        <v>17</v>
      </c>
      <c r="G64" s="5" t="s">
        <v>63</v>
      </c>
      <c r="H64" s="2" t="n">
        <v>1</v>
      </c>
      <c r="I64" s="2" t="n">
        <v>1</v>
      </c>
      <c r="J64" s="2" t="n">
        <v>1</v>
      </c>
      <c r="K64" s="7" t="n">
        <v>0.7790028852</v>
      </c>
      <c r="L64" s="7" t="n">
        <v>0.04754481269</v>
      </c>
      <c r="M64" s="7" t="n">
        <v>0.06357752567</v>
      </c>
      <c r="N64" s="7" t="n">
        <v>6</v>
      </c>
      <c r="O64" s="7" t="n">
        <v>6</v>
      </c>
      <c r="P64" s="7" t="n">
        <v>0</v>
      </c>
      <c r="Q64" s="2"/>
      <c r="R64" s="7" t="n">
        <v>1.271811</v>
      </c>
      <c r="S64" s="5" t="s">
        <v>60</v>
      </c>
      <c r="T64" s="5" t="s">
        <v>61</v>
      </c>
    </row>
    <row r="65" customFormat="false" ht="15" hidden="false" customHeight="false" outlineLevel="0" collapsed="false">
      <c r="A65" s="5" t="s">
        <v>4</v>
      </c>
      <c r="B65" s="5" t="s">
        <v>55</v>
      </c>
      <c r="C65" s="2" t="s">
        <v>56</v>
      </c>
      <c r="D65" s="5" t="s">
        <v>57</v>
      </c>
      <c r="E65" s="5" t="s">
        <v>62</v>
      </c>
      <c r="F65" s="2" t="n">
        <v>17</v>
      </c>
      <c r="G65" s="5" t="s">
        <v>63</v>
      </c>
      <c r="H65" s="2" t="n">
        <v>1</v>
      </c>
      <c r="I65" s="2" t="n">
        <v>1</v>
      </c>
      <c r="J65" s="2" t="n">
        <v>1</v>
      </c>
      <c r="K65" s="7" t="n">
        <v>0.7790028852</v>
      </c>
      <c r="L65" s="7" t="n">
        <v>0.04754481269</v>
      </c>
      <c r="M65" s="7" t="n">
        <v>0.06357752567</v>
      </c>
      <c r="N65" s="7" t="n">
        <v>6</v>
      </c>
      <c r="O65" s="7" t="n">
        <v>6</v>
      </c>
      <c r="P65" s="7" t="n">
        <v>6</v>
      </c>
      <c r="Q65" s="2"/>
      <c r="R65" s="7" t="n">
        <v>1.706574</v>
      </c>
      <c r="S65" s="5" t="s">
        <v>60</v>
      </c>
      <c r="T65" s="5" t="s">
        <v>61</v>
      </c>
    </row>
    <row r="66" customFormat="false" ht="15" hidden="false" customHeight="false" outlineLevel="0" collapsed="false">
      <c r="A66" s="5" t="s">
        <v>4</v>
      </c>
      <c r="B66" s="5" t="s">
        <v>55</v>
      </c>
      <c r="C66" s="2" t="s">
        <v>56</v>
      </c>
      <c r="D66" s="5" t="s">
        <v>57</v>
      </c>
      <c r="E66" s="5" t="s">
        <v>58</v>
      </c>
      <c r="F66" s="2" t="n">
        <v>17</v>
      </c>
      <c r="G66" s="5" t="s">
        <v>64</v>
      </c>
      <c r="H66" s="2" t="n">
        <v>0</v>
      </c>
      <c r="I66" s="2" t="n">
        <v>1</v>
      </c>
      <c r="J66" s="2" t="n">
        <v>1</v>
      </c>
      <c r="K66" s="7" t="n">
        <v>1.253112057</v>
      </c>
      <c r="L66" s="7" t="n">
        <v>0.298929327</v>
      </c>
      <c r="M66" s="7" t="n">
        <v>0.3050560702</v>
      </c>
      <c r="N66" s="7" t="n">
        <v>4</v>
      </c>
      <c r="O66" s="7" t="n">
        <v>4</v>
      </c>
      <c r="P66" s="7" t="n">
        <v>0</v>
      </c>
      <c r="Q66" s="2"/>
      <c r="R66" s="7" t="n">
        <v>1.426079</v>
      </c>
      <c r="S66" s="5" t="s">
        <v>60</v>
      </c>
      <c r="T66" s="5" t="s">
        <v>61</v>
      </c>
    </row>
    <row r="67" customFormat="false" ht="15" hidden="false" customHeight="false" outlineLevel="0" collapsed="false">
      <c r="A67" s="5" t="s">
        <v>4</v>
      </c>
      <c r="B67" s="5" t="s">
        <v>55</v>
      </c>
      <c r="C67" s="2" t="s">
        <v>56</v>
      </c>
      <c r="D67" s="5" t="s">
        <v>57</v>
      </c>
      <c r="E67" s="5" t="s">
        <v>62</v>
      </c>
      <c r="F67" s="2" t="n">
        <v>17</v>
      </c>
      <c r="G67" s="5" t="s">
        <v>64</v>
      </c>
      <c r="H67" s="2" t="n">
        <v>0</v>
      </c>
      <c r="I67" s="2" t="n">
        <v>1</v>
      </c>
      <c r="J67" s="2" t="n">
        <v>1</v>
      </c>
      <c r="K67" s="7" t="n">
        <v>1.253112057</v>
      </c>
      <c r="L67" s="7" t="n">
        <v>0.298929327</v>
      </c>
      <c r="M67" s="7" t="n">
        <v>0.3050560702</v>
      </c>
      <c r="N67" s="7" t="n">
        <v>4</v>
      </c>
      <c r="O67" s="7" t="n">
        <v>4</v>
      </c>
      <c r="P67" s="7" t="n">
        <v>4</v>
      </c>
      <c r="Q67" s="2"/>
      <c r="R67" s="7" t="n">
        <v>1.694646</v>
      </c>
      <c r="S67" s="5" t="s">
        <v>60</v>
      </c>
      <c r="T67" s="5" t="s">
        <v>61</v>
      </c>
    </row>
    <row r="68" customFormat="false" ht="15" hidden="false" customHeight="false" outlineLevel="0" collapsed="false">
      <c r="A68" s="5" t="s">
        <v>4</v>
      </c>
      <c r="B68" s="5" t="s">
        <v>55</v>
      </c>
      <c r="C68" s="2" t="s">
        <v>56</v>
      </c>
      <c r="D68" s="5" t="s">
        <v>57</v>
      </c>
      <c r="E68" s="5" t="s">
        <v>58</v>
      </c>
      <c r="F68" s="2" t="n">
        <v>17</v>
      </c>
      <c r="G68" s="5" t="s">
        <v>65</v>
      </c>
      <c r="H68" s="2" t="n">
        <v>0</v>
      </c>
      <c r="I68" s="2" t="n">
        <v>0</v>
      </c>
      <c r="J68" s="2" t="n">
        <v>0</v>
      </c>
      <c r="K68" s="2"/>
      <c r="L68" s="2"/>
      <c r="M68" s="2"/>
      <c r="N68" s="7" t="n">
        <v>2</v>
      </c>
      <c r="O68" s="7" t="n">
        <v>2</v>
      </c>
      <c r="P68" s="7" t="n">
        <v>0</v>
      </c>
      <c r="Q68" s="2"/>
      <c r="R68" s="7" t="n">
        <v>2.802803</v>
      </c>
      <c r="S68" s="5" t="s">
        <v>60</v>
      </c>
      <c r="T68" s="5" t="s">
        <v>61</v>
      </c>
    </row>
    <row r="69" customFormat="false" ht="15" hidden="false" customHeight="false" outlineLevel="0" collapsed="false">
      <c r="A69" s="5" t="s">
        <v>4</v>
      </c>
      <c r="B69" s="5" t="s">
        <v>55</v>
      </c>
      <c r="C69" s="2" t="s">
        <v>56</v>
      </c>
      <c r="D69" s="5" t="s">
        <v>57</v>
      </c>
      <c r="E69" s="5" t="s">
        <v>62</v>
      </c>
      <c r="F69" s="2" t="n">
        <v>17</v>
      </c>
      <c r="G69" s="5" t="s">
        <v>65</v>
      </c>
      <c r="H69" s="2" t="n">
        <v>0</v>
      </c>
      <c r="I69" s="2" t="n">
        <v>0</v>
      </c>
      <c r="J69" s="2" t="n">
        <v>0</v>
      </c>
      <c r="K69" s="2"/>
      <c r="L69" s="2"/>
      <c r="M69" s="2"/>
      <c r="N69" s="7" t="n">
        <v>2</v>
      </c>
      <c r="O69" s="7" t="n">
        <v>2</v>
      </c>
      <c r="P69" s="7" t="n">
        <v>0</v>
      </c>
      <c r="Q69" s="2"/>
      <c r="R69" s="7" t="n">
        <v>2.802933</v>
      </c>
      <c r="S69" s="5" t="s">
        <v>60</v>
      </c>
      <c r="T69" s="5" t="s">
        <v>61</v>
      </c>
    </row>
    <row r="70" customFormat="false" ht="15" hidden="false" customHeight="false" outlineLevel="0" collapsed="false">
      <c r="A70" s="5" t="s">
        <v>4</v>
      </c>
      <c r="B70" s="5" t="s">
        <v>55</v>
      </c>
      <c r="C70" s="2" t="s">
        <v>56</v>
      </c>
      <c r="D70" s="5" t="s">
        <v>57</v>
      </c>
      <c r="E70" s="5" t="s">
        <v>58</v>
      </c>
      <c r="F70" s="2" t="n">
        <v>17</v>
      </c>
      <c r="G70" s="5" t="s">
        <v>66</v>
      </c>
      <c r="H70" s="2" t="n">
        <v>0</v>
      </c>
      <c r="I70" s="2" t="n">
        <v>1</v>
      </c>
      <c r="J70" s="2" t="n">
        <v>1</v>
      </c>
      <c r="K70" s="7" t="n">
        <v>1.007956025</v>
      </c>
      <c r="L70" s="7" t="n">
        <v>0.1029678687</v>
      </c>
      <c r="M70" s="7" t="n">
        <v>0.1214340763</v>
      </c>
      <c r="N70" s="7" t="n">
        <v>6</v>
      </c>
      <c r="O70" s="7" t="n">
        <v>6</v>
      </c>
      <c r="P70" s="7" t="n">
        <v>0</v>
      </c>
      <c r="Q70" s="2"/>
      <c r="R70" s="7" t="n">
        <v>2.476171</v>
      </c>
      <c r="S70" s="5" t="s">
        <v>60</v>
      </c>
      <c r="T70" s="5" t="s">
        <v>61</v>
      </c>
    </row>
    <row r="71" customFormat="false" ht="15" hidden="false" customHeight="false" outlineLevel="0" collapsed="false">
      <c r="A71" s="5" t="s">
        <v>4</v>
      </c>
      <c r="B71" s="5" t="s">
        <v>55</v>
      </c>
      <c r="C71" s="2" t="s">
        <v>56</v>
      </c>
      <c r="D71" s="5" t="s">
        <v>57</v>
      </c>
      <c r="E71" s="5" t="s">
        <v>62</v>
      </c>
      <c r="F71" s="2" t="n">
        <v>17</v>
      </c>
      <c r="G71" s="5" t="s">
        <v>66</v>
      </c>
      <c r="H71" s="2" t="n">
        <v>0</v>
      </c>
      <c r="I71" s="2" t="n">
        <v>1</v>
      </c>
      <c r="J71" s="2" t="n">
        <v>1</v>
      </c>
      <c r="K71" s="7" t="n">
        <v>1.007956025</v>
      </c>
      <c r="L71" s="7" t="n">
        <v>0.1029678687</v>
      </c>
      <c r="M71" s="7" t="n">
        <v>0.1214340763</v>
      </c>
      <c r="N71" s="7" t="n">
        <v>6</v>
      </c>
      <c r="O71" s="7" t="n">
        <v>6</v>
      </c>
      <c r="P71" s="7" t="n">
        <v>6</v>
      </c>
      <c r="Q71" s="2"/>
      <c r="R71" s="7" t="n">
        <v>6.965588</v>
      </c>
      <c r="S71" s="5" t="s">
        <v>60</v>
      </c>
      <c r="T71" s="5" t="s">
        <v>61</v>
      </c>
    </row>
    <row r="72" customFormat="false" ht="15" hidden="false" customHeight="false" outlineLevel="0" collapsed="false">
      <c r="A72" s="5" t="s">
        <v>4</v>
      </c>
      <c r="B72" s="5" t="s">
        <v>55</v>
      </c>
      <c r="C72" s="2" t="s">
        <v>56</v>
      </c>
      <c r="D72" s="5" t="s">
        <v>57</v>
      </c>
      <c r="E72" s="5" t="s">
        <v>58</v>
      </c>
      <c r="F72" s="2" t="n">
        <v>18</v>
      </c>
      <c r="G72" s="5" t="s">
        <v>59</v>
      </c>
      <c r="H72" s="2" t="n">
        <v>1</v>
      </c>
      <c r="I72" s="2" t="n">
        <v>1</v>
      </c>
      <c r="J72" s="2" t="n">
        <v>1</v>
      </c>
      <c r="K72" s="7" t="n">
        <v>0.5467942051</v>
      </c>
      <c r="L72" s="7" t="n">
        <v>0.06201894759</v>
      </c>
      <c r="M72" s="7" t="n">
        <v>0.06939500015</v>
      </c>
      <c r="N72" s="7" t="n">
        <v>8</v>
      </c>
      <c r="O72" s="7" t="n">
        <v>8</v>
      </c>
      <c r="P72" s="7" t="n">
        <v>0</v>
      </c>
      <c r="Q72" s="2"/>
      <c r="R72" s="7" t="n">
        <v>5.572597</v>
      </c>
      <c r="S72" s="5" t="s">
        <v>60</v>
      </c>
      <c r="T72" s="5" t="s">
        <v>61</v>
      </c>
    </row>
    <row r="73" customFormat="false" ht="15" hidden="false" customHeight="false" outlineLevel="0" collapsed="false">
      <c r="A73" s="5" t="s">
        <v>4</v>
      </c>
      <c r="B73" s="5" t="s">
        <v>55</v>
      </c>
      <c r="C73" s="2" t="s">
        <v>56</v>
      </c>
      <c r="D73" s="5" t="s">
        <v>57</v>
      </c>
      <c r="E73" s="5" t="s">
        <v>62</v>
      </c>
      <c r="F73" s="2" t="n">
        <v>18</v>
      </c>
      <c r="G73" s="5" t="s">
        <v>59</v>
      </c>
      <c r="H73" s="2" t="n">
        <v>1</v>
      </c>
      <c r="I73" s="2" t="n">
        <v>1</v>
      </c>
      <c r="J73" s="2" t="n">
        <v>1</v>
      </c>
      <c r="K73" s="7" t="n">
        <v>0.5467942051</v>
      </c>
      <c r="L73" s="7" t="n">
        <v>0.06201894759</v>
      </c>
      <c r="M73" s="7" t="n">
        <v>0.06939500015</v>
      </c>
      <c r="N73" s="7" t="n">
        <v>8</v>
      </c>
      <c r="O73" s="7" t="n">
        <v>8</v>
      </c>
      <c r="P73" s="7" t="n">
        <v>8</v>
      </c>
      <c r="Q73" s="2"/>
      <c r="R73" s="7" t="n">
        <v>6.082261</v>
      </c>
      <c r="S73" s="5" t="s">
        <v>60</v>
      </c>
      <c r="T73" s="5" t="s">
        <v>61</v>
      </c>
    </row>
    <row r="74" customFormat="false" ht="15" hidden="false" customHeight="false" outlineLevel="0" collapsed="false">
      <c r="A74" s="5" t="s">
        <v>4</v>
      </c>
      <c r="B74" s="5" t="s">
        <v>55</v>
      </c>
      <c r="C74" s="2" t="s">
        <v>56</v>
      </c>
      <c r="D74" s="5" t="s">
        <v>57</v>
      </c>
      <c r="E74" s="5" t="s">
        <v>58</v>
      </c>
      <c r="F74" s="2" t="n">
        <v>18</v>
      </c>
      <c r="G74" s="5" t="s">
        <v>63</v>
      </c>
      <c r="H74" s="2" t="n">
        <v>1</v>
      </c>
      <c r="I74" s="2" t="n">
        <v>1</v>
      </c>
      <c r="J74" s="2" t="n">
        <v>1</v>
      </c>
      <c r="K74" s="7" t="n">
        <v>0.6590294155</v>
      </c>
      <c r="L74" s="7" t="n">
        <v>0.03344107437</v>
      </c>
      <c r="M74" s="7" t="n">
        <v>0.04913410947</v>
      </c>
      <c r="N74" s="7" t="n">
        <v>7</v>
      </c>
      <c r="O74" s="7" t="n">
        <v>7</v>
      </c>
      <c r="P74" s="7" t="n">
        <v>0</v>
      </c>
      <c r="Q74" s="2"/>
      <c r="R74" s="7" t="n">
        <v>5.570976</v>
      </c>
      <c r="S74" s="5" t="s">
        <v>60</v>
      </c>
      <c r="T74" s="5" t="s">
        <v>61</v>
      </c>
    </row>
    <row r="75" customFormat="false" ht="15" hidden="false" customHeight="false" outlineLevel="0" collapsed="false">
      <c r="A75" s="5" t="s">
        <v>4</v>
      </c>
      <c r="B75" s="5" t="s">
        <v>55</v>
      </c>
      <c r="C75" s="2" t="s">
        <v>56</v>
      </c>
      <c r="D75" s="5" t="s">
        <v>57</v>
      </c>
      <c r="E75" s="5" t="s">
        <v>62</v>
      </c>
      <c r="F75" s="2" t="n">
        <v>18</v>
      </c>
      <c r="G75" s="5" t="s">
        <v>63</v>
      </c>
      <c r="H75" s="2" t="n">
        <v>1</v>
      </c>
      <c r="I75" s="2" t="n">
        <v>1</v>
      </c>
      <c r="J75" s="2" t="n">
        <v>1</v>
      </c>
      <c r="K75" s="7" t="n">
        <v>0.6590294155</v>
      </c>
      <c r="L75" s="7" t="n">
        <v>0.03344107437</v>
      </c>
      <c r="M75" s="7" t="n">
        <v>0.04913410947</v>
      </c>
      <c r="N75" s="7" t="n">
        <v>7</v>
      </c>
      <c r="O75" s="7" t="n">
        <v>7</v>
      </c>
      <c r="P75" s="7" t="n">
        <v>7</v>
      </c>
      <c r="Q75" s="2"/>
      <c r="R75" s="7" t="n">
        <v>6.061902</v>
      </c>
      <c r="S75" s="5" t="s">
        <v>60</v>
      </c>
      <c r="T75" s="5" t="s">
        <v>61</v>
      </c>
    </row>
    <row r="76" customFormat="false" ht="15" hidden="false" customHeight="false" outlineLevel="0" collapsed="false">
      <c r="A76" s="5" t="s">
        <v>4</v>
      </c>
      <c r="B76" s="5" t="s">
        <v>55</v>
      </c>
      <c r="C76" s="2" t="s">
        <v>56</v>
      </c>
      <c r="D76" s="5" t="s">
        <v>57</v>
      </c>
      <c r="E76" s="5" t="s">
        <v>58</v>
      </c>
      <c r="F76" s="2" t="n">
        <v>18</v>
      </c>
      <c r="G76" s="5" t="s">
        <v>64</v>
      </c>
      <c r="H76" s="2" t="n">
        <v>0</v>
      </c>
      <c r="I76" s="2" t="n">
        <v>1</v>
      </c>
      <c r="J76" s="2" t="n">
        <v>1</v>
      </c>
      <c r="K76" s="7" t="n">
        <v>0.80412046</v>
      </c>
      <c r="L76" s="7" t="n">
        <v>0.1408207586</v>
      </c>
      <c r="M76" s="7" t="n">
        <v>0.1492773756</v>
      </c>
      <c r="N76" s="7" t="n">
        <v>8</v>
      </c>
      <c r="O76" s="7" t="n">
        <v>8</v>
      </c>
      <c r="P76" s="7" t="n">
        <v>0</v>
      </c>
      <c r="Q76" s="2"/>
      <c r="R76" s="7" t="n">
        <v>1.404796</v>
      </c>
      <c r="S76" s="5" t="s">
        <v>60</v>
      </c>
      <c r="T76" s="5" t="s">
        <v>61</v>
      </c>
    </row>
    <row r="77" customFormat="false" ht="15" hidden="false" customHeight="false" outlineLevel="0" collapsed="false">
      <c r="A77" s="5" t="s">
        <v>4</v>
      </c>
      <c r="B77" s="5" t="s">
        <v>55</v>
      </c>
      <c r="C77" s="2" t="s">
        <v>56</v>
      </c>
      <c r="D77" s="5" t="s">
        <v>57</v>
      </c>
      <c r="E77" s="5" t="s">
        <v>62</v>
      </c>
      <c r="F77" s="2" t="n">
        <v>18</v>
      </c>
      <c r="G77" s="5" t="s">
        <v>64</v>
      </c>
      <c r="H77" s="2" t="n">
        <v>0</v>
      </c>
      <c r="I77" s="2" t="n">
        <v>1</v>
      </c>
      <c r="J77" s="2" t="n">
        <v>1</v>
      </c>
      <c r="K77" s="7" t="n">
        <v>0.80412046</v>
      </c>
      <c r="L77" s="7" t="n">
        <v>0.1408207586</v>
      </c>
      <c r="M77" s="7" t="n">
        <v>0.1492773756</v>
      </c>
      <c r="N77" s="7" t="n">
        <v>8</v>
      </c>
      <c r="O77" s="7" t="n">
        <v>8</v>
      </c>
      <c r="P77" s="7" t="n">
        <v>8</v>
      </c>
      <c r="Q77" s="2"/>
      <c r="R77" s="7" t="n">
        <v>1.927799</v>
      </c>
      <c r="S77" s="5" t="s">
        <v>60</v>
      </c>
      <c r="T77" s="5" t="s">
        <v>61</v>
      </c>
    </row>
    <row r="78" customFormat="false" ht="15" hidden="false" customHeight="false" outlineLevel="0" collapsed="false">
      <c r="A78" s="5" t="s">
        <v>4</v>
      </c>
      <c r="B78" s="5" t="s">
        <v>55</v>
      </c>
      <c r="C78" s="2" t="s">
        <v>56</v>
      </c>
      <c r="D78" s="5" t="s">
        <v>57</v>
      </c>
      <c r="E78" s="5" t="s">
        <v>58</v>
      </c>
      <c r="F78" s="2" t="n">
        <v>18</v>
      </c>
      <c r="G78" s="5" t="s">
        <v>65</v>
      </c>
      <c r="H78" s="2" t="n">
        <v>0</v>
      </c>
      <c r="I78" s="2" t="n">
        <v>1</v>
      </c>
      <c r="J78" s="2" t="n">
        <v>1</v>
      </c>
      <c r="K78" s="7" t="n">
        <v>0.6153326014</v>
      </c>
      <c r="L78" s="7" t="n">
        <v>0.1810322931</v>
      </c>
      <c r="M78" s="7" t="n">
        <v>0.1826174589</v>
      </c>
      <c r="N78" s="7" t="n">
        <v>3</v>
      </c>
      <c r="O78" s="7" t="n">
        <v>3</v>
      </c>
      <c r="P78" s="7" t="n">
        <v>0</v>
      </c>
      <c r="Q78" s="2"/>
      <c r="R78" s="7" t="n">
        <v>34.715012</v>
      </c>
      <c r="S78" s="5" t="s">
        <v>60</v>
      </c>
      <c r="T78" s="5" t="s">
        <v>61</v>
      </c>
    </row>
    <row r="79" customFormat="false" ht="15" hidden="false" customHeight="false" outlineLevel="0" collapsed="false">
      <c r="A79" s="5" t="s">
        <v>4</v>
      </c>
      <c r="B79" s="5" t="s">
        <v>55</v>
      </c>
      <c r="C79" s="2" t="s">
        <v>56</v>
      </c>
      <c r="D79" s="5" t="s">
        <v>57</v>
      </c>
      <c r="E79" s="5" t="s">
        <v>62</v>
      </c>
      <c r="F79" s="2" t="n">
        <v>18</v>
      </c>
      <c r="G79" s="5" t="s">
        <v>65</v>
      </c>
      <c r="H79" s="2" t="n">
        <v>0</v>
      </c>
      <c r="I79" s="2" t="n">
        <v>1</v>
      </c>
      <c r="J79" s="2" t="n">
        <v>1</v>
      </c>
      <c r="K79" s="7" t="n">
        <v>0.6153326014</v>
      </c>
      <c r="L79" s="7" t="n">
        <v>0.1810322931</v>
      </c>
      <c r="M79" s="7" t="n">
        <v>0.1826174589</v>
      </c>
      <c r="N79" s="7" t="n">
        <v>3</v>
      </c>
      <c r="O79" s="7" t="n">
        <v>3</v>
      </c>
      <c r="P79" s="7" t="n">
        <v>3</v>
      </c>
      <c r="Q79" s="2"/>
      <c r="R79" s="7" t="n">
        <v>34.902169</v>
      </c>
      <c r="S79" s="5" t="s">
        <v>60</v>
      </c>
      <c r="T79" s="5" t="s">
        <v>61</v>
      </c>
    </row>
    <row r="80" customFormat="false" ht="15" hidden="false" customHeight="false" outlineLevel="0" collapsed="false">
      <c r="A80" s="5" t="s">
        <v>4</v>
      </c>
      <c r="B80" s="5" t="s">
        <v>55</v>
      </c>
      <c r="C80" s="2" t="s">
        <v>56</v>
      </c>
      <c r="D80" s="5" t="s">
        <v>57</v>
      </c>
      <c r="E80" s="5" t="s">
        <v>58</v>
      </c>
      <c r="F80" s="2" t="n">
        <v>18</v>
      </c>
      <c r="G80" s="5" t="s">
        <v>66</v>
      </c>
      <c r="H80" s="2" t="n">
        <v>0</v>
      </c>
      <c r="I80" s="2" t="n">
        <v>1</v>
      </c>
      <c r="J80" s="2" t="n">
        <v>1</v>
      </c>
      <c r="K80" s="7" t="n">
        <v>0.3267056804</v>
      </c>
      <c r="L80" s="7" t="n">
        <v>0.1032789809</v>
      </c>
      <c r="M80" s="7" t="n">
        <v>0.1040946926</v>
      </c>
      <c r="N80" s="7" t="n">
        <v>5</v>
      </c>
      <c r="O80" s="7" t="n">
        <v>5</v>
      </c>
      <c r="P80" s="7" t="n">
        <v>0</v>
      </c>
      <c r="Q80" s="2"/>
      <c r="R80" s="7" t="n">
        <v>2.398326</v>
      </c>
      <c r="S80" s="5" t="s">
        <v>60</v>
      </c>
      <c r="T80" s="5" t="s">
        <v>61</v>
      </c>
    </row>
    <row r="81" customFormat="false" ht="15" hidden="false" customHeight="false" outlineLevel="0" collapsed="false">
      <c r="A81" s="5" t="s">
        <v>4</v>
      </c>
      <c r="B81" s="5" t="s">
        <v>55</v>
      </c>
      <c r="C81" s="2" t="s">
        <v>56</v>
      </c>
      <c r="D81" s="5" t="s">
        <v>57</v>
      </c>
      <c r="E81" s="5" t="s">
        <v>62</v>
      </c>
      <c r="F81" s="2" t="n">
        <v>18</v>
      </c>
      <c r="G81" s="5" t="s">
        <v>66</v>
      </c>
      <c r="H81" s="2" t="n">
        <v>0</v>
      </c>
      <c r="I81" s="2" t="n">
        <v>1</v>
      </c>
      <c r="J81" s="2" t="n">
        <v>1</v>
      </c>
      <c r="K81" s="7" t="n">
        <v>0.3267056804</v>
      </c>
      <c r="L81" s="7" t="n">
        <v>0.1032789809</v>
      </c>
      <c r="M81" s="7" t="n">
        <v>0.1040946926</v>
      </c>
      <c r="N81" s="7" t="n">
        <v>5</v>
      </c>
      <c r="O81" s="7" t="n">
        <v>5</v>
      </c>
      <c r="P81" s="7" t="n">
        <v>5</v>
      </c>
      <c r="Q81" s="2"/>
      <c r="R81" s="7" t="n">
        <v>2.733141</v>
      </c>
      <c r="S81" s="5" t="s">
        <v>60</v>
      </c>
      <c r="T81" s="5" t="s">
        <v>61</v>
      </c>
    </row>
    <row r="82" customFormat="false" ht="15" hidden="false" customHeight="false" outlineLevel="0" collapsed="false">
      <c r="A82" s="5" t="s">
        <v>4</v>
      </c>
      <c r="B82" s="5" t="s">
        <v>55</v>
      </c>
      <c r="C82" s="2" t="s">
        <v>56</v>
      </c>
      <c r="D82" s="5" t="s">
        <v>57</v>
      </c>
      <c r="E82" s="5" t="s">
        <v>58</v>
      </c>
      <c r="F82" s="2" t="n">
        <v>19</v>
      </c>
      <c r="G82" s="5" t="s">
        <v>59</v>
      </c>
      <c r="H82" s="2" t="n">
        <v>1</v>
      </c>
      <c r="I82" s="2" t="n">
        <v>1</v>
      </c>
      <c r="J82" s="2" t="n">
        <v>1</v>
      </c>
      <c r="K82" s="7" t="n">
        <v>0.4322095128</v>
      </c>
      <c r="L82" s="7" t="n">
        <v>0.06733723189</v>
      </c>
      <c r="M82" s="7" t="n">
        <v>0.07259691992</v>
      </c>
      <c r="N82" s="7" t="n">
        <v>11</v>
      </c>
      <c r="O82" s="7" t="n">
        <v>11</v>
      </c>
      <c r="P82" s="7" t="n">
        <v>0</v>
      </c>
      <c r="Q82" s="2"/>
      <c r="R82" s="7" t="n">
        <v>5.462655</v>
      </c>
      <c r="S82" s="5" t="s">
        <v>60</v>
      </c>
      <c r="T82" s="5" t="s">
        <v>61</v>
      </c>
    </row>
    <row r="83" customFormat="false" ht="15" hidden="false" customHeight="false" outlineLevel="0" collapsed="false">
      <c r="A83" s="5" t="s">
        <v>4</v>
      </c>
      <c r="B83" s="5" t="s">
        <v>55</v>
      </c>
      <c r="C83" s="2" t="s">
        <v>56</v>
      </c>
      <c r="D83" s="5" t="s">
        <v>57</v>
      </c>
      <c r="E83" s="5" t="s">
        <v>62</v>
      </c>
      <c r="F83" s="2" t="n">
        <v>19</v>
      </c>
      <c r="G83" s="5" t="s">
        <v>59</v>
      </c>
      <c r="H83" s="2" t="n">
        <v>1</v>
      </c>
      <c r="I83" s="2" t="n">
        <v>1</v>
      </c>
      <c r="J83" s="2" t="n">
        <v>1</v>
      </c>
      <c r="K83" s="7" t="n">
        <v>0.4322095128</v>
      </c>
      <c r="L83" s="7" t="n">
        <v>0.06733723189</v>
      </c>
      <c r="M83" s="7" t="n">
        <v>0.07259691992</v>
      </c>
      <c r="N83" s="7" t="n">
        <v>11</v>
      </c>
      <c r="O83" s="7" t="n">
        <v>11</v>
      </c>
      <c r="P83" s="7" t="n">
        <v>11</v>
      </c>
      <c r="Q83" s="2"/>
      <c r="R83" s="7" t="n">
        <v>6.020821</v>
      </c>
      <c r="S83" s="5" t="s">
        <v>60</v>
      </c>
      <c r="T83" s="5" t="s">
        <v>61</v>
      </c>
    </row>
    <row r="84" customFormat="false" ht="15" hidden="false" customHeight="false" outlineLevel="0" collapsed="false">
      <c r="A84" s="5" t="s">
        <v>4</v>
      </c>
      <c r="B84" s="5" t="s">
        <v>55</v>
      </c>
      <c r="C84" s="2" t="s">
        <v>56</v>
      </c>
      <c r="D84" s="5" t="s">
        <v>57</v>
      </c>
      <c r="E84" s="5" t="s">
        <v>58</v>
      </c>
      <c r="F84" s="2" t="n">
        <v>19</v>
      </c>
      <c r="G84" s="5" t="s">
        <v>63</v>
      </c>
      <c r="H84" s="2" t="n">
        <v>1</v>
      </c>
      <c r="I84" s="2" t="n">
        <v>1</v>
      </c>
      <c r="J84" s="2" t="n">
        <v>1</v>
      </c>
      <c r="K84" s="7" t="n">
        <v>0.5727304765</v>
      </c>
      <c r="L84" s="7" t="n">
        <v>0.03392602749</v>
      </c>
      <c r="M84" s="7" t="n">
        <v>0.04740333203</v>
      </c>
      <c r="N84" s="7" t="n">
        <v>11</v>
      </c>
      <c r="O84" s="7" t="n">
        <v>11</v>
      </c>
      <c r="P84" s="7" t="n">
        <v>0</v>
      </c>
      <c r="Q84" s="2"/>
      <c r="R84" s="7" t="n">
        <v>1.269877</v>
      </c>
      <c r="S84" s="5" t="s">
        <v>60</v>
      </c>
      <c r="T84" s="5" t="s">
        <v>61</v>
      </c>
    </row>
    <row r="85" customFormat="false" ht="15" hidden="false" customHeight="false" outlineLevel="0" collapsed="false">
      <c r="A85" s="5" t="s">
        <v>4</v>
      </c>
      <c r="B85" s="5" t="s">
        <v>55</v>
      </c>
      <c r="C85" s="2" t="s">
        <v>56</v>
      </c>
      <c r="D85" s="5" t="s">
        <v>57</v>
      </c>
      <c r="E85" s="5" t="s">
        <v>62</v>
      </c>
      <c r="F85" s="2" t="n">
        <v>19</v>
      </c>
      <c r="G85" s="5" t="s">
        <v>63</v>
      </c>
      <c r="H85" s="2" t="n">
        <v>1</v>
      </c>
      <c r="I85" s="2" t="n">
        <v>1</v>
      </c>
      <c r="J85" s="2" t="n">
        <v>1</v>
      </c>
      <c r="K85" s="7" t="n">
        <v>0.5727304765</v>
      </c>
      <c r="L85" s="7" t="n">
        <v>0.03392602749</v>
      </c>
      <c r="M85" s="7" t="n">
        <v>0.04740333203</v>
      </c>
      <c r="N85" s="7" t="n">
        <v>11</v>
      </c>
      <c r="O85" s="7" t="n">
        <v>11</v>
      </c>
      <c r="P85" s="7" t="n">
        <v>10</v>
      </c>
      <c r="Q85" s="2"/>
      <c r="R85" s="7" t="n">
        <v>1.868542</v>
      </c>
      <c r="S85" s="5" t="s">
        <v>60</v>
      </c>
      <c r="T85" s="5" t="s">
        <v>61</v>
      </c>
    </row>
    <row r="86" customFormat="false" ht="15" hidden="false" customHeight="false" outlineLevel="0" collapsed="false">
      <c r="A86" s="5" t="s">
        <v>4</v>
      </c>
      <c r="B86" s="5" t="s">
        <v>55</v>
      </c>
      <c r="C86" s="2" t="s">
        <v>56</v>
      </c>
      <c r="D86" s="5" t="s">
        <v>57</v>
      </c>
      <c r="E86" s="5" t="s">
        <v>58</v>
      </c>
      <c r="F86" s="2" t="n">
        <v>19</v>
      </c>
      <c r="G86" s="5" t="s">
        <v>64</v>
      </c>
      <c r="H86" s="2" t="n">
        <v>0</v>
      </c>
      <c r="I86" s="2" t="n">
        <v>1</v>
      </c>
      <c r="J86" s="2" t="n">
        <v>1</v>
      </c>
      <c r="K86" s="7" t="n">
        <v>1.032186121</v>
      </c>
      <c r="L86" s="7" t="n">
        <v>0.1903200626</v>
      </c>
      <c r="M86" s="7" t="n">
        <v>0.2002673332</v>
      </c>
      <c r="N86" s="7" t="n">
        <v>4</v>
      </c>
      <c r="O86" s="7" t="n">
        <v>4</v>
      </c>
      <c r="P86" s="7" t="n">
        <v>0</v>
      </c>
      <c r="Q86" s="2"/>
      <c r="R86" s="7" t="n">
        <v>5.501974</v>
      </c>
      <c r="S86" s="5" t="s">
        <v>60</v>
      </c>
      <c r="T86" s="5" t="s">
        <v>61</v>
      </c>
    </row>
    <row r="87" customFormat="false" ht="15" hidden="false" customHeight="false" outlineLevel="0" collapsed="false">
      <c r="A87" s="5" t="s">
        <v>4</v>
      </c>
      <c r="B87" s="5" t="s">
        <v>55</v>
      </c>
      <c r="C87" s="2" t="s">
        <v>56</v>
      </c>
      <c r="D87" s="5" t="s">
        <v>57</v>
      </c>
      <c r="E87" s="5" t="s">
        <v>62</v>
      </c>
      <c r="F87" s="2" t="n">
        <v>19</v>
      </c>
      <c r="G87" s="5" t="s">
        <v>64</v>
      </c>
      <c r="H87" s="2" t="n">
        <v>0</v>
      </c>
      <c r="I87" s="2" t="n">
        <v>1</v>
      </c>
      <c r="J87" s="2" t="n">
        <v>1</v>
      </c>
      <c r="K87" s="7" t="n">
        <v>1.032186121</v>
      </c>
      <c r="L87" s="7" t="n">
        <v>0.1903200626</v>
      </c>
      <c r="M87" s="7" t="n">
        <v>0.2002673332</v>
      </c>
      <c r="N87" s="7" t="n">
        <v>4</v>
      </c>
      <c r="O87" s="7" t="n">
        <v>4</v>
      </c>
      <c r="P87" s="7" t="n">
        <v>4</v>
      </c>
      <c r="Q87" s="2"/>
      <c r="R87" s="7" t="n">
        <v>5.783291</v>
      </c>
      <c r="S87" s="5" t="s">
        <v>60</v>
      </c>
      <c r="T87" s="5" t="s">
        <v>61</v>
      </c>
    </row>
    <row r="88" customFormat="false" ht="15" hidden="false" customHeight="false" outlineLevel="0" collapsed="false">
      <c r="A88" s="5" t="s">
        <v>4</v>
      </c>
      <c r="B88" s="5" t="s">
        <v>55</v>
      </c>
      <c r="C88" s="2" t="s">
        <v>56</v>
      </c>
      <c r="D88" s="5" t="s">
        <v>57</v>
      </c>
      <c r="E88" s="5" t="s">
        <v>58</v>
      </c>
      <c r="F88" s="2" t="n">
        <v>19</v>
      </c>
      <c r="G88" s="5" t="s">
        <v>65</v>
      </c>
      <c r="H88" s="2" t="n">
        <v>0</v>
      </c>
      <c r="I88" s="2" t="n">
        <v>1</v>
      </c>
      <c r="J88" s="2" t="n">
        <v>1</v>
      </c>
      <c r="K88" s="7" t="n">
        <v>0.8645758789</v>
      </c>
      <c r="L88" s="7" t="n">
        <v>0.09413753228</v>
      </c>
      <c r="M88" s="7" t="n">
        <v>0.1113774744</v>
      </c>
      <c r="N88" s="7" t="n">
        <v>8</v>
      </c>
      <c r="O88" s="7" t="n">
        <v>8</v>
      </c>
      <c r="P88" s="7" t="n">
        <v>0</v>
      </c>
      <c r="Q88" s="2"/>
      <c r="R88" s="7" t="n">
        <v>6.439971</v>
      </c>
      <c r="S88" s="5" t="s">
        <v>60</v>
      </c>
      <c r="T88" s="5" t="s">
        <v>61</v>
      </c>
    </row>
    <row r="89" customFormat="false" ht="15" hidden="false" customHeight="false" outlineLevel="0" collapsed="false">
      <c r="A89" s="5" t="s">
        <v>4</v>
      </c>
      <c r="B89" s="5" t="s">
        <v>55</v>
      </c>
      <c r="C89" s="2" t="s">
        <v>56</v>
      </c>
      <c r="D89" s="5" t="s">
        <v>57</v>
      </c>
      <c r="E89" s="5" t="s">
        <v>62</v>
      </c>
      <c r="F89" s="2" t="n">
        <v>19</v>
      </c>
      <c r="G89" s="5" t="s">
        <v>65</v>
      </c>
      <c r="H89" s="2" t="n">
        <v>0</v>
      </c>
      <c r="I89" s="2" t="n">
        <v>1</v>
      </c>
      <c r="J89" s="2" t="n">
        <v>1</v>
      </c>
      <c r="K89" s="7" t="n">
        <v>0.8645758789</v>
      </c>
      <c r="L89" s="7" t="n">
        <v>0.09413753228</v>
      </c>
      <c r="M89" s="7" t="n">
        <v>0.1113774744</v>
      </c>
      <c r="N89" s="7" t="n">
        <v>8</v>
      </c>
      <c r="O89" s="7" t="n">
        <v>8</v>
      </c>
      <c r="P89" s="7" t="n">
        <v>8</v>
      </c>
      <c r="Q89" s="2"/>
      <c r="R89" s="7" t="n">
        <v>6.977096</v>
      </c>
      <c r="S89" s="5" t="s">
        <v>60</v>
      </c>
      <c r="T89" s="5" t="s">
        <v>61</v>
      </c>
    </row>
    <row r="90" customFormat="false" ht="15" hidden="false" customHeight="false" outlineLevel="0" collapsed="false">
      <c r="A90" s="5" t="s">
        <v>4</v>
      </c>
      <c r="B90" s="5" t="s">
        <v>55</v>
      </c>
      <c r="C90" s="2" t="s">
        <v>56</v>
      </c>
      <c r="D90" s="5" t="s">
        <v>57</v>
      </c>
      <c r="E90" s="5" t="s">
        <v>58</v>
      </c>
      <c r="F90" s="2" t="n">
        <v>19</v>
      </c>
      <c r="G90" s="5" t="s">
        <v>66</v>
      </c>
      <c r="H90" s="2" t="n">
        <v>0</v>
      </c>
      <c r="I90" s="2" t="n">
        <v>0</v>
      </c>
      <c r="J90" s="2" t="n">
        <v>0</v>
      </c>
      <c r="K90" s="2"/>
      <c r="L90" s="2"/>
      <c r="M90" s="2"/>
      <c r="N90" s="7" t="n">
        <v>0</v>
      </c>
      <c r="O90" s="7" t="n">
        <v>0</v>
      </c>
      <c r="P90" s="7" t="n">
        <v>0</v>
      </c>
      <c r="Q90" s="2"/>
      <c r="R90" s="7" t="n">
        <v>6.406852</v>
      </c>
      <c r="S90" s="5" t="s">
        <v>60</v>
      </c>
      <c r="T90" s="5" t="s">
        <v>61</v>
      </c>
    </row>
    <row r="91" customFormat="false" ht="15" hidden="false" customHeight="false" outlineLevel="0" collapsed="false">
      <c r="A91" s="5" t="s">
        <v>4</v>
      </c>
      <c r="B91" s="5" t="s">
        <v>55</v>
      </c>
      <c r="C91" s="2" t="s">
        <v>56</v>
      </c>
      <c r="D91" s="5" t="s">
        <v>57</v>
      </c>
      <c r="E91" s="5" t="s">
        <v>62</v>
      </c>
      <c r="F91" s="2" t="n">
        <v>19</v>
      </c>
      <c r="G91" s="5" t="s">
        <v>66</v>
      </c>
      <c r="H91" s="2" t="n">
        <v>0</v>
      </c>
      <c r="I91" s="2" t="n">
        <v>0</v>
      </c>
      <c r="J91" s="2" t="n">
        <v>0</v>
      </c>
      <c r="K91" s="2"/>
      <c r="L91" s="2"/>
      <c r="M91" s="2"/>
      <c r="N91" s="7" t="n">
        <v>0</v>
      </c>
      <c r="O91" s="7" t="n">
        <v>0</v>
      </c>
      <c r="P91" s="7" t="n">
        <v>0</v>
      </c>
      <c r="Q91" s="2"/>
      <c r="R91" s="7" t="n">
        <v>6.406993</v>
      </c>
      <c r="S91" s="5" t="s">
        <v>60</v>
      </c>
      <c r="T91" s="5" t="s">
        <v>61</v>
      </c>
    </row>
    <row r="92" customFormat="false" ht="15" hidden="false" customHeight="false" outlineLevel="0" collapsed="false">
      <c r="A92" s="5" t="s">
        <v>4</v>
      </c>
      <c r="B92" s="5" t="s">
        <v>55</v>
      </c>
      <c r="C92" s="2" t="s">
        <v>56</v>
      </c>
      <c r="D92" s="5" t="s">
        <v>57</v>
      </c>
      <c r="E92" s="5" t="s">
        <v>58</v>
      </c>
      <c r="F92" s="2" t="n">
        <v>20</v>
      </c>
      <c r="G92" s="5" t="s">
        <v>59</v>
      </c>
      <c r="H92" s="2" t="n">
        <v>1</v>
      </c>
      <c r="I92" s="2" t="n">
        <v>1</v>
      </c>
      <c r="J92" s="2" t="n">
        <v>1</v>
      </c>
      <c r="K92" s="7" t="n">
        <v>0.3930933597</v>
      </c>
      <c r="L92" s="7" t="n">
        <v>0.06112771806</v>
      </c>
      <c r="M92" s="7" t="n">
        <v>0.06492501226</v>
      </c>
      <c r="N92" s="7" t="n">
        <v>11</v>
      </c>
      <c r="O92" s="7" t="n">
        <v>11</v>
      </c>
      <c r="P92" s="7" t="n">
        <v>0</v>
      </c>
      <c r="Q92" s="2"/>
      <c r="R92" s="7" t="n">
        <v>1.309045</v>
      </c>
      <c r="S92" s="5" t="s">
        <v>60</v>
      </c>
      <c r="T92" s="5" t="s">
        <v>61</v>
      </c>
    </row>
    <row r="93" customFormat="false" ht="15" hidden="false" customHeight="false" outlineLevel="0" collapsed="false">
      <c r="A93" s="5" t="s">
        <v>4</v>
      </c>
      <c r="B93" s="5" t="s">
        <v>55</v>
      </c>
      <c r="C93" s="2" t="s">
        <v>56</v>
      </c>
      <c r="D93" s="5" t="s">
        <v>57</v>
      </c>
      <c r="E93" s="5" t="s">
        <v>62</v>
      </c>
      <c r="F93" s="2" t="n">
        <v>20</v>
      </c>
      <c r="G93" s="5" t="s">
        <v>59</v>
      </c>
      <c r="H93" s="2" t="n">
        <v>1</v>
      </c>
      <c r="I93" s="2" t="n">
        <v>1</v>
      </c>
      <c r="J93" s="2" t="n">
        <v>1</v>
      </c>
      <c r="K93" s="7" t="n">
        <v>0.3930933597</v>
      </c>
      <c r="L93" s="7" t="n">
        <v>0.06112771806</v>
      </c>
      <c r="M93" s="7" t="n">
        <v>0.06492501226</v>
      </c>
      <c r="N93" s="7" t="n">
        <v>11</v>
      </c>
      <c r="O93" s="7" t="n">
        <v>11</v>
      </c>
      <c r="P93" s="7" t="n">
        <v>11</v>
      </c>
      <c r="Q93" s="2"/>
      <c r="R93" s="7" t="n">
        <v>1.864987</v>
      </c>
      <c r="S93" s="5" t="s">
        <v>60</v>
      </c>
      <c r="T93" s="5" t="s">
        <v>61</v>
      </c>
    </row>
    <row r="94" customFormat="false" ht="15" hidden="false" customHeight="false" outlineLevel="0" collapsed="false">
      <c r="A94" s="5" t="s">
        <v>4</v>
      </c>
      <c r="B94" s="5" t="s">
        <v>55</v>
      </c>
      <c r="C94" s="2" t="s">
        <v>56</v>
      </c>
      <c r="D94" s="5" t="s">
        <v>57</v>
      </c>
      <c r="E94" s="5" t="s">
        <v>58</v>
      </c>
      <c r="F94" s="2" t="n">
        <v>20</v>
      </c>
      <c r="G94" s="5" t="s">
        <v>63</v>
      </c>
      <c r="H94" s="2" t="n">
        <v>1</v>
      </c>
      <c r="I94" s="2" t="n">
        <v>1</v>
      </c>
      <c r="J94" s="2" t="n">
        <v>1</v>
      </c>
      <c r="K94" s="7" t="n">
        <v>0.2461335978</v>
      </c>
      <c r="L94" s="7" t="n">
        <v>0.1146894153</v>
      </c>
      <c r="M94" s="7" t="n">
        <v>0.1170022957</v>
      </c>
      <c r="N94" s="7" t="n">
        <v>10</v>
      </c>
      <c r="O94" s="7" t="n">
        <v>10</v>
      </c>
      <c r="P94" s="7" t="n">
        <v>0</v>
      </c>
      <c r="Q94" s="2"/>
      <c r="R94" s="7" t="n">
        <v>5.237864</v>
      </c>
      <c r="S94" s="5" t="s">
        <v>60</v>
      </c>
      <c r="T94" s="5" t="s">
        <v>61</v>
      </c>
    </row>
    <row r="95" customFormat="false" ht="15" hidden="false" customHeight="false" outlineLevel="0" collapsed="false">
      <c r="A95" s="5" t="s">
        <v>4</v>
      </c>
      <c r="B95" s="5" t="s">
        <v>55</v>
      </c>
      <c r="C95" s="2" t="s">
        <v>56</v>
      </c>
      <c r="D95" s="5" t="s">
        <v>57</v>
      </c>
      <c r="E95" s="5" t="s">
        <v>62</v>
      </c>
      <c r="F95" s="2" t="n">
        <v>20</v>
      </c>
      <c r="G95" s="5" t="s">
        <v>63</v>
      </c>
      <c r="H95" s="2" t="n">
        <v>1</v>
      </c>
      <c r="I95" s="2" t="n">
        <v>1</v>
      </c>
      <c r="J95" s="2" t="n">
        <v>1</v>
      </c>
      <c r="K95" s="7" t="n">
        <v>0.2461335978</v>
      </c>
      <c r="L95" s="7" t="n">
        <v>0.1146894153</v>
      </c>
      <c r="M95" s="7" t="n">
        <v>0.1170022957</v>
      </c>
      <c r="N95" s="7" t="n">
        <v>10</v>
      </c>
      <c r="O95" s="7" t="n">
        <v>10</v>
      </c>
      <c r="P95" s="7" t="n">
        <v>10</v>
      </c>
      <c r="Q95" s="2"/>
      <c r="R95" s="7" t="n">
        <v>5.804992</v>
      </c>
      <c r="S95" s="5" t="s">
        <v>60</v>
      </c>
      <c r="T95" s="5" t="s">
        <v>61</v>
      </c>
    </row>
    <row r="96" customFormat="false" ht="15" hidden="false" customHeight="false" outlineLevel="0" collapsed="false">
      <c r="A96" s="5" t="s">
        <v>4</v>
      </c>
      <c r="B96" s="5" t="s">
        <v>55</v>
      </c>
      <c r="C96" s="2" t="s">
        <v>56</v>
      </c>
      <c r="D96" s="5" t="s">
        <v>57</v>
      </c>
      <c r="E96" s="5" t="s">
        <v>58</v>
      </c>
      <c r="F96" s="2" t="n">
        <v>20</v>
      </c>
      <c r="G96" s="5" t="s">
        <v>64</v>
      </c>
      <c r="H96" s="2" t="n">
        <v>0</v>
      </c>
      <c r="I96" s="2" t="n">
        <v>1</v>
      </c>
      <c r="J96" s="2" t="n">
        <v>1</v>
      </c>
      <c r="K96" s="7" t="n">
        <v>0.6611790415</v>
      </c>
      <c r="L96" s="7" t="n">
        <v>0.0439533069</v>
      </c>
      <c r="M96" s="7" t="n">
        <v>0.06822135521</v>
      </c>
      <c r="N96" s="7" t="n">
        <v>5</v>
      </c>
      <c r="O96" s="7" t="n">
        <v>5</v>
      </c>
      <c r="P96" s="7" t="n">
        <v>0</v>
      </c>
      <c r="Q96" s="2"/>
      <c r="R96" s="7" t="n">
        <v>5.333565</v>
      </c>
      <c r="S96" s="5" t="s">
        <v>60</v>
      </c>
      <c r="T96" s="5" t="s">
        <v>61</v>
      </c>
    </row>
    <row r="97" customFormat="false" ht="15" hidden="false" customHeight="false" outlineLevel="0" collapsed="false">
      <c r="A97" s="5" t="s">
        <v>4</v>
      </c>
      <c r="B97" s="5" t="s">
        <v>55</v>
      </c>
      <c r="C97" s="2" t="s">
        <v>56</v>
      </c>
      <c r="D97" s="5" t="s">
        <v>57</v>
      </c>
      <c r="E97" s="5" t="s">
        <v>62</v>
      </c>
      <c r="F97" s="2" t="n">
        <v>20</v>
      </c>
      <c r="G97" s="5" t="s">
        <v>64</v>
      </c>
      <c r="H97" s="2" t="n">
        <v>0</v>
      </c>
      <c r="I97" s="2" t="n">
        <v>1</v>
      </c>
      <c r="J97" s="2" t="n">
        <v>1</v>
      </c>
      <c r="K97" s="7" t="n">
        <v>0.6611790415</v>
      </c>
      <c r="L97" s="7" t="n">
        <v>0.0439533069</v>
      </c>
      <c r="M97" s="7" t="n">
        <v>0.06822135521</v>
      </c>
      <c r="N97" s="7" t="n">
        <v>5</v>
      </c>
      <c r="O97" s="7" t="n">
        <v>5</v>
      </c>
      <c r="P97" s="7" t="n">
        <v>5</v>
      </c>
      <c r="Q97" s="2"/>
      <c r="R97" s="7" t="n">
        <v>5.759525</v>
      </c>
      <c r="S97" s="5" t="s">
        <v>60</v>
      </c>
      <c r="T97" s="5" t="s">
        <v>61</v>
      </c>
    </row>
    <row r="98" customFormat="false" ht="15" hidden="false" customHeight="false" outlineLevel="0" collapsed="false">
      <c r="A98" s="5" t="s">
        <v>4</v>
      </c>
      <c r="B98" s="5" t="s">
        <v>55</v>
      </c>
      <c r="C98" s="2" t="s">
        <v>56</v>
      </c>
      <c r="D98" s="5" t="s">
        <v>57</v>
      </c>
      <c r="E98" s="5" t="s">
        <v>58</v>
      </c>
      <c r="F98" s="2" t="n">
        <v>20</v>
      </c>
      <c r="G98" s="5" t="s">
        <v>65</v>
      </c>
      <c r="H98" s="2" t="n">
        <v>0</v>
      </c>
      <c r="I98" s="2" t="n">
        <v>0</v>
      </c>
      <c r="J98" s="2" t="n">
        <v>0</v>
      </c>
      <c r="K98" s="2"/>
      <c r="L98" s="2"/>
      <c r="M98" s="2"/>
      <c r="N98" s="7" t="n">
        <v>1</v>
      </c>
      <c r="O98" s="7" t="n">
        <v>1</v>
      </c>
      <c r="P98" s="7" t="n">
        <v>0</v>
      </c>
      <c r="Q98" s="2"/>
      <c r="R98" s="7" t="n">
        <v>6.489654</v>
      </c>
      <c r="S98" s="5" t="s">
        <v>60</v>
      </c>
      <c r="T98" s="5" t="s">
        <v>61</v>
      </c>
    </row>
    <row r="99" customFormat="false" ht="15" hidden="false" customHeight="false" outlineLevel="0" collapsed="false">
      <c r="A99" s="5" t="s">
        <v>4</v>
      </c>
      <c r="B99" s="5" t="s">
        <v>55</v>
      </c>
      <c r="C99" s="2" t="s">
        <v>56</v>
      </c>
      <c r="D99" s="5" t="s">
        <v>57</v>
      </c>
      <c r="E99" s="5" t="s">
        <v>62</v>
      </c>
      <c r="F99" s="2" t="n">
        <v>20</v>
      </c>
      <c r="G99" s="5" t="s">
        <v>65</v>
      </c>
      <c r="H99" s="2" t="n">
        <v>0</v>
      </c>
      <c r="I99" s="2" t="n">
        <v>0</v>
      </c>
      <c r="J99" s="2" t="n">
        <v>0</v>
      </c>
      <c r="K99" s="2"/>
      <c r="L99" s="2"/>
      <c r="M99" s="2"/>
      <c r="N99" s="7" t="n">
        <v>1</v>
      </c>
      <c r="O99" s="7" t="n">
        <v>1</v>
      </c>
      <c r="P99" s="7" t="n">
        <v>0</v>
      </c>
      <c r="Q99" s="2"/>
      <c r="R99" s="7" t="n">
        <v>6.489153</v>
      </c>
      <c r="S99" s="5" t="s">
        <v>60</v>
      </c>
      <c r="T99" s="5" t="s">
        <v>61</v>
      </c>
    </row>
    <row r="100" customFormat="false" ht="15" hidden="false" customHeight="false" outlineLevel="0" collapsed="false">
      <c r="A100" s="5" t="s">
        <v>4</v>
      </c>
      <c r="B100" s="5" t="s">
        <v>55</v>
      </c>
      <c r="C100" s="2" t="s">
        <v>56</v>
      </c>
      <c r="D100" s="5" t="s">
        <v>57</v>
      </c>
      <c r="E100" s="5" t="s">
        <v>58</v>
      </c>
      <c r="F100" s="2" t="n">
        <v>20</v>
      </c>
      <c r="G100" s="5" t="s">
        <v>66</v>
      </c>
      <c r="H100" s="2" t="n">
        <v>0</v>
      </c>
      <c r="I100" s="2" t="n">
        <v>1</v>
      </c>
      <c r="J100" s="2" t="n">
        <v>1</v>
      </c>
      <c r="K100" s="7" t="n">
        <v>1.140758123</v>
      </c>
      <c r="L100" s="7" t="n">
        <v>0.1134878148</v>
      </c>
      <c r="M100" s="7" t="n">
        <v>0.129579152</v>
      </c>
      <c r="N100" s="7" t="n">
        <v>3</v>
      </c>
      <c r="O100" s="7" t="n">
        <v>3</v>
      </c>
      <c r="P100" s="7" t="n">
        <v>0</v>
      </c>
      <c r="Q100" s="2"/>
      <c r="R100" s="7" t="n">
        <v>2.174104</v>
      </c>
      <c r="S100" s="5" t="s">
        <v>60</v>
      </c>
      <c r="T100" s="5" t="s">
        <v>61</v>
      </c>
    </row>
    <row r="101" customFormat="false" ht="15" hidden="false" customHeight="false" outlineLevel="0" collapsed="false">
      <c r="A101" s="5" t="s">
        <v>4</v>
      </c>
      <c r="B101" s="5" t="s">
        <v>55</v>
      </c>
      <c r="C101" s="2" t="s">
        <v>56</v>
      </c>
      <c r="D101" s="5" t="s">
        <v>57</v>
      </c>
      <c r="E101" s="5" t="s">
        <v>62</v>
      </c>
      <c r="F101" s="2" t="n">
        <v>20</v>
      </c>
      <c r="G101" s="5" t="s">
        <v>66</v>
      </c>
      <c r="H101" s="2" t="n">
        <v>0</v>
      </c>
      <c r="I101" s="2" t="n">
        <v>1</v>
      </c>
      <c r="J101" s="2" t="n">
        <v>1</v>
      </c>
      <c r="K101" s="7" t="n">
        <v>1.140758123</v>
      </c>
      <c r="L101" s="7" t="n">
        <v>0.1134878148</v>
      </c>
      <c r="M101" s="7" t="n">
        <v>0.129579152</v>
      </c>
      <c r="N101" s="7" t="n">
        <v>3</v>
      </c>
      <c r="O101" s="7" t="n">
        <v>3</v>
      </c>
      <c r="P101" s="7" t="n">
        <v>3</v>
      </c>
      <c r="Q101" s="2"/>
      <c r="R101" s="7" t="n">
        <v>2.36748</v>
      </c>
      <c r="S101" s="5" t="s">
        <v>60</v>
      </c>
      <c r="T101" s="5" t="s">
        <v>61</v>
      </c>
    </row>
    <row r="102" customFormat="false" ht="15" hidden="false" customHeight="false" outlineLevel="0" collapsed="false">
      <c r="A102" s="5" t="s">
        <v>4</v>
      </c>
      <c r="B102" s="5" t="s">
        <v>55</v>
      </c>
      <c r="C102" s="2" t="s">
        <v>56</v>
      </c>
      <c r="D102" s="5" t="s">
        <v>57</v>
      </c>
      <c r="E102" s="5" t="s">
        <v>58</v>
      </c>
      <c r="F102" s="2" t="n">
        <v>11</v>
      </c>
      <c r="G102" s="5" t="s">
        <v>67</v>
      </c>
      <c r="H102" s="2" t="n">
        <v>1</v>
      </c>
      <c r="I102" s="2" t="n">
        <v>1</v>
      </c>
      <c r="J102" s="2" t="n">
        <v>0</v>
      </c>
      <c r="K102" s="7" t="n">
        <v>2.56119432</v>
      </c>
      <c r="L102" s="7" t="n">
        <v>0.2224439779</v>
      </c>
      <c r="M102" s="7" t="n">
        <v>0.2676805875</v>
      </c>
      <c r="N102" s="7" t="n">
        <v>14</v>
      </c>
      <c r="O102" s="7" t="n">
        <v>14</v>
      </c>
      <c r="P102" s="7" t="n">
        <v>0</v>
      </c>
      <c r="Q102" s="2"/>
      <c r="R102" s="7" t="n">
        <v>7.34638</v>
      </c>
      <c r="S102" s="5" t="s">
        <v>60</v>
      </c>
      <c r="T102" s="5" t="s">
        <v>61</v>
      </c>
    </row>
    <row r="103" customFormat="false" ht="15" hidden="false" customHeight="false" outlineLevel="0" collapsed="false">
      <c r="A103" s="5" t="s">
        <v>4</v>
      </c>
      <c r="B103" s="5" t="s">
        <v>55</v>
      </c>
      <c r="C103" s="2" t="s">
        <v>56</v>
      </c>
      <c r="D103" s="5" t="s">
        <v>57</v>
      </c>
      <c r="E103" s="5" t="s">
        <v>62</v>
      </c>
      <c r="F103" s="2" t="n">
        <v>11</v>
      </c>
      <c r="G103" s="5" t="s">
        <v>67</v>
      </c>
      <c r="H103" s="2" t="n">
        <v>1</v>
      </c>
      <c r="I103" s="2" t="n">
        <v>1</v>
      </c>
      <c r="J103" s="2" t="n">
        <v>1</v>
      </c>
      <c r="K103" s="7" t="n">
        <v>0.8550803167</v>
      </c>
      <c r="L103" s="7" t="n">
        <v>0.06276262962</v>
      </c>
      <c r="M103" s="7" t="n">
        <v>0.08098530435</v>
      </c>
      <c r="N103" s="7" t="n">
        <v>14</v>
      </c>
      <c r="O103" s="7" t="n">
        <v>14</v>
      </c>
      <c r="P103" s="7" t="n">
        <v>12</v>
      </c>
      <c r="Q103" s="2"/>
      <c r="R103" s="7" t="n">
        <v>12.116673</v>
      </c>
      <c r="S103" s="5" t="s">
        <v>60</v>
      </c>
      <c r="T103" s="5" t="s">
        <v>61</v>
      </c>
    </row>
    <row r="104" customFormat="false" ht="15" hidden="false" customHeight="false" outlineLevel="0" collapsed="false">
      <c r="A104" s="5" t="s">
        <v>4</v>
      </c>
      <c r="B104" s="5" t="s">
        <v>55</v>
      </c>
      <c r="C104" s="2" t="s">
        <v>56</v>
      </c>
      <c r="D104" s="5" t="s">
        <v>57</v>
      </c>
      <c r="E104" s="5" t="s">
        <v>58</v>
      </c>
      <c r="F104" s="2" t="n">
        <v>11</v>
      </c>
      <c r="G104" s="5" t="s">
        <v>68</v>
      </c>
      <c r="H104" s="2" t="n">
        <v>1</v>
      </c>
      <c r="I104" s="2" t="n">
        <v>1</v>
      </c>
      <c r="J104" s="2" t="n">
        <v>1</v>
      </c>
      <c r="K104" s="7" t="n">
        <v>0.5760527714</v>
      </c>
      <c r="L104" s="7" t="n">
        <v>0.03081476262</v>
      </c>
      <c r="M104" s="7" t="n">
        <v>0.0544135507</v>
      </c>
      <c r="N104" s="7" t="n">
        <v>3</v>
      </c>
      <c r="O104" s="7" t="n">
        <v>3</v>
      </c>
      <c r="P104" s="7" t="n">
        <v>0</v>
      </c>
      <c r="Q104" s="2"/>
      <c r="R104" s="7" t="n">
        <v>5.419112</v>
      </c>
      <c r="S104" s="5" t="s">
        <v>60</v>
      </c>
      <c r="T104" s="5" t="s">
        <v>61</v>
      </c>
    </row>
    <row r="105" customFormat="false" ht="15" hidden="false" customHeight="false" outlineLevel="0" collapsed="false">
      <c r="A105" s="5" t="s">
        <v>4</v>
      </c>
      <c r="B105" s="5" t="s">
        <v>55</v>
      </c>
      <c r="C105" s="2" t="s">
        <v>56</v>
      </c>
      <c r="D105" s="5" t="s">
        <v>57</v>
      </c>
      <c r="E105" s="5" t="s">
        <v>62</v>
      </c>
      <c r="F105" s="2" t="n">
        <v>11</v>
      </c>
      <c r="G105" s="5" t="s">
        <v>68</v>
      </c>
      <c r="H105" s="2" t="n">
        <v>1</v>
      </c>
      <c r="I105" s="2" t="n">
        <v>1</v>
      </c>
      <c r="J105" s="2" t="n">
        <v>1</v>
      </c>
      <c r="K105" s="7" t="n">
        <v>0.5760527714</v>
      </c>
      <c r="L105" s="7" t="n">
        <v>0.03081476262</v>
      </c>
      <c r="M105" s="7" t="n">
        <v>0.0544135507</v>
      </c>
      <c r="N105" s="7" t="n">
        <v>3</v>
      </c>
      <c r="O105" s="7" t="n">
        <v>3</v>
      </c>
      <c r="P105" s="7" t="n">
        <v>3</v>
      </c>
      <c r="Q105" s="2"/>
      <c r="R105" s="7" t="n">
        <v>5.598888</v>
      </c>
      <c r="S105" s="5" t="s">
        <v>60</v>
      </c>
      <c r="T105" s="5" t="s">
        <v>61</v>
      </c>
    </row>
    <row r="106" customFormat="false" ht="15" hidden="false" customHeight="false" outlineLevel="0" collapsed="false">
      <c r="A106" s="5" t="s">
        <v>4</v>
      </c>
      <c r="B106" s="5" t="s">
        <v>55</v>
      </c>
      <c r="C106" s="2" t="s">
        <v>56</v>
      </c>
      <c r="D106" s="5" t="s">
        <v>57</v>
      </c>
      <c r="E106" s="5" t="s">
        <v>58</v>
      </c>
      <c r="F106" s="2" t="n">
        <v>11</v>
      </c>
      <c r="G106" s="5" t="s">
        <v>69</v>
      </c>
      <c r="H106" s="2" t="n">
        <v>1</v>
      </c>
      <c r="I106" s="2" t="n">
        <v>1</v>
      </c>
      <c r="J106" s="2" t="n">
        <v>1</v>
      </c>
      <c r="K106" s="7" t="n">
        <v>0.3493301333</v>
      </c>
      <c r="L106" s="7" t="n">
        <v>0.04889751774</v>
      </c>
      <c r="M106" s="7" t="n">
        <v>0.0542480875</v>
      </c>
      <c r="N106" s="7" t="n">
        <v>5</v>
      </c>
      <c r="O106" s="7" t="n">
        <v>5</v>
      </c>
      <c r="P106" s="7" t="n">
        <v>0</v>
      </c>
      <c r="Q106" s="2"/>
      <c r="R106" s="7" t="n">
        <v>6.372452</v>
      </c>
      <c r="S106" s="5" t="s">
        <v>60</v>
      </c>
      <c r="T106" s="5" t="s">
        <v>61</v>
      </c>
    </row>
    <row r="107" customFormat="false" ht="15" hidden="false" customHeight="false" outlineLevel="0" collapsed="false">
      <c r="A107" s="5" t="s">
        <v>4</v>
      </c>
      <c r="B107" s="5" t="s">
        <v>55</v>
      </c>
      <c r="C107" s="2" t="s">
        <v>56</v>
      </c>
      <c r="D107" s="5" t="s">
        <v>57</v>
      </c>
      <c r="E107" s="5" t="s">
        <v>62</v>
      </c>
      <c r="F107" s="2" t="n">
        <v>11</v>
      </c>
      <c r="G107" s="5" t="s">
        <v>69</v>
      </c>
      <c r="H107" s="2" t="n">
        <v>1</v>
      </c>
      <c r="I107" s="2" t="n">
        <v>1</v>
      </c>
      <c r="J107" s="2" t="n">
        <v>1</v>
      </c>
      <c r="K107" s="7" t="n">
        <v>0.3493301333</v>
      </c>
      <c r="L107" s="7" t="n">
        <v>0.04889751774</v>
      </c>
      <c r="M107" s="7" t="n">
        <v>0.0542480875</v>
      </c>
      <c r="N107" s="7" t="n">
        <v>5</v>
      </c>
      <c r="O107" s="7" t="n">
        <v>5</v>
      </c>
      <c r="P107" s="7" t="n">
        <v>5</v>
      </c>
      <c r="Q107" s="2"/>
      <c r="R107" s="7" t="n">
        <v>6.67591</v>
      </c>
      <c r="S107" s="5" t="s">
        <v>60</v>
      </c>
      <c r="T107" s="5" t="s">
        <v>61</v>
      </c>
    </row>
    <row r="108" customFormat="false" ht="15" hidden="false" customHeight="false" outlineLevel="0" collapsed="false">
      <c r="A108" s="5" t="s">
        <v>4</v>
      </c>
      <c r="B108" s="5" t="s">
        <v>55</v>
      </c>
      <c r="C108" s="2" t="s">
        <v>56</v>
      </c>
      <c r="D108" s="5" t="s">
        <v>57</v>
      </c>
      <c r="E108" s="5" t="s">
        <v>58</v>
      </c>
      <c r="F108" s="2" t="n">
        <v>11</v>
      </c>
      <c r="G108" s="5" t="s">
        <v>70</v>
      </c>
      <c r="H108" s="2" t="n">
        <v>0</v>
      </c>
      <c r="I108" s="2" t="n">
        <v>1</v>
      </c>
      <c r="J108" s="2" t="n">
        <v>1</v>
      </c>
      <c r="K108" s="7" t="n">
        <v>0.9900664189</v>
      </c>
      <c r="L108" s="7" t="n">
        <v>0.382356302</v>
      </c>
      <c r="M108" s="7" t="n">
        <v>0.3897342891</v>
      </c>
      <c r="N108" s="7" t="n">
        <v>7</v>
      </c>
      <c r="O108" s="7" t="n">
        <v>7</v>
      </c>
      <c r="P108" s="7" t="n">
        <v>0</v>
      </c>
      <c r="Q108" s="2"/>
      <c r="R108" s="7" t="n">
        <v>2.316084</v>
      </c>
      <c r="S108" s="5" t="s">
        <v>60</v>
      </c>
      <c r="T108" s="5" t="s">
        <v>61</v>
      </c>
    </row>
    <row r="109" customFormat="false" ht="15" hidden="false" customHeight="false" outlineLevel="0" collapsed="false">
      <c r="A109" s="5" t="s">
        <v>4</v>
      </c>
      <c r="B109" s="5" t="s">
        <v>55</v>
      </c>
      <c r="C109" s="2" t="s">
        <v>56</v>
      </c>
      <c r="D109" s="5" t="s">
        <v>57</v>
      </c>
      <c r="E109" s="5" t="s">
        <v>62</v>
      </c>
      <c r="F109" s="2" t="n">
        <v>11</v>
      </c>
      <c r="G109" s="5" t="s">
        <v>70</v>
      </c>
      <c r="H109" s="2" t="n">
        <v>0</v>
      </c>
      <c r="I109" s="2" t="n">
        <v>1</v>
      </c>
      <c r="J109" s="2" t="n">
        <v>1</v>
      </c>
      <c r="K109" s="7" t="n">
        <v>0.6034852802</v>
      </c>
      <c r="L109" s="7" t="n">
        <v>0.2510651395</v>
      </c>
      <c r="M109" s="7" t="n">
        <v>0.2542339234</v>
      </c>
      <c r="N109" s="7" t="n">
        <v>7</v>
      </c>
      <c r="O109" s="7" t="n">
        <v>7</v>
      </c>
      <c r="P109" s="7" t="n">
        <v>4</v>
      </c>
      <c r="Q109" s="2"/>
      <c r="R109" s="7" t="n">
        <v>2.796544</v>
      </c>
      <c r="S109" s="5" t="s">
        <v>60</v>
      </c>
      <c r="T109" s="5" t="s">
        <v>61</v>
      </c>
    </row>
    <row r="110" customFormat="false" ht="15" hidden="false" customHeight="false" outlineLevel="0" collapsed="false">
      <c r="A110" s="5" t="s">
        <v>4</v>
      </c>
      <c r="B110" s="5" t="s">
        <v>55</v>
      </c>
      <c r="C110" s="2" t="s">
        <v>56</v>
      </c>
      <c r="D110" s="5" t="s">
        <v>57</v>
      </c>
      <c r="E110" s="5" t="s">
        <v>58</v>
      </c>
      <c r="F110" s="2" t="n">
        <v>12</v>
      </c>
      <c r="G110" s="5" t="s">
        <v>67</v>
      </c>
      <c r="H110" s="2" t="n">
        <v>1</v>
      </c>
      <c r="I110" s="2" t="n">
        <v>1</v>
      </c>
      <c r="J110" s="2" t="n">
        <v>1</v>
      </c>
      <c r="K110" s="7" t="n">
        <v>0.5126953399</v>
      </c>
      <c r="L110" s="7" t="n">
        <v>0.05945729081</v>
      </c>
      <c r="M110" s="7" t="n">
        <v>0.06850829295</v>
      </c>
      <c r="N110" s="7" t="n">
        <v>11</v>
      </c>
      <c r="O110" s="7" t="n">
        <v>11</v>
      </c>
      <c r="P110" s="7" t="n">
        <v>0</v>
      </c>
      <c r="Q110" s="2"/>
      <c r="R110" s="7" t="n">
        <v>1.320553</v>
      </c>
      <c r="S110" s="5" t="s">
        <v>60</v>
      </c>
      <c r="T110" s="5" t="s">
        <v>61</v>
      </c>
    </row>
    <row r="111" customFormat="false" ht="15" hidden="false" customHeight="false" outlineLevel="0" collapsed="false">
      <c r="A111" s="5" t="s">
        <v>4</v>
      </c>
      <c r="B111" s="5" t="s">
        <v>55</v>
      </c>
      <c r="C111" s="2" t="s">
        <v>56</v>
      </c>
      <c r="D111" s="5" t="s">
        <v>57</v>
      </c>
      <c r="E111" s="5" t="s">
        <v>62</v>
      </c>
      <c r="F111" s="2" t="n">
        <v>12</v>
      </c>
      <c r="G111" s="5" t="s">
        <v>67</v>
      </c>
      <c r="H111" s="2" t="n">
        <v>1</v>
      </c>
      <c r="I111" s="2" t="n">
        <v>1</v>
      </c>
      <c r="J111" s="2" t="n">
        <v>1</v>
      </c>
      <c r="K111" s="7" t="n">
        <v>0.5126953399</v>
      </c>
      <c r="L111" s="7" t="n">
        <v>0.05945729081</v>
      </c>
      <c r="M111" s="7" t="n">
        <v>0.06850829295</v>
      </c>
      <c r="N111" s="7" t="n">
        <v>11</v>
      </c>
      <c r="O111" s="7" t="n">
        <v>11</v>
      </c>
      <c r="P111" s="7" t="n">
        <v>11</v>
      </c>
      <c r="Q111" s="2"/>
      <c r="R111" s="7" t="n">
        <v>5.920873</v>
      </c>
      <c r="S111" s="5" t="s">
        <v>60</v>
      </c>
      <c r="T111" s="5" t="s">
        <v>61</v>
      </c>
    </row>
    <row r="112" customFormat="false" ht="15" hidden="false" customHeight="false" outlineLevel="0" collapsed="false">
      <c r="A112" s="5" t="s">
        <v>4</v>
      </c>
      <c r="B112" s="5" t="s">
        <v>55</v>
      </c>
      <c r="C112" s="2" t="s">
        <v>56</v>
      </c>
      <c r="D112" s="5" t="s">
        <v>57</v>
      </c>
      <c r="E112" s="5" t="s">
        <v>58</v>
      </c>
      <c r="F112" s="2" t="n">
        <v>12</v>
      </c>
      <c r="G112" s="5" t="s">
        <v>68</v>
      </c>
      <c r="H112" s="2" t="n">
        <v>1</v>
      </c>
      <c r="I112" s="2" t="n">
        <v>1</v>
      </c>
      <c r="J112" s="2" t="n">
        <v>1</v>
      </c>
      <c r="K112" s="7" t="n">
        <v>0.3667800046</v>
      </c>
      <c r="L112" s="7" t="n">
        <v>0.01930422527</v>
      </c>
      <c r="M112" s="7" t="n">
        <v>0.03624990842</v>
      </c>
      <c r="N112" s="7" t="n">
        <v>8</v>
      </c>
      <c r="O112" s="7" t="n">
        <v>8</v>
      </c>
      <c r="P112" s="7" t="n">
        <v>0</v>
      </c>
      <c r="Q112" s="2"/>
      <c r="R112" s="7" t="n">
        <v>5.591276</v>
      </c>
      <c r="S112" s="5" t="s">
        <v>60</v>
      </c>
      <c r="T112" s="5" t="s">
        <v>61</v>
      </c>
    </row>
    <row r="113" customFormat="false" ht="15" hidden="false" customHeight="false" outlineLevel="0" collapsed="false">
      <c r="A113" s="5" t="s">
        <v>4</v>
      </c>
      <c r="B113" s="5" t="s">
        <v>55</v>
      </c>
      <c r="C113" s="2" t="s">
        <v>56</v>
      </c>
      <c r="D113" s="5" t="s">
        <v>57</v>
      </c>
      <c r="E113" s="5" t="s">
        <v>62</v>
      </c>
      <c r="F113" s="2" t="n">
        <v>12</v>
      </c>
      <c r="G113" s="5" t="s">
        <v>68</v>
      </c>
      <c r="H113" s="2" t="n">
        <v>1</v>
      </c>
      <c r="I113" s="2" t="n">
        <v>1</v>
      </c>
      <c r="J113" s="2" t="n">
        <v>1</v>
      </c>
      <c r="K113" s="7" t="n">
        <v>0.3667800046</v>
      </c>
      <c r="L113" s="7" t="n">
        <v>0.01930422527</v>
      </c>
      <c r="M113" s="7" t="n">
        <v>0.03624990842</v>
      </c>
      <c r="N113" s="7" t="n">
        <v>8</v>
      </c>
      <c r="O113" s="7" t="n">
        <v>8</v>
      </c>
      <c r="P113" s="7" t="n">
        <v>8</v>
      </c>
      <c r="Q113" s="2"/>
      <c r="R113" s="7" t="n">
        <v>6.073499</v>
      </c>
      <c r="S113" s="5" t="s">
        <v>60</v>
      </c>
      <c r="T113" s="5" t="s">
        <v>61</v>
      </c>
    </row>
    <row r="114" customFormat="false" ht="15" hidden="false" customHeight="false" outlineLevel="0" collapsed="false">
      <c r="A114" s="5" t="s">
        <v>4</v>
      </c>
      <c r="B114" s="5" t="s">
        <v>55</v>
      </c>
      <c r="C114" s="2" t="s">
        <v>56</v>
      </c>
      <c r="D114" s="5" t="s">
        <v>57</v>
      </c>
      <c r="E114" s="5" t="s">
        <v>58</v>
      </c>
      <c r="F114" s="2" t="n">
        <v>12</v>
      </c>
      <c r="G114" s="5" t="s">
        <v>69</v>
      </c>
      <c r="H114" s="2" t="n">
        <v>1</v>
      </c>
      <c r="I114" s="2" t="n">
        <v>1</v>
      </c>
      <c r="J114" s="2" t="n">
        <v>1</v>
      </c>
      <c r="K114" s="7" t="n">
        <v>0.4496114375</v>
      </c>
      <c r="L114" s="7" t="n">
        <v>0.01742892051</v>
      </c>
      <c r="M114" s="7" t="n">
        <v>0.03832848128</v>
      </c>
      <c r="N114" s="7" t="n">
        <v>8</v>
      </c>
      <c r="O114" s="7" t="n">
        <v>8</v>
      </c>
      <c r="P114" s="7" t="n">
        <v>0</v>
      </c>
      <c r="Q114" s="2"/>
      <c r="R114" s="7" t="n">
        <v>2.983361</v>
      </c>
      <c r="S114" s="5" t="s">
        <v>60</v>
      </c>
      <c r="T114" s="5" t="s">
        <v>61</v>
      </c>
    </row>
    <row r="115" customFormat="false" ht="15" hidden="false" customHeight="false" outlineLevel="0" collapsed="false">
      <c r="A115" s="5" t="s">
        <v>4</v>
      </c>
      <c r="B115" s="5" t="s">
        <v>55</v>
      </c>
      <c r="C115" s="2" t="s">
        <v>56</v>
      </c>
      <c r="D115" s="5" t="s">
        <v>57</v>
      </c>
      <c r="E115" s="5" t="s">
        <v>62</v>
      </c>
      <c r="F115" s="2" t="n">
        <v>12</v>
      </c>
      <c r="G115" s="5" t="s">
        <v>69</v>
      </c>
      <c r="H115" s="2" t="n">
        <v>1</v>
      </c>
      <c r="I115" s="2" t="n">
        <v>1</v>
      </c>
      <c r="J115" s="2" t="n">
        <v>1</v>
      </c>
      <c r="K115" s="7" t="n">
        <v>0.4496114375</v>
      </c>
      <c r="L115" s="7" t="n">
        <v>0.01742892051</v>
      </c>
      <c r="M115" s="7" t="n">
        <v>0.03832848128</v>
      </c>
      <c r="N115" s="7" t="n">
        <v>8</v>
      </c>
      <c r="O115" s="7" t="n">
        <v>8</v>
      </c>
      <c r="P115" s="7" t="n">
        <v>8</v>
      </c>
      <c r="Q115" s="2"/>
      <c r="R115" s="7" t="n">
        <v>3.606983</v>
      </c>
      <c r="S115" s="5" t="s">
        <v>60</v>
      </c>
      <c r="T115" s="5" t="s">
        <v>61</v>
      </c>
    </row>
    <row r="116" customFormat="false" ht="15" hidden="false" customHeight="false" outlineLevel="0" collapsed="false">
      <c r="A116" s="5" t="s">
        <v>4</v>
      </c>
      <c r="B116" s="5" t="s">
        <v>55</v>
      </c>
      <c r="C116" s="2" t="s">
        <v>56</v>
      </c>
      <c r="D116" s="5" t="s">
        <v>57</v>
      </c>
      <c r="E116" s="5" t="s">
        <v>58</v>
      </c>
      <c r="F116" s="2" t="n">
        <v>12</v>
      </c>
      <c r="G116" s="5" t="s">
        <v>70</v>
      </c>
      <c r="H116" s="2" t="n">
        <v>0</v>
      </c>
      <c r="I116" s="2" t="n">
        <v>0</v>
      </c>
      <c r="J116" s="2" t="n">
        <v>0</v>
      </c>
      <c r="K116" s="2"/>
      <c r="L116" s="2"/>
      <c r="M116" s="2"/>
      <c r="N116" s="7" t="n">
        <v>1</v>
      </c>
      <c r="O116" s="7" t="n">
        <v>1</v>
      </c>
      <c r="P116" s="7" t="n">
        <v>0</v>
      </c>
      <c r="Q116" s="2"/>
      <c r="R116" s="7" t="n">
        <v>6.47961</v>
      </c>
      <c r="S116" s="5" t="s">
        <v>60</v>
      </c>
      <c r="T116" s="5" t="s">
        <v>61</v>
      </c>
    </row>
    <row r="117" customFormat="false" ht="15" hidden="false" customHeight="false" outlineLevel="0" collapsed="false">
      <c r="A117" s="5" t="s">
        <v>4</v>
      </c>
      <c r="B117" s="5" t="s">
        <v>55</v>
      </c>
      <c r="C117" s="2" t="s">
        <v>56</v>
      </c>
      <c r="D117" s="5" t="s">
        <v>57</v>
      </c>
      <c r="E117" s="5" t="s">
        <v>62</v>
      </c>
      <c r="F117" s="2" t="n">
        <v>12</v>
      </c>
      <c r="G117" s="5" t="s">
        <v>70</v>
      </c>
      <c r="H117" s="2" t="n">
        <v>0</v>
      </c>
      <c r="I117" s="2" t="n">
        <v>0</v>
      </c>
      <c r="J117" s="2" t="n">
        <v>0</v>
      </c>
      <c r="K117" s="2"/>
      <c r="L117" s="2"/>
      <c r="M117" s="2"/>
      <c r="N117" s="7" t="n">
        <v>1</v>
      </c>
      <c r="O117" s="7" t="n">
        <v>1</v>
      </c>
      <c r="P117" s="7" t="n">
        <v>0</v>
      </c>
      <c r="Q117" s="2"/>
      <c r="R117" s="7" t="n">
        <v>6.47946</v>
      </c>
      <c r="S117" s="5" t="s">
        <v>60</v>
      </c>
      <c r="T117" s="5" t="s">
        <v>61</v>
      </c>
    </row>
    <row r="118" customFormat="false" ht="15" hidden="false" customHeight="false" outlineLevel="0" collapsed="false">
      <c r="A118" s="5" t="s">
        <v>4</v>
      </c>
      <c r="B118" s="5" t="s">
        <v>55</v>
      </c>
      <c r="C118" s="2" t="s">
        <v>56</v>
      </c>
      <c r="D118" s="5" t="s">
        <v>57</v>
      </c>
      <c r="E118" s="5" t="s">
        <v>58</v>
      </c>
      <c r="F118" s="2" t="n">
        <v>13</v>
      </c>
      <c r="G118" s="5" t="s">
        <v>67</v>
      </c>
      <c r="H118" s="2" t="n">
        <v>1</v>
      </c>
      <c r="I118" s="2" t="n">
        <v>1</v>
      </c>
      <c r="J118" s="2" t="n">
        <v>1</v>
      </c>
      <c r="K118" s="7" t="n">
        <v>0.2101418435</v>
      </c>
      <c r="L118" s="7" t="n">
        <v>0.006074529624</v>
      </c>
      <c r="M118" s="7" t="n">
        <v>0.01588184203</v>
      </c>
      <c r="N118" s="7" t="n">
        <v>7</v>
      </c>
      <c r="O118" s="7" t="n">
        <v>7</v>
      </c>
      <c r="P118" s="7" t="n">
        <v>0</v>
      </c>
      <c r="Q118" s="2"/>
      <c r="R118" s="7" t="n">
        <v>5.468765</v>
      </c>
      <c r="S118" s="5" t="s">
        <v>60</v>
      </c>
      <c r="T118" s="5" t="s">
        <v>61</v>
      </c>
    </row>
    <row r="119" customFormat="false" ht="15" hidden="false" customHeight="false" outlineLevel="0" collapsed="false">
      <c r="A119" s="5" t="s">
        <v>4</v>
      </c>
      <c r="B119" s="5" t="s">
        <v>55</v>
      </c>
      <c r="C119" s="2" t="s">
        <v>56</v>
      </c>
      <c r="D119" s="5" t="s">
        <v>57</v>
      </c>
      <c r="E119" s="5" t="s">
        <v>62</v>
      </c>
      <c r="F119" s="2" t="n">
        <v>13</v>
      </c>
      <c r="G119" s="5" t="s">
        <v>67</v>
      </c>
      <c r="H119" s="2" t="n">
        <v>1</v>
      </c>
      <c r="I119" s="2" t="n">
        <v>1</v>
      </c>
      <c r="J119" s="2" t="n">
        <v>1</v>
      </c>
      <c r="K119" s="7" t="n">
        <v>0.2101418435</v>
      </c>
      <c r="L119" s="7" t="n">
        <v>0.006074529624</v>
      </c>
      <c r="M119" s="7" t="n">
        <v>0.01588184203</v>
      </c>
      <c r="N119" s="7" t="n">
        <v>7</v>
      </c>
      <c r="O119" s="7" t="n">
        <v>7</v>
      </c>
      <c r="P119" s="7" t="n">
        <v>7</v>
      </c>
      <c r="Q119" s="2"/>
      <c r="R119" s="7" t="n">
        <v>5.960401</v>
      </c>
      <c r="S119" s="5" t="s">
        <v>60</v>
      </c>
      <c r="T119" s="5" t="s">
        <v>61</v>
      </c>
    </row>
    <row r="120" customFormat="false" ht="15" hidden="false" customHeight="false" outlineLevel="0" collapsed="false">
      <c r="A120" s="5" t="s">
        <v>4</v>
      </c>
      <c r="B120" s="5" t="s">
        <v>55</v>
      </c>
      <c r="C120" s="2" t="s">
        <v>56</v>
      </c>
      <c r="D120" s="5" t="s">
        <v>57</v>
      </c>
      <c r="E120" s="5" t="s">
        <v>58</v>
      </c>
      <c r="F120" s="2" t="n">
        <v>13</v>
      </c>
      <c r="G120" s="5" t="s">
        <v>68</v>
      </c>
      <c r="H120" s="2" t="n">
        <v>1</v>
      </c>
      <c r="I120" s="2" t="n">
        <v>1</v>
      </c>
      <c r="J120" s="2" t="n">
        <v>1</v>
      </c>
      <c r="K120" s="7" t="n">
        <v>0.7051546098</v>
      </c>
      <c r="L120" s="7" t="n">
        <v>0.04059962759</v>
      </c>
      <c r="M120" s="7" t="n">
        <v>0.06136606755</v>
      </c>
      <c r="N120" s="7" t="n">
        <v>8</v>
      </c>
      <c r="O120" s="7" t="n">
        <v>8</v>
      </c>
      <c r="P120" s="7" t="n">
        <v>0</v>
      </c>
      <c r="Q120" s="2"/>
      <c r="R120" s="7" t="n">
        <v>1.598543</v>
      </c>
      <c r="S120" s="5" t="s">
        <v>60</v>
      </c>
      <c r="T120" s="5" t="s">
        <v>61</v>
      </c>
    </row>
    <row r="121" customFormat="false" ht="15" hidden="false" customHeight="false" outlineLevel="0" collapsed="false">
      <c r="A121" s="5" t="s">
        <v>4</v>
      </c>
      <c r="B121" s="5" t="s">
        <v>55</v>
      </c>
      <c r="C121" s="2" t="s">
        <v>56</v>
      </c>
      <c r="D121" s="5" t="s">
        <v>57</v>
      </c>
      <c r="E121" s="5" t="s">
        <v>62</v>
      </c>
      <c r="F121" s="2" t="n">
        <v>13</v>
      </c>
      <c r="G121" s="5" t="s">
        <v>68</v>
      </c>
      <c r="H121" s="2" t="n">
        <v>1</v>
      </c>
      <c r="I121" s="2" t="n">
        <v>1</v>
      </c>
      <c r="J121" s="2" t="n">
        <v>1</v>
      </c>
      <c r="K121" s="7" t="n">
        <v>0.7051546098</v>
      </c>
      <c r="L121" s="7" t="n">
        <v>0.04059962759</v>
      </c>
      <c r="M121" s="7" t="n">
        <v>0.06136606755</v>
      </c>
      <c r="N121" s="7" t="n">
        <v>8</v>
      </c>
      <c r="O121" s="7" t="n">
        <v>8</v>
      </c>
      <c r="P121" s="7" t="n">
        <v>8</v>
      </c>
      <c r="Q121" s="2"/>
      <c r="R121" s="7" t="n">
        <v>2.101787</v>
      </c>
      <c r="S121" s="5" t="s">
        <v>60</v>
      </c>
      <c r="T121" s="5" t="s">
        <v>61</v>
      </c>
    </row>
    <row r="122" customFormat="false" ht="15" hidden="false" customHeight="false" outlineLevel="0" collapsed="false">
      <c r="A122" s="5" t="s">
        <v>4</v>
      </c>
      <c r="B122" s="5" t="s">
        <v>55</v>
      </c>
      <c r="C122" s="2" t="s">
        <v>56</v>
      </c>
      <c r="D122" s="5" t="s">
        <v>57</v>
      </c>
      <c r="E122" s="5" t="s">
        <v>58</v>
      </c>
      <c r="F122" s="2" t="n">
        <v>13</v>
      </c>
      <c r="G122" s="5" t="s">
        <v>69</v>
      </c>
      <c r="H122" s="2" t="n">
        <v>1</v>
      </c>
      <c r="I122" s="2" t="n">
        <v>1</v>
      </c>
      <c r="J122" s="2" t="n">
        <v>0</v>
      </c>
      <c r="K122" s="7" t="n">
        <v>2.945415271</v>
      </c>
      <c r="L122" s="7" t="n">
        <v>0.5882627877</v>
      </c>
      <c r="M122" s="7" t="n">
        <v>0.6295634672</v>
      </c>
      <c r="N122" s="7" t="n">
        <v>3</v>
      </c>
      <c r="O122" s="7" t="n">
        <v>3</v>
      </c>
      <c r="P122" s="7" t="n">
        <v>0</v>
      </c>
      <c r="Q122" s="2"/>
      <c r="R122" s="7" t="n">
        <v>2.392467</v>
      </c>
      <c r="S122" s="5" t="s">
        <v>60</v>
      </c>
      <c r="T122" s="5" t="s">
        <v>61</v>
      </c>
    </row>
    <row r="123" customFormat="false" ht="15" hidden="false" customHeight="false" outlineLevel="0" collapsed="false">
      <c r="A123" s="5" t="s">
        <v>4</v>
      </c>
      <c r="B123" s="5" t="s">
        <v>55</v>
      </c>
      <c r="C123" s="2" t="s">
        <v>56</v>
      </c>
      <c r="D123" s="5" t="s">
        <v>57</v>
      </c>
      <c r="E123" s="5" t="s">
        <v>62</v>
      </c>
      <c r="F123" s="2" t="n">
        <v>13</v>
      </c>
      <c r="G123" s="5" t="s">
        <v>69</v>
      </c>
      <c r="H123" s="2" t="n">
        <v>1</v>
      </c>
      <c r="I123" s="2" t="n">
        <v>1</v>
      </c>
      <c r="J123" s="2" t="n">
        <v>0</v>
      </c>
      <c r="K123" s="7" t="n">
        <v>2.945415271</v>
      </c>
      <c r="L123" s="7" t="n">
        <v>0.5882627877</v>
      </c>
      <c r="M123" s="7" t="n">
        <v>0.6295634672</v>
      </c>
      <c r="N123" s="7" t="n">
        <v>3</v>
      </c>
      <c r="O123" s="7" t="n">
        <v>3</v>
      </c>
      <c r="P123" s="7" t="n">
        <v>3</v>
      </c>
      <c r="Q123" s="2"/>
      <c r="R123" s="7" t="n">
        <v>2.612843</v>
      </c>
      <c r="S123" s="5" t="s">
        <v>60</v>
      </c>
      <c r="T123" s="5" t="s">
        <v>61</v>
      </c>
    </row>
    <row r="124" customFormat="false" ht="15" hidden="false" customHeight="false" outlineLevel="0" collapsed="false">
      <c r="A124" s="5" t="s">
        <v>4</v>
      </c>
      <c r="B124" s="5" t="s">
        <v>55</v>
      </c>
      <c r="C124" s="2" t="s">
        <v>56</v>
      </c>
      <c r="D124" s="5" t="s">
        <v>57</v>
      </c>
      <c r="E124" s="5" t="s">
        <v>58</v>
      </c>
      <c r="F124" s="2" t="n">
        <v>13</v>
      </c>
      <c r="G124" s="5" t="s">
        <v>70</v>
      </c>
      <c r="H124" s="2" t="n">
        <v>0</v>
      </c>
      <c r="I124" s="2" t="n">
        <v>1</v>
      </c>
      <c r="J124" s="2" t="n">
        <v>0</v>
      </c>
      <c r="K124" s="7" t="n">
        <v>1.226667397</v>
      </c>
      <c r="L124" s="7" t="n">
        <v>0.6822900985</v>
      </c>
      <c r="M124" s="7" t="n">
        <v>0.6843285967</v>
      </c>
      <c r="N124" s="7" t="n">
        <v>4</v>
      </c>
      <c r="O124" s="7" t="n">
        <v>4</v>
      </c>
      <c r="P124" s="7" t="n">
        <v>0</v>
      </c>
      <c r="Q124" s="2"/>
      <c r="R124" s="7" t="n">
        <v>2.217117</v>
      </c>
      <c r="S124" s="5" t="s">
        <v>60</v>
      </c>
      <c r="T124" s="5" t="s">
        <v>61</v>
      </c>
    </row>
    <row r="125" customFormat="false" ht="15" hidden="false" customHeight="false" outlineLevel="0" collapsed="false">
      <c r="A125" s="5" t="s">
        <v>4</v>
      </c>
      <c r="B125" s="5" t="s">
        <v>55</v>
      </c>
      <c r="C125" s="2" t="s">
        <v>56</v>
      </c>
      <c r="D125" s="5" t="s">
        <v>57</v>
      </c>
      <c r="E125" s="5" t="s">
        <v>62</v>
      </c>
      <c r="F125" s="2" t="n">
        <v>13</v>
      </c>
      <c r="G125" s="5" t="s">
        <v>70</v>
      </c>
      <c r="H125" s="2" t="n">
        <v>0</v>
      </c>
      <c r="I125" s="2" t="n">
        <v>1</v>
      </c>
      <c r="J125" s="2" t="n">
        <v>0</v>
      </c>
      <c r="K125" s="7" t="n">
        <v>8.182008237</v>
      </c>
      <c r="L125" s="7" t="n">
        <v>1.729557742</v>
      </c>
      <c r="M125" s="7" t="n">
        <v>1.762349597</v>
      </c>
      <c r="N125" s="7" t="n">
        <v>4</v>
      </c>
      <c r="O125" s="7" t="n">
        <v>4</v>
      </c>
      <c r="P125" s="7" t="n">
        <v>3</v>
      </c>
      <c r="Q125" s="2"/>
      <c r="R125" s="7" t="n">
        <v>2.500316</v>
      </c>
      <c r="S125" s="5" t="s">
        <v>60</v>
      </c>
      <c r="T125" s="5" t="s">
        <v>61</v>
      </c>
    </row>
    <row r="126" customFormat="false" ht="15" hidden="false" customHeight="false" outlineLevel="0" collapsed="false">
      <c r="A126" s="5" t="s">
        <v>4</v>
      </c>
      <c r="B126" s="5" t="s">
        <v>55</v>
      </c>
      <c r="C126" s="2" t="s">
        <v>56</v>
      </c>
      <c r="D126" s="5" t="s">
        <v>57</v>
      </c>
      <c r="E126" s="5" t="s">
        <v>58</v>
      </c>
      <c r="F126" s="2" t="n">
        <v>14</v>
      </c>
      <c r="G126" s="5" t="s">
        <v>67</v>
      </c>
      <c r="H126" s="2" t="n">
        <v>1</v>
      </c>
      <c r="I126" s="2" t="n">
        <v>1</v>
      </c>
      <c r="J126" s="2" t="n">
        <v>1</v>
      </c>
      <c r="K126" s="7" t="n">
        <v>0.5723611931</v>
      </c>
      <c r="L126" s="7" t="n">
        <v>0.08602215127</v>
      </c>
      <c r="M126" s="7" t="n">
        <v>0.09434035686</v>
      </c>
      <c r="N126" s="7" t="n">
        <v>7</v>
      </c>
      <c r="O126" s="7" t="n">
        <v>7</v>
      </c>
      <c r="P126" s="7" t="n">
        <v>0</v>
      </c>
      <c r="Q126" s="2"/>
      <c r="R126" s="7" t="n">
        <v>1.409203</v>
      </c>
      <c r="S126" s="5" t="s">
        <v>60</v>
      </c>
      <c r="T126" s="5" t="s">
        <v>61</v>
      </c>
    </row>
    <row r="127" customFormat="false" ht="15" hidden="false" customHeight="false" outlineLevel="0" collapsed="false">
      <c r="A127" s="5" t="s">
        <v>4</v>
      </c>
      <c r="B127" s="5" t="s">
        <v>55</v>
      </c>
      <c r="C127" s="2" t="s">
        <v>56</v>
      </c>
      <c r="D127" s="5" t="s">
        <v>57</v>
      </c>
      <c r="E127" s="5" t="s">
        <v>62</v>
      </c>
      <c r="F127" s="2" t="n">
        <v>14</v>
      </c>
      <c r="G127" s="5" t="s">
        <v>67</v>
      </c>
      <c r="H127" s="2" t="n">
        <v>1</v>
      </c>
      <c r="I127" s="2" t="n">
        <v>1</v>
      </c>
      <c r="J127" s="2" t="n">
        <v>1</v>
      </c>
      <c r="K127" s="7" t="n">
        <v>0.5723611931</v>
      </c>
      <c r="L127" s="7" t="n">
        <v>0.08602215127</v>
      </c>
      <c r="M127" s="7" t="n">
        <v>0.09434035686</v>
      </c>
      <c r="N127" s="7" t="n">
        <v>7</v>
      </c>
      <c r="O127" s="7" t="n">
        <v>7</v>
      </c>
      <c r="P127" s="7" t="n">
        <v>7</v>
      </c>
      <c r="Q127" s="2"/>
      <c r="R127" s="7" t="n">
        <v>5.94633</v>
      </c>
      <c r="S127" s="5" t="s">
        <v>60</v>
      </c>
      <c r="T127" s="5" t="s">
        <v>61</v>
      </c>
    </row>
    <row r="128" customFormat="false" ht="15" hidden="false" customHeight="false" outlineLevel="0" collapsed="false">
      <c r="A128" s="5" t="s">
        <v>4</v>
      </c>
      <c r="B128" s="5" t="s">
        <v>55</v>
      </c>
      <c r="C128" s="2" t="s">
        <v>56</v>
      </c>
      <c r="D128" s="5" t="s">
        <v>57</v>
      </c>
      <c r="E128" s="5" t="s">
        <v>58</v>
      </c>
      <c r="F128" s="2" t="n">
        <v>14</v>
      </c>
      <c r="G128" s="5" t="s">
        <v>68</v>
      </c>
      <c r="H128" s="2" t="n">
        <v>1</v>
      </c>
      <c r="I128" s="2" t="n">
        <v>1</v>
      </c>
      <c r="J128" s="2" t="n">
        <v>0</v>
      </c>
      <c r="K128" s="7" t="n">
        <v>2.291573964</v>
      </c>
      <c r="L128" s="7" t="n">
        <v>0.1999766325</v>
      </c>
      <c r="M128" s="7" t="n">
        <v>0.2417298745</v>
      </c>
      <c r="N128" s="7" t="n">
        <v>6</v>
      </c>
      <c r="O128" s="7" t="n">
        <v>6</v>
      </c>
      <c r="P128" s="7" t="n">
        <v>0</v>
      </c>
      <c r="Q128" s="2"/>
      <c r="R128" s="7" t="n">
        <v>1.622418</v>
      </c>
      <c r="S128" s="5" t="s">
        <v>60</v>
      </c>
      <c r="T128" s="5" t="s">
        <v>61</v>
      </c>
    </row>
    <row r="129" customFormat="false" ht="15" hidden="false" customHeight="false" outlineLevel="0" collapsed="false">
      <c r="A129" s="5" t="s">
        <v>4</v>
      </c>
      <c r="B129" s="5" t="s">
        <v>55</v>
      </c>
      <c r="C129" s="2" t="s">
        <v>56</v>
      </c>
      <c r="D129" s="5" t="s">
        <v>57</v>
      </c>
      <c r="E129" s="5" t="s">
        <v>62</v>
      </c>
      <c r="F129" s="2" t="n">
        <v>14</v>
      </c>
      <c r="G129" s="5" t="s">
        <v>68</v>
      </c>
      <c r="H129" s="2" t="n">
        <v>1</v>
      </c>
      <c r="I129" s="2" t="n">
        <v>1</v>
      </c>
      <c r="J129" s="2" t="n">
        <v>0</v>
      </c>
      <c r="K129" s="7" t="n">
        <v>2.291573964</v>
      </c>
      <c r="L129" s="7" t="n">
        <v>0.1999766325</v>
      </c>
      <c r="M129" s="7" t="n">
        <v>0.2417298745</v>
      </c>
      <c r="N129" s="7" t="n">
        <v>6</v>
      </c>
      <c r="O129" s="7" t="n">
        <v>6</v>
      </c>
      <c r="P129" s="7" t="n">
        <v>6</v>
      </c>
      <c r="Q129" s="2"/>
      <c r="R129" s="7" t="n">
        <v>2.160924</v>
      </c>
      <c r="S129" s="5" t="s">
        <v>60</v>
      </c>
      <c r="T129" s="5" t="s">
        <v>61</v>
      </c>
    </row>
    <row r="130" customFormat="false" ht="15" hidden="false" customHeight="false" outlineLevel="0" collapsed="false">
      <c r="A130" s="5" t="s">
        <v>4</v>
      </c>
      <c r="B130" s="5" t="s">
        <v>55</v>
      </c>
      <c r="C130" s="2" t="s">
        <v>56</v>
      </c>
      <c r="D130" s="5" t="s">
        <v>57</v>
      </c>
      <c r="E130" s="5" t="s">
        <v>58</v>
      </c>
      <c r="F130" s="2" t="n">
        <v>14</v>
      </c>
      <c r="G130" s="5" t="s">
        <v>69</v>
      </c>
      <c r="H130" s="2" t="n">
        <v>1</v>
      </c>
      <c r="I130" s="2" t="n">
        <v>0</v>
      </c>
      <c r="J130" s="2" t="n">
        <v>0</v>
      </c>
      <c r="K130" s="2"/>
      <c r="L130" s="2"/>
      <c r="M130" s="2"/>
      <c r="N130" s="7" t="n">
        <v>1</v>
      </c>
      <c r="O130" s="7" t="n">
        <v>1</v>
      </c>
      <c r="P130" s="7" t="n">
        <v>0</v>
      </c>
      <c r="Q130" s="2"/>
      <c r="R130" s="7" t="n">
        <v>6.623122</v>
      </c>
      <c r="S130" s="5" t="s">
        <v>60</v>
      </c>
      <c r="T130" s="5" t="s">
        <v>61</v>
      </c>
    </row>
    <row r="131" customFormat="false" ht="15" hidden="false" customHeight="false" outlineLevel="0" collapsed="false">
      <c r="A131" s="5" t="s">
        <v>4</v>
      </c>
      <c r="B131" s="5" t="s">
        <v>55</v>
      </c>
      <c r="C131" s="2" t="s">
        <v>56</v>
      </c>
      <c r="D131" s="5" t="s">
        <v>57</v>
      </c>
      <c r="E131" s="5" t="s">
        <v>62</v>
      </c>
      <c r="F131" s="2" t="n">
        <v>14</v>
      </c>
      <c r="G131" s="5" t="s">
        <v>69</v>
      </c>
      <c r="H131" s="2" t="n">
        <v>1</v>
      </c>
      <c r="I131" s="2" t="n">
        <v>0</v>
      </c>
      <c r="J131" s="2" t="n">
        <v>0</v>
      </c>
      <c r="K131" s="2"/>
      <c r="L131" s="2"/>
      <c r="M131" s="2"/>
      <c r="N131" s="7" t="n">
        <v>1</v>
      </c>
      <c r="O131" s="7" t="n">
        <v>1</v>
      </c>
      <c r="P131" s="7" t="n">
        <v>0</v>
      </c>
      <c r="Q131" s="2"/>
      <c r="R131" s="7" t="n">
        <v>6.622462</v>
      </c>
      <c r="S131" s="5" t="s">
        <v>60</v>
      </c>
      <c r="T131" s="5" t="s">
        <v>61</v>
      </c>
    </row>
    <row r="132" customFormat="false" ht="15" hidden="false" customHeight="false" outlineLevel="0" collapsed="false">
      <c r="A132" s="5" t="s">
        <v>4</v>
      </c>
      <c r="B132" s="5" t="s">
        <v>55</v>
      </c>
      <c r="C132" s="2" t="s">
        <v>56</v>
      </c>
      <c r="D132" s="5" t="s">
        <v>57</v>
      </c>
      <c r="E132" s="5" t="s">
        <v>58</v>
      </c>
      <c r="F132" s="2" t="n">
        <v>14</v>
      </c>
      <c r="G132" s="5" t="s">
        <v>70</v>
      </c>
      <c r="H132" s="2" t="n">
        <v>0</v>
      </c>
      <c r="I132" s="2" t="n">
        <v>0</v>
      </c>
      <c r="J132" s="2" t="n">
        <v>0</v>
      </c>
      <c r="K132" s="2"/>
      <c r="L132" s="2"/>
      <c r="M132" s="2"/>
      <c r="N132" s="7" t="n">
        <v>0</v>
      </c>
      <c r="O132" s="7" t="n">
        <v>0</v>
      </c>
      <c r="P132" s="7" t="n">
        <v>0</v>
      </c>
      <c r="Q132" s="2"/>
      <c r="R132" s="7" t="n">
        <v>2.528739</v>
      </c>
      <c r="S132" s="5" t="s">
        <v>60</v>
      </c>
      <c r="T132" s="5" t="s">
        <v>61</v>
      </c>
    </row>
    <row r="133" customFormat="false" ht="15" hidden="false" customHeight="false" outlineLevel="0" collapsed="false">
      <c r="A133" s="5" t="s">
        <v>4</v>
      </c>
      <c r="B133" s="5" t="s">
        <v>55</v>
      </c>
      <c r="C133" s="2" t="s">
        <v>56</v>
      </c>
      <c r="D133" s="5" t="s">
        <v>57</v>
      </c>
      <c r="E133" s="5" t="s">
        <v>62</v>
      </c>
      <c r="F133" s="2" t="n">
        <v>14</v>
      </c>
      <c r="G133" s="5" t="s">
        <v>70</v>
      </c>
      <c r="H133" s="2" t="n">
        <v>0</v>
      </c>
      <c r="I133" s="2" t="n">
        <v>0</v>
      </c>
      <c r="J133" s="2" t="n">
        <v>0</v>
      </c>
      <c r="K133" s="2"/>
      <c r="L133" s="2"/>
      <c r="M133" s="2"/>
      <c r="N133" s="7" t="n">
        <v>0</v>
      </c>
      <c r="O133" s="7" t="n">
        <v>0</v>
      </c>
      <c r="P133" s="7" t="n">
        <v>0</v>
      </c>
      <c r="Q133" s="2"/>
      <c r="R133" s="7" t="n">
        <v>2.528648</v>
      </c>
      <c r="S133" s="5" t="s">
        <v>60</v>
      </c>
      <c r="T133" s="5" t="s">
        <v>61</v>
      </c>
    </row>
    <row r="134" customFormat="false" ht="15" hidden="false" customHeight="false" outlineLevel="0" collapsed="false">
      <c r="A134" s="5" t="s">
        <v>4</v>
      </c>
      <c r="B134" s="5" t="s">
        <v>55</v>
      </c>
      <c r="C134" s="2" t="s">
        <v>56</v>
      </c>
      <c r="D134" s="5" t="s">
        <v>57</v>
      </c>
      <c r="E134" s="5" t="s">
        <v>58</v>
      </c>
      <c r="F134" s="2" t="n">
        <v>15</v>
      </c>
      <c r="G134" s="5" t="s">
        <v>67</v>
      </c>
      <c r="H134" s="2" t="n">
        <v>1</v>
      </c>
      <c r="I134" s="2" t="n">
        <v>1</v>
      </c>
      <c r="J134" s="2" t="n">
        <v>1</v>
      </c>
      <c r="K134" s="7" t="n">
        <v>0.1754256744</v>
      </c>
      <c r="L134" s="7" t="n">
        <v>0.02230923373</v>
      </c>
      <c r="M134" s="7" t="n">
        <v>0.02649993062</v>
      </c>
      <c r="N134" s="7" t="n">
        <v>12</v>
      </c>
      <c r="O134" s="7" t="n">
        <v>12</v>
      </c>
      <c r="P134" s="7" t="n">
        <v>0</v>
      </c>
      <c r="Q134" s="2"/>
      <c r="R134" s="7" t="n">
        <v>5.338092</v>
      </c>
      <c r="S134" s="5" t="s">
        <v>60</v>
      </c>
      <c r="T134" s="5" t="s">
        <v>61</v>
      </c>
    </row>
    <row r="135" customFormat="false" ht="15" hidden="false" customHeight="false" outlineLevel="0" collapsed="false">
      <c r="A135" s="5" t="s">
        <v>4</v>
      </c>
      <c r="B135" s="5" t="s">
        <v>55</v>
      </c>
      <c r="C135" s="2" t="s">
        <v>56</v>
      </c>
      <c r="D135" s="5" t="s">
        <v>57</v>
      </c>
      <c r="E135" s="5" t="s">
        <v>62</v>
      </c>
      <c r="F135" s="2" t="n">
        <v>15</v>
      </c>
      <c r="G135" s="5" t="s">
        <v>67</v>
      </c>
      <c r="H135" s="2" t="n">
        <v>1</v>
      </c>
      <c r="I135" s="2" t="n">
        <v>1</v>
      </c>
      <c r="J135" s="2" t="n">
        <v>1</v>
      </c>
      <c r="K135" s="7" t="n">
        <v>0.1754256744</v>
      </c>
      <c r="L135" s="7" t="n">
        <v>0.02230923373</v>
      </c>
      <c r="M135" s="7" t="n">
        <v>0.02649993062</v>
      </c>
      <c r="N135" s="7" t="n">
        <v>12</v>
      </c>
      <c r="O135" s="7" t="n">
        <v>12</v>
      </c>
      <c r="P135" s="7" t="n">
        <v>12</v>
      </c>
      <c r="Q135" s="2"/>
      <c r="R135" s="7" t="n">
        <v>5.923166</v>
      </c>
      <c r="S135" s="5" t="s">
        <v>60</v>
      </c>
      <c r="T135" s="5" t="s">
        <v>61</v>
      </c>
    </row>
    <row r="136" customFormat="false" ht="15" hidden="false" customHeight="false" outlineLevel="0" collapsed="false">
      <c r="A136" s="5" t="s">
        <v>4</v>
      </c>
      <c r="B136" s="5" t="s">
        <v>55</v>
      </c>
      <c r="C136" s="2" t="s">
        <v>56</v>
      </c>
      <c r="D136" s="5" t="s">
        <v>57</v>
      </c>
      <c r="E136" s="5" t="s">
        <v>58</v>
      </c>
      <c r="F136" s="2" t="n">
        <v>15</v>
      </c>
      <c r="G136" s="5" t="s">
        <v>68</v>
      </c>
      <c r="H136" s="2" t="n">
        <v>1</v>
      </c>
      <c r="I136" s="2" t="n">
        <v>1</v>
      </c>
      <c r="J136" s="2" t="n">
        <v>1</v>
      </c>
      <c r="K136" s="7" t="n">
        <v>0.6786763689</v>
      </c>
      <c r="L136" s="7" t="n">
        <v>0.01732040723</v>
      </c>
      <c r="M136" s="7" t="n">
        <v>0.04580582759</v>
      </c>
      <c r="N136" s="7" t="n">
        <v>9</v>
      </c>
      <c r="O136" s="7" t="n">
        <v>9</v>
      </c>
      <c r="P136" s="7" t="n">
        <v>0</v>
      </c>
      <c r="Q136" s="2"/>
      <c r="R136" s="7" t="n">
        <v>5.570446</v>
      </c>
      <c r="S136" s="5" t="s">
        <v>60</v>
      </c>
      <c r="T136" s="5" t="s">
        <v>61</v>
      </c>
    </row>
    <row r="137" customFormat="false" ht="15" hidden="false" customHeight="false" outlineLevel="0" collapsed="false">
      <c r="A137" s="5" t="s">
        <v>4</v>
      </c>
      <c r="B137" s="5" t="s">
        <v>55</v>
      </c>
      <c r="C137" s="2" t="s">
        <v>56</v>
      </c>
      <c r="D137" s="5" t="s">
        <v>57</v>
      </c>
      <c r="E137" s="5" t="s">
        <v>62</v>
      </c>
      <c r="F137" s="2" t="n">
        <v>15</v>
      </c>
      <c r="G137" s="5" t="s">
        <v>68</v>
      </c>
      <c r="H137" s="2" t="n">
        <v>1</v>
      </c>
      <c r="I137" s="2" t="n">
        <v>1</v>
      </c>
      <c r="J137" s="2" t="n">
        <v>1</v>
      </c>
      <c r="K137" s="7" t="n">
        <v>0.6786763689</v>
      </c>
      <c r="L137" s="7" t="n">
        <v>0.01732040723</v>
      </c>
      <c r="M137" s="7" t="n">
        <v>0.04580582759</v>
      </c>
      <c r="N137" s="7" t="n">
        <v>9</v>
      </c>
      <c r="O137" s="7" t="n">
        <v>9</v>
      </c>
      <c r="P137" s="7" t="n">
        <v>9</v>
      </c>
      <c r="Q137" s="2"/>
      <c r="R137" s="7" t="n">
        <v>6.062813</v>
      </c>
      <c r="S137" s="5" t="s">
        <v>60</v>
      </c>
      <c r="T137" s="5" t="s">
        <v>61</v>
      </c>
    </row>
    <row r="138" customFormat="false" ht="15" hidden="false" customHeight="false" outlineLevel="0" collapsed="false">
      <c r="A138" s="5" t="s">
        <v>4</v>
      </c>
      <c r="B138" s="5" t="s">
        <v>55</v>
      </c>
      <c r="C138" s="2" t="s">
        <v>56</v>
      </c>
      <c r="D138" s="5" t="s">
        <v>57</v>
      </c>
      <c r="E138" s="5" t="s">
        <v>58</v>
      </c>
      <c r="F138" s="2" t="n">
        <v>15</v>
      </c>
      <c r="G138" s="5" t="s">
        <v>69</v>
      </c>
      <c r="H138" s="2" t="n">
        <v>1</v>
      </c>
      <c r="I138" s="2" t="n">
        <v>1</v>
      </c>
      <c r="J138" s="2" t="n">
        <v>1</v>
      </c>
      <c r="K138" s="7" t="n">
        <v>0.6782526524</v>
      </c>
      <c r="L138" s="7" t="n">
        <v>0.07685709087</v>
      </c>
      <c r="M138" s="7" t="n">
        <v>0.09014841237</v>
      </c>
      <c r="N138" s="7" t="n">
        <v>3</v>
      </c>
      <c r="O138" s="7" t="n">
        <v>3</v>
      </c>
      <c r="P138" s="7" t="n">
        <v>0</v>
      </c>
      <c r="Q138" s="2"/>
      <c r="R138" s="7" t="n">
        <v>2.415251</v>
      </c>
      <c r="S138" s="5" t="s">
        <v>60</v>
      </c>
      <c r="T138" s="5" t="s">
        <v>61</v>
      </c>
    </row>
    <row r="139" customFormat="false" ht="15" hidden="false" customHeight="false" outlineLevel="0" collapsed="false">
      <c r="A139" s="5" t="s">
        <v>4</v>
      </c>
      <c r="B139" s="5" t="s">
        <v>55</v>
      </c>
      <c r="C139" s="2" t="s">
        <v>56</v>
      </c>
      <c r="D139" s="5" t="s">
        <v>57</v>
      </c>
      <c r="E139" s="5" t="s">
        <v>62</v>
      </c>
      <c r="F139" s="2" t="n">
        <v>15</v>
      </c>
      <c r="G139" s="5" t="s">
        <v>69</v>
      </c>
      <c r="H139" s="2" t="n">
        <v>1</v>
      </c>
      <c r="I139" s="2" t="n">
        <v>1</v>
      </c>
      <c r="J139" s="2" t="n">
        <v>1</v>
      </c>
      <c r="K139" s="7" t="n">
        <v>0.6782526524</v>
      </c>
      <c r="L139" s="7" t="n">
        <v>0.07685709087</v>
      </c>
      <c r="M139" s="7" t="n">
        <v>0.09014841237</v>
      </c>
      <c r="N139" s="7" t="n">
        <v>3</v>
      </c>
      <c r="O139" s="7" t="n">
        <v>3</v>
      </c>
      <c r="P139" s="7" t="n">
        <v>3</v>
      </c>
      <c r="Q139" s="2"/>
      <c r="R139" s="7" t="n">
        <v>2.592022</v>
      </c>
      <c r="S139" s="5" t="s">
        <v>60</v>
      </c>
      <c r="T139" s="5" t="s">
        <v>61</v>
      </c>
    </row>
    <row r="140" customFormat="false" ht="15" hidden="false" customHeight="false" outlineLevel="0" collapsed="false">
      <c r="A140" s="5" t="s">
        <v>4</v>
      </c>
      <c r="B140" s="5" t="s">
        <v>55</v>
      </c>
      <c r="C140" s="2" t="s">
        <v>56</v>
      </c>
      <c r="D140" s="5" t="s">
        <v>57</v>
      </c>
      <c r="E140" s="5" t="s">
        <v>58</v>
      </c>
      <c r="F140" s="2" t="n">
        <v>15</v>
      </c>
      <c r="G140" s="5" t="s">
        <v>70</v>
      </c>
      <c r="H140" s="2" t="n">
        <v>0</v>
      </c>
      <c r="I140" s="2" t="n">
        <v>1</v>
      </c>
      <c r="J140" s="2" t="n">
        <v>1</v>
      </c>
      <c r="K140" s="7" t="n">
        <v>0.3189906282</v>
      </c>
      <c r="L140" s="7" t="n">
        <v>0.04000470343</v>
      </c>
      <c r="M140" s="7" t="n">
        <v>0.04646560521</v>
      </c>
      <c r="N140" s="7" t="n">
        <v>7</v>
      </c>
      <c r="O140" s="7" t="n">
        <v>7</v>
      </c>
      <c r="P140" s="7" t="n">
        <v>0</v>
      </c>
      <c r="Q140" s="2"/>
      <c r="R140" s="7" t="n">
        <v>6.496104</v>
      </c>
      <c r="S140" s="5" t="s">
        <v>60</v>
      </c>
      <c r="T140" s="5" t="s">
        <v>61</v>
      </c>
    </row>
    <row r="141" customFormat="false" ht="15" hidden="false" customHeight="false" outlineLevel="0" collapsed="false">
      <c r="A141" s="5" t="s">
        <v>4</v>
      </c>
      <c r="B141" s="5" t="s">
        <v>55</v>
      </c>
      <c r="C141" s="2" t="s">
        <v>56</v>
      </c>
      <c r="D141" s="5" t="s">
        <v>57</v>
      </c>
      <c r="E141" s="5" t="s">
        <v>62</v>
      </c>
      <c r="F141" s="2" t="n">
        <v>15</v>
      </c>
      <c r="G141" s="5" t="s">
        <v>70</v>
      </c>
      <c r="H141" s="2" t="n">
        <v>0</v>
      </c>
      <c r="I141" s="2" t="n">
        <v>1</v>
      </c>
      <c r="J141" s="2" t="n">
        <v>1</v>
      </c>
      <c r="K141" s="7" t="n">
        <v>1.183514451</v>
      </c>
      <c r="L141" s="7" t="n">
        <v>0.09806656873</v>
      </c>
      <c r="M141" s="7" t="n">
        <v>0.1265798618</v>
      </c>
      <c r="N141" s="7" t="n">
        <v>7</v>
      </c>
      <c r="O141" s="7" t="n">
        <v>7</v>
      </c>
      <c r="P141" s="7" t="n">
        <v>6</v>
      </c>
      <c r="Q141" s="2"/>
      <c r="R141" s="7" t="n">
        <v>6.985227</v>
      </c>
      <c r="S141" s="5" t="s">
        <v>60</v>
      </c>
      <c r="T141" s="5" t="s">
        <v>61</v>
      </c>
    </row>
    <row r="142" customFormat="false" ht="15" hidden="false" customHeight="false" outlineLevel="0" collapsed="false">
      <c r="A142" s="5" t="s">
        <v>4</v>
      </c>
      <c r="B142" s="5" t="s">
        <v>55</v>
      </c>
      <c r="C142" s="2" t="s">
        <v>56</v>
      </c>
      <c r="D142" s="5" t="s">
        <v>57</v>
      </c>
      <c r="E142" s="5" t="s">
        <v>58</v>
      </c>
      <c r="F142" s="2" t="n">
        <v>16</v>
      </c>
      <c r="G142" s="5" t="s">
        <v>67</v>
      </c>
      <c r="H142" s="2" t="n">
        <v>1</v>
      </c>
      <c r="I142" s="2" t="n">
        <v>1</v>
      </c>
      <c r="J142" s="2" t="n">
        <v>1</v>
      </c>
      <c r="K142" s="7" t="n">
        <v>0.3333590274</v>
      </c>
      <c r="L142" s="7" t="n">
        <v>0.01374381034</v>
      </c>
      <c r="M142" s="7" t="n">
        <v>0.02552702466</v>
      </c>
      <c r="N142" s="7" t="n">
        <v>7</v>
      </c>
      <c r="O142" s="7" t="n">
        <v>7</v>
      </c>
      <c r="P142" s="7" t="n">
        <v>0</v>
      </c>
      <c r="Q142" s="2"/>
      <c r="R142" s="7" t="n">
        <v>1.277438</v>
      </c>
      <c r="S142" s="5" t="s">
        <v>60</v>
      </c>
      <c r="T142" s="5" t="s">
        <v>61</v>
      </c>
    </row>
    <row r="143" customFormat="false" ht="15" hidden="false" customHeight="false" outlineLevel="0" collapsed="false">
      <c r="A143" s="5" t="s">
        <v>4</v>
      </c>
      <c r="B143" s="5" t="s">
        <v>55</v>
      </c>
      <c r="C143" s="2" t="s">
        <v>56</v>
      </c>
      <c r="D143" s="5" t="s">
        <v>57</v>
      </c>
      <c r="E143" s="5" t="s">
        <v>62</v>
      </c>
      <c r="F143" s="2" t="n">
        <v>16</v>
      </c>
      <c r="G143" s="5" t="s">
        <v>67</v>
      </c>
      <c r="H143" s="2" t="n">
        <v>1</v>
      </c>
      <c r="I143" s="2" t="n">
        <v>1</v>
      </c>
      <c r="J143" s="2" t="n">
        <v>1</v>
      </c>
      <c r="K143" s="7" t="n">
        <v>0.3333590274</v>
      </c>
      <c r="L143" s="7" t="n">
        <v>0.01374381034</v>
      </c>
      <c r="M143" s="7" t="n">
        <v>0.02552702466</v>
      </c>
      <c r="N143" s="7" t="n">
        <v>7</v>
      </c>
      <c r="O143" s="7" t="n">
        <v>7</v>
      </c>
      <c r="P143" s="7" t="n">
        <v>7</v>
      </c>
      <c r="Q143" s="2"/>
      <c r="R143" s="7" t="n">
        <v>1.748655</v>
      </c>
      <c r="S143" s="5" t="s">
        <v>60</v>
      </c>
      <c r="T143" s="5" t="s">
        <v>61</v>
      </c>
    </row>
    <row r="144" customFormat="false" ht="15" hidden="false" customHeight="false" outlineLevel="0" collapsed="false">
      <c r="A144" s="5" t="s">
        <v>4</v>
      </c>
      <c r="B144" s="5" t="s">
        <v>55</v>
      </c>
      <c r="C144" s="2" t="s">
        <v>56</v>
      </c>
      <c r="D144" s="5" t="s">
        <v>57</v>
      </c>
      <c r="E144" s="5" t="s">
        <v>58</v>
      </c>
      <c r="F144" s="2" t="n">
        <v>16</v>
      </c>
      <c r="G144" s="5" t="s">
        <v>68</v>
      </c>
      <c r="H144" s="2" t="n">
        <v>1</v>
      </c>
      <c r="I144" s="2" t="n">
        <v>1</v>
      </c>
      <c r="J144" s="2" t="n">
        <v>1</v>
      </c>
      <c r="K144" s="7" t="n">
        <v>0.9292472022</v>
      </c>
      <c r="L144" s="7" t="n">
        <v>0.05263444888</v>
      </c>
      <c r="M144" s="7" t="n">
        <v>0.08024267529</v>
      </c>
      <c r="N144" s="7" t="n">
        <v>6</v>
      </c>
      <c r="O144" s="7" t="n">
        <v>6</v>
      </c>
      <c r="P144" s="7" t="n">
        <v>0</v>
      </c>
      <c r="Q144" s="2"/>
      <c r="R144" s="7" t="n">
        <v>1.536291</v>
      </c>
      <c r="S144" s="5" t="s">
        <v>60</v>
      </c>
      <c r="T144" s="5" t="s">
        <v>61</v>
      </c>
    </row>
    <row r="145" customFormat="false" ht="15" hidden="false" customHeight="false" outlineLevel="0" collapsed="false">
      <c r="A145" s="5" t="s">
        <v>4</v>
      </c>
      <c r="B145" s="5" t="s">
        <v>55</v>
      </c>
      <c r="C145" s="2" t="s">
        <v>56</v>
      </c>
      <c r="D145" s="5" t="s">
        <v>57</v>
      </c>
      <c r="E145" s="5" t="s">
        <v>62</v>
      </c>
      <c r="F145" s="2" t="n">
        <v>16</v>
      </c>
      <c r="G145" s="5" t="s">
        <v>68</v>
      </c>
      <c r="H145" s="2" t="n">
        <v>1</v>
      </c>
      <c r="I145" s="2" t="n">
        <v>1</v>
      </c>
      <c r="J145" s="2" t="n">
        <v>1</v>
      </c>
      <c r="K145" s="7" t="n">
        <v>0.9292472022</v>
      </c>
      <c r="L145" s="7" t="n">
        <v>0.05263444888</v>
      </c>
      <c r="M145" s="7" t="n">
        <v>0.08024267529</v>
      </c>
      <c r="N145" s="7" t="n">
        <v>6</v>
      </c>
      <c r="O145" s="7" t="n">
        <v>6</v>
      </c>
      <c r="P145" s="7" t="n">
        <v>6</v>
      </c>
      <c r="Q145" s="2"/>
      <c r="R145" s="7" t="n">
        <v>1.928932</v>
      </c>
      <c r="S145" s="5" t="s">
        <v>60</v>
      </c>
      <c r="T145" s="5" t="s">
        <v>61</v>
      </c>
    </row>
    <row r="146" customFormat="false" ht="15" hidden="false" customHeight="false" outlineLevel="0" collapsed="false">
      <c r="A146" s="5" t="s">
        <v>4</v>
      </c>
      <c r="B146" s="5" t="s">
        <v>55</v>
      </c>
      <c r="C146" s="2" t="s">
        <v>56</v>
      </c>
      <c r="D146" s="5" t="s">
        <v>57</v>
      </c>
      <c r="E146" s="5" t="s">
        <v>58</v>
      </c>
      <c r="F146" s="2" t="n">
        <v>16</v>
      </c>
      <c r="G146" s="5" t="s">
        <v>69</v>
      </c>
      <c r="H146" s="2" t="n">
        <v>1</v>
      </c>
      <c r="I146" s="2" t="n">
        <v>0</v>
      </c>
      <c r="J146" s="2" t="n">
        <v>0</v>
      </c>
      <c r="K146" s="2"/>
      <c r="L146" s="2"/>
      <c r="M146" s="2"/>
      <c r="N146" s="7" t="n">
        <v>2</v>
      </c>
      <c r="O146" s="7" t="n">
        <v>2</v>
      </c>
      <c r="P146" s="7" t="n">
        <v>0</v>
      </c>
      <c r="Q146" s="2"/>
      <c r="R146" s="7" t="n">
        <v>10.120532</v>
      </c>
      <c r="S146" s="5" t="s">
        <v>60</v>
      </c>
      <c r="T146" s="5" t="s">
        <v>61</v>
      </c>
    </row>
    <row r="147" customFormat="false" ht="15" hidden="false" customHeight="false" outlineLevel="0" collapsed="false">
      <c r="A147" s="5" t="s">
        <v>4</v>
      </c>
      <c r="B147" s="5" t="s">
        <v>55</v>
      </c>
      <c r="C147" s="2" t="s">
        <v>56</v>
      </c>
      <c r="D147" s="5" t="s">
        <v>57</v>
      </c>
      <c r="E147" s="5" t="s">
        <v>62</v>
      </c>
      <c r="F147" s="2" t="n">
        <v>16</v>
      </c>
      <c r="G147" s="5" t="s">
        <v>69</v>
      </c>
      <c r="H147" s="2" t="n">
        <v>1</v>
      </c>
      <c r="I147" s="2" t="n">
        <v>0</v>
      </c>
      <c r="J147" s="2" t="n">
        <v>0</v>
      </c>
      <c r="K147" s="2"/>
      <c r="L147" s="2"/>
      <c r="M147" s="2"/>
      <c r="N147" s="7" t="n">
        <v>2</v>
      </c>
      <c r="O147" s="7" t="n">
        <v>2</v>
      </c>
      <c r="P147" s="7" t="n">
        <v>0</v>
      </c>
      <c r="Q147" s="2"/>
      <c r="R147" s="7" t="n">
        <v>10.119821</v>
      </c>
      <c r="S147" s="5" t="s">
        <v>60</v>
      </c>
      <c r="T147" s="5" t="s">
        <v>61</v>
      </c>
    </row>
    <row r="148" customFormat="false" ht="15" hidden="false" customHeight="false" outlineLevel="0" collapsed="false">
      <c r="A148" s="5" t="s">
        <v>4</v>
      </c>
      <c r="B148" s="5" t="s">
        <v>55</v>
      </c>
      <c r="C148" s="2" t="s">
        <v>56</v>
      </c>
      <c r="D148" s="5" t="s">
        <v>57</v>
      </c>
      <c r="E148" s="5" t="s">
        <v>58</v>
      </c>
      <c r="F148" s="2" t="n">
        <v>16</v>
      </c>
      <c r="G148" s="5" t="s">
        <v>70</v>
      </c>
      <c r="H148" s="2" t="n">
        <v>0</v>
      </c>
      <c r="I148" s="2" t="n">
        <v>1</v>
      </c>
      <c r="J148" s="2" t="n">
        <v>1</v>
      </c>
      <c r="K148" s="7" t="n">
        <v>0.2413160745</v>
      </c>
      <c r="L148" s="7" t="n">
        <v>0.0214611365</v>
      </c>
      <c r="M148" s="7" t="n">
        <v>0.03144365759</v>
      </c>
      <c r="N148" s="7" t="n">
        <v>6</v>
      </c>
      <c r="O148" s="7" t="n">
        <v>6</v>
      </c>
      <c r="P148" s="7" t="n">
        <v>0</v>
      </c>
      <c r="Q148" s="2"/>
      <c r="R148" s="7" t="n">
        <v>2.516631</v>
      </c>
      <c r="S148" s="5" t="s">
        <v>60</v>
      </c>
      <c r="T148" s="5" t="s">
        <v>61</v>
      </c>
    </row>
    <row r="149" customFormat="false" ht="15" hidden="false" customHeight="false" outlineLevel="0" collapsed="false">
      <c r="A149" s="5" t="s">
        <v>4</v>
      </c>
      <c r="B149" s="5" t="s">
        <v>55</v>
      </c>
      <c r="C149" s="2" t="s">
        <v>56</v>
      </c>
      <c r="D149" s="5" t="s">
        <v>57</v>
      </c>
      <c r="E149" s="5" t="s">
        <v>62</v>
      </c>
      <c r="F149" s="2" t="n">
        <v>16</v>
      </c>
      <c r="G149" s="5" t="s">
        <v>70</v>
      </c>
      <c r="H149" s="2" t="n">
        <v>0</v>
      </c>
      <c r="I149" s="2" t="n">
        <v>1</v>
      </c>
      <c r="J149" s="2" t="n">
        <v>1</v>
      </c>
      <c r="K149" s="7" t="n">
        <v>0.2367452688</v>
      </c>
      <c r="L149" s="7" t="n">
        <v>0.0630832153</v>
      </c>
      <c r="M149" s="7" t="n">
        <v>0.06619076645</v>
      </c>
      <c r="N149" s="7" t="n">
        <v>6</v>
      </c>
      <c r="O149" s="7" t="n">
        <v>6</v>
      </c>
      <c r="P149" s="7" t="n">
        <v>5</v>
      </c>
      <c r="Q149" s="2"/>
      <c r="R149" s="7" t="n">
        <v>2.931595</v>
      </c>
      <c r="S149" s="5" t="s">
        <v>60</v>
      </c>
      <c r="T149" s="5" t="s">
        <v>61</v>
      </c>
    </row>
    <row r="150" customFormat="false" ht="15" hidden="false" customHeight="false" outlineLevel="0" collapsed="false">
      <c r="A150" s="5" t="s">
        <v>4</v>
      </c>
      <c r="B150" s="5" t="s">
        <v>55</v>
      </c>
      <c r="C150" s="2" t="s">
        <v>56</v>
      </c>
      <c r="D150" s="5" t="s">
        <v>57</v>
      </c>
      <c r="E150" s="5" t="s">
        <v>58</v>
      </c>
      <c r="F150" s="2" t="n">
        <v>17</v>
      </c>
      <c r="G150" s="5" t="s">
        <v>67</v>
      </c>
      <c r="H150" s="2" t="n">
        <v>1</v>
      </c>
      <c r="I150" s="2" t="n">
        <v>1</v>
      </c>
      <c r="J150" s="2" t="n">
        <v>1</v>
      </c>
      <c r="K150" s="7" t="n">
        <v>0.4623327308</v>
      </c>
      <c r="L150" s="7" t="n">
        <v>0.03316943319</v>
      </c>
      <c r="M150" s="7" t="n">
        <v>0.04502016502</v>
      </c>
      <c r="N150" s="7" t="n">
        <v>10</v>
      </c>
      <c r="O150" s="7" t="n">
        <v>10</v>
      </c>
      <c r="P150" s="7" t="n">
        <v>0</v>
      </c>
      <c r="Q150" s="2"/>
      <c r="R150" s="7" t="n">
        <v>5.379112</v>
      </c>
      <c r="S150" s="5" t="s">
        <v>60</v>
      </c>
      <c r="T150" s="5" t="s">
        <v>61</v>
      </c>
    </row>
    <row r="151" customFormat="false" ht="15" hidden="false" customHeight="false" outlineLevel="0" collapsed="false">
      <c r="A151" s="5" t="s">
        <v>4</v>
      </c>
      <c r="B151" s="5" t="s">
        <v>55</v>
      </c>
      <c r="C151" s="2" t="s">
        <v>56</v>
      </c>
      <c r="D151" s="5" t="s">
        <v>57</v>
      </c>
      <c r="E151" s="5" t="s">
        <v>62</v>
      </c>
      <c r="F151" s="2" t="n">
        <v>17</v>
      </c>
      <c r="G151" s="5" t="s">
        <v>67</v>
      </c>
      <c r="H151" s="2" t="n">
        <v>1</v>
      </c>
      <c r="I151" s="2" t="n">
        <v>1</v>
      </c>
      <c r="J151" s="2" t="n">
        <v>1</v>
      </c>
      <c r="K151" s="7" t="n">
        <v>0.2459416268</v>
      </c>
      <c r="L151" s="7" t="n">
        <v>0.02391569892</v>
      </c>
      <c r="M151" s="7" t="n">
        <v>0.03291844421</v>
      </c>
      <c r="N151" s="7" t="n">
        <v>10</v>
      </c>
      <c r="O151" s="7" t="n">
        <v>10</v>
      </c>
      <c r="P151" s="7" t="n">
        <v>9</v>
      </c>
      <c r="Q151" s="2"/>
      <c r="R151" s="7" t="n">
        <v>6.006429</v>
      </c>
      <c r="S151" s="5" t="s">
        <v>60</v>
      </c>
      <c r="T151" s="5" t="s">
        <v>61</v>
      </c>
    </row>
    <row r="152" customFormat="false" ht="15" hidden="false" customHeight="false" outlineLevel="0" collapsed="false">
      <c r="A152" s="5" t="s">
        <v>4</v>
      </c>
      <c r="B152" s="5" t="s">
        <v>55</v>
      </c>
      <c r="C152" s="2" t="s">
        <v>56</v>
      </c>
      <c r="D152" s="5" t="s">
        <v>57</v>
      </c>
      <c r="E152" s="5" t="s">
        <v>58</v>
      </c>
      <c r="F152" s="2" t="n">
        <v>17</v>
      </c>
      <c r="G152" s="5" t="s">
        <v>68</v>
      </c>
      <c r="H152" s="2" t="n">
        <v>1</v>
      </c>
      <c r="I152" s="2" t="n">
        <v>1</v>
      </c>
      <c r="J152" s="2" t="n">
        <v>0</v>
      </c>
      <c r="K152" s="7" t="n">
        <v>4.99798513</v>
      </c>
      <c r="L152" s="7" t="n">
        <v>0.1798282667</v>
      </c>
      <c r="M152" s="7" t="n">
        <v>0.3298746319</v>
      </c>
      <c r="N152" s="7" t="n">
        <v>3</v>
      </c>
      <c r="O152" s="7" t="n">
        <v>3</v>
      </c>
      <c r="P152" s="7" t="n">
        <v>0</v>
      </c>
      <c r="Q152" s="2"/>
      <c r="R152" s="7" t="n">
        <v>5.563865</v>
      </c>
      <c r="S152" s="5" t="s">
        <v>60</v>
      </c>
      <c r="T152" s="5" t="s">
        <v>61</v>
      </c>
    </row>
    <row r="153" customFormat="false" ht="15" hidden="false" customHeight="false" outlineLevel="0" collapsed="false">
      <c r="A153" s="5" t="s">
        <v>4</v>
      </c>
      <c r="B153" s="5" t="s">
        <v>55</v>
      </c>
      <c r="C153" s="2" t="s">
        <v>56</v>
      </c>
      <c r="D153" s="5" t="s">
        <v>57</v>
      </c>
      <c r="E153" s="5" t="s">
        <v>62</v>
      </c>
      <c r="F153" s="2" t="n">
        <v>17</v>
      </c>
      <c r="G153" s="5" t="s">
        <v>68</v>
      </c>
      <c r="H153" s="2" t="n">
        <v>1</v>
      </c>
      <c r="I153" s="2" t="n">
        <v>1</v>
      </c>
      <c r="J153" s="2" t="n">
        <v>0</v>
      </c>
      <c r="K153" s="7" t="n">
        <v>4.99798513</v>
      </c>
      <c r="L153" s="7" t="n">
        <v>0.1798282667</v>
      </c>
      <c r="M153" s="7" t="n">
        <v>0.3298746319</v>
      </c>
      <c r="N153" s="7" t="n">
        <v>3</v>
      </c>
      <c r="O153" s="7" t="n">
        <v>3</v>
      </c>
      <c r="P153" s="7" t="n">
        <v>3</v>
      </c>
      <c r="Q153" s="2"/>
      <c r="R153" s="7" t="n">
        <v>5.704272</v>
      </c>
      <c r="S153" s="5" t="s">
        <v>60</v>
      </c>
      <c r="T153" s="5" t="s">
        <v>61</v>
      </c>
    </row>
    <row r="154" customFormat="false" ht="15" hidden="false" customHeight="false" outlineLevel="0" collapsed="false">
      <c r="A154" s="5" t="s">
        <v>4</v>
      </c>
      <c r="B154" s="5" t="s">
        <v>55</v>
      </c>
      <c r="C154" s="2" t="s">
        <v>56</v>
      </c>
      <c r="D154" s="5" t="s">
        <v>57</v>
      </c>
      <c r="E154" s="5" t="s">
        <v>58</v>
      </c>
      <c r="F154" s="2" t="n">
        <v>17</v>
      </c>
      <c r="G154" s="5" t="s">
        <v>69</v>
      </c>
      <c r="H154" s="2" t="n">
        <v>1</v>
      </c>
      <c r="I154" s="2" t="n">
        <v>1</v>
      </c>
      <c r="J154" s="2" t="n">
        <v>1</v>
      </c>
      <c r="K154" s="7" t="n">
        <v>1.375365849</v>
      </c>
      <c r="L154" s="7" t="n">
        <v>0.2608433758</v>
      </c>
      <c r="M154" s="7" t="n">
        <v>0.2792844247</v>
      </c>
      <c r="N154" s="7" t="n">
        <v>3</v>
      </c>
      <c r="O154" s="7" t="n">
        <v>3</v>
      </c>
      <c r="P154" s="7" t="n">
        <v>0</v>
      </c>
      <c r="Q154" s="2"/>
      <c r="R154" s="7" t="n">
        <v>6.934432</v>
      </c>
      <c r="S154" s="5" t="s">
        <v>60</v>
      </c>
      <c r="T154" s="5" t="s">
        <v>61</v>
      </c>
    </row>
    <row r="155" customFormat="false" ht="15" hidden="false" customHeight="false" outlineLevel="0" collapsed="false">
      <c r="A155" s="5" t="s">
        <v>4</v>
      </c>
      <c r="B155" s="5" t="s">
        <v>55</v>
      </c>
      <c r="C155" s="2" t="s">
        <v>56</v>
      </c>
      <c r="D155" s="5" t="s">
        <v>57</v>
      </c>
      <c r="E155" s="5" t="s">
        <v>62</v>
      </c>
      <c r="F155" s="2" t="n">
        <v>17</v>
      </c>
      <c r="G155" s="5" t="s">
        <v>69</v>
      </c>
      <c r="H155" s="2" t="n">
        <v>1</v>
      </c>
      <c r="I155" s="2" t="n">
        <v>1</v>
      </c>
      <c r="J155" s="2" t="n">
        <v>1</v>
      </c>
      <c r="K155" s="7" t="n">
        <v>1.375365849</v>
      </c>
      <c r="L155" s="7" t="n">
        <v>0.2608433758</v>
      </c>
      <c r="M155" s="7" t="n">
        <v>0.2792844247</v>
      </c>
      <c r="N155" s="7" t="n">
        <v>3</v>
      </c>
      <c r="O155" s="7" t="n">
        <v>3</v>
      </c>
      <c r="P155" s="7" t="n">
        <v>3</v>
      </c>
      <c r="Q155" s="2"/>
      <c r="R155" s="7" t="n">
        <v>7.153475</v>
      </c>
      <c r="S155" s="5" t="s">
        <v>60</v>
      </c>
      <c r="T155" s="5" t="s">
        <v>61</v>
      </c>
    </row>
    <row r="156" customFormat="false" ht="15" hidden="false" customHeight="false" outlineLevel="0" collapsed="false">
      <c r="A156" s="5" t="s">
        <v>4</v>
      </c>
      <c r="B156" s="5" t="s">
        <v>55</v>
      </c>
      <c r="C156" s="2" t="s">
        <v>56</v>
      </c>
      <c r="D156" s="5" t="s">
        <v>57</v>
      </c>
      <c r="E156" s="5" t="s">
        <v>58</v>
      </c>
      <c r="F156" s="2" t="n">
        <v>17</v>
      </c>
      <c r="G156" s="5" t="s">
        <v>70</v>
      </c>
      <c r="H156" s="2" t="n">
        <v>0</v>
      </c>
      <c r="I156" s="2" t="n">
        <v>0</v>
      </c>
      <c r="J156" s="2" t="n">
        <v>0</v>
      </c>
      <c r="K156" s="2"/>
      <c r="L156" s="2"/>
      <c r="M156" s="2"/>
      <c r="N156" s="7" t="n">
        <v>1</v>
      </c>
      <c r="O156" s="7" t="n">
        <v>1</v>
      </c>
      <c r="P156" s="7" t="n">
        <v>0</v>
      </c>
      <c r="Q156" s="2"/>
      <c r="R156" s="7" t="n">
        <v>2.627424</v>
      </c>
      <c r="S156" s="5" t="s">
        <v>60</v>
      </c>
      <c r="T156" s="5" t="s">
        <v>61</v>
      </c>
    </row>
    <row r="157" customFormat="false" ht="15" hidden="false" customHeight="false" outlineLevel="0" collapsed="false">
      <c r="A157" s="5" t="s">
        <v>4</v>
      </c>
      <c r="B157" s="5" t="s">
        <v>55</v>
      </c>
      <c r="C157" s="2" t="s">
        <v>56</v>
      </c>
      <c r="D157" s="5" t="s">
        <v>57</v>
      </c>
      <c r="E157" s="5" t="s">
        <v>62</v>
      </c>
      <c r="F157" s="2" t="n">
        <v>17</v>
      </c>
      <c r="G157" s="5" t="s">
        <v>70</v>
      </c>
      <c r="H157" s="2" t="n">
        <v>0</v>
      </c>
      <c r="I157" s="2" t="n">
        <v>0</v>
      </c>
      <c r="J157" s="2" t="n">
        <v>0</v>
      </c>
      <c r="K157" s="2"/>
      <c r="L157" s="2"/>
      <c r="M157" s="2"/>
      <c r="N157" s="7" t="n">
        <v>1</v>
      </c>
      <c r="O157" s="7" t="n">
        <v>1</v>
      </c>
      <c r="P157" s="7" t="n">
        <v>0</v>
      </c>
      <c r="Q157" s="2"/>
      <c r="R157" s="7" t="n">
        <v>2.627264</v>
      </c>
      <c r="S157" s="5" t="s">
        <v>60</v>
      </c>
      <c r="T157" s="5" t="s">
        <v>61</v>
      </c>
    </row>
    <row r="158" customFormat="false" ht="15" hidden="false" customHeight="false" outlineLevel="0" collapsed="false">
      <c r="A158" s="5" t="s">
        <v>4</v>
      </c>
      <c r="B158" s="5" t="s">
        <v>55</v>
      </c>
      <c r="C158" s="2" t="s">
        <v>56</v>
      </c>
      <c r="D158" s="5" t="s">
        <v>57</v>
      </c>
      <c r="E158" s="5" t="s">
        <v>58</v>
      </c>
      <c r="F158" s="2" t="n">
        <v>18</v>
      </c>
      <c r="G158" s="5" t="s">
        <v>67</v>
      </c>
      <c r="H158" s="2" t="n">
        <v>1</v>
      </c>
      <c r="I158" s="2" t="n">
        <v>1</v>
      </c>
      <c r="J158" s="2" t="n">
        <v>1</v>
      </c>
      <c r="K158" s="7" t="n">
        <v>0.2531548413</v>
      </c>
      <c r="L158" s="7" t="n">
        <v>0.02593818153</v>
      </c>
      <c r="M158" s="7" t="n">
        <v>0.03358569289</v>
      </c>
      <c r="N158" s="7" t="n">
        <v>4</v>
      </c>
      <c r="O158" s="7" t="n">
        <v>4</v>
      </c>
      <c r="P158" s="7" t="n">
        <v>0</v>
      </c>
      <c r="Q158" s="2"/>
      <c r="R158" s="7" t="n">
        <v>1.412899</v>
      </c>
      <c r="S158" s="5" t="s">
        <v>60</v>
      </c>
      <c r="T158" s="5" t="s">
        <v>61</v>
      </c>
    </row>
    <row r="159" customFormat="false" ht="15" hidden="false" customHeight="false" outlineLevel="0" collapsed="false">
      <c r="A159" s="5" t="s">
        <v>4</v>
      </c>
      <c r="B159" s="5" t="s">
        <v>55</v>
      </c>
      <c r="C159" s="2" t="s">
        <v>56</v>
      </c>
      <c r="D159" s="5" t="s">
        <v>57</v>
      </c>
      <c r="E159" s="5" t="s">
        <v>62</v>
      </c>
      <c r="F159" s="2" t="n">
        <v>18</v>
      </c>
      <c r="G159" s="5" t="s">
        <v>67</v>
      </c>
      <c r="H159" s="2" t="n">
        <v>1</v>
      </c>
      <c r="I159" s="2" t="n">
        <v>1</v>
      </c>
      <c r="J159" s="2" t="n">
        <v>1</v>
      </c>
      <c r="K159" s="7" t="n">
        <v>0.2531548413</v>
      </c>
      <c r="L159" s="7" t="n">
        <v>0.02593818153</v>
      </c>
      <c r="M159" s="7" t="n">
        <v>0.03358569289</v>
      </c>
      <c r="N159" s="7" t="n">
        <v>4</v>
      </c>
      <c r="O159" s="7" t="n">
        <v>4</v>
      </c>
      <c r="P159" s="7" t="n">
        <v>4</v>
      </c>
      <c r="Q159" s="2"/>
      <c r="R159" s="7" t="n">
        <v>1.679022</v>
      </c>
      <c r="S159" s="5" t="s">
        <v>60</v>
      </c>
      <c r="T159" s="5" t="s">
        <v>61</v>
      </c>
    </row>
    <row r="160" customFormat="false" ht="15" hidden="false" customHeight="false" outlineLevel="0" collapsed="false">
      <c r="A160" s="5" t="s">
        <v>4</v>
      </c>
      <c r="B160" s="5" t="s">
        <v>55</v>
      </c>
      <c r="C160" s="2" t="s">
        <v>56</v>
      </c>
      <c r="D160" s="5" t="s">
        <v>57</v>
      </c>
      <c r="E160" s="5" t="s">
        <v>58</v>
      </c>
      <c r="F160" s="2" t="n">
        <v>18</v>
      </c>
      <c r="G160" s="5" t="s">
        <v>68</v>
      </c>
      <c r="H160" s="2" t="n">
        <v>1</v>
      </c>
      <c r="I160" s="2" t="n">
        <v>1</v>
      </c>
      <c r="J160" s="2" t="n">
        <v>1</v>
      </c>
      <c r="K160" s="7" t="n">
        <v>0.445345438</v>
      </c>
      <c r="L160" s="7" t="n">
        <v>0.03434536165</v>
      </c>
      <c r="M160" s="7" t="n">
        <v>0.05367021378</v>
      </c>
      <c r="N160" s="7" t="n">
        <v>6</v>
      </c>
      <c r="O160" s="7" t="n">
        <v>6</v>
      </c>
      <c r="P160" s="7" t="n">
        <v>0</v>
      </c>
      <c r="Q160" s="2"/>
      <c r="R160" s="7" t="n">
        <v>1.800622</v>
      </c>
      <c r="S160" s="5" t="s">
        <v>60</v>
      </c>
      <c r="T160" s="5" t="s">
        <v>61</v>
      </c>
    </row>
    <row r="161" customFormat="false" ht="15" hidden="false" customHeight="false" outlineLevel="0" collapsed="false">
      <c r="A161" s="5" t="s">
        <v>4</v>
      </c>
      <c r="B161" s="5" t="s">
        <v>55</v>
      </c>
      <c r="C161" s="2" t="s">
        <v>56</v>
      </c>
      <c r="D161" s="5" t="s">
        <v>57</v>
      </c>
      <c r="E161" s="5" t="s">
        <v>62</v>
      </c>
      <c r="F161" s="2" t="n">
        <v>18</v>
      </c>
      <c r="G161" s="5" t="s">
        <v>68</v>
      </c>
      <c r="H161" s="2" t="n">
        <v>1</v>
      </c>
      <c r="I161" s="2" t="n">
        <v>1</v>
      </c>
      <c r="J161" s="2" t="n">
        <v>1</v>
      </c>
      <c r="K161" s="7" t="n">
        <v>0.445345438</v>
      </c>
      <c r="L161" s="7" t="n">
        <v>0.03434536165</v>
      </c>
      <c r="M161" s="7" t="n">
        <v>0.05367021378</v>
      </c>
      <c r="N161" s="7" t="n">
        <v>6</v>
      </c>
      <c r="O161" s="7" t="n">
        <v>6</v>
      </c>
      <c r="P161" s="7" t="n">
        <v>6</v>
      </c>
      <c r="Q161" s="2"/>
      <c r="R161" s="7" t="n">
        <v>2.217208</v>
      </c>
      <c r="S161" s="5" t="s">
        <v>60</v>
      </c>
      <c r="T161" s="5" t="s">
        <v>61</v>
      </c>
    </row>
    <row r="162" customFormat="false" ht="15" hidden="false" customHeight="false" outlineLevel="0" collapsed="false">
      <c r="A162" s="5" t="s">
        <v>4</v>
      </c>
      <c r="B162" s="5" t="s">
        <v>55</v>
      </c>
      <c r="C162" s="2" t="s">
        <v>56</v>
      </c>
      <c r="D162" s="5" t="s">
        <v>57</v>
      </c>
      <c r="E162" s="5" t="s">
        <v>58</v>
      </c>
      <c r="F162" s="2" t="n">
        <v>18</v>
      </c>
      <c r="G162" s="5" t="s">
        <v>69</v>
      </c>
      <c r="H162" s="2" t="n">
        <v>1</v>
      </c>
      <c r="I162" s="2" t="n">
        <v>0</v>
      </c>
      <c r="J162" s="2" t="n">
        <v>0</v>
      </c>
      <c r="K162" s="2"/>
      <c r="L162" s="2"/>
      <c r="M162" s="2"/>
      <c r="N162" s="7" t="n">
        <v>2</v>
      </c>
      <c r="O162" s="7" t="n">
        <v>2</v>
      </c>
      <c r="P162" s="7" t="n">
        <v>0</v>
      </c>
      <c r="Q162" s="2"/>
      <c r="R162" s="7" t="n">
        <v>2.181265</v>
      </c>
      <c r="S162" s="5" t="s">
        <v>60</v>
      </c>
      <c r="T162" s="5" t="s">
        <v>61</v>
      </c>
    </row>
    <row r="163" customFormat="false" ht="15" hidden="false" customHeight="false" outlineLevel="0" collapsed="false">
      <c r="A163" s="5" t="s">
        <v>4</v>
      </c>
      <c r="B163" s="5" t="s">
        <v>55</v>
      </c>
      <c r="C163" s="2" t="s">
        <v>56</v>
      </c>
      <c r="D163" s="5" t="s">
        <v>57</v>
      </c>
      <c r="E163" s="5" t="s">
        <v>62</v>
      </c>
      <c r="F163" s="2" t="n">
        <v>18</v>
      </c>
      <c r="G163" s="5" t="s">
        <v>69</v>
      </c>
      <c r="H163" s="2" t="n">
        <v>1</v>
      </c>
      <c r="I163" s="2" t="n">
        <v>0</v>
      </c>
      <c r="J163" s="2" t="n">
        <v>0</v>
      </c>
      <c r="K163" s="2"/>
      <c r="L163" s="2"/>
      <c r="M163" s="2"/>
      <c r="N163" s="7" t="n">
        <v>2</v>
      </c>
      <c r="O163" s="7" t="n">
        <v>2</v>
      </c>
      <c r="P163" s="7" t="n">
        <v>0</v>
      </c>
      <c r="Q163" s="2"/>
      <c r="R163" s="7" t="n">
        <v>2.181134</v>
      </c>
      <c r="S163" s="5" t="s">
        <v>60</v>
      </c>
      <c r="T163" s="5" t="s">
        <v>61</v>
      </c>
    </row>
    <row r="164" customFormat="false" ht="15" hidden="false" customHeight="false" outlineLevel="0" collapsed="false">
      <c r="A164" s="5" t="s">
        <v>4</v>
      </c>
      <c r="B164" s="5" t="s">
        <v>55</v>
      </c>
      <c r="C164" s="2" t="s">
        <v>56</v>
      </c>
      <c r="D164" s="5" t="s">
        <v>57</v>
      </c>
      <c r="E164" s="5" t="s">
        <v>58</v>
      </c>
      <c r="F164" s="2" t="n">
        <v>18</v>
      </c>
      <c r="G164" s="5" t="s">
        <v>70</v>
      </c>
      <c r="H164" s="2" t="n">
        <v>0</v>
      </c>
      <c r="I164" s="2" t="n">
        <v>1</v>
      </c>
      <c r="J164" s="2" t="n">
        <v>1</v>
      </c>
      <c r="K164" s="7" t="n">
        <v>0.6452585931</v>
      </c>
      <c r="L164" s="7" t="n">
        <v>0.03459055909</v>
      </c>
      <c r="M164" s="7" t="n">
        <v>0.05542466136</v>
      </c>
      <c r="N164" s="7" t="n">
        <v>8</v>
      </c>
      <c r="O164" s="7" t="n">
        <v>8</v>
      </c>
      <c r="P164" s="7" t="n">
        <v>0</v>
      </c>
      <c r="Q164" s="2"/>
      <c r="R164" s="7" t="n">
        <v>6.546819</v>
      </c>
      <c r="S164" s="5" t="s">
        <v>60</v>
      </c>
      <c r="T164" s="5" t="s">
        <v>61</v>
      </c>
    </row>
    <row r="165" customFormat="false" ht="15" hidden="false" customHeight="false" outlineLevel="0" collapsed="false">
      <c r="A165" s="5" t="s">
        <v>4</v>
      </c>
      <c r="B165" s="5" t="s">
        <v>55</v>
      </c>
      <c r="C165" s="2" t="s">
        <v>56</v>
      </c>
      <c r="D165" s="5" t="s">
        <v>57</v>
      </c>
      <c r="E165" s="5" t="s">
        <v>62</v>
      </c>
      <c r="F165" s="2" t="n">
        <v>18</v>
      </c>
      <c r="G165" s="5" t="s">
        <v>70</v>
      </c>
      <c r="H165" s="2" t="n">
        <v>0</v>
      </c>
      <c r="I165" s="2" t="n">
        <v>1</v>
      </c>
      <c r="J165" s="2" t="n">
        <v>1</v>
      </c>
      <c r="K165" s="7" t="n">
        <v>0.6452585931</v>
      </c>
      <c r="L165" s="7" t="n">
        <v>0.03459055909</v>
      </c>
      <c r="M165" s="7" t="n">
        <v>0.05542466136</v>
      </c>
      <c r="N165" s="7" t="n">
        <v>8</v>
      </c>
      <c r="O165" s="7" t="n">
        <v>8</v>
      </c>
      <c r="P165" s="7" t="n">
        <v>8</v>
      </c>
      <c r="Q165" s="2"/>
      <c r="R165" s="7" t="n">
        <v>7.072827</v>
      </c>
      <c r="S165" s="5" t="s">
        <v>60</v>
      </c>
      <c r="T165" s="5" t="s">
        <v>61</v>
      </c>
    </row>
    <row r="166" customFormat="false" ht="15" hidden="false" customHeight="false" outlineLevel="0" collapsed="false">
      <c r="A166" s="5" t="s">
        <v>4</v>
      </c>
      <c r="B166" s="5" t="s">
        <v>55</v>
      </c>
      <c r="C166" s="2" t="s">
        <v>56</v>
      </c>
      <c r="D166" s="5" t="s">
        <v>57</v>
      </c>
      <c r="E166" s="5" t="s">
        <v>58</v>
      </c>
      <c r="F166" s="2" t="n">
        <v>19</v>
      </c>
      <c r="G166" s="5" t="s">
        <v>67</v>
      </c>
      <c r="H166" s="2" t="n">
        <v>1</v>
      </c>
      <c r="I166" s="2" t="n">
        <v>1</v>
      </c>
      <c r="J166" s="2" t="n">
        <v>1</v>
      </c>
      <c r="K166" s="7" t="n">
        <v>1.893150917</v>
      </c>
      <c r="L166" s="7" t="n">
        <v>0.1227729757</v>
      </c>
      <c r="M166" s="7" t="n">
        <v>0.1707235173</v>
      </c>
      <c r="N166" s="7" t="n">
        <v>10</v>
      </c>
      <c r="O166" s="7" t="n">
        <v>10</v>
      </c>
      <c r="P166" s="7" t="n">
        <v>0</v>
      </c>
      <c r="Q166" s="2"/>
      <c r="R166" s="7" t="n">
        <v>1.283618</v>
      </c>
      <c r="S166" s="5" t="s">
        <v>60</v>
      </c>
      <c r="T166" s="5" t="s">
        <v>61</v>
      </c>
    </row>
    <row r="167" customFormat="false" ht="15" hidden="false" customHeight="false" outlineLevel="0" collapsed="false">
      <c r="A167" s="5" t="s">
        <v>4</v>
      </c>
      <c r="B167" s="5" t="s">
        <v>55</v>
      </c>
      <c r="C167" s="2" t="s">
        <v>56</v>
      </c>
      <c r="D167" s="5" t="s">
        <v>57</v>
      </c>
      <c r="E167" s="5" t="s">
        <v>62</v>
      </c>
      <c r="F167" s="2" t="n">
        <v>19</v>
      </c>
      <c r="G167" s="5" t="s">
        <v>67</v>
      </c>
      <c r="H167" s="2" t="n">
        <v>1</v>
      </c>
      <c r="I167" s="2" t="n">
        <v>1</v>
      </c>
      <c r="J167" s="2" t="n">
        <v>1</v>
      </c>
      <c r="K167" s="7" t="n">
        <v>0.6042400535</v>
      </c>
      <c r="L167" s="7" t="n">
        <v>0.06170935283</v>
      </c>
      <c r="M167" s="7" t="n">
        <v>0.07259609857</v>
      </c>
      <c r="N167" s="7" t="n">
        <v>10</v>
      </c>
      <c r="O167" s="7" t="n">
        <v>10</v>
      </c>
      <c r="P167" s="7" t="n">
        <v>9</v>
      </c>
      <c r="Q167" s="2"/>
      <c r="R167" s="7" t="n">
        <v>1.903024</v>
      </c>
      <c r="S167" s="5" t="s">
        <v>60</v>
      </c>
      <c r="T167" s="5" t="s">
        <v>61</v>
      </c>
    </row>
    <row r="168" customFormat="false" ht="15" hidden="false" customHeight="false" outlineLevel="0" collapsed="false">
      <c r="A168" s="5" t="s">
        <v>4</v>
      </c>
      <c r="B168" s="5" t="s">
        <v>55</v>
      </c>
      <c r="C168" s="2" t="s">
        <v>56</v>
      </c>
      <c r="D168" s="5" t="s">
        <v>57</v>
      </c>
      <c r="E168" s="5" t="s">
        <v>58</v>
      </c>
      <c r="F168" s="2" t="n">
        <v>19</v>
      </c>
      <c r="G168" s="5" t="s">
        <v>68</v>
      </c>
      <c r="H168" s="2" t="n">
        <v>1</v>
      </c>
      <c r="I168" s="2" t="n">
        <v>1</v>
      </c>
      <c r="J168" s="2" t="n">
        <v>1</v>
      </c>
      <c r="K168" s="7" t="n">
        <v>0.3864616176</v>
      </c>
      <c r="L168" s="7" t="n">
        <v>0.04917732235</v>
      </c>
      <c r="M168" s="7" t="n">
        <v>0.05702924416</v>
      </c>
      <c r="N168" s="7" t="n">
        <v>6</v>
      </c>
      <c r="O168" s="7" t="n">
        <v>6</v>
      </c>
      <c r="P168" s="7" t="n">
        <v>0</v>
      </c>
      <c r="Q168" s="2"/>
      <c r="R168" s="7" t="n">
        <v>1.387682</v>
      </c>
      <c r="S168" s="5" t="s">
        <v>60</v>
      </c>
      <c r="T168" s="5" t="s">
        <v>61</v>
      </c>
    </row>
    <row r="169" customFormat="false" ht="15" hidden="false" customHeight="false" outlineLevel="0" collapsed="false">
      <c r="A169" s="5" t="s">
        <v>4</v>
      </c>
      <c r="B169" s="5" t="s">
        <v>55</v>
      </c>
      <c r="C169" s="2" t="s">
        <v>56</v>
      </c>
      <c r="D169" s="5" t="s">
        <v>57</v>
      </c>
      <c r="E169" s="5" t="s">
        <v>62</v>
      </c>
      <c r="F169" s="2" t="n">
        <v>19</v>
      </c>
      <c r="G169" s="5" t="s">
        <v>68</v>
      </c>
      <c r="H169" s="2" t="n">
        <v>1</v>
      </c>
      <c r="I169" s="2" t="n">
        <v>1</v>
      </c>
      <c r="J169" s="2" t="n">
        <v>1</v>
      </c>
      <c r="K169" s="7" t="n">
        <v>0.3864616176</v>
      </c>
      <c r="L169" s="7" t="n">
        <v>0.04917732235</v>
      </c>
      <c r="M169" s="7" t="n">
        <v>0.05702924416</v>
      </c>
      <c r="N169" s="7" t="n">
        <v>6</v>
      </c>
      <c r="O169" s="7" t="n">
        <v>6</v>
      </c>
      <c r="P169" s="7" t="n">
        <v>6</v>
      </c>
      <c r="Q169" s="2"/>
      <c r="R169" s="7" t="n">
        <v>1.759201</v>
      </c>
      <c r="S169" s="5" t="s">
        <v>60</v>
      </c>
      <c r="T169" s="5" t="s">
        <v>61</v>
      </c>
    </row>
    <row r="170" customFormat="false" ht="15" hidden="false" customHeight="false" outlineLevel="0" collapsed="false">
      <c r="A170" s="5" t="s">
        <v>4</v>
      </c>
      <c r="B170" s="5" t="s">
        <v>55</v>
      </c>
      <c r="C170" s="2" t="s">
        <v>56</v>
      </c>
      <c r="D170" s="5" t="s">
        <v>57</v>
      </c>
      <c r="E170" s="5" t="s">
        <v>58</v>
      </c>
      <c r="F170" s="2" t="n">
        <v>19</v>
      </c>
      <c r="G170" s="5" t="s">
        <v>69</v>
      </c>
      <c r="H170" s="2" t="n">
        <v>1</v>
      </c>
      <c r="I170" s="2" t="n">
        <v>1</v>
      </c>
      <c r="J170" s="2" t="n">
        <v>1</v>
      </c>
      <c r="K170" s="7" t="n">
        <v>0.8647721334</v>
      </c>
      <c r="L170" s="7" t="n">
        <v>0.1128542964</v>
      </c>
      <c r="M170" s="7" t="n">
        <v>0.1292256232</v>
      </c>
      <c r="N170" s="7" t="n">
        <v>6</v>
      </c>
      <c r="O170" s="7" t="n">
        <v>6</v>
      </c>
      <c r="P170" s="7" t="n">
        <v>0</v>
      </c>
      <c r="Q170" s="2"/>
      <c r="R170" s="7" t="n">
        <v>6.333684</v>
      </c>
      <c r="S170" s="5" t="s">
        <v>60</v>
      </c>
      <c r="T170" s="5" t="s">
        <v>61</v>
      </c>
    </row>
    <row r="171" customFormat="false" ht="15" hidden="false" customHeight="false" outlineLevel="0" collapsed="false">
      <c r="A171" s="5" t="s">
        <v>4</v>
      </c>
      <c r="B171" s="5" t="s">
        <v>55</v>
      </c>
      <c r="C171" s="2" t="s">
        <v>56</v>
      </c>
      <c r="D171" s="5" t="s">
        <v>57</v>
      </c>
      <c r="E171" s="5" t="s">
        <v>62</v>
      </c>
      <c r="F171" s="2" t="n">
        <v>19</v>
      </c>
      <c r="G171" s="5" t="s">
        <v>69</v>
      </c>
      <c r="H171" s="2" t="n">
        <v>1</v>
      </c>
      <c r="I171" s="2" t="n">
        <v>1</v>
      </c>
      <c r="J171" s="2" t="n">
        <v>1</v>
      </c>
      <c r="K171" s="7" t="n">
        <v>0.8647721334</v>
      </c>
      <c r="L171" s="7" t="n">
        <v>0.1128542964</v>
      </c>
      <c r="M171" s="7" t="n">
        <v>0.1292256232</v>
      </c>
      <c r="N171" s="7" t="n">
        <v>6</v>
      </c>
      <c r="O171" s="7" t="n">
        <v>6</v>
      </c>
      <c r="P171" s="7" t="n">
        <v>6</v>
      </c>
      <c r="Q171" s="2"/>
      <c r="R171" s="7" t="n">
        <v>10.794609</v>
      </c>
      <c r="S171" s="5" t="s">
        <v>60</v>
      </c>
      <c r="T171" s="5" t="s">
        <v>61</v>
      </c>
    </row>
    <row r="172" customFormat="false" ht="15" hidden="false" customHeight="false" outlineLevel="0" collapsed="false">
      <c r="A172" s="5" t="s">
        <v>4</v>
      </c>
      <c r="B172" s="5" t="s">
        <v>55</v>
      </c>
      <c r="C172" s="2" t="s">
        <v>56</v>
      </c>
      <c r="D172" s="5" t="s">
        <v>57</v>
      </c>
      <c r="E172" s="5" t="s">
        <v>58</v>
      </c>
      <c r="F172" s="2" t="n">
        <v>19</v>
      </c>
      <c r="G172" s="5" t="s">
        <v>70</v>
      </c>
      <c r="H172" s="2" t="n">
        <v>0</v>
      </c>
      <c r="I172" s="2" t="n">
        <v>1</v>
      </c>
      <c r="J172" s="2" t="n">
        <v>0</v>
      </c>
      <c r="K172" s="7" t="n">
        <v>3.232037695</v>
      </c>
      <c r="L172" s="7" t="n">
        <v>0.3050348135</v>
      </c>
      <c r="M172" s="7" t="n">
        <v>0.3737287978</v>
      </c>
      <c r="N172" s="7" t="n">
        <v>5</v>
      </c>
      <c r="O172" s="7" t="n">
        <v>5</v>
      </c>
      <c r="P172" s="7" t="n">
        <v>0</v>
      </c>
      <c r="Q172" s="2"/>
      <c r="R172" s="7" t="n">
        <v>2.760821</v>
      </c>
      <c r="S172" s="5" t="s">
        <v>60</v>
      </c>
      <c r="T172" s="5" t="s">
        <v>61</v>
      </c>
    </row>
    <row r="173" customFormat="false" ht="15" hidden="false" customHeight="false" outlineLevel="0" collapsed="false">
      <c r="A173" s="5" t="s">
        <v>4</v>
      </c>
      <c r="B173" s="5" t="s">
        <v>55</v>
      </c>
      <c r="C173" s="2" t="s">
        <v>56</v>
      </c>
      <c r="D173" s="5" t="s">
        <v>57</v>
      </c>
      <c r="E173" s="5" t="s">
        <v>62</v>
      </c>
      <c r="F173" s="2" t="n">
        <v>19</v>
      </c>
      <c r="G173" s="5" t="s">
        <v>70</v>
      </c>
      <c r="H173" s="2" t="n">
        <v>0</v>
      </c>
      <c r="I173" s="2" t="n">
        <v>1</v>
      </c>
      <c r="J173" s="2" t="n">
        <v>1</v>
      </c>
      <c r="K173" s="7" t="n">
        <v>1.181230555</v>
      </c>
      <c r="L173" s="7" t="n">
        <v>0.09225937006</v>
      </c>
      <c r="M173" s="7" t="n">
        <v>0.1242010641</v>
      </c>
      <c r="N173" s="7" t="n">
        <v>5</v>
      </c>
      <c r="O173" s="7" t="n">
        <v>5</v>
      </c>
      <c r="P173" s="7" t="n">
        <v>4</v>
      </c>
      <c r="Q173" s="2"/>
      <c r="R173" s="7" t="n">
        <v>3.100343</v>
      </c>
      <c r="S173" s="5" t="s">
        <v>60</v>
      </c>
      <c r="T173" s="5" t="s">
        <v>61</v>
      </c>
    </row>
    <row r="174" customFormat="false" ht="15" hidden="false" customHeight="false" outlineLevel="0" collapsed="false">
      <c r="A174" s="5" t="s">
        <v>4</v>
      </c>
      <c r="B174" s="5" t="s">
        <v>55</v>
      </c>
      <c r="C174" s="2" t="s">
        <v>56</v>
      </c>
      <c r="D174" s="5" t="s">
        <v>57</v>
      </c>
      <c r="E174" s="5" t="s">
        <v>58</v>
      </c>
      <c r="F174" s="2" t="n">
        <v>20</v>
      </c>
      <c r="G174" s="5" t="s">
        <v>67</v>
      </c>
      <c r="H174" s="2" t="n">
        <v>1</v>
      </c>
      <c r="I174" s="2" t="n">
        <v>1</v>
      </c>
      <c r="J174" s="2" t="n">
        <v>0</v>
      </c>
      <c r="K174" s="7" t="n">
        <v>2.997163299</v>
      </c>
      <c r="L174" s="7" t="n">
        <v>0.1819344805</v>
      </c>
      <c r="M174" s="7" t="n">
        <v>0.2521644646</v>
      </c>
      <c r="N174" s="7" t="n">
        <v>12</v>
      </c>
      <c r="O174" s="7" t="n">
        <v>12</v>
      </c>
      <c r="P174" s="7" t="n">
        <v>0</v>
      </c>
      <c r="Q174" s="2"/>
      <c r="R174" s="7" t="n">
        <v>1.338208</v>
      </c>
      <c r="S174" s="5" t="s">
        <v>60</v>
      </c>
      <c r="T174" s="5" t="s">
        <v>61</v>
      </c>
    </row>
    <row r="175" customFormat="false" ht="15" hidden="false" customHeight="false" outlineLevel="0" collapsed="false">
      <c r="A175" s="5" t="s">
        <v>4</v>
      </c>
      <c r="B175" s="5" t="s">
        <v>55</v>
      </c>
      <c r="C175" s="2" t="s">
        <v>56</v>
      </c>
      <c r="D175" s="5" t="s">
        <v>57</v>
      </c>
      <c r="E175" s="5" t="s">
        <v>62</v>
      </c>
      <c r="F175" s="2" t="n">
        <v>20</v>
      </c>
      <c r="G175" s="5" t="s">
        <v>67</v>
      </c>
      <c r="H175" s="2" t="n">
        <v>1</v>
      </c>
      <c r="I175" s="2" t="n">
        <v>1</v>
      </c>
      <c r="J175" s="2" t="n">
        <v>1</v>
      </c>
      <c r="K175" s="7" t="n">
        <v>0.5134916496</v>
      </c>
      <c r="L175" s="7" t="n">
        <v>0.02397104593</v>
      </c>
      <c r="M175" s="7" t="n">
        <v>0.03806825937</v>
      </c>
      <c r="N175" s="7" t="n">
        <v>12</v>
      </c>
      <c r="O175" s="7" t="n">
        <v>12</v>
      </c>
      <c r="P175" s="7" t="n">
        <v>10</v>
      </c>
      <c r="Q175" s="2"/>
      <c r="R175" s="7" t="n">
        <v>1.967729</v>
      </c>
      <c r="S175" s="5" t="s">
        <v>60</v>
      </c>
      <c r="T175" s="5" t="s">
        <v>61</v>
      </c>
    </row>
    <row r="176" customFormat="false" ht="15" hidden="false" customHeight="false" outlineLevel="0" collapsed="false">
      <c r="A176" s="5" t="s">
        <v>4</v>
      </c>
      <c r="B176" s="5" t="s">
        <v>55</v>
      </c>
      <c r="C176" s="2" t="s">
        <v>56</v>
      </c>
      <c r="D176" s="5" t="s">
        <v>57</v>
      </c>
      <c r="E176" s="5" t="s">
        <v>58</v>
      </c>
      <c r="F176" s="2" t="n">
        <v>20</v>
      </c>
      <c r="G176" s="5" t="s">
        <v>68</v>
      </c>
      <c r="H176" s="2" t="n">
        <v>1</v>
      </c>
      <c r="I176" s="2" t="n">
        <v>1</v>
      </c>
      <c r="J176" s="2" t="n">
        <v>1</v>
      </c>
      <c r="K176" s="7" t="n">
        <v>0.8772652773</v>
      </c>
      <c r="L176" s="7" t="n">
        <v>0.05004521918</v>
      </c>
      <c r="M176" s="7" t="n">
        <v>0.07334930217</v>
      </c>
      <c r="N176" s="7" t="n">
        <v>6</v>
      </c>
      <c r="O176" s="7" t="n">
        <v>6</v>
      </c>
      <c r="P176" s="7" t="n">
        <v>0</v>
      </c>
      <c r="Q176" s="2"/>
      <c r="R176" s="7" t="n">
        <v>5.56689</v>
      </c>
      <c r="S176" s="5" t="s">
        <v>60</v>
      </c>
      <c r="T176" s="5" t="s">
        <v>61</v>
      </c>
    </row>
    <row r="177" customFormat="false" ht="15" hidden="false" customHeight="false" outlineLevel="0" collapsed="false">
      <c r="A177" s="5" t="s">
        <v>4</v>
      </c>
      <c r="B177" s="5" t="s">
        <v>55</v>
      </c>
      <c r="C177" s="2" t="s">
        <v>56</v>
      </c>
      <c r="D177" s="5" t="s">
        <v>57</v>
      </c>
      <c r="E177" s="5" t="s">
        <v>62</v>
      </c>
      <c r="F177" s="2" t="n">
        <v>20</v>
      </c>
      <c r="G177" s="5" t="s">
        <v>68</v>
      </c>
      <c r="H177" s="2" t="n">
        <v>1</v>
      </c>
      <c r="I177" s="2" t="n">
        <v>1</v>
      </c>
      <c r="J177" s="2" t="n">
        <v>1</v>
      </c>
      <c r="K177" s="7" t="n">
        <v>0.8772652773</v>
      </c>
      <c r="L177" s="7" t="n">
        <v>0.05004521918</v>
      </c>
      <c r="M177" s="7" t="n">
        <v>0.07334930217</v>
      </c>
      <c r="N177" s="7" t="n">
        <v>6</v>
      </c>
      <c r="O177" s="7" t="n">
        <v>6</v>
      </c>
      <c r="P177" s="7" t="n">
        <v>6</v>
      </c>
      <c r="Q177" s="2"/>
      <c r="R177" s="7" t="n">
        <v>5.952621</v>
      </c>
      <c r="S177" s="5" t="s">
        <v>60</v>
      </c>
      <c r="T177" s="5" t="s">
        <v>61</v>
      </c>
    </row>
    <row r="178" customFormat="false" ht="15" hidden="false" customHeight="false" outlineLevel="0" collapsed="false">
      <c r="A178" s="5" t="s">
        <v>4</v>
      </c>
      <c r="B178" s="5" t="s">
        <v>55</v>
      </c>
      <c r="C178" s="2" t="s">
        <v>56</v>
      </c>
      <c r="D178" s="5" t="s">
        <v>57</v>
      </c>
      <c r="E178" s="5" t="s">
        <v>58</v>
      </c>
      <c r="F178" s="2" t="n">
        <v>20</v>
      </c>
      <c r="G178" s="5" t="s">
        <v>69</v>
      </c>
      <c r="H178" s="2" t="n">
        <v>1</v>
      </c>
      <c r="I178" s="2" t="n">
        <v>1</v>
      </c>
      <c r="J178" s="2" t="n">
        <v>1</v>
      </c>
      <c r="K178" s="7" t="n">
        <v>0.2280483228</v>
      </c>
      <c r="L178" s="7" t="n">
        <v>0.04919435718</v>
      </c>
      <c r="M178" s="7" t="n">
        <v>0.0553132435</v>
      </c>
      <c r="N178" s="7" t="n">
        <v>4</v>
      </c>
      <c r="O178" s="7" t="n">
        <v>4</v>
      </c>
      <c r="P178" s="7" t="n">
        <v>0</v>
      </c>
      <c r="Q178" s="2"/>
      <c r="R178" s="7" t="n">
        <v>6.603203</v>
      </c>
      <c r="S178" s="5" t="s">
        <v>60</v>
      </c>
      <c r="T178" s="5" t="s">
        <v>61</v>
      </c>
    </row>
    <row r="179" customFormat="false" ht="15" hidden="false" customHeight="false" outlineLevel="0" collapsed="false">
      <c r="A179" s="5" t="s">
        <v>4</v>
      </c>
      <c r="B179" s="5" t="s">
        <v>55</v>
      </c>
      <c r="C179" s="2" t="s">
        <v>56</v>
      </c>
      <c r="D179" s="5" t="s">
        <v>57</v>
      </c>
      <c r="E179" s="5" t="s">
        <v>62</v>
      </c>
      <c r="F179" s="2" t="n">
        <v>20</v>
      </c>
      <c r="G179" s="5" t="s">
        <v>69</v>
      </c>
      <c r="H179" s="2" t="n">
        <v>1</v>
      </c>
      <c r="I179" s="2" t="n">
        <v>1</v>
      </c>
      <c r="J179" s="2" t="n">
        <v>1</v>
      </c>
      <c r="K179" s="7" t="n">
        <v>0.2280483228</v>
      </c>
      <c r="L179" s="7" t="n">
        <v>0.04919435718</v>
      </c>
      <c r="M179" s="7" t="n">
        <v>0.0553132435</v>
      </c>
      <c r="N179" s="7" t="n">
        <v>4</v>
      </c>
      <c r="O179" s="7" t="n">
        <v>4</v>
      </c>
      <c r="P179" s="7" t="n">
        <v>4</v>
      </c>
      <c r="Q179" s="2"/>
      <c r="R179" s="7" t="n">
        <v>6.881494</v>
      </c>
      <c r="S179" s="5" t="s">
        <v>60</v>
      </c>
      <c r="T179" s="5" t="s">
        <v>61</v>
      </c>
    </row>
    <row r="180" customFormat="false" ht="15" hidden="false" customHeight="false" outlineLevel="0" collapsed="false">
      <c r="A180" s="5" t="s">
        <v>4</v>
      </c>
      <c r="B180" s="5" t="s">
        <v>55</v>
      </c>
      <c r="C180" s="2" t="s">
        <v>56</v>
      </c>
      <c r="D180" s="5" t="s">
        <v>57</v>
      </c>
      <c r="E180" s="5" t="s">
        <v>58</v>
      </c>
      <c r="F180" s="2" t="n">
        <v>20</v>
      </c>
      <c r="G180" s="5" t="s">
        <v>70</v>
      </c>
      <c r="H180" s="2" t="n">
        <v>0</v>
      </c>
      <c r="I180" s="2" t="n">
        <v>1</v>
      </c>
      <c r="J180" s="2" t="n">
        <v>0</v>
      </c>
      <c r="K180" s="7" t="n">
        <v>3.262640896</v>
      </c>
      <c r="L180" s="7" t="n">
        <v>0.2761746595</v>
      </c>
      <c r="M180" s="7" t="n">
        <v>0.3456873924</v>
      </c>
      <c r="N180" s="7" t="n">
        <v>4</v>
      </c>
      <c r="O180" s="7" t="n">
        <v>4</v>
      </c>
      <c r="P180" s="7" t="n">
        <v>0</v>
      </c>
      <c r="Q180" s="2"/>
      <c r="R180" s="7" t="n">
        <v>2.321362</v>
      </c>
      <c r="S180" s="5" t="s">
        <v>60</v>
      </c>
      <c r="T180" s="5" t="s">
        <v>61</v>
      </c>
    </row>
    <row r="181" customFormat="false" ht="15" hidden="false" customHeight="false" outlineLevel="0" collapsed="false">
      <c r="A181" s="5" t="s">
        <v>4</v>
      </c>
      <c r="B181" s="5" t="s">
        <v>55</v>
      </c>
      <c r="C181" s="2" t="s">
        <v>56</v>
      </c>
      <c r="D181" s="5" t="s">
        <v>57</v>
      </c>
      <c r="E181" s="5" t="s">
        <v>62</v>
      </c>
      <c r="F181" s="2" t="n">
        <v>20</v>
      </c>
      <c r="G181" s="5" t="s">
        <v>70</v>
      </c>
      <c r="H181" s="2" t="n">
        <v>0</v>
      </c>
      <c r="I181" s="2" t="n">
        <v>1</v>
      </c>
      <c r="J181" s="2" t="n">
        <v>0</v>
      </c>
      <c r="K181" s="7" t="n">
        <v>9.119805161</v>
      </c>
      <c r="L181" s="7" t="n">
        <v>0.6346056664</v>
      </c>
      <c r="M181" s="7" t="n">
        <v>0.8055179125</v>
      </c>
      <c r="N181" s="7" t="n">
        <v>4</v>
      </c>
      <c r="O181" s="7" t="n">
        <v>4</v>
      </c>
      <c r="P181" s="7" t="n">
        <v>3</v>
      </c>
      <c r="Q181" s="2"/>
      <c r="R181" s="7" t="n">
        <v>2.621306</v>
      </c>
      <c r="S181" s="5" t="s">
        <v>60</v>
      </c>
      <c r="T181" s="5" t="s">
        <v>61</v>
      </c>
    </row>
    <row r="182" customFormat="false" ht="15" hidden="false" customHeight="false" outlineLevel="0" collapsed="false">
      <c r="A182" s="5" t="s">
        <v>4</v>
      </c>
      <c r="B182" s="5" t="s">
        <v>55</v>
      </c>
      <c r="C182" s="2" t="s">
        <v>56</v>
      </c>
      <c r="D182" s="5" t="s">
        <v>57</v>
      </c>
      <c r="E182" s="5" t="s">
        <v>58</v>
      </c>
      <c r="F182" s="2" t="n">
        <v>11</v>
      </c>
      <c r="G182" s="5" t="s">
        <v>71</v>
      </c>
      <c r="H182" s="2" t="n">
        <v>1</v>
      </c>
      <c r="I182" s="2" t="n">
        <v>1</v>
      </c>
      <c r="J182" s="2" t="n">
        <v>1</v>
      </c>
      <c r="K182" s="7" t="n">
        <v>0.6215050696</v>
      </c>
      <c r="L182" s="7" t="n">
        <v>0.02856535929</v>
      </c>
      <c r="M182" s="7" t="n">
        <v>0.04489883902</v>
      </c>
      <c r="N182" s="7" t="n">
        <v>8</v>
      </c>
      <c r="O182" s="7" t="n">
        <v>8</v>
      </c>
      <c r="P182" s="7" t="n">
        <v>0</v>
      </c>
      <c r="Q182" s="2"/>
      <c r="R182" s="7" t="n">
        <v>1.467379</v>
      </c>
      <c r="S182" s="5" t="s">
        <v>60</v>
      </c>
      <c r="T182" s="5" t="s">
        <v>61</v>
      </c>
    </row>
    <row r="183" customFormat="false" ht="15" hidden="false" customHeight="false" outlineLevel="0" collapsed="false">
      <c r="A183" s="5" t="s">
        <v>4</v>
      </c>
      <c r="B183" s="5" t="s">
        <v>55</v>
      </c>
      <c r="C183" s="2" t="s">
        <v>56</v>
      </c>
      <c r="D183" s="5" t="s">
        <v>57</v>
      </c>
      <c r="E183" s="5" t="s">
        <v>62</v>
      </c>
      <c r="F183" s="2" t="n">
        <v>11</v>
      </c>
      <c r="G183" s="5" t="s">
        <v>71</v>
      </c>
      <c r="H183" s="2" t="n">
        <v>1</v>
      </c>
      <c r="I183" s="2" t="n">
        <v>1</v>
      </c>
      <c r="J183" s="2" t="n">
        <v>1</v>
      </c>
      <c r="K183" s="7" t="n">
        <v>0.6215050696</v>
      </c>
      <c r="L183" s="7" t="n">
        <v>0.02856535929</v>
      </c>
      <c r="M183" s="7" t="n">
        <v>0.04489883902</v>
      </c>
      <c r="N183" s="7" t="n">
        <v>8</v>
      </c>
      <c r="O183" s="7" t="n">
        <v>8</v>
      </c>
      <c r="P183" s="7" t="n">
        <v>8</v>
      </c>
      <c r="Q183" s="2"/>
      <c r="R183" s="7" t="n">
        <v>1.970403</v>
      </c>
      <c r="S183" s="5" t="s">
        <v>60</v>
      </c>
      <c r="T183" s="5" t="s">
        <v>61</v>
      </c>
    </row>
    <row r="184" customFormat="false" ht="15" hidden="false" customHeight="false" outlineLevel="0" collapsed="false">
      <c r="A184" s="5" t="s">
        <v>4</v>
      </c>
      <c r="B184" s="5" t="s">
        <v>55</v>
      </c>
      <c r="C184" s="2" t="s">
        <v>56</v>
      </c>
      <c r="D184" s="5" t="s">
        <v>57</v>
      </c>
      <c r="E184" s="5" t="s">
        <v>58</v>
      </c>
      <c r="F184" s="2" t="n">
        <v>11</v>
      </c>
      <c r="G184" s="5" t="s">
        <v>72</v>
      </c>
      <c r="H184" s="2" t="n">
        <v>1</v>
      </c>
      <c r="I184" s="2" t="n">
        <v>1</v>
      </c>
      <c r="J184" s="2" t="n">
        <v>1</v>
      </c>
      <c r="K184" s="7" t="n">
        <v>0.1369709947</v>
      </c>
      <c r="L184" s="7" t="n">
        <v>0.03364849734</v>
      </c>
      <c r="M184" s="7" t="n">
        <v>0.03422122335</v>
      </c>
      <c r="N184" s="7" t="n">
        <v>7</v>
      </c>
      <c r="O184" s="7" t="n">
        <v>7</v>
      </c>
      <c r="P184" s="7" t="n">
        <v>0</v>
      </c>
      <c r="Q184" s="2"/>
      <c r="R184" s="7" t="n">
        <v>6.180217</v>
      </c>
      <c r="S184" s="5" t="s">
        <v>60</v>
      </c>
      <c r="T184" s="5" t="s">
        <v>61</v>
      </c>
    </row>
    <row r="185" customFormat="false" ht="15" hidden="false" customHeight="false" outlineLevel="0" collapsed="false">
      <c r="A185" s="5" t="s">
        <v>4</v>
      </c>
      <c r="B185" s="5" t="s">
        <v>55</v>
      </c>
      <c r="C185" s="2" t="s">
        <v>56</v>
      </c>
      <c r="D185" s="5" t="s">
        <v>57</v>
      </c>
      <c r="E185" s="5" t="s">
        <v>62</v>
      </c>
      <c r="F185" s="2" t="n">
        <v>11</v>
      </c>
      <c r="G185" s="5" t="s">
        <v>72</v>
      </c>
      <c r="H185" s="2" t="n">
        <v>1</v>
      </c>
      <c r="I185" s="2" t="n">
        <v>1</v>
      </c>
      <c r="J185" s="2" t="n">
        <v>1</v>
      </c>
      <c r="K185" s="7" t="n">
        <v>0.1369709947</v>
      </c>
      <c r="L185" s="7" t="n">
        <v>0.03364849734</v>
      </c>
      <c r="M185" s="7" t="n">
        <v>0.03422122335</v>
      </c>
      <c r="N185" s="7" t="n">
        <v>7</v>
      </c>
      <c r="O185" s="7" t="n">
        <v>7</v>
      </c>
      <c r="P185" s="7" t="n">
        <v>7</v>
      </c>
      <c r="Q185" s="2"/>
      <c r="R185" s="7" t="n">
        <v>6.719444</v>
      </c>
      <c r="S185" s="5" t="s">
        <v>60</v>
      </c>
      <c r="T185" s="5" t="s">
        <v>61</v>
      </c>
    </row>
    <row r="186" customFormat="false" ht="15" hidden="false" customHeight="false" outlineLevel="0" collapsed="false">
      <c r="A186" s="5" t="s">
        <v>4</v>
      </c>
      <c r="B186" s="5" t="s">
        <v>55</v>
      </c>
      <c r="C186" s="2" t="s">
        <v>56</v>
      </c>
      <c r="D186" s="5" t="s">
        <v>57</v>
      </c>
      <c r="E186" s="5" t="s">
        <v>58</v>
      </c>
      <c r="F186" s="2" t="n">
        <v>11</v>
      </c>
      <c r="G186" s="5" t="s">
        <v>73</v>
      </c>
      <c r="H186" s="2" t="n">
        <v>0</v>
      </c>
      <c r="I186" s="2" t="n">
        <v>0</v>
      </c>
      <c r="J186" s="2" t="n">
        <v>0</v>
      </c>
      <c r="K186" s="2"/>
      <c r="L186" s="2"/>
      <c r="M186" s="2"/>
      <c r="N186" s="7" t="n">
        <v>2</v>
      </c>
      <c r="O186" s="7" t="n">
        <v>2</v>
      </c>
      <c r="P186" s="7" t="n">
        <v>0</v>
      </c>
      <c r="Q186" s="2"/>
      <c r="R186" s="7" t="n">
        <v>1.98253</v>
      </c>
      <c r="S186" s="5" t="s">
        <v>60</v>
      </c>
      <c r="T186" s="5" t="s">
        <v>61</v>
      </c>
    </row>
    <row r="187" customFormat="false" ht="15" hidden="false" customHeight="false" outlineLevel="0" collapsed="false">
      <c r="A187" s="5" t="s">
        <v>4</v>
      </c>
      <c r="B187" s="5" t="s">
        <v>55</v>
      </c>
      <c r="C187" s="2" t="s">
        <v>56</v>
      </c>
      <c r="D187" s="5" t="s">
        <v>57</v>
      </c>
      <c r="E187" s="5" t="s">
        <v>62</v>
      </c>
      <c r="F187" s="2" t="n">
        <v>11</v>
      </c>
      <c r="G187" s="5" t="s">
        <v>73</v>
      </c>
      <c r="H187" s="2" t="n">
        <v>0</v>
      </c>
      <c r="I187" s="2" t="n">
        <v>0</v>
      </c>
      <c r="J187" s="2" t="n">
        <v>0</v>
      </c>
      <c r="K187" s="2"/>
      <c r="L187" s="2"/>
      <c r="M187" s="2"/>
      <c r="N187" s="7" t="n">
        <v>2</v>
      </c>
      <c r="O187" s="7" t="n">
        <v>2</v>
      </c>
      <c r="P187" s="7" t="n">
        <v>0</v>
      </c>
      <c r="Q187" s="2"/>
      <c r="R187" s="7" t="n">
        <v>1.982581</v>
      </c>
      <c r="S187" s="5" t="s">
        <v>60</v>
      </c>
      <c r="T187" s="5" t="s">
        <v>61</v>
      </c>
    </row>
    <row r="188" customFormat="false" ht="15" hidden="false" customHeight="false" outlineLevel="0" collapsed="false">
      <c r="A188" s="5" t="s">
        <v>4</v>
      </c>
      <c r="B188" s="5" t="s">
        <v>55</v>
      </c>
      <c r="C188" s="2" t="s">
        <v>56</v>
      </c>
      <c r="D188" s="5" t="s">
        <v>57</v>
      </c>
      <c r="E188" s="5" t="s">
        <v>58</v>
      </c>
      <c r="F188" s="2" t="n">
        <v>12</v>
      </c>
      <c r="G188" s="5" t="s">
        <v>71</v>
      </c>
      <c r="H188" s="2" t="n">
        <v>1</v>
      </c>
      <c r="I188" s="2" t="n">
        <v>1</v>
      </c>
      <c r="J188" s="2" t="n">
        <v>1</v>
      </c>
      <c r="K188" s="7" t="n">
        <v>0.5172907482</v>
      </c>
      <c r="L188" s="7" t="n">
        <v>0.02097572934</v>
      </c>
      <c r="M188" s="7" t="n">
        <v>0.03589144357</v>
      </c>
      <c r="N188" s="7" t="n">
        <v>5</v>
      </c>
      <c r="O188" s="7" t="n">
        <v>5</v>
      </c>
      <c r="P188" s="7" t="n">
        <v>0</v>
      </c>
      <c r="Q188" s="2"/>
      <c r="R188" s="7" t="n">
        <v>1.187966</v>
      </c>
      <c r="S188" s="5" t="s">
        <v>60</v>
      </c>
      <c r="T188" s="5" t="s">
        <v>61</v>
      </c>
    </row>
    <row r="189" customFormat="false" ht="15" hidden="false" customHeight="false" outlineLevel="0" collapsed="false">
      <c r="A189" s="5" t="s">
        <v>4</v>
      </c>
      <c r="B189" s="5" t="s">
        <v>55</v>
      </c>
      <c r="C189" s="2" t="s">
        <v>56</v>
      </c>
      <c r="D189" s="5" t="s">
        <v>57</v>
      </c>
      <c r="E189" s="5" t="s">
        <v>62</v>
      </c>
      <c r="F189" s="2" t="n">
        <v>12</v>
      </c>
      <c r="G189" s="5" t="s">
        <v>71</v>
      </c>
      <c r="H189" s="2" t="n">
        <v>1</v>
      </c>
      <c r="I189" s="2" t="n">
        <v>1</v>
      </c>
      <c r="J189" s="2" t="n">
        <v>1</v>
      </c>
      <c r="K189" s="7" t="n">
        <v>0.5172907482</v>
      </c>
      <c r="L189" s="7" t="n">
        <v>0.02097572934</v>
      </c>
      <c r="M189" s="7" t="n">
        <v>0.03589144357</v>
      </c>
      <c r="N189" s="7" t="n">
        <v>5</v>
      </c>
      <c r="O189" s="7" t="n">
        <v>5</v>
      </c>
      <c r="P189" s="7" t="n">
        <v>5</v>
      </c>
      <c r="Q189" s="2"/>
      <c r="R189" s="7" t="n">
        <v>1.510283</v>
      </c>
      <c r="S189" s="5" t="s">
        <v>60</v>
      </c>
      <c r="T189" s="5" t="s">
        <v>61</v>
      </c>
    </row>
    <row r="190" customFormat="false" ht="15" hidden="false" customHeight="false" outlineLevel="0" collapsed="false">
      <c r="A190" s="5" t="s">
        <v>4</v>
      </c>
      <c r="B190" s="5" t="s">
        <v>55</v>
      </c>
      <c r="C190" s="2" t="s">
        <v>56</v>
      </c>
      <c r="D190" s="5" t="s">
        <v>57</v>
      </c>
      <c r="E190" s="5" t="s">
        <v>58</v>
      </c>
      <c r="F190" s="2" t="n">
        <v>12</v>
      </c>
      <c r="G190" s="5" t="s">
        <v>72</v>
      </c>
      <c r="H190" s="2" t="n">
        <v>1</v>
      </c>
      <c r="I190" s="2" t="n">
        <v>1</v>
      </c>
      <c r="J190" s="2" t="n">
        <v>1</v>
      </c>
      <c r="K190" s="7" t="n">
        <v>0.125239273</v>
      </c>
      <c r="L190" s="7" t="n">
        <v>0.0228465379</v>
      </c>
      <c r="M190" s="7" t="n">
        <v>0.02539984076</v>
      </c>
      <c r="N190" s="7" t="n">
        <v>7</v>
      </c>
      <c r="O190" s="7" t="n">
        <v>7</v>
      </c>
      <c r="P190" s="7" t="n">
        <v>0</v>
      </c>
      <c r="Q190" s="2"/>
      <c r="R190" s="7" t="n">
        <v>2.161455</v>
      </c>
      <c r="S190" s="5" t="s">
        <v>60</v>
      </c>
      <c r="T190" s="5" t="s">
        <v>61</v>
      </c>
    </row>
    <row r="191" customFormat="false" ht="15" hidden="false" customHeight="false" outlineLevel="0" collapsed="false">
      <c r="A191" s="5" t="s">
        <v>4</v>
      </c>
      <c r="B191" s="5" t="s">
        <v>55</v>
      </c>
      <c r="C191" s="2" t="s">
        <v>56</v>
      </c>
      <c r="D191" s="5" t="s">
        <v>57</v>
      </c>
      <c r="E191" s="5" t="s">
        <v>62</v>
      </c>
      <c r="F191" s="2" t="n">
        <v>12</v>
      </c>
      <c r="G191" s="5" t="s">
        <v>72</v>
      </c>
      <c r="H191" s="2" t="n">
        <v>1</v>
      </c>
      <c r="I191" s="2" t="n">
        <v>1</v>
      </c>
      <c r="J191" s="2" t="n">
        <v>1</v>
      </c>
      <c r="K191" s="7" t="n">
        <v>0.125239273</v>
      </c>
      <c r="L191" s="7" t="n">
        <v>0.0228465379</v>
      </c>
      <c r="M191" s="7" t="n">
        <v>0.02539984076</v>
      </c>
      <c r="N191" s="7" t="n">
        <v>7</v>
      </c>
      <c r="O191" s="7" t="n">
        <v>7</v>
      </c>
      <c r="P191" s="7" t="n">
        <v>7</v>
      </c>
      <c r="Q191" s="2"/>
      <c r="R191" s="7" t="n">
        <v>2.658751</v>
      </c>
      <c r="S191" s="5" t="s">
        <v>60</v>
      </c>
      <c r="T191" s="5" t="s">
        <v>61</v>
      </c>
    </row>
    <row r="192" customFormat="false" ht="15" hidden="false" customHeight="false" outlineLevel="0" collapsed="false">
      <c r="A192" s="5" t="s">
        <v>4</v>
      </c>
      <c r="B192" s="5" t="s">
        <v>55</v>
      </c>
      <c r="C192" s="2" t="s">
        <v>56</v>
      </c>
      <c r="D192" s="5" t="s">
        <v>57</v>
      </c>
      <c r="E192" s="5" t="s">
        <v>58</v>
      </c>
      <c r="F192" s="2" t="n">
        <v>12</v>
      </c>
      <c r="G192" s="5" t="s">
        <v>73</v>
      </c>
      <c r="H192" s="2" t="n">
        <v>0</v>
      </c>
      <c r="I192" s="2" t="n">
        <v>0</v>
      </c>
      <c r="J192" s="2" t="n">
        <v>0</v>
      </c>
      <c r="K192" s="2"/>
      <c r="L192" s="2"/>
      <c r="M192" s="2"/>
      <c r="N192" s="7" t="n">
        <v>1</v>
      </c>
      <c r="O192" s="7" t="n">
        <v>1</v>
      </c>
      <c r="P192" s="7" t="n">
        <v>0</v>
      </c>
      <c r="Q192" s="2"/>
      <c r="R192" s="7" t="n">
        <v>2.058383</v>
      </c>
      <c r="S192" s="5" t="s">
        <v>60</v>
      </c>
      <c r="T192" s="5" t="s">
        <v>61</v>
      </c>
    </row>
    <row r="193" customFormat="false" ht="15" hidden="false" customHeight="false" outlineLevel="0" collapsed="false">
      <c r="A193" s="5" t="s">
        <v>4</v>
      </c>
      <c r="B193" s="5" t="s">
        <v>55</v>
      </c>
      <c r="C193" s="2" t="s">
        <v>56</v>
      </c>
      <c r="D193" s="5" t="s">
        <v>57</v>
      </c>
      <c r="E193" s="5" t="s">
        <v>62</v>
      </c>
      <c r="F193" s="2" t="n">
        <v>12</v>
      </c>
      <c r="G193" s="5" t="s">
        <v>73</v>
      </c>
      <c r="H193" s="2" t="n">
        <v>0</v>
      </c>
      <c r="I193" s="2" t="n">
        <v>0</v>
      </c>
      <c r="J193" s="2" t="n">
        <v>0</v>
      </c>
      <c r="K193" s="2"/>
      <c r="L193" s="2"/>
      <c r="M193" s="2"/>
      <c r="N193" s="7" t="n">
        <v>1</v>
      </c>
      <c r="O193" s="7" t="n">
        <v>1</v>
      </c>
      <c r="P193" s="7" t="n">
        <v>0</v>
      </c>
      <c r="Q193" s="2"/>
      <c r="R193" s="7" t="n">
        <v>2.057952</v>
      </c>
      <c r="S193" s="5" t="s">
        <v>60</v>
      </c>
      <c r="T193" s="5" t="s">
        <v>61</v>
      </c>
    </row>
    <row r="194" customFormat="false" ht="15" hidden="false" customHeight="false" outlineLevel="0" collapsed="false">
      <c r="A194" s="5" t="s">
        <v>4</v>
      </c>
      <c r="B194" s="5" t="s">
        <v>55</v>
      </c>
      <c r="C194" s="2" t="s">
        <v>56</v>
      </c>
      <c r="D194" s="5" t="s">
        <v>57</v>
      </c>
      <c r="E194" s="5" t="s">
        <v>58</v>
      </c>
      <c r="F194" s="2" t="n">
        <v>13</v>
      </c>
      <c r="G194" s="5" t="s">
        <v>71</v>
      </c>
      <c r="H194" s="2" t="n">
        <v>1</v>
      </c>
      <c r="I194" s="2" t="n">
        <v>1</v>
      </c>
      <c r="J194" s="2" t="n">
        <v>1</v>
      </c>
      <c r="K194" s="7" t="n">
        <v>0.4238631578</v>
      </c>
      <c r="L194" s="7" t="n">
        <v>0.0132251595</v>
      </c>
      <c r="M194" s="7" t="n">
        <v>0.02869926057</v>
      </c>
      <c r="N194" s="7" t="n">
        <v>6</v>
      </c>
      <c r="O194" s="7" t="n">
        <v>6</v>
      </c>
      <c r="P194" s="7" t="n">
        <v>0</v>
      </c>
      <c r="Q194" s="2"/>
      <c r="R194" s="7" t="n">
        <v>1.273904</v>
      </c>
      <c r="S194" s="5" t="s">
        <v>60</v>
      </c>
      <c r="T194" s="5" t="s">
        <v>61</v>
      </c>
    </row>
    <row r="195" customFormat="false" ht="15" hidden="false" customHeight="false" outlineLevel="0" collapsed="false">
      <c r="A195" s="5" t="s">
        <v>4</v>
      </c>
      <c r="B195" s="5" t="s">
        <v>55</v>
      </c>
      <c r="C195" s="2" t="s">
        <v>56</v>
      </c>
      <c r="D195" s="5" t="s">
        <v>57</v>
      </c>
      <c r="E195" s="5" t="s">
        <v>62</v>
      </c>
      <c r="F195" s="2" t="n">
        <v>13</v>
      </c>
      <c r="G195" s="5" t="s">
        <v>71</v>
      </c>
      <c r="H195" s="2" t="n">
        <v>1</v>
      </c>
      <c r="I195" s="2" t="n">
        <v>1</v>
      </c>
      <c r="J195" s="2" t="n">
        <v>1</v>
      </c>
      <c r="K195" s="7" t="n">
        <v>0.4238631578</v>
      </c>
      <c r="L195" s="7" t="n">
        <v>0.0132251595</v>
      </c>
      <c r="M195" s="7" t="n">
        <v>0.02869926057</v>
      </c>
      <c r="N195" s="7" t="n">
        <v>6</v>
      </c>
      <c r="O195" s="7" t="n">
        <v>6</v>
      </c>
      <c r="P195" s="7" t="n">
        <v>6</v>
      </c>
      <c r="Q195" s="2"/>
      <c r="R195" s="7" t="n">
        <v>1.655718</v>
      </c>
      <c r="S195" s="5" t="s">
        <v>60</v>
      </c>
      <c r="T195" s="5" t="s">
        <v>61</v>
      </c>
    </row>
    <row r="196" customFormat="false" ht="15" hidden="false" customHeight="false" outlineLevel="0" collapsed="false">
      <c r="A196" s="5" t="s">
        <v>4</v>
      </c>
      <c r="B196" s="5" t="s">
        <v>55</v>
      </c>
      <c r="C196" s="2" t="s">
        <v>56</v>
      </c>
      <c r="D196" s="5" t="s">
        <v>57</v>
      </c>
      <c r="E196" s="5" t="s">
        <v>58</v>
      </c>
      <c r="F196" s="2" t="n">
        <v>13</v>
      </c>
      <c r="G196" s="5" t="s">
        <v>72</v>
      </c>
      <c r="H196" s="2" t="n">
        <v>1</v>
      </c>
      <c r="I196" s="2" t="n">
        <v>0</v>
      </c>
      <c r="J196" s="2" t="n">
        <v>0</v>
      </c>
      <c r="K196" s="2"/>
      <c r="L196" s="2"/>
      <c r="M196" s="2"/>
      <c r="N196" s="7" t="n">
        <v>1</v>
      </c>
      <c r="O196" s="7" t="n">
        <v>1</v>
      </c>
      <c r="P196" s="7" t="n">
        <v>0</v>
      </c>
      <c r="Q196" s="2"/>
      <c r="R196" s="7" t="n">
        <v>2.069249</v>
      </c>
      <c r="S196" s="5" t="s">
        <v>60</v>
      </c>
      <c r="T196" s="5" t="s">
        <v>61</v>
      </c>
    </row>
    <row r="197" customFormat="false" ht="15" hidden="false" customHeight="false" outlineLevel="0" collapsed="false">
      <c r="A197" s="5" t="s">
        <v>4</v>
      </c>
      <c r="B197" s="5" t="s">
        <v>55</v>
      </c>
      <c r="C197" s="2" t="s">
        <v>56</v>
      </c>
      <c r="D197" s="5" t="s">
        <v>57</v>
      </c>
      <c r="E197" s="5" t="s">
        <v>62</v>
      </c>
      <c r="F197" s="2" t="n">
        <v>13</v>
      </c>
      <c r="G197" s="5" t="s">
        <v>72</v>
      </c>
      <c r="H197" s="2" t="n">
        <v>1</v>
      </c>
      <c r="I197" s="2" t="n">
        <v>0</v>
      </c>
      <c r="J197" s="2" t="n">
        <v>0</v>
      </c>
      <c r="K197" s="2"/>
      <c r="L197" s="2"/>
      <c r="M197" s="2"/>
      <c r="N197" s="7" t="n">
        <v>1</v>
      </c>
      <c r="O197" s="7" t="n">
        <v>1</v>
      </c>
      <c r="P197" s="7" t="n">
        <v>0</v>
      </c>
      <c r="Q197" s="2"/>
      <c r="R197" s="7" t="n">
        <v>2.069129</v>
      </c>
      <c r="S197" s="5" t="s">
        <v>60</v>
      </c>
      <c r="T197" s="5" t="s">
        <v>61</v>
      </c>
    </row>
    <row r="198" customFormat="false" ht="15" hidden="false" customHeight="false" outlineLevel="0" collapsed="false">
      <c r="A198" s="5" t="s">
        <v>4</v>
      </c>
      <c r="B198" s="5" t="s">
        <v>55</v>
      </c>
      <c r="C198" s="2" t="s">
        <v>56</v>
      </c>
      <c r="D198" s="5" t="s">
        <v>57</v>
      </c>
      <c r="E198" s="5" t="s">
        <v>58</v>
      </c>
      <c r="F198" s="2" t="n">
        <v>13</v>
      </c>
      <c r="G198" s="5" t="s">
        <v>73</v>
      </c>
      <c r="H198" s="2" t="n">
        <v>0</v>
      </c>
      <c r="I198" s="2" t="n">
        <v>0</v>
      </c>
      <c r="J198" s="2" t="n">
        <v>0</v>
      </c>
      <c r="K198" s="2"/>
      <c r="L198" s="2"/>
      <c r="M198" s="2"/>
      <c r="N198" s="7" t="n">
        <v>0</v>
      </c>
      <c r="O198" s="7" t="n">
        <v>0</v>
      </c>
      <c r="P198" s="7" t="n">
        <v>0</v>
      </c>
      <c r="Q198" s="2"/>
      <c r="R198" s="7" t="n">
        <v>1.974418</v>
      </c>
      <c r="S198" s="5" t="s">
        <v>60</v>
      </c>
      <c r="T198" s="5" t="s">
        <v>61</v>
      </c>
    </row>
    <row r="199" customFormat="false" ht="15" hidden="false" customHeight="false" outlineLevel="0" collapsed="false">
      <c r="A199" s="5" t="s">
        <v>4</v>
      </c>
      <c r="B199" s="5" t="s">
        <v>55</v>
      </c>
      <c r="C199" s="2" t="s">
        <v>56</v>
      </c>
      <c r="D199" s="5" t="s">
        <v>57</v>
      </c>
      <c r="E199" s="5" t="s">
        <v>62</v>
      </c>
      <c r="F199" s="2" t="n">
        <v>13</v>
      </c>
      <c r="G199" s="5" t="s">
        <v>73</v>
      </c>
      <c r="H199" s="2" t="n">
        <v>0</v>
      </c>
      <c r="I199" s="2" t="n">
        <v>0</v>
      </c>
      <c r="J199" s="2" t="n">
        <v>0</v>
      </c>
      <c r="K199" s="2"/>
      <c r="L199" s="2"/>
      <c r="M199" s="2"/>
      <c r="N199" s="7" t="n">
        <v>0</v>
      </c>
      <c r="O199" s="7" t="n">
        <v>0</v>
      </c>
      <c r="P199" s="7" t="n">
        <v>0</v>
      </c>
      <c r="Q199" s="2"/>
      <c r="R199" s="7" t="n">
        <v>1.974298</v>
      </c>
      <c r="S199" s="5" t="s">
        <v>60</v>
      </c>
      <c r="T199" s="5" t="s">
        <v>61</v>
      </c>
    </row>
    <row r="200" customFormat="false" ht="15" hidden="false" customHeight="false" outlineLevel="0" collapsed="false">
      <c r="A200" s="5" t="s">
        <v>4</v>
      </c>
      <c r="B200" s="5" t="s">
        <v>55</v>
      </c>
      <c r="C200" s="2" t="s">
        <v>56</v>
      </c>
      <c r="D200" s="5" t="s">
        <v>57</v>
      </c>
      <c r="E200" s="5" t="s">
        <v>58</v>
      </c>
      <c r="F200" s="2" t="n">
        <v>14</v>
      </c>
      <c r="G200" s="5" t="s">
        <v>71</v>
      </c>
      <c r="H200" s="2" t="n">
        <v>1</v>
      </c>
      <c r="I200" s="2" t="n">
        <v>1</v>
      </c>
      <c r="J200" s="2" t="n">
        <v>1</v>
      </c>
      <c r="K200" s="7" t="n">
        <v>0.5863869716</v>
      </c>
      <c r="L200" s="7" t="n">
        <v>0.0424049601</v>
      </c>
      <c r="M200" s="7" t="n">
        <v>0.05427235925</v>
      </c>
      <c r="N200" s="7" t="n">
        <v>7</v>
      </c>
      <c r="O200" s="7" t="n">
        <v>7</v>
      </c>
      <c r="P200" s="7" t="n">
        <v>0</v>
      </c>
      <c r="Q200" s="2"/>
      <c r="R200" s="7" t="n">
        <v>5.382818</v>
      </c>
      <c r="S200" s="5" t="s">
        <v>60</v>
      </c>
      <c r="T200" s="5" t="s">
        <v>61</v>
      </c>
    </row>
    <row r="201" customFormat="false" ht="15" hidden="false" customHeight="false" outlineLevel="0" collapsed="false">
      <c r="A201" s="5" t="s">
        <v>4</v>
      </c>
      <c r="B201" s="5" t="s">
        <v>55</v>
      </c>
      <c r="C201" s="2" t="s">
        <v>56</v>
      </c>
      <c r="D201" s="5" t="s">
        <v>57</v>
      </c>
      <c r="E201" s="5" t="s">
        <v>62</v>
      </c>
      <c r="F201" s="2" t="n">
        <v>14</v>
      </c>
      <c r="G201" s="5" t="s">
        <v>71</v>
      </c>
      <c r="H201" s="2" t="n">
        <v>1</v>
      </c>
      <c r="I201" s="2" t="n">
        <v>1</v>
      </c>
      <c r="J201" s="2" t="n">
        <v>1</v>
      </c>
      <c r="K201" s="7" t="n">
        <v>0.5863869716</v>
      </c>
      <c r="L201" s="7" t="n">
        <v>0.0424049601</v>
      </c>
      <c r="M201" s="7" t="n">
        <v>0.05427235925</v>
      </c>
      <c r="N201" s="7" t="n">
        <v>7</v>
      </c>
      <c r="O201" s="7" t="n">
        <v>7</v>
      </c>
      <c r="P201" s="7" t="n">
        <v>7</v>
      </c>
      <c r="Q201" s="2"/>
      <c r="R201" s="7" t="n">
        <v>9.86198</v>
      </c>
      <c r="S201" s="5" t="s">
        <v>60</v>
      </c>
      <c r="T201" s="5" t="s">
        <v>61</v>
      </c>
    </row>
    <row r="202" customFormat="false" ht="15" hidden="false" customHeight="false" outlineLevel="0" collapsed="false">
      <c r="A202" s="5" t="s">
        <v>4</v>
      </c>
      <c r="B202" s="5" t="s">
        <v>55</v>
      </c>
      <c r="C202" s="2" t="s">
        <v>56</v>
      </c>
      <c r="D202" s="5" t="s">
        <v>57</v>
      </c>
      <c r="E202" s="5" t="s">
        <v>58</v>
      </c>
      <c r="F202" s="2" t="n">
        <v>14</v>
      </c>
      <c r="G202" s="5" t="s">
        <v>72</v>
      </c>
      <c r="H202" s="2" t="n">
        <v>1</v>
      </c>
      <c r="I202" s="2" t="n">
        <v>1</v>
      </c>
      <c r="J202" s="2" t="n">
        <v>1</v>
      </c>
      <c r="K202" s="7" t="n">
        <v>0.1788403228</v>
      </c>
      <c r="L202" s="7" t="n">
        <v>0.07761470781</v>
      </c>
      <c r="M202" s="7" t="n">
        <v>0.07962575752</v>
      </c>
      <c r="N202" s="7" t="n">
        <v>7</v>
      </c>
      <c r="O202" s="7" t="n">
        <v>7</v>
      </c>
      <c r="P202" s="7" t="n">
        <v>0</v>
      </c>
      <c r="Q202" s="2"/>
      <c r="R202" s="7" t="n">
        <v>2.516269</v>
      </c>
      <c r="S202" s="5" t="s">
        <v>60</v>
      </c>
      <c r="T202" s="5" t="s">
        <v>61</v>
      </c>
    </row>
    <row r="203" customFormat="false" ht="15" hidden="false" customHeight="false" outlineLevel="0" collapsed="false">
      <c r="A203" s="5" t="s">
        <v>4</v>
      </c>
      <c r="B203" s="5" t="s">
        <v>55</v>
      </c>
      <c r="C203" s="2" t="s">
        <v>56</v>
      </c>
      <c r="D203" s="5" t="s">
        <v>57</v>
      </c>
      <c r="E203" s="5" t="s">
        <v>62</v>
      </c>
      <c r="F203" s="2" t="n">
        <v>14</v>
      </c>
      <c r="G203" s="5" t="s">
        <v>72</v>
      </c>
      <c r="H203" s="2" t="n">
        <v>1</v>
      </c>
      <c r="I203" s="2" t="n">
        <v>1</v>
      </c>
      <c r="J203" s="2" t="n">
        <v>1</v>
      </c>
      <c r="K203" s="7" t="n">
        <v>0.1788403228</v>
      </c>
      <c r="L203" s="7" t="n">
        <v>0.07761470781</v>
      </c>
      <c r="M203" s="7" t="n">
        <v>0.07962575752</v>
      </c>
      <c r="N203" s="7" t="n">
        <v>7</v>
      </c>
      <c r="O203" s="7" t="n">
        <v>7</v>
      </c>
      <c r="P203" s="7" t="n">
        <v>7</v>
      </c>
      <c r="Q203" s="2"/>
      <c r="R203" s="7" t="n">
        <v>2.985883</v>
      </c>
      <c r="S203" s="5" t="s">
        <v>60</v>
      </c>
      <c r="T203" s="5" t="s">
        <v>61</v>
      </c>
    </row>
    <row r="204" customFormat="false" ht="15" hidden="false" customHeight="false" outlineLevel="0" collapsed="false">
      <c r="A204" s="5" t="s">
        <v>4</v>
      </c>
      <c r="B204" s="5" t="s">
        <v>55</v>
      </c>
      <c r="C204" s="2" t="s">
        <v>56</v>
      </c>
      <c r="D204" s="5" t="s">
        <v>57</v>
      </c>
      <c r="E204" s="5" t="s">
        <v>58</v>
      </c>
      <c r="F204" s="2" t="n">
        <v>14</v>
      </c>
      <c r="G204" s="5" t="s">
        <v>73</v>
      </c>
      <c r="H204" s="2" t="n">
        <v>0</v>
      </c>
      <c r="I204" s="2" t="n">
        <v>1</v>
      </c>
      <c r="J204" s="2" t="n">
        <v>1</v>
      </c>
      <c r="K204" s="7" t="n">
        <v>0.6368640013</v>
      </c>
      <c r="L204" s="7" t="n">
        <v>0.3873281188</v>
      </c>
      <c r="M204" s="7" t="n">
        <v>0.3847448111</v>
      </c>
      <c r="N204" s="7" t="n">
        <v>6</v>
      </c>
      <c r="O204" s="7" t="n">
        <v>6</v>
      </c>
      <c r="P204" s="7" t="n">
        <v>0</v>
      </c>
      <c r="Q204" s="2"/>
      <c r="R204" s="7" t="n">
        <v>6.420121</v>
      </c>
      <c r="S204" s="5" t="s">
        <v>60</v>
      </c>
      <c r="T204" s="5" t="s">
        <v>61</v>
      </c>
    </row>
    <row r="205" customFormat="false" ht="15" hidden="false" customHeight="false" outlineLevel="0" collapsed="false">
      <c r="A205" s="5" t="s">
        <v>4</v>
      </c>
      <c r="B205" s="5" t="s">
        <v>55</v>
      </c>
      <c r="C205" s="2" t="s">
        <v>56</v>
      </c>
      <c r="D205" s="5" t="s">
        <v>57</v>
      </c>
      <c r="E205" s="5" t="s">
        <v>62</v>
      </c>
      <c r="F205" s="2" t="n">
        <v>14</v>
      </c>
      <c r="G205" s="5" t="s">
        <v>73</v>
      </c>
      <c r="H205" s="2" t="n">
        <v>0</v>
      </c>
      <c r="I205" s="2" t="n">
        <v>1</v>
      </c>
      <c r="J205" s="2" t="n">
        <v>1</v>
      </c>
      <c r="K205" s="7" t="n">
        <v>0.6368640013</v>
      </c>
      <c r="L205" s="7" t="n">
        <v>0.3873281188</v>
      </c>
      <c r="M205" s="7" t="n">
        <v>0.3847448111</v>
      </c>
      <c r="N205" s="7" t="n">
        <v>6</v>
      </c>
      <c r="O205" s="7" t="n">
        <v>6</v>
      </c>
      <c r="P205" s="7" t="n">
        <v>6</v>
      </c>
      <c r="Q205" s="2"/>
      <c r="R205" s="7" t="n">
        <v>6.840983</v>
      </c>
      <c r="S205" s="5" t="s">
        <v>60</v>
      </c>
      <c r="T205" s="5" t="s">
        <v>61</v>
      </c>
    </row>
    <row r="206" customFormat="false" ht="15" hidden="false" customHeight="false" outlineLevel="0" collapsed="false">
      <c r="A206" s="5" t="s">
        <v>4</v>
      </c>
      <c r="B206" s="5" t="s">
        <v>55</v>
      </c>
      <c r="C206" s="2" t="s">
        <v>56</v>
      </c>
      <c r="D206" s="5" t="s">
        <v>57</v>
      </c>
      <c r="E206" s="5" t="s">
        <v>58</v>
      </c>
      <c r="F206" s="2" t="n">
        <v>15</v>
      </c>
      <c r="G206" s="5" t="s">
        <v>71</v>
      </c>
      <c r="H206" s="2" t="n">
        <v>1</v>
      </c>
      <c r="I206" s="2" t="n">
        <v>1</v>
      </c>
      <c r="J206" s="2" t="n">
        <v>1</v>
      </c>
      <c r="K206" s="7" t="n">
        <v>0.4735297728</v>
      </c>
      <c r="L206" s="7" t="n">
        <v>0.01546334245</v>
      </c>
      <c r="M206" s="7" t="n">
        <v>0.0311808256</v>
      </c>
      <c r="N206" s="7" t="n">
        <v>8</v>
      </c>
      <c r="O206" s="7" t="n">
        <v>8</v>
      </c>
      <c r="P206" s="7" t="n">
        <v>0</v>
      </c>
      <c r="Q206" s="2"/>
      <c r="R206" s="7" t="n">
        <v>1.132835</v>
      </c>
      <c r="S206" s="5" t="s">
        <v>60</v>
      </c>
      <c r="T206" s="5" t="s">
        <v>61</v>
      </c>
    </row>
    <row r="207" customFormat="false" ht="15" hidden="false" customHeight="false" outlineLevel="0" collapsed="false">
      <c r="A207" s="5" t="s">
        <v>4</v>
      </c>
      <c r="B207" s="5" t="s">
        <v>55</v>
      </c>
      <c r="C207" s="2" t="s">
        <v>56</v>
      </c>
      <c r="D207" s="5" t="s">
        <v>57</v>
      </c>
      <c r="E207" s="5" t="s">
        <v>62</v>
      </c>
      <c r="F207" s="2" t="n">
        <v>15</v>
      </c>
      <c r="G207" s="5" t="s">
        <v>71</v>
      </c>
      <c r="H207" s="2" t="n">
        <v>1</v>
      </c>
      <c r="I207" s="2" t="n">
        <v>1</v>
      </c>
      <c r="J207" s="2" t="n">
        <v>1</v>
      </c>
      <c r="K207" s="7" t="n">
        <v>0.4735297728</v>
      </c>
      <c r="L207" s="7" t="n">
        <v>0.01546334245</v>
      </c>
      <c r="M207" s="7" t="n">
        <v>0.0311808256</v>
      </c>
      <c r="N207" s="7" t="n">
        <v>8</v>
      </c>
      <c r="O207" s="7" t="n">
        <v>8</v>
      </c>
      <c r="P207" s="7" t="n">
        <v>8</v>
      </c>
      <c r="Q207" s="2"/>
      <c r="R207" s="7" t="n">
        <v>1.655487</v>
      </c>
      <c r="S207" s="5" t="s">
        <v>60</v>
      </c>
      <c r="T207" s="5" t="s">
        <v>61</v>
      </c>
    </row>
    <row r="208" customFormat="false" ht="15" hidden="false" customHeight="false" outlineLevel="0" collapsed="false">
      <c r="A208" s="5" t="s">
        <v>4</v>
      </c>
      <c r="B208" s="5" t="s">
        <v>55</v>
      </c>
      <c r="C208" s="2" t="s">
        <v>56</v>
      </c>
      <c r="D208" s="5" t="s">
        <v>57</v>
      </c>
      <c r="E208" s="5" t="s">
        <v>58</v>
      </c>
      <c r="F208" s="2" t="n">
        <v>15</v>
      </c>
      <c r="G208" s="5" t="s">
        <v>72</v>
      </c>
      <c r="H208" s="2" t="n">
        <v>1</v>
      </c>
      <c r="I208" s="2" t="n">
        <v>1</v>
      </c>
      <c r="J208" s="2" t="n">
        <v>1</v>
      </c>
      <c r="K208" s="7" t="n">
        <v>0.2585689054</v>
      </c>
      <c r="L208" s="7" t="n">
        <v>0.05195316695</v>
      </c>
      <c r="M208" s="7" t="n">
        <v>0.05487906418</v>
      </c>
      <c r="N208" s="7" t="n">
        <v>8</v>
      </c>
      <c r="O208" s="7" t="n">
        <v>8</v>
      </c>
      <c r="P208" s="7" t="n">
        <v>0</v>
      </c>
      <c r="Q208" s="2"/>
      <c r="R208" s="7" t="n">
        <v>2.234273</v>
      </c>
      <c r="S208" s="5" t="s">
        <v>60</v>
      </c>
      <c r="T208" s="5" t="s">
        <v>61</v>
      </c>
    </row>
    <row r="209" customFormat="false" ht="15" hidden="false" customHeight="false" outlineLevel="0" collapsed="false">
      <c r="A209" s="5" t="s">
        <v>4</v>
      </c>
      <c r="B209" s="5" t="s">
        <v>55</v>
      </c>
      <c r="C209" s="2" t="s">
        <v>56</v>
      </c>
      <c r="D209" s="5" t="s">
        <v>57</v>
      </c>
      <c r="E209" s="5" t="s">
        <v>62</v>
      </c>
      <c r="F209" s="2" t="n">
        <v>15</v>
      </c>
      <c r="G209" s="5" t="s">
        <v>72</v>
      </c>
      <c r="H209" s="2" t="n">
        <v>1</v>
      </c>
      <c r="I209" s="2" t="n">
        <v>1</v>
      </c>
      <c r="J209" s="2" t="n">
        <v>1</v>
      </c>
      <c r="K209" s="7" t="n">
        <v>0.2585689054</v>
      </c>
      <c r="L209" s="7" t="n">
        <v>0.05195316695</v>
      </c>
      <c r="M209" s="7" t="n">
        <v>0.05487906418</v>
      </c>
      <c r="N209" s="7" t="n">
        <v>8</v>
      </c>
      <c r="O209" s="7" t="n">
        <v>8</v>
      </c>
      <c r="P209" s="7" t="n">
        <v>8</v>
      </c>
      <c r="Q209" s="2"/>
      <c r="R209" s="7" t="n">
        <v>6.78434</v>
      </c>
      <c r="S209" s="5" t="s">
        <v>60</v>
      </c>
      <c r="T209" s="5" t="s">
        <v>61</v>
      </c>
    </row>
    <row r="210" customFormat="false" ht="15" hidden="false" customHeight="false" outlineLevel="0" collapsed="false">
      <c r="A210" s="5" t="s">
        <v>4</v>
      </c>
      <c r="B210" s="5" t="s">
        <v>55</v>
      </c>
      <c r="C210" s="2" t="s">
        <v>56</v>
      </c>
      <c r="D210" s="5" t="s">
        <v>57</v>
      </c>
      <c r="E210" s="5" t="s">
        <v>58</v>
      </c>
      <c r="F210" s="2" t="n">
        <v>15</v>
      </c>
      <c r="G210" s="5" t="s">
        <v>73</v>
      </c>
      <c r="H210" s="2" t="n">
        <v>0</v>
      </c>
      <c r="I210" s="2" t="n">
        <v>1</v>
      </c>
      <c r="J210" s="2" t="n">
        <v>1</v>
      </c>
      <c r="K210" s="7" t="n">
        <v>0.225257952</v>
      </c>
      <c r="L210" s="7" t="n">
        <v>0.078382373</v>
      </c>
      <c r="M210" s="7" t="n">
        <v>0.08209444426</v>
      </c>
      <c r="N210" s="7" t="n">
        <v>6</v>
      </c>
      <c r="O210" s="7" t="n">
        <v>6</v>
      </c>
      <c r="P210" s="7" t="n">
        <v>0</v>
      </c>
      <c r="Q210" s="2"/>
      <c r="R210" s="7" t="n">
        <v>2.414189</v>
      </c>
      <c r="S210" s="5" t="s">
        <v>60</v>
      </c>
      <c r="T210" s="5" t="s">
        <v>61</v>
      </c>
    </row>
    <row r="211" customFormat="false" ht="15" hidden="false" customHeight="false" outlineLevel="0" collapsed="false">
      <c r="A211" s="5" t="s">
        <v>4</v>
      </c>
      <c r="B211" s="5" t="s">
        <v>55</v>
      </c>
      <c r="C211" s="2" t="s">
        <v>56</v>
      </c>
      <c r="D211" s="5" t="s">
        <v>57</v>
      </c>
      <c r="E211" s="5" t="s">
        <v>62</v>
      </c>
      <c r="F211" s="2" t="n">
        <v>15</v>
      </c>
      <c r="G211" s="5" t="s">
        <v>73</v>
      </c>
      <c r="H211" s="2" t="n">
        <v>0</v>
      </c>
      <c r="I211" s="2" t="n">
        <v>1</v>
      </c>
      <c r="J211" s="2" t="n">
        <v>1</v>
      </c>
      <c r="K211" s="7" t="n">
        <v>0.225257952</v>
      </c>
      <c r="L211" s="7" t="n">
        <v>0.078382373</v>
      </c>
      <c r="M211" s="7" t="n">
        <v>0.08209444426</v>
      </c>
      <c r="N211" s="7" t="n">
        <v>6</v>
      </c>
      <c r="O211" s="7" t="n">
        <v>6</v>
      </c>
      <c r="P211" s="7" t="n">
        <v>6</v>
      </c>
      <c r="Q211" s="2"/>
      <c r="R211" s="7" t="n">
        <v>2.829844</v>
      </c>
      <c r="S211" s="5" t="s">
        <v>60</v>
      </c>
      <c r="T211" s="5" t="s">
        <v>61</v>
      </c>
    </row>
    <row r="212" customFormat="false" ht="15" hidden="false" customHeight="false" outlineLevel="0" collapsed="false">
      <c r="A212" s="5" t="s">
        <v>4</v>
      </c>
      <c r="B212" s="5" t="s">
        <v>55</v>
      </c>
      <c r="C212" s="2" t="s">
        <v>56</v>
      </c>
      <c r="D212" s="5" t="s">
        <v>57</v>
      </c>
      <c r="E212" s="5" t="s">
        <v>58</v>
      </c>
      <c r="F212" s="2" t="n">
        <v>16</v>
      </c>
      <c r="G212" s="5" t="s">
        <v>71</v>
      </c>
      <c r="H212" s="2" t="n">
        <v>1</v>
      </c>
      <c r="I212" s="2" t="n">
        <v>1</v>
      </c>
      <c r="J212" s="2" t="n">
        <v>1</v>
      </c>
      <c r="K212" s="7" t="n">
        <v>0.4407816894</v>
      </c>
      <c r="L212" s="7" t="n">
        <v>0.01905834704</v>
      </c>
      <c r="M212" s="7" t="n">
        <v>0.03575643981</v>
      </c>
      <c r="N212" s="7" t="n">
        <v>5</v>
      </c>
      <c r="O212" s="7" t="n">
        <v>5</v>
      </c>
      <c r="P212" s="7" t="n">
        <v>0</v>
      </c>
      <c r="Q212" s="2"/>
      <c r="R212" s="7" t="n">
        <v>1.349405</v>
      </c>
      <c r="S212" s="5" t="s">
        <v>60</v>
      </c>
      <c r="T212" s="5" t="s">
        <v>61</v>
      </c>
    </row>
    <row r="213" customFormat="false" ht="15" hidden="false" customHeight="false" outlineLevel="0" collapsed="false">
      <c r="A213" s="5" t="s">
        <v>4</v>
      </c>
      <c r="B213" s="5" t="s">
        <v>55</v>
      </c>
      <c r="C213" s="2" t="s">
        <v>56</v>
      </c>
      <c r="D213" s="5" t="s">
        <v>57</v>
      </c>
      <c r="E213" s="5" t="s">
        <v>62</v>
      </c>
      <c r="F213" s="2" t="n">
        <v>16</v>
      </c>
      <c r="G213" s="5" t="s">
        <v>71</v>
      </c>
      <c r="H213" s="2" t="n">
        <v>1</v>
      </c>
      <c r="I213" s="2" t="n">
        <v>1</v>
      </c>
      <c r="J213" s="2" t="n">
        <v>1</v>
      </c>
      <c r="K213" s="7" t="n">
        <v>0.4407816894</v>
      </c>
      <c r="L213" s="7" t="n">
        <v>0.01905834704</v>
      </c>
      <c r="M213" s="7" t="n">
        <v>0.03575643981</v>
      </c>
      <c r="N213" s="7" t="n">
        <v>5</v>
      </c>
      <c r="O213" s="7" t="n">
        <v>5</v>
      </c>
      <c r="P213" s="7" t="n">
        <v>5</v>
      </c>
      <c r="Q213" s="2"/>
      <c r="R213" s="7" t="n">
        <v>1.688637</v>
      </c>
      <c r="S213" s="5" t="s">
        <v>60</v>
      </c>
      <c r="T213" s="5" t="s">
        <v>61</v>
      </c>
    </row>
    <row r="214" customFormat="false" ht="15" hidden="false" customHeight="false" outlineLevel="0" collapsed="false">
      <c r="A214" s="5" t="s">
        <v>4</v>
      </c>
      <c r="B214" s="5" t="s">
        <v>55</v>
      </c>
      <c r="C214" s="2" t="s">
        <v>56</v>
      </c>
      <c r="D214" s="5" t="s">
        <v>57</v>
      </c>
      <c r="E214" s="5" t="s">
        <v>58</v>
      </c>
      <c r="F214" s="2" t="n">
        <v>16</v>
      </c>
      <c r="G214" s="5" t="s">
        <v>72</v>
      </c>
      <c r="H214" s="2" t="n">
        <v>1</v>
      </c>
      <c r="I214" s="2" t="n">
        <v>1</v>
      </c>
      <c r="J214" s="2" t="n">
        <v>1</v>
      </c>
      <c r="K214" s="7" t="n">
        <v>0.3631930681</v>
      </c>
      <c r="L214" s="7" t="n">
        <v>0.05038287812</v>
      </c>
      <c r="M214" s="7" t="n">
        <v>0.05527421765</v>
      </c>
      <c r="N214" s="7" t="n">
        <v>4</v>
      </c>
      <c r="O214" s="7" t="n">
        <v>4</v>
      </c>
      <c r="P214" s="7" t="n">
        <v>0</v>
      </c>
      <c r="Q214" s="2"/>
      <c r="R214" s="7" t="n">
        <v>1.949862</v>
      </c>
      <c r="S214" s="5" t="s">
        <v>60</v>
      </c>
      <c r="T214" s="5" t="s">
        <v>61</v>
      </c>
    </row>
    <row r="215" customFormat="false" ht="15" hidden="false" customHeight="false" outlineLevel="0" collapsed="false">
      <c r="A215" s="5" t="s">
        <v>4</v>
      </c>
      <c r="B215" s="5" t="s">
        <v>55</v>
      </c>
      <c r="C215" s="2" t="s">
        <v>56</v>
      </c>
      <c r="D215" s="5" t="s">
        <v>57</v>
      </c>
      <c r="E215" s="5" t="s">
        <v>62</v>
      </c>
      <c r="F215" s="2" t="n">
        <v>16</v>
      </c>
      <c r="G215" s="5" t="s">
        <v>72</v>
      </c>
      <c r="H215" s="2" t="n">
        <v>1</v>
      </c>
      <c r="I215" s="2" t="n">
        <v>1</v>
      </c>
      <c r="J215" s="2" t="n">
        <v>1</v>
      </c>
      <c r="K215" s="7" t="n">
        <v>0.3631930681</v>
      </c>
      <c r="L215" s="7" t="n">
        <v>0.05038287812</v>
      </c>
      <c r="M215" s="7" t="n">
        <v>0.05527421765</v>
      </c>
      <c r="N215" s="7" t="n">
        <v>4</v>
      </c>
      <c r="O215" s="7" t="n">
        <v>4</v>
      </c>
      <c r="P215" s="7" t="n">
        <v>4</v>
      </c>
      <c r="Q215" s="2"/>
      <c r="R215" s="7" t="n">
        <v>2.263256</v>
      </c>
      <c r="S215" s="5" t="s">
        <v>60</v>
      </c>
      <c r="T215" s="5" t="s">
        <v>61</v>
      </c>
    </row>
    <row r="216" customFormat="false" ht="15" hidden="false" customHeight="false" outlineLevel="0" collapsed="false">
      <c r="A216" s="5" t="s">
        <v>4</v>
      </c>
      <c r="B216" s="5" t="s">
        <v>55</v>
      </c>
      <c r="C216" s="2" t="s">
        <v>56</v>
      </c>
      <c r="D216" s="5" t="s">
        <v>57</v>
      </c>
      <c r="E216" s="5" t="s">
        <v>58</v>
      </c>
      <c r="F216" s="2" t="n">
        <v>16</v>
      </c>
      <c r="G216" s="5" t="s">
        <v>73</v>
      </c>
      <c r="H216" s="2" t="n">
        <v>0</v>
      </c>
      <c r="I216" s="2" t="n">
        <v>1</v>
      </c>
      <c r="J216" s="2" t="n">
        <v>1</v>
      </c>
      <c r="K216" s="7" t="n">
        <v>0.71171439</v>
      </c>
      <c r="L216" s="7" t="n">
        <v>0.05412365773</v>
      </c>
      <c r="M216" s="7" t="n">
        <v>0.06810843657</v>
      </c>
      <c r="N216" s="7" t="n">
        <v>4</v>
      </c>
      <c r="O216" s="7" t="n">
        <v>4</v>
      </c>
      <c r="P216" s="7" t="n">
        <v>0</v>
      </c>
      <c r="Q216" s="2"/>
      <c r="R216" s="7" t="n">
        <v>2.242265</v>
      </c>
      <c r="S216" s="5" t="s">
        <v>60</v>
      </c>
      <c r="T216" s="5" t="s">
        <v>61</v>
      </c>
    </row>
    <row r="217" customFormat="false" ht="15" hidden="false" customHeight="false" outlineLevel="0" collapsed="false">
      <c r="A217" s="5" t="s">
        <v>4</v>
      </c>
      <c r="B217" s="5" t="s">
        <v>55</v>
      </c>
      <c r="C217" s="2" t="s">
        <v>56</v>
      </c>
      <c r="D217" s="5" t="s">
        <v>57</v>
      </c>
      <c r="E217" s="5" t="s">
        <v>62</v>
      </c>
      <c r="F217" s="2" t="n">
        <v>16</v>
      </c>
      <c r="G217" s="5" t="s">
        <v>73</v>
      </c>
      <c r="H217" s="2" t="n">
        <v>0</v>
      </c>
      <c r="I217" s="2" t="n">
        <v>1</v>
      </c>
      <c r="J217" s="2" t="n">
        <v>1</v>
      </c>
      <c r="K217" s="7" t="n">
        <v>0.71171439</v>
      </c>
      <c r="L217" s="7" t="n">
        <v>0.05412365773</v>
      </c>
      <c r="M217" s="7" t="n">
        <v>0.06810843657</v>
      </c>
      <c r="N217" s="7" t="n">
        <v>4</v>
      </c>
      <c r="O217" s="7" t="n">
        <v>4</v>
      </c>
      <c r="P217" s="7" t="n">
        <v>4</v>
      </c>
      <c r="Q217" s="2"/>
      <c r="R217" s="7" t="n">
        <v>2.530251</v>
      </c>
      <c r="S217" s="5" t="s">
        <v>60</v>
      </c>
      <c r="T217" s="5" t="s">
        <v>61</v>
      </c>
    </row>
    <row r="218" customFormat="false" ht="15" hidden="false" customHeight="false" outlineLevel="0" collapsed="false">
      <c r="A218" s="5" t="s">
        <v>4</v>
      </c>
      <c r="B218" s="5" t="s">
        <v>55</v>
      </c>
      <c r="C218" s="2" t="s">
        <v>56</v>
      </c>
      <c r="D218" s="5" t="s">
        <v>57</v>
      </c>
      <c r="E218" s="5" t="s">
        <v>58</v>
      </c>
      <c r="F218" s="2" t="n">
        <v>17</v>
      </c>
      <c r="G218" s="5" t="s">
        <v>71</v>
      </c>
      <c r="H218" s="2" t="n">
        <v>1</v>
      </c>
      <c r="I218" s="2" t="n">
        <v>1</v>
      </c>
      <c r="J218" s="2" t="n">
        <v>1</v>
      </c>
      <c r="K218" s="7" t="n">
        <v>0.6991070059</v>
      </c>
      <c r="L218" s="7" t="n">
        <v>0.0955379629</v>
      </c>
      <c r="M218" s="7" t="n">
        <v>0.1033119805</v>
      </c>
      <c r="N218" s="7" t="n">
        <v>6</v>
      </c>
      <c r="O218" s="7" t="n">
        <v>6</v>
      </c>
      <c r="P218" s="7" t="n">
        <v>0</v>
      </c>
      <c r="Q218" s="2"/>
      <c r="R218" s="7" t="n">
        <v>1.192713</v>
      </c>
      <c r="S218" s="5" t="s">
        <v>60</v>
      </c>
      <c r="T218" s="5" t="s">
        <v>61</v>
      </c>
    </row>
    <row r="219" customFormat="false" ht="15" hidden="false" customHeight="false" outlineLevel="0" collapsed="false">
      <c r="A219" s="5" t="s">
        <v>4</v>
      </c>
      <c r="B219" s="5" t="s">
        <v>55</v>
      </c>
      <c r="C219" s="2" t="s">
        <v>56</v>
      </c>
      <c r="D219" s="5" t="s">
        <v>57</v>
      </c>
      <c r="E219" s="5" t="s">
        <v>62</v>
      </c>
      <c r="F219" s="2" t="n">
        <v>17</v>
      </c>
      <c r="G219" s="5" t="s">
        <v>71</v>
      </c>
      <c r="H219" s="2" t="n">
        <v>1</v>
      </c>
      <c r="I219" s="2" t="n">
        <v>1</v>
      </c>
      <c r="J219" s="2" t="n">
        <v>1</v>
      </c>
      <c r="K219" s="7" t="n">
        <v>0.6991070059</v>
      </c>
      <c r="L219" s="7" t="n">
        <v>0.0955379629</v>
      </c>
      <c r="M219" s="7" t="n">
        <v>0.1033119805</v>
      </c>
      <c r="N219" s="7" t="n">
        <v>6</v>
      </c>
      <c r="O219" s="7" t="n">
        <v>6</v>
      </c>
      <c r="P219" s="7" t="n">
        <v>6</v>
      </c>
      <c r="Q219" s="2"/>
      <c r="R219" s="7" t="n">
        <v>1.579014</v>
      </c>
      <c r="S219" s="5" t="s">
        <v>60</v>
      </c>
      <c r="T219" s="5" t="s">
        <v>61</v>
      </c>
    </row>
    <row r="220" customFormat="false" ht="15" hidden="false" customHeight="false" outlineLevel="0" collapsed="false">
      <c r="A220" s="5" t="s">
        <v>4</v>
      </c>
      <c r="B220" s="5" t="s">
        <v>55</v>
      </c>
      <c r="C220" s="2" t="s">
        <v>56</v>
      </c>
      <c r="D220" s="5" t="s">
        <v>57</v>
      </c>
      <c r="E220" s="5" t="s">
        <v>58</v>
      </c>
      <c r="F220" s="2" t="n">
        <v>17</v>
      </c>
      <c r="G220" s="5" t="s">
        <v>72</v>
      </c>
      <c r="H220" s="2" t="n">
        <v>1</v>
      </c>
      <c r="I220" s="2" t="n">
        <v>1</v>
      </c>
      <c r="J220" s="2" t="n">
        <v>1</v>
      </c>
      <c r="K220" s="7" t="n">
        <v>0.4787973574</v>
      </c>
      <c r="L220" s="7" t="n">
        <v>0.08130916048</v>
      </c>
      <c r="M220" s="7" t="n">
        <v>0.08560630657</v>
      </c>
      <c r="N220" s="7" t="n">
        <v>5</v>
      </c>
      <c r="O220" s="7" t="n">
        <v>5</v>
      </c>
      <c r="P220" s="7" t="n">
        <v>0</v>
      </c>
      <c r="Q220" s="2"/>
      <c r="R220" s="7" t="n">
        <v>2.215856</v>
      </c>
      <c r="S220" s="5" t="s">
        <v>60</v>
      </c>
      <c r="T220" s="5" t="s">
        <v>61</v>
      </c>
    </row>
    <row r="221" customFormat="false" ht="15" hidden="false" customHeight="false" outlineLevel="0" collapsed="false">
      <c r="A221" s="5" t="s">
        <v>4</v>
      </c>
      <c r="B221" s="5" t="s">
        <v>55</v>
      </c>
      <c r="C221" s="2" t="s">
        <v>56</v>
      </c>
      <c r="D221" s="5" t="s">
        <v>57</v>
      </c>
      <c r="E221" s="5" t="s">
        <v>62</v>
      </c>
      <c r="F221" s="2" t="n">
        <v>17</v>
      </c>
      <c r="G221" s="5" t="s">
        <v>72</v>
      </c>
      <c r="H221" s="2" t="n">
        <v>1</v>
      </c>
      <c r="I221" s="2" t="n">
        <v>1</v>
      </c>
      <c r="J221" s="2" t="n">
        <v>1</v>
      </c>
      <c r="K221" s="7" t="n">
        <v>0.4787973574</v>
      </c>
      <c r="L221" s="7" t="n">
        <v>0.08130916048</v>
      </c>
      <c r="M221" s="7" t="n">
        <v>0.08560630657</v>
      </c>
      <c r="N221" s="7" t="n">
        <v>5</v>
      </c>
      <c r="O221" s="7" t="n">
        <v>5</v>
      </c>
      <c r="P221" s="7" t="n">
        <v>5</v>
      </c>
      <c r="Q221" s="2"/>
      <c r="R221" s="7" t="n">
        <v>2.650259</v>
      </c>
      <c r="S221" s="5" t="s">
        <v>60</v>
      </c>
      <c r="T221" s="5" t="s">
        <v>61</v>
      </c>
    </row>
    <row r="222" customFormat="false" ht="15" hidden="false" customHeight="false" outlineLevel="0" collapsed="false">
      <c r="A222" s="5" t="s">
        <v>4</v>
      </c>
      <c r="B222" s="5" t="s">
        <v>55</v>
      </c>
      <c r="C222" s="2" t="s">
        <v>56</v>
      </c>
      <c r="D222" s="5" t="s">
        <v>57</v>
      </c>
      <c r="E222" s="5" t="s">
        <v>58</v>
      </c>
      <c r="F222" s="2" t="n">
        <v>17</v>
      </c>
      <c r="G222" s="5" t="s">
        <v>73</v>
      </c>
      <c r="H222" s="2" t="n">
        <v>0</v>
      </c>
      <c r="I222" s="2" t="n">
        <v>0</v>
      </c>
      <c r="J222" s="2" t="n">
        <v>0</v>
      </c>
      <c r="K222" s="2"/>
      <c r="L222" s="2"/>
      <c r="M222" s="2"/>
      <c r="N222" s="7" t="n">
        <v>0</v>
      </c>
      <c r="O222" s="7" t="n">
        <v>0</v>
      </c>
      <c r="P222" s="7" t="n">
        <v>0</v>
      </c>
      <c r="Q222" s="2"/>
      <c r="R222" s="7" t="n">
        <v>2.406617</v>
      </c>
      <c r="S222" s="5" t="s">
        <v>60</v>
      </c>
      <c r="T222" s="5" t="s">
        <v>61</v>
      </c>
    </row>
    <row r="223" customFormat="false" ht="15" hidden="false" customHeight="false" outlineLevel="0" collapsed="false">
      <c r="A223" s="5" t="s">
        <v>4</v>
      </c>
      <c r="B223" s="5" t="s">
        <v>55</v>
      </c>
      <c r="C223" s="2" t="s">
        <v>56</v>
      </c>
      <c r="D223" s="5" t="s">
        <v>57</v>
      </c>
      <c r="E223" s="5" t="s">
        <v>62</v>
      </c>
      <c r="F223" s="2" t="n">
        <v>17</v>
      </c>
      <c r="G223" s="5" t="s">
        <v>73</v>
      </c>
      <c r="H223" s="2" t="n">
        <v>0</v>
      </c>
      <c r="I223" s="2" t="n">
        <v>0</v>
      </c>
      <c r="J223" s="2" t="n">
        <v>0</v>
      </c>
      <c r="K223" s="2"/>
      <c r="L223" s="2"/>
      <c r="M223" s="2"/>
      <c r="N223" s="7" t="n">
        <v>0</v>
      </c>
      <c r="O223" s="7" t="n">
        <v>0</v>
      </c>
      <c r="P223" s="7" t="n">
        <v>0</v>
      </c>
      <c r="Q223" s="2"/>
      <c r="R223" s="7" t="n">
        <v>2.405886</v>
      </c>
      <c r="S223" s="5" t="s">
        <v>60</v>
      </c>
      <c r="T223" s="5" t="s">
        <v>61</v>
      </c>
    </row>
    <row r="224" customFormat="false" ht="15" hidden="false" customHeight="false" outlineLevel="0" collapsed="false">
      <c r="A224" s="5" t="s">
        <v>4</v>
      </c>
      <c r="B224" s="5" t="s">
        <v>55</v>
      </c>
      <c r="C224" s="2" t="s">
        <v>56</v>
      </c>
      <c r="D224" s="5" t="s">
        <v>57</v>
      </c>
      <c r="E224" s="5" t="s">
        <v>58</v>
      </c>
      <c r="F224" s="2" t="n">
        <v>18</v>
      </c>
      <c r="G224" s="5" t="s">
        <v>71</v>
      </c>
      <c r="H224" s="2" t="n">
        <v>1</v>
      </c>
      <c r="I224" s="2" t="n">
        <v>0</v>
      </c>
      <c r="J224" s="2" t="n">
        <v>0</v>
      </c>
      <c r="K224" s="2"/>
      <c r="L224" s="2"/>
      <c r="M224" s="2"/>
      <c r="N224" s="7" t="n">
        <v>2</v>
      </c>
      <c r="O224" s="7" t="n">
        <v>2</v>
      </c>
      <c r="P224" s="7" t="n">
        <v>0</v>
      </c>
      <c r="Q224" s="2"/>
      <c r="R224" s="7" t="n">
        <v>5.245996</v>
      </c>
      <c r="S224" s="5" t="s">
        <v>60</v>
      </c>
      <c r="T224" s="5" t="s">
        <v>61</v>
      </c>
    </row>
    <row r="225" customFormat="false" ht="15" hidden="false" customHeight="false" outlineLevel="0" collapsed="false">
      <c r="A225" s="5" t="s">
        <v>4</v>
      </c>
      <c r="B225" s="5" t="s">
        <v>55</v>
      </c>
      <c r="C225" s="2" t="s">
        <v>56</v>
      </c>
      <c r="D225" s="5" t="s">
        <v>57</v>
      </c>
      <c r="E225" s="5" t="s">
        <v>62</v>
      </c>
      <c r="F225" s="2" t="n">
        <v>18</v>
      </c>
      <c r="G225" s="5" t="s">
        <v>71</v>
      </c>
      <c r="H225" s="2" t="n">
        <v>1</v>
      </c>
      <c r="I225" s="2" t="n">
        <v>0</v>
      </c>
      <c r="J225" s="2" t="n">
        <v>0</v>
      </c>
      <c r="K225" s="2"/>
      <c r="L225" s="2"/>
      <c r="M225" s="2"/>
      <c r="N225" s="7" t="n">
        <v>2</v>
      </c>
      <c r="O225" s="7" t="n">
        <v>2</v>
      </c>
      <c r="P225" s="7" t="n">
        <v>0</v>
      </c>
      <c r="Q225" s="2"/>
      <c r="R225" s="7" t="n">
        <v>5.245715</v>
      </c>
      <c r="S225" s="5" t="s">
        <v>60</v>
      </c>
      <c r="T225" s="5" t="s">
        <v>61</v>
      </c>
    </row>
    <row r="226" customFormat="false" ht="15" hidden="false" customHeight="false" outlineLevel="0" collapsed="false">
      <c r="A226" s="5" t="s">
        <v>4</v>
      </c>
      <c r="B226" s="5" t="s">
        <v>55</v>
      </c>
      <c r="C226" s="2" t="s">
        <v>56</v>
      </c>
      <c r="D226" s="5" t="s">
        <v>57</v>
      </c>
      <c r="E226" s="5" t="s">
        <v>58</v>
      </c>
      <c r="F226" s="2" t="n">
        <v>18</v>
      </c>
      <c r="G226" s="5" t="s">
        <v>72</v>
      </c>
      <c r="H226" s="2" t="n">
        <v>1</v>
      </c>
      <c r="I226" s="2" t="n">
        <v>1</v>
      </c>
      <c r="J226" s="2" t="n">
        <v>1</v>
      </c>
      <c r="K226" s="7" t="n">
        <v>0.5905053005</v>
      </c>
      <c r="L226" s="7" t="n">
        <v>0.1182920401</v>
      </c>
      <c r="M226" s="7" t="n">
        <v>0.122905405</v>
      </c>
      <c r="N226" s="7" t="n">
        <v>8</v>
      </c>
      <c r="O226" s="7" t="n">
        <v>8</v>
      </c>
      <c r="P226" s="7" t="n">
        <v>0</v>
      </c>
      <c r="Q226" s="2"/>
      <c r="R226" s="7" t="n">
        <v>2.125002</v>
      </c>
      <c r="S226" s="5" t="s">
        <v>60</v>
      </c>
      <c r="T226" s="5" t="s">
        <v>61</v>
      </c>
    </row>
    <row r="227" customFormat="false" ht="15" hidden="false" customHeight="false" outlineLevel="0" collapsed="false">
      <c r="A227" s="5" t="s">
        <v>4</v>
      </c>
      <c r="B227" s="5" t="s">
        <v>55</v>
      </c>
      <c r="C227" s="2" t="s">
        <v>56</v>
      </c>
      <c r="D227" s="5" t="s">
        <v>57</v>
      </c>
      <c r="E227" s="5" t="s">
        <v>62</v>
      </c>
      <c r="F227" s="2" t="n">
        <v>18</v>
      </c>
      <c r="G227" s="5" t="s">
        <v>72</v>
      </c>
      <c r="H227" s="2" t="n">
        <v>1</v>
      </c>
      <c r="I227" s="2" t="n">
        <v>1</v>
      </c>
      <c r="J227" s="2" t="n">
        <v>1</v>
      </c>
      <c r="K227" s="7" t="n">
        <v>0.5905053005</v>
      </c>
      <c r="L227" s="7" t="n">
        <v>0.1182920401</v>
      </c>
      <c r="M227" s="7" t="n">
        <v>0.122905405</v>
      </c>
      <c r="N227" s="7" t="n">
        <v>8</v>
      </c>
      <c r="O227" s="7" t="n">
        <v>8</v>
      </c>
      <c r="P227" s="7" t="n">
        <v>8</v>
      </c>
      <c r="Q227" s="2"/>
      <c r="R227" s="7" t="n">
        <v>2.768252</v>
      </c>
      <c r="S227" s="5" t="s">
        <v>60</v>
      </c>
      <c r="T227" s="5" t="s">
        <v>61</v>
      </c>
    </row>
    <row r="228" customFormat="false" ht="15" hidden="false" customHeight="false" outlineLevel="0" collapsed="false">
      <c r="A228" s="5" t="s">
        <v>4</v>
      </c>
      <c r="B228" s="5" t="s">
        <v>55</v>
      </c>
      <c r="C228" s="2" t="s">
        <v>56</v>
      </c>
      <c r="D228" s="5" t="s">
        <v>57</v>
      </c>
      <c r="E228" s="5" t="s">
        <v>58</v>
      </c>
      <c r="F228" s="2" t="n">
        <v>18</v>
      </c>
      <c r="G228" s="5" t="s">
        <v>73</v>
      </c>
      <c r="H228" s="2" t="n">
        <v>0</v>
      </c>
      <c r="I228" s="2" t="n">
        <v>1</v>
      </c>
      <c r="J228" s="2" t="n">
        <v>1</v>
      </c>
      <c r="K228" s="7" t="n">
        <v>1.530326761</v>
      </c>
      <c r="L228" s="7" t="n">
        <v>0.4267303513</v>
      </c>
      <c r="M228" s="7" t="n">
        <v>0.4316930183</v>
      </c>
      <c r="N228" s="7" t="n">
        <v>3</v>
      </c>
      <c r="O228" s="7" t="n">
        <v>3</v>
      </c>
      <c r="P228" s="7" t="n">
        <v>0</v>
      </c>
      <c r="Q228" s="2"/>
      <c r="R228" s="7" t="n">
        <v>6.33752</v>
      </c>
      <c r="S228" s="5" t="s">
        <v>60</v>
      </c>
      <c r="T228" s="5" t="s">
        <v>61</v>
      </c>
    </row>
    <row r="229" customFormat="false" ht="15" hidden="false" customHeight="false" outlineLevel="0" collapsed="false">
      <c r="A229" s="5" t="s">
        <v>4</v>
      </c>
      <c r="B229" s="5" t="s">
        <v>55</v>
      </c>
      <c r="C229" s="2" t="s">
        <v>56</v>
      </c>
      <c r="D229" s="5" t="s">
        <v>57</v>
      </c>
      <c r="E229" s="5" t="s">
        <v>62</v>
      </c>
      <c r="F229" s="2" t="n">
        <v>18</v>
      </c>
      <c r="G229" s="5" t="s">
        <v>73</v>
      </c>
      <c r="H229" s="2" t="n">
        <v>0</v>
      </c>
      <c r="I229" s="2" t="n">
        <v>1</v>
      </c>
      <c r="J229" s="2" t="n">
        <v>1</v>
      </c>
      <c r="K229" s="7" t="n">
        <v>1.530326761</v>
      </c>
      <c r="L229" s="7" t="n">
        <v>0.4267303513</v>
      </c>
      <c r="M229" s="7" t="n">
        <v>0.4316930183</v>
      </c>
      <c r="N229" s="7" t="n">
        <v>3</v>
      </c>
      <c r="O229" s="7" t="n">
        <v>3</v>
      </c>
      <c r="P229" s="7" t="n">
        <v>3</v>
      </c>
      <c r="Q229" s="2"/>
      <c r="R229" s="7" t="n">
        <v>6.49282</v>
      </c>
      <c r="S229" s="5" t="s">
        <v>60</v>
      </c>
      <c r="T229" s="5" t="s">
        <v>61</v>
      </c>
    </row>
    <row r="230" customFormat="false" ht="15" hidden="false" customHeight="false" outlineLevel="0" collapsed="false">
      <c r="A230" s="5" t="s">
        <v>4</v>
      </c>
      <c r="B230" s="5" t="s">
        <v>55</v>
      </c>
      <c r="C230" s="2" t="s">
        <v>56</v>
      </c>
      <c r="D230" s="5" t="s">
        <v>57</v>
      </c>
      <c r="E230" s="5" t="s">
        <v>58</v>
      </c>
      <c r="F230" s="2" t="n">
        <v>19</v>
      </c>
      <c r="G230" s="5" t="s">
        <v>71</v>
      </c>
      <c r="H230" s="2" t="n">
        <v>1</v>
      </c>
      <c r="I230" s="2" t="n">
        <v>1</v>
      </c>
      <c r="J230" s="2" t="n">
        <v>1</v>
      </c>
      <c r="K230" s="7" t="n">
        <v>0.4893123746</v>
      </c>
      <c r="L230" s="7" t="n">
        <v>0.02773066969</v>
      </c>
      <c r="M230" s="7" t="n">
        <v>0.0450077728</v>
      </c>
      <c r="N230" s="7" t="n">
        <v>7</v>
      </c>
      <c r="O230" s="7" t="n">
        <v>7</v>
      </c>
      <c r="P230" s="7" t="n">
        <v>0</v>
      </c>
      <c r="Q230" s="2"/>
      <c r="R230" s="7" t="n">
        <v>1.238651</v>
      </c>
      <c r="S230" s="5" t="s">
        <v>60</v>
      </c>
      <c r="T230" s="5" t="s">
        <v>61</v>
      </c>
    </row>
    <row r="231" customFormat="false" ht="15" hidden="false" customHeight="false" outlineLevel="0" collapsed="false">
      <c r="A231" s="5" t="s">
        <v>4</v>
      </c>
      <c r="B231" s="5" t="s">
        <v>55</v>
      </c>
      <c r="C231" s="2" t="s">
        <v>56</v>
      </c>
      <c r="D231" s="5" t="s">
        <v>57</v>
      </c>
      <c r="E231" s="5" t="s">
        <v>62</v>
      </c>
      <c r="F231" s="2" t="n">
        <v>19</v>
      </c>
      <c r="G231" s="5" t="s">
        <v>71</v>
      </c>
      <c r="H231" s="2" t="n">
        <v>1</v>
      </c>
      <c r="I231" s="2" t="n">
        <v>1</v>
      </c>
      <c r="J231" s="2" t="n">
        <v>1</v>
      </c>
      <c r="K231" s="7" t="n">
        <v>0.4893123746</v>
      </c>
      <c r="L231" s="7" t="n">
        <v>0.02773066969</v>
      </c>
      <c r="M231" s="7" t="n">
        <v>0.0450077728</v>
      </c>
      <c r="N231" s="7" t="n">
        <v>7</v>
      </c>
      <c r="O231" s="7" t="n">
        <v>7</v>
      </c>
      <c r="P231" s="7" t="n">
        <v>7</v>
      </c>
      <c r="Q231" s="2"/>
      <c r="R231" s="7" t="n">
        <v>1.693143</v>
      </c>
      <c r="S231" s="5" t="s">
        <v>60</v>
      </c>
      <c r="T231" s="5" t="s">
        <v>61</v>
      </c>
    </row>
    <row r="232" customFormat="false" ht="15" hidden="false" customHeight="false" outlineLevel="0" collapsed="false">
      <c r="A232" s="5" t="s">
        <v>4</v>
      </c>
      <c r="B232" s="5" t="s">
        <v>55</v>
      </c>
      <c r="C232" s="2" t="s">
        <v>56</v>
      </c>
      <c r="D232" s="5" t="s">
        <v>57</v>
      </c>
      <c r="E232" s="5" t="s">
        <v>58</v>
      </c>
      <c r="F232" s="2" t="n">
        <v>19</v>
      </c>
      <c r="G232" s="5" t="s">
        <v>72</v>
      </c>
      <c r="H232" s="2" t="n">
        <v>1</v>
      </c>
      <c r="I232" s="2" t="n">
        <v>1</v>
      </c>
      <c r="J232" s="2" t="n">
        <v>1</v>
      </c>
      <c r="K232" s="7" t="n">
        <v>0.1426855438</v>
      </c>
      <c r="L232" s="7" t="n">
        <v>0.0222438952</v>
      </c>
      <c r="M232" s="7" t="n">
        <v>0.02390675194</v>
      </c>
      <c r="N232" s="7" t="n">
        <v>9</v>
      </c>
      <c r="O232" s="7" t="n">
        <v>9</v>
      </c>
      <c r="P232" s="7" t="n">
        <v>0</v>
      </c>
      <c r="Q232" s="2"/>
      <c r="R232" s="7" t="n">
        <v>6.370089</v>
      </c>
      <c r="S232" s="5" t="s">
        <v>60</v>
      </c>
      <c r="T232" s="5" t="s">
        <v>61</v>
      </c>
    </row>
    <row r="233" customFormat="false" ht="15" hidden="false" customHeight="false" outlineLevel="0" collapsed="false">
      <c r="A233" s="5" t="s">
        <v>4</v>
      </c>
      <c r="B233" s="5" t="s">
        <v>55</v>
      </c>
      <c r="C233" s="2" t="s">
        <v>56</v>
      </c>
      <c r="D233" s="5" t="s">
        <v>57</v>
      </c>
      <c r="E233" s="5" t="s">
        <v>62</v>
      </c>
      <c r="F233" s="2" t="n">
        <v>19</v>
      </c>
      <c r="G233" s="5" t="s">
        <v>72</v>
      </c>
      <c r="H233" s="2" t="n">
        <v>1</v>
      </c>
      <c r="I233" s="2" t="n">
        <v>1</v>
      </c>
      <c r="J233" s="2" t="n">
        <v>1</v>
      </c>
      <c r="K233" s="7" t="n">
        <v>0.1426855438</v>
      </c>
      <c r="L233" s="7" t="n">
        <v>0.0222438952</v>
      </c>
      <c r="M233" s="7" t="n">
        <v>0.02390675194</v>
      </c>
      <c r="N233" s="7" t="n">
        <v>9</v>
      </c>
      <c r="O233" s="7" t="n">
        <v>9</v>
      </c>
      <c r="P233" s="7" t="n">
        <v>9</v>
      </c>
      <c r="Q233" s="2"/>
      <c r="R233" s="7" t="n">
        <v>7.093708</v>
      </c>
      <c r="S233" s="5" t="s">
        <v>60</v>
      </c>
      <c r="T233" s="5" t="s">
        <v>61</v>
      </c>
    </row>
    <row r="234" customFormat="false" ht="15" hidden="false" customHeight="false" outlineLevel="0" collapsed="false">
      <c r="A234" s="5" t="s">
        <v>4</v>
      </c>
      <c r="B234" s="5" t="s">
        <v>55</v>
      </c>
      <c r="C234" s="2" t="s">
        <v>56</v>
      </c>
      <c r="D234" s="5" t="s">
        <v>57</v>
      </c>
      <c r="E234" s="5" t="s">
        <v>58</v>
      </c>
      <c r="F234" s="2" t="n">
        <v>19</v>
      </c>
      <c r="G234" s="5" t="s">
        <v>73</v>
      </c>
      <c r="H234" s="2" t="n">
        <v>0</v>
      </c>
      <c r="I234" s="2" t="n">
        <v>1</v>
      </c>
      <c r="J234" s="2" t="n">
        <v>1</v>
      </c>
      <c r="K234" s="7" t="n">
        <v>0.5606578575</v>
      </c>
      <c r="L234" s="7" t="n">
        <v>0.1417008283</v>
      </c>
      <c r="M234" s="7" t="n">
        <v>0.1438984064</v>
      </c>
      <c r="N234" s="7" t="n">
        <v>12</v>
      </c>
      <c r="O234" s="7" t="n">
        <v>12</v>
      </c>
      <c r="P234" s="7" t="n">
        <v>0</v>
      </c>
      <c r="Q234" s="2"/>
      <c r="R234" s="7" t="n">
        <v>2.358437</v>
      </c>
      <c r="S234" s="5" t="s">
        <v>60</v>
      </c>
      <c r="T234" s="5" t="s">
        <v>61</v>
      </c>
    </row>
    <row r="235" customFormat="false" ht="15" hidden="false" customHeight="false" outlineLevel="0" collapsed="false">
      <c r="A235" s="5" t="s">
        <v>4</v>
      </c>
      <c r="B235" s="5" t="s">
        <v>55</v>
      </c>
      <c r="C235" s="2" t="s">
        <v>56</v>
      </c>
      <c r="D235" s="5" t="s">
        <v>57</v>
      </c>
      <c r="E235" s="5" t="s">
        <v>62</v>
      </c>
      <c r="F235" s="2" t="n">
        <v>19</v>
      </c>
      <c r="G235" s="5" t="s">
        <v>73</v>
      </c>
      <c r="H235" s="2" t="n">
        <v>0</v>
      </c>
      <c r="I235" s="2" t="n">
        <v>1</v>
      </c>
      <c r="J235" s="2" t="n">
        <v>1</v>
      </c>
      <c r="K235" s="7" t="n">
        <v>0.5606578575</v>
      </c>
      <c r="L235" s="7" t="n">
        <v>0.1417008283</v>
      </c>
      <c r="M235" s="7" t="n">
        <v>0.1438984064</v>
      </c>
      <c r="N235" s="7" t="n">
        <v>12</v>
      </c>
      <c r="O235" s="7" t="n">
        <v>12</v>
      </c>
      <c r="P235" s="7" t="n">
        <v>12</v>
      </c>
      <c r="Q235" s="2"/>
      <c r="R235" s="7" t="n">
        <v>2.956251</v>
      </c>
      <c r="S235" s="5" t="s">
        <v>60</v>
      </c>
      <c r="T235" s="5" t="s">
        <v>61</v>
      </c>
    </row>
    <row r="236" customFormat="false" ht="15" hidden="false" customHeight="false" outlineLevel="0" collapsed="false">
      <c r="A236" s="5" t="s">
        <v>4</v>
      </c>
      <c r="B236" s="5" t="s">
        <v>55</v>
      </c>
      <c r="C236" s="2" t="s">
        <v>56</v>
      </c>
      <c r="D236" s="5" t="s">
        <v>57</v>
      </c>
      <c r="E236" s="5" t="s">
        <v>58</v>
      </c>
      <c r="F236" s="2" t="n">
        <v>20</v>
      </c>
      <c r="G236" s="5" t="s">
        <v>71</v>
      </c>
      <c r="H236" s="2" t="n">
        <v>1</v>
      </c>
      <c r="I236" s="2" t="n">
        <v>1</v>
      </c>
      <c r="J236" s="2" t="n">
        <v>1</v>
      </c>
      <c r="K236" s="7" t="n">
        <v>0.4442372522</v>
      </c>
      <c r="L236" s="7" t="n">
        <v>0.03693364406</v>
      </c>
      <c r="M236" s="7" t="n">
        <v>0.04635745222</v>
      </c>
      <c r="N236" s="7" t="n">
        <v>8</v>
      </c>
      <c r="O236" s="7" t="n">
        <v>8</v>
      </c>
      <c r="P236" s="7" t="n">
        <v>0</v>
      </c>
      <c r="Q236" s="2"/>
      <c r="R236" s="7" t="n">
        <v>1.26515</v>
      </c>
      <c r="S236" s="5" t="s">
        <v>60</v>
      </c>
      <c r="T236" s="5" t="s">
        <v>61</v>
      </c>
    </row>
    <row r="237" customFormat="false" ht="15" hidden="false" customHeight="false" outlineLevel="0" collapsed="false">
      <c r="A237" s="5" t="s">
        <v>4</v>
      </c>
      <c r="B237" s="5" t="s">
        <v>55</v>
      </c>
      <c r="C237" s="2" t="s">
        <v>56</v>
      </c>
      <c r="D237" s="5" t="s">
        <v>57</v>
      </c>
      <c r="E237" s="5" t="s">
        <v>62</v>
      </c>
      <c r="F237" s="2" t="n">
        <v>20</v>
      </c>
      <c r="G237" s="5" t="s">
        <v>71</v>
      </c>
      <c r="H237" s="2" t="n">
        <v>1</v>
      </c>
      <c r="I237" s="2" t="n">
        <v>1</v>
      </c>
      <c r="J237" s="2" t="n">
        <v>1</v>
      </c>
      <c r="K237" s="7" t="n">
        <v>0.4442372522</v>
      </c>
      <c r="L237" s="7" t="n">
        <v>0.03693364406</v>
      </c>
      <c r="M237" s="7" t="n">
        <v>0.04635745222</v>
      </c>
      <c r="N237" s="7" t="n">
        <v>8</v>
      </c>
      <c r="O237" s="7" t="n">
        <v>8</v>
      </c>
      <c r="P237" s="7" t="n">
        <v>8</v>
      </c>
      <c r="Q237" s="2"/>
      <c r="R237" s="7" t="n">
        <v>5.894123</v>
      </c>
      <c r="S237" s="5" t="s">
        <v>60</v>
      </c>
      <c r="T237" s="5" t="s">
        <v>61</v>
      </c>
    </row>
    <row r="238" customFormat="false" ht="15" hidden="false" customHeight="false" outlineLevel="0" collapsed="false">
      <c r="A238" s="5" t="s">
        <v>4</v>
      </c>
      <c r="B238" s="5" t="s">
        <v>55</v>
      </c>
      <c r="C238" s="2" t="s">
        <v>56</v>
      </c>
      <c r="D238" s="5" t="s">
        <v>57</v>
      </c>
      <c r="E238" s="5" t="s">
        <v>58</v>
      </c>
      <c r="F238" s="2" t="n">
        <v>20</v>
      </c>
      <c r="G238" s="5" t="s">
        <v>72</v>
      </c>
      <c r="H238" s="2" t="n">
        <v>1</v>
      </c>
      <c r="I238" s="2" t="n">
        <v>1</v>
      </c>
      <c r="J238" s="2" t="n">
        <v>1</v>
      </c>
      <c r="K238" s="7" t="n">
        <v>0.8476446508</v>
      </c>
      <c r="L238" s="7" t="n">
        <v>0.1886804329</v>
      </c>
      <c r="M238" s="7" t="n">
        <v>0.1935284459</v>
      </c>
      <c r="N238" s="7" t="n">
        <v>6</v>
      </c>
      <c r="O238" s="7" t="n">
        <v>6</v>
      </c>
      <c r="P238" s="7" t="n">
        <v>0</v>
      </c>
      <c r="Q238" s="2"/>
      <c r="R238" s="7" t="n">
        <v>6.292824</v>
      </c>
      <c r="S238" s="5" t="s">
        <v>60</v>
      </c>
      <c r="T238" s="5" t="s">
        <v>61</v>
      </c>
    </row>
    <row r="239" customFormat="false" ht="15" hidden="false" customHeight="false" outlineLevel="0" collapsed="false">
      <c r="A239" s="5" t="s">
        <v>4</v>
      </c>
      <c r="B239" s="5" t="s">
        <v>55</v>
      </c>
      <c r="C239" s="2" t="s">
        <v>56</v>
      </c>
      <c r="D239" s="5" t="s">
        <v>57</v>
      </c>
      <c r="E239" s="5" t="s">
        <v>62</v>
      </c>
      <c r="F239" s="2" t="n">
        <v>20</v>
      </c>
      <c r="G239" s="5" t="s">
        <v>72</v>
      </c>
      <c r="H239" s="2" t="n">
        <v>1</v>
      </c>
      <c r="I239" s="2" t="n">
        <v>1</v>
      </c>
      <c r="J239" s="2" t="n">
        <v>1</v>
      </c>
      <c r="K239" s="7" t="n">
        <v>0.8476446508</v>
      </c>
      <c r="L239" s="7" t="n">
        <v>0.1886804329</v>
      </c>
      <c r="M239" s="7" t="n">
        <v>0.1935284459</v>
      </c>
      <c r="N239" s="7" t="n">
        <v>6</v>
      </c>
      <c r="O239" s="7" t="n">
        <v>6</v>
      </c>
      <c r="P239" s="7" t="n">
        <v>6</v>
      </c>
      <c r="Q239" s="2"/>
      <c r="R239" s="7" t="n">
        <v>6.744591</v>
      </c>
      <c r="S239" s="5" t="s">
        <v>60</v>
      </c>
      <c r="T239" s="5" t="s">
        <v>61</v>
      </c>
    </row>
    <row r="240" customFormat="false" ht="15" hidden="false" customHeight="false" outlineLevel="0" collapsed="false">
      <c r="A240" s="5" t="s">
        <v>4</v>
      </c>
      <c r="B240" s="5" t="s">
        <v>55</v>
      </c>
      <c r="C240" s="2" t="s">
        <v>56</v>
      </c>
      <c r="D240" s="5" t="s">
        <v>57</v>
      </c>
      <c r="E240" s="5" t="s">
        <v>58</v>
      </c>
      <c r="F240" s="2" t="n">
        <v>20</v>
      </c>
      <c r="G240" s="5" t="s">
        <v>73</v>
      </c>
      <c r="H240" s="2" t="n">
        <v>0</v>
      </c>
      <c r="I240" s="2" t="n">
        <v>1</v>
      </c>
      <c r="J240" s="2" t="n">
        <v>1</v>
      </c>
      <c r="K240" s="7" t="n">
        <v>0.09309438902</v>
      </c>
      <c r="L240" s="7" t="n">
        <v>0.02907835294</v>
      </c>
      <c r="M240" s="7" t="n">
        <v>0.02989681388</v>
      </c>
      <c r="N240" s="7" t="n">
        <v>3</v>
      </c>
      <c r="O240" s="7" t="n">
        <v>3</v>
      </c>
      <c r="P240" s="7" t="n">
        <v>0</v>
      </c>
      <c r="Q240" s="2"/>
      <c r="R240" s="7" t="n">
        <v>6.383006</v>
      </c>
      <c r="S240" s="5" t="s">
        <v>60</v>
      </c>
      <c r="T240" s="5" t="s">
        <v>61</v>
      </c>
    </row>
    <row r="241" customFormat="false" ht="15" hidden="false" customHeight="false" outlineLevel="0" collapsed="false">
      <c r="A241" s="5" t="s">
        <v>4</v>
      </c>
      <c r="B241" s="5" t="s">
        <v>55</v>
      </c>
      <c r="C241" s="2" t="s">
        <v>56</v>
      </c>
      <c r="D241" s="5" t="s">
        <v>57</v>
      </c>
      <c r="E241" s="5" t="s">
        <v>62</v>
      </c>
      <c r="F241" s="2" t="n">
        <v>20</v>
      </c>
      <c r="G241" s="5" t="s">
        <v>73</v>
      </c>
      <c r="H241" s="2" t="n">
        <v>0</v>
      </c>
      <c r="I241" s="2" t="n">
        <v>1</v>
      </c>
      <c r="J241" s="2" t="n">
        <v>1</v>
      </c>
      <c r="K241" s="7" t="n">
        <v>0.09309438902</v>
      </c>
      <c r="L241" s="7" t="n">
        <v>0.02907835294</v>
      </c>
      <c r="M241" s="7" t="n">
        <v>0.02989681388</v>
      </c>
      <c r="N241" s="7" t="n">
        <v>3</v>
      </c>
      <c r="O241" s="7" t="n">
        <v>3</v>
      </c>
      <c r="P241" s="7" t="n">
        <v>3</v>
      </c>
      <c r="Q241" s="2"/>
      <c r="R241" s="7" t="n">
        <v>10.606029</v>
      </c>
      <c r="S241" s="5" t="s">
        <v>60</v>
      </c>
      <c r="T241" s="5" t="s">
        <v>61</v>
      </c>
    </row>
    <row r="242" customFormat="false" ht="15" hidden="false" customHeight="false" outlineLevel="0" collapsed="false">
      <c r="A242" s="5" t="s">
        <v>4</v>
      </c>
      <c r="B242" s="5" t="s">
        <v>55</v>
      </c>
      <c r="C242" s="2" t="s">
        <v>56</v>
      </c>
      <c r="D242" s="5" t="s">
        <v>57</v>
      </c>
      <c r="E242" s="5" t="s">
        <v>58</v>
      </c>
      <c r="F242" s="2" t="n">
        <v>11</v>
      </c>
      <c r="G242" s="5" t="s">
        <v>74</v>
      </c>
      <c r="H242" s="2" t="n">
        <v>1</v>
      </c>
      <c r="I242" s="2" t="n">
        <v>1</v>
      </c>
      <c r="J242" s="2" t="n">
        <v>1</v>
      </c>
      <c r="K242" s="7" t="n">
        <v>0.6535815979</v>
      </c>
      <c r="L242" s="7" t="n">
        <v>0.1117884063</v>
      </c>
      <c r="M242" s="7" t="n">
        <v>0.119988308</v>
      </c>
      <c r="N242" s="7" t="n">
        <v>6</v>
      </c>
      <c r="O242" s="7" t="n">
        <v>6</v>
      </c>
      <c r="P242" s="7" t="n">
        <v>0</v>
      </c>
      <c r="Q242" s="2"/>
      <c r="R242" s="7" t="n">
        <v>6.27727</v>
      </c>
      <c r="S242" s="5" t="s">
        <v>60</v>
      </c>
      <c r="T242" s="5" t="s">
        <v>61</v>
      </c>
    </row>
    <row r="243" customFormat="false" ht="15" hidden="false" customHeight="false" outlineLevel="0" collapsed="false">
      <c r="A243" s="5" t="s">
        <v>4</v>
      </c>
      <c r="B243" s="5" t="s">
        <v>55</v>
      </c>
      <c r="C243" s="2" t="s">
        <v>56</v>
      </c>
      <c r="D243" s="5" t="s">
        <v>57</v>
      </c>
      <c r="E243" s="5" t="s">
        <v>62</v>
      </c>
      <c r="F243" s="2" t="n">
        <v>11</v>
      </c>
      <c r="G243" s="5" t="s">
        <v>74</v>
      </c>
      <c r="H243" s="2" t="n">
        <v>1</v>
      </c>
      <c r="I243" s="2" t="n">
        <v>1</v>
      </c>
      <c r="J243" s="2" t="n">
        <v>1</v>
      </c>
      <c r="K243" s="7" t="n">
        <v>0.6535815979</v>
      </c>
      <c r="L243" s="7" t="n">
        <v>0.1117884063</v>
      </c>
      <c r="M243" s="7" t="n">
        <v>0.119988308</v>
      </c>
      <c r="N243" s="7" t="n">
        <v>6</v>
      </c>
      <c r="O243" s="7" t="n">
        <v>6</v>
      </c>
      <c r="P243" s="7" t="n">
        <v>6</v>
      </c>
      <c r="Q243" s="2"/>
      <c r="R243" s="7" t="n">
        <v>6.745342</v>
      </c>
      <c r="S243" s="5" t="s">
        <v>60</v>
      </c>
      <c r="T243" s="5" t="s">
        <v>61</v>
      </c>
    </row>
    <row r="244" customFormat="false" ht="15" hidden="false" customHeight="false" outlineLevel="0" collapsed="false">
      <c r="A244" s="5" t="s">
        <v>4</v>
      </c>
      <c r="B244" s="5" t="s">
        <v>55</v>
      </c>
      <c r="C244" s="2" t="s">
        <v>56</v>
      </c>
      <c r="D244" s="5" t="s">
        <v>57</v>
      </c>
      <c r="E244" s="5" t="s">
        <v>58</v>
      </c>
      <c r="F244" s="2" t="n">
        <v>11</v>
      </c>
      <c r="G244" s="5" t="s">
        <v>75</v>
      </c>
      <c r="H244" s="2" t="n">
        <v>1</v>
      </c>
      <c r="I244" s="2" t="n">
        <v>1</v>
      </c>
      <c r="J244" s="2" t="n">
        <v>1</v>
      </c>
      <c r="K244" s="7" t="n">
        <v>0.2514560084</v>
      </c>
      <c r="L244" s="7" t="n">
        <v>0.1071975786</v>
      </c>
      <c r="M244" s="7" t="n">
        <v>0.1086905618</v>
      </c>
      <c r="N244" s="7" t="n">
        <v>13</v>
      </c>
      <c r="O244" s="7" t="n">
        <v>13</v>
      </c>
      <c r="P244" s="7" t="n">
        <v>0</v>
      </c>
      <c r="Q244" s="2"/>
      <c r="R244" s="7" t="n">
        <v>6.225935</v>
      </c>
      <c r="S244" s="5" t="s">
        <v>60</v>
      </c>
      <c r="T244" s="5" t="s">
        <v>61</v>
      </c>
    </row>
    <row r="245" customFormat="false" ht="15" hidden="false" customHeight="false" outlineLevel="0" collapsed="false">
      <c r="A245" s="5" t="s">
        <v>4</v>
      </c>
      <c r="B245" s="5" t="s">
        <v>55</v>
      </c>
      <c r="C245" s="2" t="s">
        <v>56</v>
      </c>
      <c r="D245" s="5" t="s">
        <v>57</v>
      </c>
      <c r="E245" s="5" t="s">
        <v>62</v>
      </c>
      <c r="F245" s="2" t="n">
        <v>11</v>
      </c>
      <c r="G245" s="5" t="s">
        <v>75</v>
      </c>
      <c r="H245" s="2" t="n">
        <v>1</v>
      </c>
      <c r="I245" s="2" t="n">
        <v>1</v>
      </c>
      <c r="J245" s="2" t="n">
        <v>1</v>
      </c>
      <c r="K245" s="7" t="n">
        <v>0.2514560084</v>
      </c>
      <c r="L245" s="7" t="n">
        <v>0.1071975786</v>
      </c>
      <c r="M245" s="7" t="n">
        <v>0.1086905618</v>
      </c>
      <c r="N245" s="7" t="n">
        <v>13</v>
      </c>
      <c r="O245" s="7" t="n">
        <v>13</v>
      </c>
      <c r="P245" s="7" t="n">
        <v>12</v>
      </c>
      <c r="Q245" s="2"/>
      <c r="R245" s="7" t="n">
        <v>6.952029</v>
      </c>
      <c r="S245" s="5" t="s">
        <v>60</v>
      </c>
      <c r="T245" s="5" t="s">
        <v>61</v>
      </c>
    </row>
    <row r="246" customFormat="false" ht="15" hidden="false" customHeight="false" outlineLevel="0" collapsed="false">
      <c r="A246" s="5" t="s">
        <v>4</v>
      </c>
      <c r="B246" s="5" t="s">
        <v>55</v>
      </c>
      <c r="C246" s="2" t="s">
        <v>56</v>
      </c>
      <c r="D246" s="5" t="s">
        <v>57</v>
      </c>
      <c r="E246" s="5" t="s">
        <v>58</v>
      </c>
      <c r="F246" s="2" t="n">
        <v>12</v>
      </c>
      <c r="G246" s="5" t="s">
        <v>74</v>
      </c>
      <c r="H246" s="2" t="n">
        <v>1</v>
      </c>
      <c r="I246" s="2" t="n">
        <v>1</v>
      </c>
      <c r="J246" s="2" t="n">
        <v>1</v>
      </c>
      <c r="K246" s="7" t="n">
        <v>0.1952445358</v>
      </c>
      <c r="L246" s="7" t="n">
        <v>0.08411360876</v>
      </c>
      <c r="M246" s="7" t="n">
        <v>0.08535692349</v>
      </c>
      <c r="N246" s="7" t="n">
        <v>8</v>
      </c>
      <c r="O246" s="7" t="n">
        <v>8</v>
      </c>
      <c r="P246" s="7" t="n">
        <v>0</v>
      </c>
      <c r="Q246" s="2"/>
      <c r="R246" s="7" t="n">
        <v>6.450587</v>
      </c>
      <c r="S246" s="5" t="s">
        <v>60</v>
      </c>
      <c r="T246" s="5" t="s">
        <v>61</v>
      </c>
    </row>
    <row r="247" customFormat="false" ht="15" hidden="false" customHeight="false" outlineLevel="0" collapsed="false">
      <c r="A247" s="5" t="s">
        <v>4</v>
      </c>
      <c r="B247" s="5" t="s">
        <v>55</v>
      </c>
      <c r="C247" s="2" t="s">
        <v>56</v>
      </c>
      <c r="D247" s="5" t="s">
        <v>57</v>
      </c>
      <c r="E247" s="5" t="s">
        <v>62</v>
      </c>
      <c r="F247" s="2" t="n">
        <v>12</v>
      </c>
      <c r="G247" s="5" t="s">
        <v>74</v>
      </c>
      <c r="H247" s="2" t="n">
        <v>1</v>
      </c>
      <c r="I247" s="2" t="n">
        <v>1</v>
      </c>
      <c r="J247" s="2" t="n">
        <v>1</v>
      </c>
      <c r="K247" s="7" t="n">
        <v>0.1952445358</v>
      </c>
      <c r="L247" s="7" t="n">
        <v>0.08411360876</v>
      </c>
      <c r="M247" s="7" t="n">
        <v>0.08535692349</v>
      </c>
      <c r="N247" s="7" t="n">
        <v>8</v>
      </c>
      <c r="O247" s="7" t="n">
        <v>8</v>
      </c>
      <c r="P247" s="7" t="n">
        <v>8</v>
      </c>
      <c r="Q247" s="2"/>
      <c r="R247" s="7" t="n">
        <v>7.001151</v>
      </c>
      <c r="S247" s="5" t="s">
        <v>60</v>
      </c>
      <c r="T247" s="5" t="s">
        <v>61</v>
      </c>
    </row>
    <row r="248" customFormat="false" ht="15" hidden="false" customHeight="false" outlineLevel="0" collapsed="false">
      <c r="A248" s="5" t="s">
        <v>4</v>
      </c>
      <c r="B248" s="5" t="s">
        <v>55</v>
      </c>
      <c r="C248" s="2" t="s">
        <v>56</v>
      </c>
      <c r="D248" s="5" t="s">
        <v>57</v>
      </c>
      <c r="E248" s="5" t="s">
        <v>58</v>
      </c>
      <c r="F248" s="2" t="n">
        <v>12</v>
      </c>
      <c r="G248" s="5" t="s">
        <v>75</v>
      </c>
      <c r="H248" s="2" t="n">
        <v>1</v>
      </c>
      <c r="I248" s="2" t="n">
        <v>1</v>
      </c>
      <c r="J248" s="2" t="n">
        <v>1</v>
      </c>
      <c r="K248" s="7" t="n">
        <v>0.2411651525</v>
      </c>
      <c r="L248" s="7" t="n">
        <v>0.1178681272</v>
      </c>
      <c r="M248" s="7" t="n">
        <v>0.1192277447</v>
      </c>
      <c r="N248" s="7" t="n">
        <v>13</v>
      </c>
      <c r="O248" s="7" t="n">
        <v>13</v>
      </c>
      <c r="P248" s="7" t="n">
        <v>0</v>
      </c>
      <c r="Q248" s="2"/>
      <c r="R248" s="7" t="n">
        <v>2.177419</v>
      </c>
      <c r="S248" s="5" t="s">
        <v>60</v>
      </c>
      <c r="T248" s="5" t="s">
        <v>61</v>
      </c>
    </row>
    <row r="249" customFormat="false" ht="15" hidden="false" customHeight="false" outlineLevel="0" collapsed="false">
      <c r="A249" s="5" t="s">
        <v>4</v>
      </c>
      <c r="B249" s="5" t="s">
        <v>55</v>
      </c>
      <c r="C249" s="2" t="s">
        <v>56</v>
      </c>
      <c r="D249" s="5" t="s">
        <v>57</v>
      </c>
      <c r="E249" s="5" t="s">
        <v>62</v>
      </c>
      <c r="F249" s="2" t="n">
        <v>12</v>
      </c>
      <c r="G249" s="5" t="s">
        <v>75</v>
      </c>
      <c r="H249" s="2" t="n">
        <v>1</v>
      </c>
      <c r="I249" s="2" t="n">
        <v>1</v>
      </c>
      <c r="J249" s="2" t="n">
        <v>1</v>
      </c>
      <c r="K249" s="7" t="n">
        <v>0.2411651525</v>
      </c>
      <c r="L249" s="7" t="n">
        <v>0.1178681272</v>
      </c>
      <c r="M249" s="7" t="n">
        <v>0.1192277447</v>
      </c>
      <c r="N249" s="7" t="n">
        <v>13</v>
      </c>
      <c r="O249" s="7" t="n">
        <v>13</v>
      </c>
      <c r="P249" s="7" t="n">
        <v>12</v>
      </c>
      <c r="Q249" s="2"/>
      <c r="R249" s="7" t="n">
        <v>6.826893</v>
      </c>
      <c r="S249" s="5" t="s">
        <v>60</v>
      </c>
      <c r="T249" s="5" t="s">
        <v>61</v>
      </c>
    </row>
    <row r="250" customFormat="false" ht="15" hidden="false" customHeight="false" outlineLevel="0" collapsed="false">
      <c r="A250" s="5" t="s">
        <v>4</v>
      </c>
      <c r="B250" s="5" t="s">
        <v>55</v>
      </c>
      <c r="C250" s="2" t="s">
        <v>56</v>
      </c>
      <c r="D250" s="5" t="s">
        <v>57</v>
      </c>
      <c r="E250" s="5" t="s">
        <v>58</v>
      </c>
      <c r="F250" s="2" t="n">
        <v>13</v>
      </c>
      <c r="G250" s="5" t="s">
        <v>74</v>
      </c>
      <c r="H250" s="2" t="n">
        <v>1</v>
      </c>
      <c r="I250" s="2" t="n">
        <v>1</v>
      </c>
      <c r="J250" s="2" t="n">
        <v>1</v>
      </c>
      <c r="K250" s="7" t="n">
        <v>0.3399580764</v>
      </c>
      <c r="L250" s="7" t="n">
        <v>0.07521210225</v>
      </c>
      <c r="M250" s="7" t="n">
        <v>0.07877427153</v>
      </c>
      <c r="N250" s="7" t="n">
        <v>8</v>
      </c>
      <c r="O250" s="7" t="n">
        <v>8</v>
      </c>
      <c r="P250" s="7" t="n">
        <v>0</v>
      </c>
      <c r="Q250" s="2"/>
      <c r="R250" s="7" t="n">
        <v>2.249566</v>
      </c>
      <c r="S250" s="5" t="s">
        <v>60</v>
      </c>
      <c r="T250" s="5" t="s">
        <v>61</v>
      </c>
    </row>
    <row r="251" customFormat="false" ht="15" hidden="false" customHeight="false" outlineLevel="0" collapsed="false">
      <c r="A251" s="5" t="s">
        <v>4</v>
      </c>
      <c r="B251" s="5" t="s">
        <v>55</v>
      </c>
      <c r="C251" s="2" t="s">
        <v>56</v>
      </c>
      <c r="D251" s="5" t="s">
        <v>57</v>
      </c>
      <c r="E251" s="5" t="s">
        <v>62</v>
      </c>
      <c r="F251" s="2" t="n">
        <v>13</v>
      </c>
      <c r="G251" s="5" t="s">
        <v>74</v>
      </c>
      <c r="H251" s="2" t="n">
        <v>1</v>
      </c>
      <c r="I251" s="2" t="n">
        <v>1</v>
      </c>
      <c r="J251" s="2" t="n">
        <v>1</v>
      </c>
      <c r="K251" s="7" t="n">
        <v>0.3399580764</v>
      </c>
      <c r="L251" s="7" t="n">
        <v>0.07521210225</v>
      </c>
      <c r="M251" s="7" t="n">
        <v>0.07877427153</v>
      </c>
      <c r="N251" s="7" t="n">
        <v>8</v>
      </c>
      <c r="O251" s="7" t="n">
        <v>8</v>
      </c>
      <c r="P251" s="7" t="n">
        <v>8</v>
      </c>
      <c r="Q251" s="2"/>
      <c r="R251" s="7" t="n">
        <v>2.771387</v>
      </c>
      <c r="S251" s="5" t="s">
        <v>60</v>
      </c>
      <c r="T251" s="5" t="s">
        <v>61</v>
      </c>
    </row>
    <row r="252" customFormat="false" ht="15" hidden="false" customHeight="false" outlineLevel="0" collapsed="false">
      <c r="A252" s="5" t="s">
        <v>4</v>
      </c>
      <c r="B252" s="5" t="s">
        <v>55</v>
      </c>
      <c r="C252" s="2" t="s">
        <v>56</v>
      </c>
      <c r="D252" s="5" t="s">
        <v>57</v>
      </c>
      <c r="E252" s="5" t="s">
        <v>58</v>
      </c>
      <c r="F252" s="2" t="n">
        <v>13</v>
      </c>
      <c r="G252" s="5" t="s">
        <v>75</v>
      </c>
      <c r="H252" s="2" t="n">
        <v>1</v>
      </c>
      <c r="I252" s="2" t="n">
        <v>1</v>
      </c>
      <c r="J252" s="2" t="n">
        <v>1</v>
      </c>
      <c r="K252" s="7" t="n">
        <v>0.5913162897</v>
      </c>
      <c r="L252" s="7" t="n">
        <v>0.08943512408</v>
      </c>
      <c r="M252" s="7" t="n">
        <v>0.09744285956</v>
      </c>
      <c r="N252" s="7" t="n">
        <v>7</v>
      </c>
      <c r="O252" s="7" t="n">
        <v>7</v>
      </c>
      <c r="P252" s="7" t="n">
        <v>0</v>
      </c>
      <c r="Q252" s="2"/>
      <c r="R252" s="7" t="n">
        <v>2.189017</v>
      </c>
      <c r="S252" s="5" t="s">
        <v>60</v>
      </c>
      <c r="T252" s="5" t="s">
        <v>61</v>
      </c>
    </row>
    <row r="253" customFormat="false" ht="15" hidden="false" customHeight="false" outlineLevel="0" collapsed="false">
      <c r="A253" s="5" t="s">
        <v>4</v>
      </c>
      <c r="B253" s="5" t="s">
        <v>55</v>
      </c>
      <c r="C253" s="2" t="s">
        <v>56</v>
      </c>
      <c r="D253" s="5" t="s">
        <v>57</v>
      </c>
      <c r="E253" s="5" t="s">
        <v>62</v>
      </c>
      <c r="F253" s="2" t="n">
        <v>13</v>
      </c>
      <c r="G253" s="5" t="s">
        <v>75</v>
      </c>
      <c r="H253" s="2" t="n">
        <v>1</v>
      </c>
      <c r="I253" s="2" t="n">
        <v>1</v>
      </c>
      <c r="J253" s="2" t="n">
        <v>1</v>
      </c>
      <c r="K253" s="7" t="n">
        <v>0.5913162897</v>
      </c>
      <c r="L253" s="7" t="n">
        <v>0.08943512408</v>
      </c>
      <c r="M253" s="7" t="n">
        <v>0.09744285956</v>
      </c>
      <c r="N253" s="7" t="n">
        <v>7</v>
      </c>
      <c r="O253" s="7" t="n">
        <v>7</v>
      </c>
      <c r="P253" s="7" t="n">
        <v>7</v>
      </c>
      <c r="Q253" s="2"/>
      <c r="R253" s="7" t="n">
        <v>2.621436</v>
      </c>
      <c r="S253" s="5" t="s">
        <v>60</v>
      </c>
      <c r="T253" s="5" t="s">
        <v>61</v>
      </c>
    </row>
    <row r="254" customFormat="false" ht="15" hidden="false" customHeight="false" outlineLevel="0" collapsed="false">
      <c r="A254" s="5" t="s">
        <v>4</v>
      </c>
      <c r="B254" s="5" t="s">
        <v>55</v>
      </c>
      <c r="C254" s="2" t="s">
        <v>56</v>
      </c>
      <c r="D254" s="5" t="s">
        <v>57</v>
      </c>
      <c r="E254" s="5" t="s">
        <v>58</v>
      </c>
      <c r="F254" s="2" t="n">
        <v>14</v>
      </c>
      <c r="G254" s="5" t="s">
        <v>74</v>
      </c>
      <c r="H254" s="2" t="n">
        <v>1</v>
      </c>
      <c r="I254" s="2" t="n">
        <v>1</v>
      </c>
      <c r="J254" s="2" t="n">
        <v>1</v>
      </c>
      <c r="K254" s="7" t="n">
        <v>0.05767953503</v>
      </c>
      <c r="L254" s="7" t="n">
        <v>0.03942912304</v>
      </c>
      <c r="M254" s="7" t="n">
        <v>0.03968499946</v>
      </c>
      <c r="N254" s="7" t="n">
        <v>14</v>
      </c>
      <c r="O254" s="7" t="n">
        <v>14</v>
      </c>
      <c r="P254" s="7" t="n">
        <v>0</v>
      </c>
      <c r="Q254" s="2"/>
      <c r="R254" s="7" t="n">
        <v>9.599631</v>
      </c>
      <c r="S254" s="5" t="s">
        <v>60</v>
      </c>
      <c r="T254" s="5" t="s">
        <v>61</v>
      </c>
    </row>
    <row r="255" customFormat="false" ht="15" hidden="false" customHeight="false" outlineLevel="0" collapsed="false">
      <c r="A255" s="5" t="s">
        <v>4</v>
      </c>
      <c r="B255" s="5" t="s">
        <v>55</v>
      </c>
      <c r="C255" s="2" t="s">
        <v>56</v>
      </c>
      <c r="D255" s="5" t="s">
        <v>57</v>
      </c>
      <c r="E255" s="5" t="s">
        <v>62</v>
      </c>
      <c r="F255" s="2" t="n">
        <v>14</v>
      </c>
      <c r="G255" s="5" t="s">
        <v>74</v>
      </c>
      <c r="H255" s="2" t="n">
        <v>1</v>
      </c>
      <c r="I255" s="2" t="n">
        <v>1</v>
      </c>
      <c r="J255" s="2" t="n">
        <v>1</v>
      </c>
      <c r="K255" s="7" t="n">
        <v>0.05767953503</v>
      </c>
      <c r="L255" s="7" t="n">
        <v>0.03942912304</v>
      </c>
      <c r="M255" s="7" t="n">
        <v>0.03968499946</v>
      </c>
      <c r="N255" s="7" t="n">
        <v>14</v>
      </c>
      <c r="O255" s="7" t="n">
        <v>14</v>
      </c>
      <c r="P255" s="7" t="n">
        <v>14</v>
      </c>
      <c r="Q255" s="2"/>
      <c r="R255" s="7" t="n">
        <v>18.457698</v>
      </c>
      <c r="S255" s="5" t="s">
        <v>60</v>
      </c>
      <c r="T255" s="5" t="s">
        <v>61</v>
      </c>
    </row>
    <row r="256" customFormat="false" ht="15" hidden="false" customHeight="false" outlineLevel="0" collapsed="false">
      <c r="A256" s="5" t="s">
        <v>4</v>
      </c>
      <c r="B256" s="5" t="s">
        <v>55</v>
      </c>
      <c r="C256" s="2" t="s">
        <v>56</v>
      </c>
      <c r="D256" s="5" t="s">
        <v>57</v>
      </c>
      <c r="E256" s="5" t="s">
        <v>58</v>
      </c>
      <c r="F256" s="2" t="n">
        <v>14</v>
      </c>
      <c r="G256" s="5" t="s">
        <v>75</v>
      </c>
      <c r="H256" s="2" t="n">
        <v>1</v>
      </c>
      <c r="I256" s="2" t="n">
        <v>1</v>
      </c>
      <c r="J256" s="2" t="n">
        <v>1</v>
      </c>
      <c r="K256" s="7" t="n">
        <v>0.4388738443</v>
      </c>
      <c r="L256" s="7" t="n">
        <v>0.0461836544</v>
      </c>
      <c r="M256" s="7" t="n">
        <v>0.05484350302</v>
      </c>
      <c r="N256" s="7" t="n">
        <v>9</v>
      </c>
      <c r="O256" s="7" t="n">
        <v>9</v>
      </c>
      <c r="P256" s="7" t="n">
        <v>0</v>
      </c>
      <c r="Q256" s="2"/>
      <c r="R256" s="7" t="n">
        <v>6.612847</v>
      </c>
      <c r="S256" s="5" t="s">
        <v>60</v>
      </c>
      <c r="T256" s="5" t="s">
        <v>61</v>
      </c>
    </row>
    <row r="257" customFormat="false" ht="15" hidden="false" customHeight="false" outlineLevel="0" collapsed="false">
      <c r="A257" s="5" t="s">
        <v>4</v>
      </c>
      <c r="B257" s="5" t="s">
        <v>55</v>
      </c>
      <c r="C257" s="2" t="s">
        <v>56</v>
      </c>
      <c r="D257" s="5" t="s">
        <v>57</v>
      </c>
      <c r="E257" s="5" t="s">
        <v>62</v>
      </c>
      <c r="F257" s="2" t="n">
        <v>14</v>
      </c>
      <c r="G257" s="5" t="s">
        <v>75</v>
      </c>
      <c r="H257" s="2" t="n">
        <v>1</v>
      </c>
      <c r="I257" s="2" t="n">
        <v>1</v>
      </c>
      <c r="J257" s="2" t="n">
        <v>1</v>
      </c>
      <c r="K257" s="7" t="n">
        <v>0.4388738443</v>
      </c>
      <c r="L257" s="7" t="n">
        <v>0.0461836544</v>
      </c>
      <c r="M257" s="7" t="n">
        <v>0.05484350302</v>
      </c>
      <c r="N257" s="7" t="n">
        <v>9</v>
      </c>
      <c r="O257" s="7" t="n">
        <v>9</v>
      </c>
      <c r="P257" s="7" t="n">
        <v>9</v>
      </c>
      <c r="Q257" s="2"/>
      <c r="R257" s="7" t="n">
        <v>7.13646</v>
      </c>
      <c r="S257" s="5" t="s">
        <v>60</v>
      </c>
      <c r="T257" s="5" t="s">
        <v>61</v>
      </c>
    </row>
    <row r="258" customFormat="false" ht="15" hidden="false" customHeight="false" outlineLevel="0" collapsed="false">
      <c r="A258" s="5" t="s">
        <v>4</v>
      </c>
      <c r="B258" s="5" t="s">
        <v>55</v>
      </c>
      <c r="C258" s="2" t="s">
        <v>56</v>
      </c>
      <c r="D258" s="5" t="s">
        <v>57</v>
      </c>
      <c r="E258" s="5" t="s">
        <v>58</v>
      </c>
      <c r="F258" s="2" t="n">
        <v>15</v>
      </c>
      <c r="G258" s="5" t="s">
        <v>74</v>
      </c>
      <c r="H258" s="2" t="n">
        <v>1</v>
      </c>
      <c r="I258" s="2" t="n">
        <v>1</v>
      </c>
      <c r="J258" s="2" t="n">
        <v>1</v>
      </c>
      <c r="K258" s="7" t="n">
        <v>0.4266684373</v>
      </c>
      <c r="L258" s="7" t="n">
        <v>0.07442820856</v>
      </c>
      <c r="M258" s="7" t="n">
        <v>0.07980703524</v>
      </c>
      <c r="N258" s="7" t="n">
        <v>8</v>
      </c>
      <c r="O258" s="7" t="n">
        <v>8</v>
      </c>
      <c r="P258" s="7" t="n">
        <v>0</v>
      </c>
      <c r="Q258" s="2"/>
      <c r="R258" s="7" t="n">
        <v>6.295388</v>
      </c>
      <c r="S258" s="5" t="s">
        <v>60</v>
      </c>
      <c r="T258" s="5" t="s">
        <v>61</v>
      </c>
    </row>
    <row r="259" customFormat="false" ht="15" hidden="false" customHeight="false" outlineLevel="0" collapsed="false">
      <c r="A259" s="5" t="s">
        <v>4</v>
      </c>
      <c r="B259" s="5" t="s">
        <v>55</v>
      </c>
      <c r="C259" s="2" t="s">
        <v>56</v>
      </c>
      <c r="D259" s="5" t="s">
        <v>57</v>
      </c>
      <c r="E259" s="5" t="s">
        <v>62</v>
      </c>
      <c r="F259" s="2" t="n">
        <v>15</v>
      </c>
      <c r="G259" s="5" t="s">
        <v>74</v>
      </c>
      <c r="H259" s="2" t="n">
        <v>1</v>
      </c>
      <c r="I259" s="2" t="n">
        <v>1</v>
      </c>
      <c r="J259" s="2" t="n">
        <v>1</v>
      </c>
      <c r="K259" s="7" t="n">
        <v>0.4266684373</v>
      </c>
      <c r="L259" s="7" t="n">
        <v>0.07442820856</v>
      </c>
      <c r="M259" s="7" t="n">
        <v>0.07980703524</v>
      </c>
      <c r="N259" s="7" t="n">
        <v>8</v>
      </c>
      <c r="O259" s="7" t="n">
        <v>8</v>
      </c>
      <c r="P259" s="7" t="n">
        <v>8</v>
      </c>
      <c r="Q259" s="2"/>
      <c r="R259" s="7" t="n">
        <v>10.881348</v>
      </c>
      <c r="S259" s="5" t="s">
        <v>60</v>
      </c>
      <c r="T259" s="5" t="s">
        <v>61</v>
      </c>
    </row>
    <row r="260" customFormat="false" ht="15" hidden="false" customHeight="false" outlineLevel="0" collapsed="false">
      <c r="A260" s="5" t="s">
        <v>4</v>
      </c>
      <c r="B260" s="5" t="s">
        <v>55</v>
      </c>
      <c r="C260" s="2" t="s">
        <v>56</v>
      </c>
      <c r="D260" s="5" t="s">
        <v>57</v>
      </c>
      <c r="E260" s="5" t="s">
        <v>58</v>
      </c>
      <c r="F260" s="2" t="n">
        <v>15</v>
      </c>
      <c r="G260" s="5" t="s">
        <v>75</v>
      </c>
      <c r="H260" s="2" t="n">
        <v>1</v>
      </c>
      <c r="I260" s="2" t="n">
        <v>1</v>
      </c>
      <c r="J260" s="2" t="n">
        <v>1</v>
      </c>
      <c r="K260" s="7" t="n">
        <v>1.687246922</v>
      </c>
      <c r="L260" s="7" t="n">
        <v>0.2353402682</v>
      </c>
      <c r="M260" s="7" t="n">
        <v>0.2618963048</v>
      </c>
      <c r="N260" s="7" t="n">
        <v>7</v>
      </c>
      <c r="O260" s="7" t="n">
        <v>7</v>
      </c>
      <c r="P260" s="7" t="n">
        <v>0</v>
      </c>
      <c r="Q260" s="2"/>
      <c r="R260" s="7" t="n">
        <v>2.181965</v>
      </c>
      <c r="S260" s="5" t="s">
        <v>60</v>
      </c>
      <c r="T260" s="5" t="s">
        <v>61</v>
      </c>
    </row>
    <row r="261" customFormat="false" ht="15" hidden="false" customHeight="false" outlineLevel="0" collapsed="false">
      <c r="A261" s="5" t="s">
        <v>4</v>
      </c>
      <c r="B261" s="5" t="s">
        <v>55</v>
      </c>
      <c r="C261" s="2" t="s">
        <v>56</v>
      </c>
      <c r="D261" s="5" t="s">
        <v>57</v>
      </c>
      <c r="E261" s="5" t="s">
        <v>62</v>
      </c>
      <c r="F261" s="2" t="n">
        <v>15</v>
      </c>
      <c r="G261" s="5" t="s">
        <v>75</v>
      </c>
      <c r="H261" s="2" t="n">
        <v>1</v>
      </c>
      <c r="I261" s="2" t="n">
        <v>1</v>
      </c>
      <c r="J261" s="2" t="n">
        <v>1</v>
      </c>
      <c r="K261" s="7" t="n">
        <v>1.345003636</v>
      </c>
      <c r="L261" s="7" t="n">
        <v>0.3438571404</v>
      </c>
      <c r="M261" s="7" t="n">
        <v>0.354589727</v>
      </c>
      <c r="N261" s="7" t="n">
        <v>7</v>
      </c>
      <c r="O261" s="7" t="n">
        <v>7</v>
      </c>
      <c r="P261" s="7" t="n">
        <v>6</v>
      </c>
      <c r="Q261" s="2"/>
      <c r="R261" s="7" t="n">
        <v>2.666902</v>
      </c>
      <c r="S261" s="5" t="s">
        <v>60</v>
      </c>
      <c r="T261" s="5" t="s">
        <v>61</v>
      </c>
    </row>
    <row r="262" customFormat="false" ht="15" hidden="false" customHeight="false" outlineLevel="0" collapsed="false">
      <c r="A262" s="5" t="s">
        <v>4</v>
      </c>
      <c r="B262" s="5" t="s">
        <v>55</v>
      </c>
      <c r="C262" s="2" t="s">
        <v>56</v>
      </c>
      <c r="D262" s="5" t="s">
        <v>57</v>
      </c>
      <c r="E262" s="5" t="s">
        <v>58</v>
      </c>
      <c r="F262" s="2" t="n">
        <v>16</v>
      </c>
      <c r="G262" s="5" t="s">
        <v>74</v>
      </c>
      <c r="H262" s="2" t="n">
        <v>1</v>
      </c>
      <c r="I262" s="2" t="n">
        <v>1</v>
      </c>
      <c r="J262" s="2" t="n">
        <v>1</v>
      </c>
      <c r="K262" s="7" t="n">
        <v>0.4371977706</v>
      </c>
      <c r="L262" s="7" t="n">
        <v>0.1128451356</v>
      </c>
      <c r="M262" s="7" t="n">
        <v>0.1176686727</v>
      </c>
      <c r="N262" s="7" t="n">
        <v>8</v>
      </c>
      <c r="O262" s="7" t="n">
        <v>8</v>
      </c>
      <c r="P262" s="7" t="n">
        <v>0</v>
      </c>
      <c r="Q262" s="2"/>
      <c r="R262" s="7" t="n">
        <v>5.963166</v>
      </c>
      <c r="S262" s="5" t="s">
        <v>60</v>
      </c>
      <c r="T262" s="5" t="s">
        <v>61</v>
      </c>
    </row>
    <row r="263" customFormat="false" ht="15" hidden="false" customHeight="false" outlineLevel="0" collapsed="false">
      <c r="A263" s="5" t="s">
        <v>4</v>
      </c>
      <c r="B263" s="5" t="s">
        <v>55</v>
      </c>
      <c r="C263" s="2" t="s">
        <v>56</v>
      </c>
      <c r="D263" s="5" t="s">
        <v>57</v>
      </c>
      <c r="E263" s="5" t="s">
        <v>62</v>
      </c>
      <c r="F263" s="2" t="n">
        <v>16</v>
      </c>
      <c r="G263" s="5" t="s">
        <v>74</v>
      </c>
      <c r="H263" s="2" t="n">
        <v>1</v>
      </c>
      <c r="I263" s="2" t="n">
        <v>1</v>
      </c>
      <c r="J263" s="2" t="n">
        <v>1</v>
      </c>
      <c r="K263" s="7" t="n">
        <v>0.4371977706</v>
      </c>
      <c r="L263" s="7" t="n">
        <v>0.1128451356</v>
      </c>
      <c r="M263" s="7" t="n">
        <v>0.1176686727</v>
      </c>
      <c r="N263" s="7" t="n">
        <v>8</v>
      </c>
      <c r="O263" s="7" t="n">
        <v>8</v>
      </c>
      <c r="P263" s="7" t="n">
        <v>8</v>
      </c>
      <c r="Q263" s="2"/>
      <c r="R263" s="7" t="n">
        <v>6.504046</v>
      </c>
      <c r="S263" s="5" t="s">
        <v>60</v>
      </c>
      <c r="T263" s="5" t="s">
        <v>61</v>
      </c>
    </row>
    <row r="264" customFormat="false" ht="15" hidden="false" customHeight="false" outlineLevel="0" collapsed="false">
      <c r="A264" s="5" t="s">
        <v>4</v>
      </c>
      <c r="B264" s="5" t="s">
        <v>55</v>
      </c>
      <c r="C264" s="2" t="s">
        <v>56</v>
      </c>
      <c r="D264" s="5" t="s">
        <v>57</v>
      </c>
      <c r="E264" s="5" t="s">
        <v>58</v>
      </c>
      <c r="F264" s="2" t="n">
        <v>16</v>
      </c>
      <c r="G264" s="5" t="s">
        <v>75</v>
      </c>
      <c r="H264" s="2" t="n">
        <v>1</v>
      </c>
      <c r="I264" s="2" t="n">
        <v>1</v>
      </c>
      <c r="J264" s="2" t="n">
        <v>1</v>
      </c>
      <c r="K264" s="7" t="n">
        <v>0.07507756252</v>
      </c>
      <c r="L264" s="7" t="n">
        <v>0.06322010525</v>
      </c>
      <c r="M264" s="7" t="n">
        <v>0.06356983692</v>
      </c>
      <c r="N264" s="7" t="n">
        <v>12</v>
      </c>
      <c r="O264" s="7" t="n">
        <v>12</v>
      </c>
      <c r="P264" s="7" t="n">
        <v>0</v>
      </c>
      <c r="Q264" s="2"/>
      <c r="R264" s="7" t="n">
        <v>2.413007</v>
      </c>
      <c r="S264" s="5" t="s">
        <v>60</v>
      </c>
      <c r="T264" s="5" t="s">
        <v>61</v>
      </c>
    </row>
    <row r="265" customFormat="false" ht="15" hidden="false" customHeight="false" outlineLevel="0" collapsed="false">
      <c r="A265" s="5" t="s">
        <v>4</v>
      </c>
      <c r="B265" s="5" t="s">
        <v>55</v>
      </c>
      <c r="C265" s="2" t="s">
        <v>56</v>
      </c>
      <c r="D265" s="5" t="s">
        <v>57</v>
      </c>
      <c r="E265" s="5" t="s">
        <v>62</v>
      </c>
      <c r="F265" s="2" t="n">
        <v>16</v>
      </c>
      <c r="G265" s="5" t="s">
        <v>75</v>
      </c>
      <c r="H265" s="2" t="n">
        <v>1</v>
      </c>
      <c r="I265" s="2" t="n">
        <v>1</v>
      </c>
      <c r="J265" s="2" t="n">
        <v>1</v>
      </c>
      <c r="K265" s="7" t="n">
        <v>0.07507756252</v>
      </c>
      <c r="L265" s="7" t="n">
        <v>0.06322010525</v>
      </c>
      <c r="M265" s="7" t="n">
        <v>0.06356983692</v>
      </c>
      <c r="N265" s="7" t="n">
        <v>12</v>
      </c>
      <c r="O265" s="7" t="n">
        <v>12</v>
      </c>
      <c r="P265" s="7" t="n">
        <v>12</v>
      </c>
      <c r="Q265" s="2"/>
      <c r="R265" s="7" t="n">
        <v>3.063588</v>
      </c>
      <c r="S265" s="5" t="s">
        <v>60</v>
      </c>
      <c r="T265" s="5" t="s">
        <v>61</v>
      </c>
    </row>
    <row r="266" customFormat="false" ht="15" hidden="false" customHeight="false" outlineLevel="0" collapsed="false">
      <c r="A266" s="5" t="s">
        <v>4</v>
      </c>
      <c r="B266" s="5" t="s">
        <v>55</v>
      </c>
      <c r="C266" s="2" t="s">
        <v>56</v>
      </c>
      <c r="D266" s="5" t="s">
        <v>57</v>
      </c>
      <c r="E266" s="5" t="s">
        <v>58</v>
      </c>
      <c r="F266" s="2" t="n">
        <v>17</v>
      </c>
      <c r="G266" s="5" t="s">
        <v>74</v>
      </c>
      <c r="H266" s="2" t="n">
        <v>1</v>
      </c>
      <c r="I266" s="2" t="n">
        <v>1</v>
      </c>
      <c r="J266" s="2" t="n">
        <v>1</v>
      </c>
      <c r="K266" s="7" t="n">
        <v>0.1464436423</v>
      </c>
      <c r="L266" s="7" t="n">
        <v>0.05375926495</v>
      </c>
      <c r="M266" s="7" t="n">
        <v>0.0550473792</v>
      </c>
      <c r="N266" s="7" t="n">
        <v>9</v>
      </c>
      <c r="O266" s="7" t="n">
        <v>9</v>
      </c>
      <c r="P266" s="7" t="n">
        <v>0</v>
      </c>
      <c r="Q266" s="2"/>
      <c r="R266" s="7" t="n">
        <v>2.484102</v>
      </c>
      <c r="S266" s="5" t="s">
        <v>60</v>
      </c>
      <c r="T266" s="5" t="s">
        <v>61</v>
      </c>
    </row>
    <row r="267" customFormat="false" ht="15" hidden="false" customHeight="false" outlineLevel="0" collapsed="false">
      <c r="A267" s="5" t="s">
        <v>4</v>
      </c>
      <c r="B267" s="5" t="s">
        <v>55</v>
      </c>
      <c r="C267" s="2" t="s">
        <v>56</v>
      </c>
      <c r="D267" s="5" t="s">
        <v>57</v>
      </c>
      <c r="E267" s="5" t="s">
        <v>62</v>
      </c>
      <c r="F267" s="2" t="n">
        <v>17</v>
      </c>
      <c r="G267" s="5" t="s">
        <v>74</v>
      </c>
      <c r="H267" s="2" t="n">
        <v>1</v>
      </c>
      <c r="I267" s="2" t="n">
        <v>1</v>
      </c>
      <c r="J267" s="2" t="n">
        <v>1</v>
      </c>
      <c r="K267" s="7" t="n">
        <v>0.1464436423</v>
      </c>
      <c r="L267" s="7" t="n">
        <v>0.05375926495</v>
      </c>
      <c r="M267" s="7" t="n">
        <v>0.0550473792</v>
      </c>
      <c r="N267" s="7" t="n">
        <v>9</v>
      </c>
      <c r="O267" s="7" t="n">
        <v>9</v>
      </c>
      <c r="P267" s="7" t="n">
        <v>9</v>
      </c>
      <c r="Q267" s="2"/>
      <c r="R267" s="7" t="n">
        <v>3.155434</v>
      </c>
      <c r="S267" s="5" t="s">
        <v>60</v>
      </c>
      <c r="T267" s="5" t="s">
        <v>61</v>
      </c>
    </row>
    <row r="268" customFormat="false" ht="15" hidden="false" customHeight="false" outlineLevel="0" collapsed="false">
      <c r="A268" s="5" t="s">
        <v>4</v>
      </c>
      <c r="B268" s="5" t="s">
        <v>55</v>
      </c>
      <c r="C268" s="2" t="s">
        <v>56</v>
      </c>
      <c r="D268" s="5" t="s">
        <v>57</v>
      </c>
      <c r="E268" s="5" t="s">
        <v>58</v>
      </c>
      <c r="F268" s="2" t="n">
        <v>17</v>
      </c>
      <c r="G268" s="5" t="s">
        <v>75</v>
      </c>
      <c r="H268" s="2" t="n">
        <v>1</v>
      </c>
      <c r="I268" s="2" t="n">
        <v>1</v>
      </c>
      <c r="J268" s="2" t="n">
        <v>1</v>
      </c>
      <c r="K268" s="7" t="n">
        <v>0.4092645065</v>
      </c>
      <c r="L268" s="7" t="n">
        <v>0.06350460842</v>
      </c>
      <c r="M268" s="7" t="n">
        <v>0.06892993307</v>
      </c>
      <c r="N268" s="7" t="n">
        <v>8</v>
      </c>
      <c r="O268" s="7" t="n">
        <v>8</v>
      </c>
      <c r="P268" s="7" t="n">
        <v>0</v>
      </c>
      <c r="Q268" s="2"/>
      <c r="R268" s="7" t="n">
        <v>2.590409</v>
      </c>
      <c r="S268" s="5" t="s">
        <v>60</v>
      </c>
      <c r="T268" s="5" t="s">
        <v>61</v>
      </c>
    </row>
    <row r="269" customFormat="false" ht="15" hidden="false" customHeight="false" outlineLevel="0" collapsed="false">
      <c r="A269" s="5" t="s">
        <v>4</v>
      </c>
      <c r="B269" s="5" t="s">
        <v>55</v>
      </c>
      <c r="C269" s="2" t="s">
        <v>56</v>
      </c>
      <c r="D269" s="5" t="s">
        <v>57</v>
      </c>
      <c r="E269" s="5" t="s">
        <v>62</v>
      </c>
      <c r="F269" s="2" t="n">
        <v>17</v>
      </c>
      <c r="G269" s="5" t="s">
        <v>75</v>
      </c>
      <c r="H269" s="2" t="n">
        <v>1</v>
      </c>
      <c r="I269" s="2" t="n">
        <v>1</v>
      </c>
      <c r="J269" s="2" t="n">
        <v>1</v>
      </c>
      <c r="K269" s="7" t="n">
        <v>0.4092645065</v>
      </c>
      <c r="L269" s="7" t="n">
        <v>0.06350460842</v>
      </c>
      <c r="M269" s="7" t="n">
        <v>0.06892993307</v>
      </c>
      <c r="N269" s="7" t="n">
        <v>8</v>
      </c>
      <c r="O269" s="7" t="n">
        <v>8</v>
      </c>
      <c r="P269" s="7" t="n">
        <v>8</v>
      </c>
      <c r="Q269" s="2"/>
      <c r="R269" s="7" t="n">
        <v>3.121745</v>
      </c>
      <c r="S269" s="5" t="s">
        <v>60</v>
      </c>
      <c r="T269" s="5" t="s">
        <v>61</v>
      </c>
    </row>
    <row r="270" customFormat="false" ht="15" hidden="false" customHeight="false" outlineLevel="0" collapsed="false">
      <c r="A270" s="5" t="s">
        <v>4</v>
      </c>
      <c r="B270" s="5" t="s">
        <v>55</v>
      </c>
      <c r="C270" s="2" t="s">
        <v>56</v>
      </c>
      <c r="D270" s="5" t="s">
        <v>57</v>
      </c>
      <c r="E270" s="5" t="s">
        <v>58</v>
      </c>
      <c r="F270" s="2" t="n">
        <v>18</v>
      </c>
      <c r="G270" s="5" t="s">
        <v>74</v>
      </c>
      <c r="H270" s="2" t="n">
        <v>1</v>
      </c>
      <c r="I270" s="2" t="n">
        <v>1</v>
      </c>
      <c r="J270" s="2" t="n">
        <v>1</v>
      </c>
      <c r="K270" s="7" t="n">
        <v>0.5104268106</v>
      </c>
      <c r="L270" s="7" t="n">
        <v>0.07803097909</v>
      </c>
      <c r="M270" s="7" t="n">
        <v>0.08586050089</v>
      </c>
      <c r="N270" s="7" t="n">
        <v>9</v>
      </c>
      <c r="O270" s="7" t="n">
        <v>9</v>
      </c>
      <c r="P270" s="7" t="n">
        <v>0</v>
      </c>
      <c r="Q270" s="2"/>
      <c r="R270" s="7" t="n">
        <v>6.185365</v>
      </c>
      <c r="S270" s="5" t="s">
        <v>60</v>
      </c>
      <c r="T270" s="5" t="s">
        <v>61</v>
      </c>
    </row>
    <row r="271" customFormat="false" ht="15" hidden="false" customHeight="false" outlineLevel="0" collapsed="false">
      <c r="A271" s="5" t="s">
        <v>4</v>
      </c>
      <c r="B271" s="5" t="s">
        <v>55</v>
      </c>
      <c r="C271" s="2" t="s">
        <v>56</v>
      </c>
      <c r="D271" s="5" t="s">
        <v>57</v>
      </c>
      <c r="E271" s="5" t="s">
        <v>62</v>
      </c>
      <c r="F271" s="2" t="n">
        <v>18</v>
      </c>
      <c r="G271" s="5" t="s">
        <v>74</v>
      </c>
      <c r="H271" s="2" t="n">
        <v>1</v>
      </c>
      <c r="I271" s="2" t="n">
        <v>1</v>
      </c>
      <c r="J271" s="2" t="n">
        <v>1</v>
      </c>
      <c r="K271" s="7" t="n">
        <v>0.5104268106</v>
      </c>
      <c r="L271" s="7" t="n">
        <v>0.07803097909</v>
      </c>
      <c r="M271" s="7" t="n">
        <v>0.08586050089</v>
      </c>
      <c r="N271" s="7" t="n">
        <v>9</v>
      </c>
      <c r="O271" s="7" t="n">
        <v>9</v>
      </c>
      <c r="P271" s="7" t="n">
        <v>9</v>
      </c>
      <c r="Q271" s="2"/>
      <c r="R271" s="7" t="n">
        <v>6.825451</v>
      </c>
      <c r="S271" s="5" t="s">
        <v>60</v>
      </c>
      <c r="T271" s="5" t="s">
        <v>61</v>
      </c>
    </row>
    <row r="272" customFormat="false" ht="15" hidden="false" customHeight="false" outlineLevel="0" collapsed="false">
      <c r="A272" s="5" t="s">
        <v>4</v>
      </c>
      <c r="B272" s="5" t="s">
        <v>55</v>
      </c>
      <c r="C272" s="2" t="s">
        <v>56</v>
      </c>
      <c r="D272" s="5" t="s">
        <v>57</v>
      </c>
      <c r="E272" s="5" t="s">
        <v>58</v>
      </c>
      <c r="F272" s="2" t="n">
        <v>18</v>
      </c>
      <c r="G272" s="5" t="s">
        <v>75</v>
      </c>
      <c r="H272" s="2" t="n">
        <v>1</v>
      </c>
      <c r="I272" s="2" t="n">
        <v>1</v>
      </c>
      <c r="J272" s="2" t="n">
        <v>1</v>
      </c>
      <c r="K272" s="7" t="n">
        <v>0.2919318122</v>
      </c>
      <c r="L272" s="7" t="n">
        <v>0.137917742</v>
      </c>
      <c r="M272" s="7" t="n">
        <v>0.1396495047</v>
      </c>
      <c r="N272" s="7" t="n">
        <v>13</v>
      </c>
      <c r="O272" s="7" t="n">
        <v>13</v>
      </c>
      <c r="P272" s="7" t="n">
        <v>0</v>
      </c>
      <c r="Q272" s="2"/>
      <c r="R272" s="7" t="n">
        <v>2.756966</v>
      </c>
      <c r="S272" s="5" t="s">
        <v>60</v>
      </c>
      <c r="T272" s="5" t="s">
        <v>61</v>
      </c>
    </row>
    <row r="273" customFormat="false" ht="15" hidden="false" customHeight="false" outlineLevel="0" collapsed="false">
      <c r="A273" s="5" t="s">
        <v>4</v>
      </c>
      <c r="B273" s="5" t="s">
        <v>55</v>
      </c>
      <c r="C273" s="2" t="s">
        <v>56</v>
      </c>
      <c r="D273" s="5" t="s">
        <v>57</v>
      </c>
      <c r="E273" s="5" t="s">
        <v>62</v>
      </c>
      <c r="F273" s="2" t="n">
        <v>18</v>
      </c>
      <c r="G273" s="5" t="s">
        <v>75</v>
      </c>
      <c r="H273" s="2" t="n">
        <v>1</v>
      </c>
      <c r="I273" s="2" t="n">
        <v>1</v>
      </c>
      <c r="J273" s="2" t="n">
        <v>1</v>
      </c>
      <c r="K273" s="7" t="n">
        <v>0.2919318122</v>
      </c>
      <c r="L273" s="7" t="n">
        <v>0.137917742</v>
      </c>
      <c r="M273" s="7" t="n">
        <v>0.1396495047</v>
      </c>
      <c r="N273" s="7" t="n">
        <v>13</v>
      </c>
      <c r="O273" s="7" t="n">
        <v>13</v>
      </c>
      <c r="P273" s="7" t="n">
        <v>12</v>
      </c>
      <c r="Q273" s="2"/>
      <c r="R273" s="7" t="n">
        <v>7.456314</v>
      </c>
      <c r="S273" s="5" t="s">
        <v>60</v>
      </c>
      <c r="T273" s="5" t="s">
        <v>61</v>
      </c>
    </row>
    <row r="274" customFormat="false" ht="15" hidden="false" customHeight="false" outlineLevel="0" collapsed="false">
      <c r="A274" s="5" t="s">
        <v>4</v>
      </c>
      <c r="B274" s="5" t="s">
        <v>55</v>
      </c>
      <c r="C274" s="2" t="s">
        <v>56</v>
      </c>
      <c r="D274" s="5" t="s">
        <v>57</v>
      </c>
      <c r="E274" s="5" t="s">
        <v>58</v>
      </c>
      <c r="F274" s="2" t="n">
        <v>19</v>
      </c>
      <c r="G274" s="5" t="s">
        <v>74</v>
      </c>
      <c r="H274" s="2" t="n">
        <v>1</v>
      </c>
      <c r="I274" s="2" t="n">
        <v>1</v>
      </c>
      <c r="J274" s="2" t="n">
        <v>1</v>
      </c>
      <c r="K274" s="7" t="n">
        <v>0.1328728663</v>
      </c>
      <c r="L274" s="7" t="n">
        <v>0.06462012892</v>
      </c>
      <c r="M274" s="7" t="n">
        <v>0.06584831983</v>
      </c>
      <c r="N274" s="7" t="n">
        <v>10</v>
      </c>
      <c r="O274" s="7" t="n">
        <v>10</v>
      </c>
      <c r="P274" s="7" t="n">
        <v>0</v>
      </c>
      <c r="Q274" s="2"/>
      <c r="R274" s="7" t="n">
        <v>24.303771</v>
      </c>
      <c r="S274" s="5" t="s">
        <v>60</v>
      </c>
      <c r="T274" s="5" t="s">
        <v>61</v>
      </c>
    </row>
    <row r="275" customFormat="false" ht="15" hidden="false" customHeight="false" outlineLevel="0" collapsed="false">
      <c r="A275" s="5" t="s">
        <v>4</v>
      </c>
      <c r="B275" s="5" t="s">
        <v>55</v>
      </c>
      <c r="C275" s="2" t="s">
        <v>56</v>
      </c>
      <c r="D275" s="5" t="s">
        <v>57</v>
      </c>
      <c r="E275" s="5" t="s">
        <v>62</v>
      </c>
      <c r="F275" s="2" t="n">
        <v>19</v>
      </c>
      <c r="G275" s="5" t="s">
        <v>74</v>
      </c>
      <c r="H275" s="2" t="n">
        <v>1</v>
      </c>
      <c r="I275" s="2" t="n">
        <v>1</v>
      </c>
      <c r="J275" s="2" t="n">
        <v>1</v>
      </c>
      <c r="K275" s="7" t="n">
        <v>0.1328728663</v>
      </c>
      <c r="L275" s="7" t="n">
        <v>0.06462012892</v>
      </c>
      <c r="M275" s="7" t="n">
        <v>0.06584831983</v>
      </c>
      <c r="N275" s="7" t="n">
        <v>10</v>
      </c>
      <c r="O275" s="7" t="n">
        <v>10</v>
      </c>
      <c r="P275" s="7" t="n">
        <v>10</v>
      </c>
      <c r="Q275" s="2"/>
      <c r="R275" s="7" t="n">
        <v>24.890819</v>
      </c>
      <c r="S275" s="5" t="s">
        <v>60</v>
      </c>
      <c r="T275" s="5" t="s">
        <v>61</v>
      </c>
    </row>
    <row r="276" customFormat="false" ht="15" hidden="false" customHeight="false" outlineLevel="0" collapsed="false">
      <c r="A276" s="5" t="s">
        <v>4</v>
      </c>
      <c r="B276" s="5" t="s">
        <v>55</v>
      </c>
      <c r="C276" s="2" t="s">
        <v>56</v>
      </c>
      <c r="D276" s="5" t="s">
        <v>57</v>
      </c>
      <c r="E276" s="5" t="s">
        <v>58</v>
      </c>
      <c r="F276" s="2" t="n">
        <v>19</v>
      </c>
      <c r="G276" s="5" t="s">
        <v>75</v>
      </c>
      <c r="H276" s="2" t="n">
        <v>1</v>
      </c>
      <c r="I276" s="2" t="n">
        <v>1</v>
      </c>
      <c r="J276" s="2" t="n">
        <v>1</v>
      </c>
      <c r="K276" s="7" t="n">
        <v>0.2068673694</v>
      </c>
      <c r="L276" s="7" t="n">
        <v>0.06902271319</v>
      </c>
      <c r="M276" s="7" t="n">
        <v>0.07070576249</v>
      </c>
      <c r="N276" s="7" t="n">
        <v>11</v>
      </c>
      <c r="O276" s="7" t="n">
        <v>11</v>
      </c>
      <c r="P276" s="7" t="n">
        <v>0</v>
      </c>
      <c r="Q276" s="2"/>
      <c r="R276" s="7" t="n">
        <v>6.677443</v>
      </c>
      <c r="S276" s="5" t="s">
        <v>60</v>
      </c>
      <c r="T276" s="5" t="s">
        <v>61</v>
      </c>
    </row>
    <row r="277" customFormat="false" ht="15" hidden="false" customHeight="false" outlineLevel="0" collapsed="false">
      <c r="A277" s="5" t="s">
        <v>4</v>
      </c>
      <c r="B277" s="5" t="s">
        <v>55</v>
      </c>
      <c r="C277" s="2" t="s">
        <v>56</v>
      </c>
      <c r="D277" s="5" t="s">
        <v>57</v>
      </c>
      <c r="E277" s="5" t="s">
        <v>62</v>
      </c>
      <c r="F277" s="2" t="n">
        <v>19</v>
      </c>
      <c r="G277" s="5" t="s">
        <v>75</v>
      </c>
      <c r="H277" s="2" t="n">
        <v>1</v>
      </c>
      <c r="I277" s="2" t="n">
        <v>1</v>
      </c>
      <c r="J277" s="2" t="n">
        <v>1</v>
      </c>
      <c r="K277" s="7" t="n">
        <v>0.2068673694</v>
      </c>
      <c r="L277" s="7" t="n">
        <v>0.06902271319</v>
      </c>
      <c r="M277" s="7" t="n">
        <v>0.07070576249</v>
      </c>
      <c r="N277" s="7" t="n">
        <v>11</v>
      </c>
      <c r="O277" s="7" t="n">
        <v>11</v>
      </c>
      <c r="P277" s="7" t="n">
        <v>11</v>
      </c>
      <c r="Q277" s="2"/>
      <c r="R277" s="7" t="n">
        <v>11.547703</v>
      </c>
      <c r="S277" s="5" t="s">
        <v>60</v>
      </c>
      <c r="T277" s="5" t="s">
        <v>61</v>
      </c>
    </row>
    <row r="278" customFormat="false" ht="15" hidden="false" customHeight="false" outlineLevel="0" collapsed="false">
      <c r="A278" s="5" t="s">
        <v>4</v>
      </c>
      <c r="B278" s="5" t="s">
        <v>55</v>
      </c>
      <c r="C278" s="2" t="s">
        <v>56</v>
      </c>
      <c r="D278" s="5" t="s">
        <v>57</v>
      </c>
      <c r="E278" s="5" t="s">
        <v>58</v>
      </c>
      <c r="F278" s="2" t="n">
        <v>20</v>
      </c>
      <c r="G278" s="5" t="s">
        <v>74</v>
      </c>
      <c r="H278" s="2" t="n">
        <v>1</v>
      </c>
      <c r="I278" s="2" t="n">
        <v>1</v>
      </c>
      <c r="J278" s="2" t="n">
        <v>1</v>
      </c>
      <c r="K278" s="7" t="n">
        <v>0.1587690332</v>
      </c>
      <c r="L278" s="7" t="n">
        <v>0.07053820575</v>
      </c>
      <c r="M278" s="7" t="n">
        <v>0.07183232571</v>
      </c>
      <c r="N278" s="7" t="n">
        <v>7</v>
      </c>
      <c r="O278" s="7" t="n">
        <v>7</v>
      </c>
      <c r="P278" s="7" t="n">
        <v>0</v>
      </c>
      <c r="Q278" s="2"/>
      <c r="R278" s="7" t="n">
        <v>6.59503</v>
      </c>
      <c r="S278" s="5" t="s">
        <v>60</v>
      </c>
      <c r="T278" s="5" t="s">
        <v>61</v>
      </c>
    </row>
    <row r="279" customFormat="false" ht="15" hidden="false" customHeight="false" outlineLevel="0" collapsed="false">
      <c r="A279" s="5" t="s">
        <v>4</v>
      </c>
      <c r="B279" s="5" t="s">
        <v>55</v>
      </c>
      <c r="C279" s="2" t="s">
        <v>56</v>
      </c>
      <c r="D279" s="5" t="s">
        <v>57</v>
      </c>
      <c r="E279" s="5" t="s">
        <v>62</v>
      </c>
      <c r="F279" s="2" t="n">
        <v>20</v>
      </c>
      <c r="G279" s="5" t="s">
        <v>74</v>
      </c>
      <c r="H279" s="2" t="n">
        <v>1</v>
      </c>
      <c r="I279" s="2" t="n">
        <v>1</v>
      </c>
      <c r="J279" s="2" t="n">
        <v>1</v>
      </c>
      <c r="K279" s="7" t="n">
        <v>0.1587690332</v>
      </c>
      <c r="L279" s="7" t="n">
        <v>0.07053820575</v>
      </c>
      <c r="M279" s="7" t="n">
        <v>0.07183232571</v>
      </c>
      <c r="N279" s="7" t="n">
        <v>7</v>
      </c>
      <c r="O279" s="7" t="n">
        <v>7</v>
      </c>
      <c r="P279" s="7" t="n">
        <v>7</v>
      </c>
      <c r="Q279" s="2"/>
      <c r="R279" s="7" t="n">
        <v>7.206234</v>
      </c>
      <c r="S279" s="5" t="s">
        <v>60</v>
      </c>
      <c r="T279" s="5" t="s">
        <v>61</v>
      </c>
    </row>
    <row r="280" customFormat="false" ht="15" hidden="false" customHeight="false" outlineLevel="0" collapsed="false">
      <c r="A280" s="5" t="s">
        <v>4</v>
      </c>
      <c r="B280" s="5" t="s">
        <v>55</v>
      </c>
      <c r="C280" s="2" t="s">
        <v>56</v>
      </c>
      <c r="D280" s="5" t="s">
        <v>57</v>
      </c>
      <c r="E280" s="5" t="s">
        <v>58</v>
      </c>
      <c r="F280" s="2" t="n">
        <v>20</v>
      </c>
      <c r="G280" s="5" t="s">
        <v>75</v>
      </c>
      <c r="H280" s="2" t="n">
        <v>1</v>
      </c>
      <c r="I280" s="2" t="n">
        <v>1</v>
      </c>
      <c r="J280" s="2" t="n">
        <v>1</v>
      </c>
      <c r="K280" s="7" t="n">
        <v>0.3719210832</v>
      </c>
      <c r="L280" s="7" t="n">
        <v>0.1151085249</v>
      </c>
      <c r="M280" s="7" t="n">
        <v>0.1172867792</v>
      </c>
      <c r="N280" s="7" t="n">
        <v>7</v>
      </c>
      <c r="O280" s="7" t="n">
        <v>7</v>
      </c>
      <c r="P280" s="7" t="n">
        <v>0</v>
      </c>
      <c r="Q280" s="2"/>
      <c r="R280" s="7" t="n">
        <v>6.641799</v>
      </c>
      <c r="S280" s="5" t="s">
        <v>60</v>
      </c>
      <c r="T280" s="5" t="s">
        <v>61</v>
      </c>
    </row>
    <row r="281" customFormat="false" ht="15" hidden="false" customHeight="false" outlineLevel="0" collapsed="false">
      <c r="A281" s="5" t="s">
        <v>4</v>
      </c>
      <c r="B281" s="5" t="s">
        <v>55</v>
      </c>
      <c r="C281" s="2" t="s">
        <v>56</v>
      </c>
      <c r="D281" s="5" t="s">
        <v>57</v>
      </c>
      <c r="E281" s="5" t="s">
        <v>62</v>
      </c>
      <c r="F281" s="2" t="n">
        <v>20</v>
      </c>
      <c r="G281" s="5" t="s">
        <v>75</v>
      </c>
      <c r="H281" s="2" t="n">
        <v>1</v>
      </c>
      <c r="I281" s="2" t="n">
        <v>1</v>
      </c>
      <c r="J281" s="2" t="n">
        <v>1</v>
      </c>
      <c r="K281" s="7" t="n">
        <v>0.3719210832</v>
      </c>
      <c r="L281" s="7" t="n">
        <v>0.1151085249</v>
      </c>
      <c r="M281" s="7" t="n">
        <v>0.1172867792</v>
      </c>
      <c r="N281" s="7" t="n">
        <v>7</v>
      </c>
      <c r="O281" s="7" t="n">
        <v>7</v>
      </c>
      <c r="P281" s="7" t="n">
        <v>7</v>
      </c>
      <c r="Q281" s="2"/>
      <c r="R281" s="7" t="n">
        <v>7.074969</v>
      </c>
      <c r="S281" s="5" t="s">
        <v>60</v>
      </c>
      <c r="T281" s="5" t="s">
        <v>61</v>
      </c>
    </row>
    <row r="282" customFormat="false" ht="15" hidden="false" customHeight="false" outlineLevel="0" collapsed="false">
      <c r="A282" s="5" t="s">
        <v>4</v>
      </c>
      <c r="B282" s="5" t="s">
        <v>55</v>
      </c>
      <c r="C282" s="2" t="s">
        <v>56</v>
      </c>
      <c r="D282" s="5" t="s">
        <v>57</v>
      </c>
      <c r="E282" s="5" t="s">
        <v>58</v>
      </c>
      <c r="F282" s="2" t="n">
        <v>11</v>
      </c>
      <c r="G282" s="5" t="s">
        <v>76</v>
      </c>
      <c r="H282" s="2" t="n">
        <v>1</v>
      </c>
      <c r="I282" s="2" t="n">
        <v>1</v>
      </c>
      <c r="J282" s="2" t="n">
        <v>1</v>
      </c>
      <c r="K282" s="7" t="n">
        <v>0.7840265891</v>
      </c>
      <c r="L282" s="7" t="n">
        <v>0.04426678544</v>
      </c>
      <c r="M282" s="7" t="n">
        <v>0.0698681366</v>
      </c>
      <c r="N282" s="7" t="n">
        <v>6</v>
      </c>
      <c r="O282" s="7" t="n">
        <v>6</v>
      </c>
      <c r="P282" s="7" t="n">
        <v>0</v>
      </c>
      <c r="Q282" s="2"/>
      <c r="R282" s="7" t="n">
        <v>3.08372</v>
      </c>
      <c r="S282" s="5" t="s">
        <v>60</v>
      </c>
      <c r="T282" s="5" t="s">
        <v>61</v>
      </c>
    </row>
    <row r="283" customFormat="false" ht="15" hidden="false" customHeight="false" outlineLevel="0" collapsed="false">
      <c r="A283" s="5" t="s">
        <v>4</v>
      </c>
      <c r="B283" s="5" t="s">
        <v>55</v>
      </c>
      <c r="C283" s="2" t="s">
        <v>56</v>
      </c>
      <c r="D283" s="5" t="s">
        <v>57</v>
      </c>
      <c r="E283" s="5" t="s">
        <v>62</v>
      </c>
      <c r="F283" s="2" t="n">
        <v>11</v>
      </c>
      <c r="G283" s="5" t="s">
        <v>76</v>
      </c>
      <c r="H283" s="2" t="n">
        <v>1</v>
      </c>
      <c r="I283" s="2" t="n">
        <v>1</v>
      </c>
      <c r="J283" s="2" t="n">
        <v>1</v>
      </c>
      <c r="K283" s="7" t="n">
        <v>0.7840265891</v>
      </c>
      <c r="L283" s="7" t="n">
        <v>0.04426678544</v>
      </c>
      <c r="M283" s="7" t="n">
        <v>0.0698681366</v>
      </c>
      <c r="N283" s="7" t="n">
        <v>6</v>
      </c>
      <c r="O283" s="7" t="n">
        <v>6</v>
      </c>
      <c r="P283" s="7" t="n">
        <v>6</v>
      </c>
      <c r="Q283" s="2"/>
      <c r="R283" s="7" t="n">
        <v>3.490301</v>
      </c>
      <c r="S283" s="5" t="s">
        <v>60</v>
      </c>
      <c r="T283" s="5" t="s">
        <v>61</v>
      </c>
    </row>
    <row r="284" customFormat="false" ht="15" hidden="false" customHeight="false" outlineLevel="0" collapsed="false">
      <c r="A284" s="5" t="s">
        <v>4</v>
      </c>
      <c r="B284" s="5" t="s">
        <v>55</v>
      </c>
      <c r="C284" s="2" t="s">
        <v>56</v>
      </c>
      <c r="D284" s="5" t="s">
        <v>57</v>
      </c>
      <c r="E284" s="5" t="s">
        <v>58</v>
      </c>
      <c r="F284" s="2" t="n">
        <v>12</v>
      </c>
      <c r="G284" s="5" t="s">
        <v>76</v>
      </c>
      <c r="H284" s="2" t="n">
        <v>1</v>
      </c>
      <c r="I284" s="2" t="n">
        <v>1</v>
      </c>
      <c r="J284" s="2" t="n">
        <v>1</v>
      </c>
      <c r="K284" s="7" t="n">
        <v>0.2093401552</v>
      </c>
      <c r="L284" s="7" t="n">
        <v>0.02548065387</v>
      </c>
      <c r="M284" s="7" t="n">
        <v>0.02782099529</v>
      </c>
      <c r="N284" s="7" t="n">
        <v>14</v>
      </c>
      <c r="O284" s="7" t="n">
        <v>14</v>
      </c>
      <c r="P284" s="7" t="n">
        <v>0</v>
      </c>
      <c r="Q284" s="2"/>
      <c r="R284" s="7" t="n">
        <v>11.488324</v>
      </c>
      <c r="S284" s="5" t="s">
        <v>60</v>
      </c>
      <c r="T284" s="5" t="s">
        <v>61</v>
      </c>
    </row>
    <row r="285" customFormat="false" ht="15" hidden="false" customHeight="false" outlineLevel="0" collapsed="false">
      <c r="A285" s="5" t="s">
        <v>4</v>
      </c>
      <c r="B285" s="5" t="s">
        <v>55</v>
      </c>
      <c r="C285" s="2" t="s">
        <v>56</v>
      </c>
      <c r="D285" s="5" t="s">
        <v>57</v>
      </c>
      <c r="E285" s="5" t="s">
        <v>62</v>
      </c>
      <c r="F285" s="2" t="n">
        <v>12</v>
      </c>
      <c r="G285" s="5" t="s">
        <v>76</v>
      </c>
      <c r="H285" s="2" t="n">
        <v>1</v>
      </c>
      <c r="I285" s="2" t="n">
        <v>1</v>
      </c>
      <c r="J285" s="2" t="n">
        <v>1</v>
      </c>
      <c r="K285" s="7" t="n">
        <v>0.2093401552</v>
      </c>
      <c r="L285" s="7" t="n">
        <v>0.02548065387</v>
      </c>
      <c r="M285" s="7" t="n">
        <v>0.02782099529</v>
      </c>
      <c r="N285" s="7" t="n">
        <v>14</v>
      </c>
      <c r="O285" s="7" t="n">
        <v>14</v>
      </c>
      <c r="P285" s="7" t="n">
        <v>14</v>
      </c>
      <c r="Q285" s="2"/>
      <c r="R285" s="7" t="n">
        <v>12.197683</v>
      </c>
      <c r="S285" s="5" t="s">
        <v>60</v>
      </c>
      <c r="T285" s="5" t="s">
        <v>61</v>
      </c>
    </row>
    <row r="286" customFormat="false" ht="15" hidden="false" customHeight="false" outlineLevel="0" collapsed="false">
      <c r="A286" s="5" t="s">
        <v>4</v>
      </c>
      <c r="B286" s="5" t="s">
        <v>55</v>
      </c>
      <c r="C286" s="2" t="s">
        <v>56</v>
      </c>
      <c r="D286" s="5" t="s">
        <v>57</v>
      </c>
      <c r="E286" s="5" t="s">
        <v>58</v>
      </c>
      <c r="F286" s="2" t="n">
        <v>13</v>
      </c>
      <c r="G286" s="5" t="s">
        <v>76</v>
      </c>
      <c r="H286" s="2" t="n">
        <v>1</v>
      </c>
      <c r="I286" s="2" t="n">
        <v>1</v>
      </c>
      <c r="J286" s="2" t="n">
        <v>1</v>
      </c>
      <c r="K286" s="7" t="n">
        <v>0.3677906812</v>
      </c>
      <c r="L286" s="7" t="n">
        <v>0.04657392264</v>
      </c>
      <c r="M286" s="7" t="n">
        <v>0.05264605298</v>
      </c>
      <c r="N286" s="7" t="n">
        <v>9</v>
      </c>
      <c r="O286" s="7" t="n">
        <v>9</v>
      </c>
      <c r="P286" s="7" t="n">
        <v>0</v>
      </c>
      <c r="Q286" s="2"/>
      <c r="R286" s="7" t="n">
        <v>3.110379</v>
      </c>
      <c r="S286" s="5" t="s">
        <v>60</v>
      </c>
      <c r="T286" s="5" t="s">
        <v>61</v>
      </c>
    </row>
    <row r="287" customFormat="false" ht="15" hidden="false" customHeight="false" outlineLevel="0" collapsed="false">
      <c r="A287" s="5" t="s">
        <v>4</v>
      </c>
      <c r="B287" s="5" t="s">
        <v>55</v>
      </c>
      <c r="C287" s="2" t="s">
        <v>56</v>
      </c>
      <c r="D287" s="5" t="s">
        <v>57</v>
      </c>
      <c r="E287" s="5" t="s">
        <v>62</v>
      </c>
      <c r="F287" s="2" t="n">
        <v>13</v>
      </c>
      <c r="G287" s="5" t="s">
        <v>76</v>
      </c>
      <c r="H287" s="2" t="n">
        <v>1</v>
      </c>
      <c r="I287" s="2" t="n">
        <v>1</v>
      </c>
      <c r="J287" s="2" t="n">
        <v>1</v>
      </c>
      <c r="K287" s="7" t="n">
        <v>0.3677906812</v>
      </c>
      <c r="L287" s="7" t="n">
        <v>0.04657392264</v>
      </c>
      <c r="M287" s="7" t="n">
        <v>0.05264605298</v>
      </c>
      <c r="N287" s="7" t="n">
        <v>9</v>
      </c>
      <c r="O287" s="7" t="n">
        <v>9</v>
      </c>
      <c r="P287" s="7" t="n">
        <v>9</v>
      </c>
      <c r="Q287" s="2"/>
      <c r="R287" s="7" t="n">
        <v>3.641133</v>
      </c>
      <c r="S287" s="5" t="s">
        <v>60</v>
      </c>
      <c r="T287" s="5" t="s">
        <v>61</v>
      </c>
    </row>
    <row r="288" customFormat="false" ht="15" hidden="false" customHeight="false" outlineLevel="0" collapsed="false">
      <c r="A288" s="5" t="s">
        <v>4</v>
      </c>
      <c r="B288" s="5" t="s">
        <v>55</v>
      </c>
      <c r="C288" s="2" t="s">
        <v>56</v>
      </c>
      <c r="D288" s="5" t="s">
        <v>57</v>
      </c>
      <c r="E288" s="5" t="s">
        <v>58</v>
      </c>
      <c r="F288" s="2" t="n">
        <v>14</v>
      </c>
      <c r="G288" s="5" t="s">
        <v>76</v>
      </c>
      <c r="H288" s="2" t="n">
        <v>1</v>
      </c>
      <c r="I288" s="2" t="n">
        <v>1</v>
      </c>
      <c r="J288" s="2" t="n">
        <v>1</v>
      </c>
      <c r="K288" s="7" t="n">
        <v>0.8796256897</v>
      </c>
      <c r="L288" s="7" t="n">
        <v>0.1647367265</v>
      </c>
      <c r="M288" s="7" t="n">
        <v>0.1750581257</v>
      </c>
      <c r="N288" s="7" t="n">
        <v>10</v>
      </c>
      <c r="O288" s="7" t="n">
        <v>10</v>
      </c>
      <c r="P288" s="7" t="n">
        <v>0</v>
      </c>
      <c r="Q288" s="2"/>
      <c r="R288" s="7" t="n">
        <v>7.887841</v>
      </c>
      <c r="S288" s="5" t="s">
        <v>60</v>
      </c>
      <c r="T288" s="5" t="s">
        <v>61</v>
      </c>
    </row>
    <row r="289" customFormat="false" ht="15" hidden="false" customHeight="false" outlineLevel="0" collapsed="false">
      <c r="A289" s="5" t="s">
        <v>4</v>
      </c>
      <c r="B289" s="5" t="s">
        <v>55</v>
      </c>
      <c r="C289" s="2" t="s">
        <v>56</v>
      </c>
      <c r="D289" s="5" t="s">
        <v>57</v>
      </c>
      <c r="E289" s="5" t="s">
        <v>62</v>
      </c>
      <c r="F289" s="2" t="n">
        <v>14</v>
      </c>
      <c r="G289" s="5" t="s">
        <v>76</v>
      </c>
      <c r="H289" s="2" t="n">
        <v>1</v>
      </c>
      <c r="I289" s="2" t="n">
        <v>1</v>
      </c>
      <c r="J289" s="2" t="n">
        <v>1</v>
      </c>
      <c r="K289" s="7" t="n">
        <v>0.8796256897</v>
      </c>
      <c r="L289" s="7" t="n">
        <v>0.1647367265</v>
      </c>
      <c r="M289" s="7" t="n">
        <v>0.1750581257</v>
      </c>
      <c r="N289" s="7" t="n">
        <v>10</v>
      </c>
      <c r="O289" s="7" t="n">
        <v>10</v>
      </c>
      <c r="P289" s="7" t="n">
        <v>10</v>
      </c>
      <c r="Q289" s="2"/>
      <c r="R289" s="7" t="n">
        <v>14.379518</v>
      </c>
      <c r="S289" s="5" t="s">
        <v>60</v>
      </c>
      <c r="T289" s="5" t="s">
        <v>61</v>
      </c>
    </row>
    <row r="290" customFormat="false" ht="15" hidden="false" customHeight="false" outlineLevel="0" collapsed="false">
      <c r="A290" s="5" t="s">
        <v>4</v>
      </c>
      <c r="B290" s="5" t="s">
        <v>55</v>
      </c>
      <c r="C290" s="2" t="s">
        <v>56</v>
      </c>
      <c r="D290" s="5" t="s">
        <v>57</v>
      </c>
      <c r="E290" s="5" t="s">
        <v>58</v>
      </c>
      <c r="F290" s="2" t="n">
        <v>15</v>
      </c>
      <c r="G290" s="5" t="s">
        <v>76</v>
      </c>
      <c r="H290" s="2" t="n">
        <v>1</v>
      </c>
      <c r="I290" s="2" t="n">
        <v>1</v>
      </c>
      <c r="J290" s="2" t="n">
        <v>1</v>
      </c>
      <c r="K290" s="7" t="n">
        <v>0.2258969346</v>
      </c>
      <c r="L290" s="7" t="n">
        <v>0.02897972293</v>
      </c>
      <c r="M290" s="7" t="n">
        <v>0.03248909557</v>
      </c>
      <c r="N290" s="7" t="n">
        <v>15</v>
      </c>
      <c r="O290" s="7" t="n">
        <v>15</v>
      </c>
      <c r="P290" s="7" t="n">
        <v>0</v>
      </c>
      <c r="Q290" s="2"/>
      <c r="R290" s="7" t="n">
        <v>7.306993</v>
      </c>
      <c r="S290" s="5" t="s">
        <v>60</v>
      </c>
      <c r="T290" s="5" t="s">
        <v>61</v>
      </c>
    </row>
    <row r="291" customFormat="false" ht="15" hidden="false" customHeight="false" outlineLevel="0" collapsed="false">
      <c r="A291" s="5" t="s">
        <v>4</v>
      </c>
      <c r="B291" s="5" t="s">
        <v>55</v>
      </c>
      <c r="C291" s="2" t="s">
        <v>56</v>
      </c>
      <c r="D291" s="5" t="s">
        <v>57</v>
      </c>
      <c r="E291" s="5" t="s">
        <v>62</v>
      </c>
      <c r="F291" s="2" t="n">
        <v>15</v>
      </c>
      <c r="G291" s="5" t="s">
        <v>76</v>
      </c>
      <c r="H291" s="2" t="n">
        <v>1</v>
      </c>
      <c r="I291" s="2" t="n">
        <v>1</v>
      </c>
      <c r="J291" s="2" t="n">
        <v>1</v>
      </c>
      <c r="K291" s="7" t="n">
        <v>0.2258969346</v>
      </c>
      <c r="L291" s="7" t="n">
        <v>0.02897972293</v>
      </c>
      <c r="M291" s="7" t="n">
        <v>0.03248909557</v>
      </c>
      <c r="N291" s="7" t="n">
        <v>15</v>
      </c>
      <c r="O291" s="7" t="n">
        <v>15</v>
      </c>
      <c r="P291" s="7" t="n">
        <v>15</v>
      </c>
      <c r="Q291" s="2"/>
      <c r="R291" s="7" t="n">
        <v>7.98168</v>
      </c>
      <c r="S291" s="5" t="s">
        <v>60</v>
      </c>
      <c r="T291" s="5" t="s">
        <v>61</v>
      </c>
    </row>
    <row r="292" customFormat="false" ht="15" hidden="false" customHeight="false" outlineLevel="0" collapsed="false">
      <c r="A292" s="5" t="s">
        <v>4</v>
      </c>
      <c r="B292" s="5" t="s">
        <v>55</v>
      </c>
      <c r="C292" s="2" t="s">
        <v>56</v>
      </c>
      <c r="D292" s="5" t="s">
        <v>57</v>
      </c>
      <c r="E292" s="5" t="s">
        <v>58</v>
      </c>
      <c r="F292" s="2" t="n">
        <v>16</v>
      </c>
      <c r="G292" s="5" t="s">
        <v>76</v>
      </c>
      <c r="H292" s="2" t="n">
        <v>1</v>
      </c>
      <c r="I292" s="2" t="n">
        <v>1</v>
      </c>
      <c r="J292" s="2" t="n">
        <v>1</v>
      </c>
      <c r="K292" s="7" t="n">
        <v>0.5766485803</v>
      </c>
      <c r="L292" s="7" t="n">
        <v>0.06870740406</v>
      </c>
      <c r="M292" s="7" t="n">
        <v>0.07487654267</v>
      </c>
      <c r="N292" s="7" t="n">
        <v>8</v>
      </c>
      <c r="O292" s="7" t="n">
        <v>8</v>
      </c>
      <c r="P292" s="7" t="n">
        <v>0</v>
      </c>
      <c r="Q292" s="2"/>
      <c r="R292" s="7" t="n">
        <v>3.092071</v>
      </c>
      <c r="S292" s="5" t="s">
        <v>60</v>
      </c>
      <c r="T292" s="5" t="s">
        <v>61</v>
      </c>
    </row>
    <row r="293" customFormat="false" ht="15" hidden="false" customHeight="false" outlineLevel="0" collapsed="false">
      <c r="A293" s="5" t="s">
        <v>4</v>
      </c>
      <c r="B293" s="5" t="s">
        <v>55</v>
      </c>
      <c r="C293" s="2" t="s">
        <v>56</v>
      </c>
      <c r="D293" s="5" t="s">
        <v>57</v>
      </c>
      <c r="E293" s="5" t="s">
        <v>62</v>
      </c>
      <c r="F293" s="2" t="n">
        <v>16</v>
      </c>
      <c r="G293" s="5" t="s">
        <v>76</v>
      </c>
      <c r="H293" s="2" t="n">
        <v>1</v>
      </c>
      <c r="I293" s="2" t="n">
        <v>1</v>
      </c>
      <c r="J293" s="2" t="n">
        <v>1</v>
      </c>
      <c r="K293" s="7" t="n">
        <v>0.5766485803</v>
      </c>
      <c r="L293" s="7" t="n">
        <v>0.06870740406</v>
      </c>
      <c r="M293" s="7" t="n">
        <v>0.07487654267</v>
      </c>
      <c r="N293" s="7" t="n">
        <v>8</v>
      </c>
      <c r="O293" s="7" t="n">
        <v>8</v>
      </c>
      <c r="P293" s="7" t="n">
        <v>8</v>
      </c>
      <c r="Q293" s="2"/>
      <c r="R293" s="7" t="n">
        <v>3.642055</v>
      </c>
      <c r="S293" s="5" t="s">
        <v>60</v>
      </c>
      <c r="T293" s="5" t="s">
        <v>61</v>
      </c>
    </row>
    <row r="294" customFormat="false" ht="15" hidden="false" customHeight="false" outlineLevel="0" collapsed="false">
      <c r="A294" s="5" t="s">
        <v>4</v>
      </c>
      <c r="B294" s="5" t="s">
        <v>55</v>
      </c>
      <c r="C294" s="2" t="s">
        <v>56</v>
      </c>
      <c r="D294" s="5" t="s">
        <v>57</v>
      </c>
      <c r="E294" s="5" t="s">
        <v>58</v>
      </c>
      <c r="F294" s="2" t="n">
        <v>17</v>
      </c>
      <c r="G294" s="5" t="s">
        <v>76</v>
      </c>
      <c r="H294" s="2" t="n">
        <v>1</v>
      </c>
      <c r="I294" s="2" t="n">
        <v>1</v>
      </c>
      <c r="J294" s="2" t="n">
        <v>1</v>
      </c>
      <c r="K294" s="7" t="n">
        <v>0.419537658</v>
      </c>
      <c r="L294" s="7" t="n">
        <v>0.03643222955</v>
      </c>
      <c r="M294" s="7" t="n">
        <v>0.04417222858</v>
      </c>
      <c r="N294" s="7" t="n">
        <v>7</v>
      </c>
      <c r="O294" s="7" t="n">
        <v>7</v>
      </c>
      <c r="P294" s="7" t="n">
        <v>0</v>
      </c>
      <c r="Q294" s="2"/>
      <c r="R294" s="7" t="n">
        <v>7.879649</v>
      </c>
      <c r="S294" s="5" t="s">
        <v>60</v>
      </c>
      <c r="T294" s="5" t="s">
        <v>61</v>
      </c>
    </row>
    <row r="295" customFormat="false" ht="15" hidden="false" customHeight="false" outlineLevel="0" collapsed="false">
      <c r="A295" s="5" t="s">
        <v>4</v>
      </c>
      <c r="B295" s="5" t="s">
        <v>55</v>
      </c>
      <c r="C295" s="2" t="s">
        <v>56</v>
      </c>
      <c r="D295" s="5" t="s">
        <v>57</v>
      </c>
      <c r="E295" s="5" t="s">
        <v>62</v>
      </c>
      <c r="F295" s="2" t="n">
        <v>17</v>
      </c>
      <c r="G295" s="5" t="s">
        <v>76</v>
      </c>
      <c r="H295" s="2" t="n">
        <v>1</v>
      </c>
      <c r="I295" s="2" t="n">
        <v>1</v>
      </c>
      <c r="J295" s="2" t="n">
        <v>1</v>
      </c>
      <c r="K295" s="7" t="n">
        <v>0.419537658</v>
      </c>
      <c r="L295" s="7" t="n">
        <v>0.03643222955</v>
      </c>
      <c r="M295" s="7" t="n">
        <v>0.04417222858</v>
      </c>
      <c r="N295" s="7" t="n">
        <v>7</v>
      </c>
      <c r="O295" s="7" t="n">
        <v>7</v>
      </c>
      <c r="P295" s="7" t="n">
        <v>7</v>
      </c>
      <c r="Q295" s="2"/>
      <c r="R295" s="7" t="n">
        <v>12.481021</v>
      </c>
      <c r="S295" s="5" t="s">
        <v>60</v>
      </c>
      <c r="T295" s="5" t="s">
        <v>61</v>
      </c>
    </row>
    <row r="296" customFormat="false" ht="15" hidden="false" customHeight="false" outlineLevel="0" collapsed="false">
      <c r="A296" s="5" t="s">
        <v>4</v>
      </c>
      <c r="B296" s="5" t="s">
        <v>55</v>
      </c>
      <c r="C296" s="2" t="s">
        <v>56</v>
      </c>
      <c r="D296" s="5" t="s">
        <v>57</v>
      </c>
      <c r="E296" s="5" t="s">
        <v>58</v>
      </c>
      <c r="F296" s="2" t="n">
        <v>18</v>
      </c>
      <c r="G296" s="5" t="s">
        <v>76</v>
      </c>
      <c r="H296" s="2" t="n">
        <v>1</v>
      </c>
      <c r="I296" s="2" t="n">
        <v>1</v>
      </c>
      <c r="J296" s="2" t="n">
        <v>1</v>
      </c>
      <c r="K296" s="7" t="n">
        <v>0.431656126</v>
      </c>
      <c r="L296" s="7" t="n">
        <v>0.03466771946</v>
      </c>
      <c r="M296" s="7" t="n">
        <v>0.04560321384</v>
      </c>
      <c r="N296" s="7" t="n">
        <v>9</v>
      </c>
      <c r="O296" s="7" t="n">
        <v>9</v>
      </c>
      <c r="P296" s="7" t="n">
        <v>0</v>
      </c>
      <c r="Q296" s="2"/>
      <c r="R296" s="7" t="n">
        <v>3.1051</v>
      </c>
      <c r="S296" s="5" t="s">
        <v>60</v>
      </c>
      <c r="T296" s="5" t="s">
        <v>61</v>
      </c>
    </row>
    <row r="297" customFormat="false" ht="15" hidden="false" customHeight="false" outlineLevel="0" collapsed="false">
      <c r="A297" s="5" t="s">
        <v>4</v>
      </c>
      <c r="B297" s="5" t="s">
        <v>55</v>
      </c>
      <c r="C297" s="2" t="s">
        <v>56</v>
      </c>
      <c r="D297" s="5" t="s">
        <v>57</v>
      </c>
      <c r="E297" s="5" t="s">
        <v>62</v>
      </c>
      <c r="F297" s="2" t="n">
        <v>18</v>
      </c>
      <c r="G297" s="5" t="s">
        <v>76</v>
      </c>
      <c r="H297" s="2" t="n">
        <v>1</v>
      </c>
      <c r="I297" s="2" t="n">
        <v>1</v>
      </c>
      <c r="J297" s="2" t="n">
        <v>1</v>
      </c>
      <c r="K297" s="7" t="n">
        <v>0.431656126</v>
      </c>
      <c r="L297" s="7" t="n">
        <v>0.03466771946</v>
      </c>
      <c r="M297" s="7" t="n">
        <v>0.04560321384</v>
      </c>
      <c r="N297" s="7" t="n">
        <v>9</v>
      </c>
      <c r="O297" s="7" t="n">
        <v>9</v>
      </c>
      <c r="P297" s="7" t="n">
        <v>9</v>
      </c>
      <c r="Q297" s="2"/>
      <c r="R297" s="7" t="n">
        <v>3.657407</v>
      </c>
      <c r="S297" s="5" t="s">
        <v>60</v>
      </c>
      <c r="T297" s="5" t="s">
        <v>61</v>
      </c>
    </row>
    <row r="298" customFormat="false" ht="15" hidden="false" customHeight="false" outlineLevel="0" collapsed="false">
      <c r="A298" s="5" t="s">
        <v>4</v>
      </c>
      <c r="B298" s="5" t="s">
        <v>55</v>
      </c>
      <c r="C298" s="2" t="s">
        <v>56</v>
      </c>
      <c r="D298" s="5" t="s">
        <v>57</v>
      </c>
      <c r="E298" s="5" t="s">
        <v>58</v>
      </c>
      <c r="F298" s="2" t="n">
        <v>19</v>
      </c>
      <c r="G298" s="5" t="s">
        <v>76</v>
      </c>
      <c r="H298" s="2" t="n">
        <v>1</v>
      </c>
      <c r="I298" s="2" t="n">
        <v>1</v>
      </c>
      <c r="J298" s="2" t="n">
        <v>1</v>
      </c>
      <c r="K298" s="7" t="n">
        <v>0.4071503736</v>
      </c>
      <c r="L298" s="7" t="n">
        <v>0.07880182101</v>
      </c>
      <c r="M298" s="7" t="n">
        <v>0.08266027977</v>
      </c>
      <c r="N298" s="7" t="n">
        <v>9</v>
      </c>
      <c r="O298" s="7" t="n">
        <v>9</v>
      </c>
      <c r="P298" s="7" t="n">
        <v>0</v>
      </c>
      <c r="Q298" s="2"/>
      <c r="R298" s="7" t="n">
        <v>7.417856</v>
      </c>
      <c r="S298" s="5" t="s">
        <v>60</v>
      </c>
      <c r="T298" s="5" t="s">
        <v>61</v>
      </c>
    </row>
    <row r="299" customFormat="false" ht="15" hidden="false" customHeight="false" outlineLevel="0" collapsed="false">
      <c r="A299" s="5" t="s">
        <v>4</v>
      </c>
      <c r="B299" s="5" t="s">
        <v>55</v>
      </c>
      <c r="C299" s="2" t="s">
        <v>56</v>
      </c>
      <c r="D299" s="5" t="s">
        <v>57</v>
      </c>
      <c r="E299" s="5" t="s">
        <v>62</v>
      </c>
      <c r="F299" s="2" t="n">
        <v>19</v>
      </c>
      <c r="G299" s="5" t="s">
        <v>76</v>
      </c>
      <c r="H299" s="2" t="n">
        <v>1</v>
      </c>
      <c r="I299" s="2" t="n">
        <v>1</v>
      </c>
      <c r="J299" s="2" t="n">
        <v>1</v>
      </c>
      <c r="K299" s="7" t="n">
        <v>0.4071503736</v>
      </c>
      <c r="L299" s="7" t="n">
        <v>0.07880182101</v>
      </c>
      <c r="M299" s="7" t="n">
        <v>0.08266027977</v>
      </c>
      <c r="N299" s="7" t="n">
        <v>9</v>
      </c>
      <c r="O299" s="7" t="n">
        <v>9</v>
      </c>
      <c r="P299" s="7" t="n">
        <v>9</v>
      </c>
      <c r="Q299" s="2"/>
      <c r="R299" s="7" t="n">
        <v>8.016021</v>
      </c>
      <c r="S299" s="5" t="s">
        <v>60</v>
      </c>
      <c r="T299" s="5" t="s">
        <v>61</v>
      </c>
    </row>
    <row r="300" customFormat="false" ht="15" hidden="false" customHeight="false" outlineLevel="0" collapsed="false">
      <c r="A300" s="5" t="s">
        <v>4</v>
      </c>
      <c r="B300" s="5" t="s">
        <v>55</v>
      </c>
      <c r="C300" s="2" t="s">
        <v>56</v>
      </c>
      <c r="D300" s="5" t="s">
        <v>57</v>
      </c>
      <c r="E300" s="5" t="s">
        <v>58</v>
      </c>
      <c r="F300" s="2" t="n">
        <v>20</v>
      </c>
      <c r="G300" s="5" t="s">
        <v>76</v>
      </c>
      <c r="H300" s="2" t="n">
        <v>1</v>
      </c>
      <c r="I300" s="2" t="n">
        <v>1</v>
      </c>
      <c r="J300" s="2" t="n">
        <v>0</v>
      </c>
      <c r="K300" s="7" t="n">
        <v>3.511599676</v>
      </c>
      <c r="L300" s="7" t="n">
        <v>0.0732801345</v>
      </c>
      <c r="M300" s="7" t="n">
        <v>0.2399022316</v>
      </c>
      <c r="N300" s="7" t="n">
        <v>3</v>
      </c>
      <c r="O300" s="7" t="n">
        <v>3</v>
      </c>
      <c r="P300" s="7" t="n">
        <v>0</v>
      </c>
      <c r="Q300" s="2"/>
      <c r="R300" s="7" t="n">
        <v>11.434404</v>
      </c>
      <c r="S300" s="5" t="s">
        <v>60</v>
      </c>
      <c r="T300" s="5" t="s">
        <v>61</v>
      </c>
    </row>
    <row r="301" customFormat="false" ht="15" hidden="false" customHeight="false" outlineLevel="0" collapsed="false">
      <c r="A301" s="5" t="s">
        <v>4</v>
      </c>
      <c r="B301" s="5" t="s">
        <v>55</v>
      </c>
      <c r="C301" s="2" t="s">
        <v>56</v>
      </c>
      <c r="D301" s="5" t="s">
        <v>57</v>
      </c>
      <c r="E301" s="5" t="s">
        <v>62</v>
      </c>
      <c r="F301" s="2" t="n">
        <v>20</v>
      </c>
      <c r="G301" s="5" t="s">
        <v>76</v>
      </c>
      <c r="H301" s="2" t="n">
        <v>1</v>
      </c>
      <c r="I301" s="2" t="n">
        <v>1</v>
      </c>
      <c r="J301" s="2" t="n">
        <v>0</v>
      </c>
      <c r="K301" s="7" t="n">
        <v>3.511599676</v>
      </c>
      <c r="L301" s="7" t="n">
        <v>0.0732801345</v>
      </c>
      <c r="M301" s="7" t="n">
        <v>0.2399022316</v>
      </c>
      <c r="N301" s="7" t="n">
        <v>3</v>
      </c>
      <c r="O301" s="7" t="n">
        <v>3</v>
      </c>
      <c r="P301" s="7" t="n">
        <v>3</v>
      </c>
      <c r="Q301" s="2"/>
      <c r="R301" s="7" t="n">
        <v>11.693207</v>
      </c>
      <c r="S301" s="5" t="s">
        <v>60</v>
      </c>
      <c r="T301" s="5" t="s">
        <v>61</v>
      </c>
    </row>
    <row r="302" customFormat="false" ht="15" hidden="false" customHeight="false" outlineLevel="0" collapsed="false">
      <c r="A302" s="5" t="s">
        <v>4</v>
      </c>
      <c r="B302" s="5" t="s">
        <v>55</v>
      </c>
      <c r="C302" s="2" t="s">
        <v>56</v>
      </c>
      <c r="D302" s="5" t="s">
        <v>77</v>
      </c>
      <c r="E302" s="5" t="s">
        <v>58</v>
      </c>
      <c r="F302" s="2" t="n">
        <v>11</v>
      </c>
      <c r="G302" s="5" t="s">
        <v>59</v>
      </c>
      <c r="H302" s="2" t="n">
        <v>1</v>
      </c>
      <c r="I302" s="2" t="n">
        <v>1</v>
      </c>
      <c r="J302" s="2" t="n">
        <v>1</v>
      </c>
      <c r="K302" s="7" t="n">
        <v>0.2500164618</v>
      </c>
      <c r="L302" s="7" t="n">
        <v>0.02569337261</v>
      </c>
      <c r="M302" s="7" t="n">
        <v>0.02955455095</v>
      </c>
      <c r="N302" s="7" t="n">
        <v>10</v>
      </c>
      <c r="O302" s="7" t="n">
        <v>10</v>
      </c>
      <c r="P302" s="7" t="n">
        <v>0</v>
      </c>
      <c r="Q302" s="2"/>
      <c r="R302" s="7" t="n">
        <v>1.687485</v>
      </c>
      <c r="S302" s="5" t="s">
        <v>60</v>
      </c>
      <c r="T302" s="5" t="s">
        <v>61</v>
      </c>
    </row>
    <row r="303" customFormat="false" ht="15" hidden="false" customHeight="false" outlineLevel="0" collapsed="false">
      <c r="A303" s="5" t="s">
        <v>4</v>
      </c>
      <c r="B303" s="5" t="s">
        <v>55</v>
      </c>
      <c r="C303" s="2" t="s">
        <v>56</v>
      </c>
      <c r="D303" s="5" t="s">
        <v>77</v>
      </c>
      <c r="E303" s="5" t="s">
        <v>62</v>
      </c>
      <c r="F303" s="2" t="n">
        <v>11</v>
      </c>
      <c r="G303" s="5" t="s">
        <v>59</v>
      </c>
      <c r="H303" s="2" t="n">
        <v>1</v>
      </c>
      <c r="I303" s="2" t="n">
        <v>1</v>
      </c>
      <c r="J303" s="2" t="n">
        <v>1</v>
      </c>
      <c r="K303" s="7" t="n">
        <v>0.2500164618</v>
      </c>
      <c r="L303" s="7" t="n">
        <v>0.02569337261</v>
      </c>
      <c r="M303" s="7" t="n">
        <v>0.02955455095</v>
      </c>
      <c r="N303" s="7" t="n">
        <v>10</v>
      </c>
      <c r="O303" s="7" t="n">
        <v>10</v>
      </c>
      <c r="P303" s="7" t="n">
        <v>10</v>
      </c>
      <c r="Q303" s="2"/>
      <c r="R303" s="7" t="n">
        <v>2.226061</v>
      </c>
      <c r="S303" s="5" t="s">
        <v>60</v>
      </c>
      <c r="T303" s="5" t="s">
        <v>61</v>
      </c>
    </row>
    <row r="304" customFormat="false" ht="15" hidden="false" customHeight="false" outlineLevel="0" collapsed="false">
      <c r="A304" s="5" t="s">
        <v>4</v>
      </c>
      <c r="B304" s="5" t="s">
        <v>55</v>
      </c>
      <c r="C304" s="2" t="s">
        <v>56</v>
      </c>
      <c r="D304" s="5" t="s">
        <v>77</v>
      </c>
      <c r="E304" s="5" t="s">
        <v>58</v>
      </c>
      <c r="F304" s="2" t="n">
        <v>11</v>
      </c>
      <c r="G304" s="5" t="s">
        <v>63</v>
      </c>
      <c r="H304" s="2" t="n">
        <v>1</v>
      </c>
      <c r="I304" s="2" t="n">
        <v>1</v>
      </c>
      <c r="J304" s="2" t="n">
        <v>1</v>
      </c>
      <c r="K304" s="7" t="n">
        <v>1.052457479</v>
      </c>
      <c r="L304" s="7" t="n">
        <v>0.1493315274</v>
      </c>
      <c r="M304" s="7" t="n">
        <v>0.1598066381</v>
      </c>
      <c r="N304" s="7" t="n">
        <v>12</v>
      </c>
      <c r="O304" s="7" t="n">
        <v>12</v>
      </c>
      <c r="P304" s="7" t="n">
        <v>0</v>
      </c>
      <c r="Q304" s="2"/>
      <c r="R304" s="7" t="n">
        <v>1.437134</v>
      </c>
      <c r="S304" s="5" t="s">
        <v>60</v>
      </c>
      <c r="T304" s="5" t="s">
        <v>61</v>
      </c>
    </row>
    <row r="305" customFormat="false" ht="15" hidden="false" customHeight="false" outlineLevel="0" collapsed="false">
      <c r="A305" s="5" t="s">
        <v>4</v>
      </c>
      <c r="B305" s="5" t="s">
        <v>55</v>
      </c>
      <c r="C305" s="2" t="s">
        <v>56</v>
      </c>
      <c r="D305" s="5" t="s">
        <v>77</v>
      </c>
      <c r="E305" s="5" t="s">
        <v>62</v>
      </c>
      <c r="F305" s="2" t="n">
        <v>11</v>
      </c>
      <c r="G305" s="5" t="s">
        <v>63</v>
      </c>
      <c r="H305" s="2" t="n">
        <v>1</v>
      </c>
      <c r="I305" s="2" t="n">
        <v>1</v>
      </c>
      <c r="J305" s="2" t="n">
        <v>1</v>
      </c>
      <c r="K305" s="7" t="n">
        <v>0.5646604817</v>
      </c>
      <c r="L305" s="7" t="n">
        <v>0.02829859967</v>
      </c>
      <c r="M305" s="7" t="n">
        <v>0.04286807738</v>
      </c>
      <c r="N305" s="7" t="n">
        <v>12</v>
      </c>
      <c r="O305" s="7" t="n">
        <v>12</v>
      </c>
      <c r="P305" s="7" t="n">
        <v>11</v>
      </c>
      <c r="Q305" s="2"/>
      <c r="R305" s="7" t="n">
        <v>24.043325</v>
      </c>
      <c r="S305" s="5" t="s">
        <v>60</v>
      </c>
      <c r="T305" s="5" t="s">
        <v>61</v>
      </c>
    </row>
    <row r="306" customFormat="false" ht="15" hidden="false" customHeight="false" outlineLevel="0" collapsed="false">
      <c r="A306" s="5" t="s">
        <v>4</v>
      </c>
      <c r="B306" s="5" t="s">
        <v>55</v>
      </c>
      <c r="C306" s="2" t="s">
        <v>56</v>
      </c>
      <c r="D306" s="5" t="s">
        <v>77</v>
      </c>
      <c r="E306" s="5" t="s">
        <v>58</v>
      </c>
      <c r="F306" s="2" t="n">
        <v>11</v>
      </c>
      <c r="G306" s="5" t="s">
        <v>64</v>
      </c>
      <c r="H306" s="2" t="n">
        <v>0</v>
      </c>
      <c r="I306" s="2" t="n">
        <v>1</v>
      </c>
      <c r="J306" s="2" t="n">
        <v>1</v>
      </c>
      <c r="K306" s="7" t="n">
        <v>0.9113604666</v>
      </c>
      <c r="L306" s="7" t="n">
        <v>0.1631239447</v>
      </c>
      <c r="M306" s="7" t="n">
        <v>0.171584943</v>
      </c>
      <c r="N306" s="7" t="n">
        <v>8</v>
      </c>
      <c r="O306" s="7" t="n">
        <v>8</v>
      </c>
      <c r="P306" s="7" t="n">
        <v>0</v>
      </c>
      <c r="Q306" s="2"/>
      <c r="R306" s="7" t="n">
        <v>1.453979</v>
      </c>
      <c r="S306" s="5" t="s">
        <v>60</v>
      </c>
      <c r="T306" s="5" t="s">
        <v>61</v>
      </c>
    </row>
    <row r="307" customFormat="false" ht="15" hidden="false" customHeight="false" outlineLevel="0" collapsed="false">
      <c r="A307" s="5" t="s">
        <v>4</v>
      </c>
      <c r="B307" s="5" t="s">
        <v>55</v>
      </c>
      <c r="C307" s="2" t="s">
        <v>56</v>
      </c>
      <c r="D307" s="5" t="s">
        <v>77</v>
      </c>
      <c r="E307" s="5" t="s">
        <v>62</v>
      </c>
      <c r="F307" s="2" t="n">
        <v>11</v>
      </c>
      <c r="G307" s="5" t="s">
        <v>64</v>
      </c>
      <c r="H307" s="2" t="n">
        <v>0</v>
      </c>
      <c r="I307" s="2" t="n">
        <v>1</v>
      </c>
      <c r="J307" s="2" t="n">
        <v>1</v>
      </c>
      <c r="K307" s="7" t="n">
        <v>0.9113604666</v>
      </c>
      <c r="L307" s="7" t="n">
        <v>0.1631239447</v>
      </c>
      <c r="M307" s="7" t="n">
        <v>0.171584943</v>
      </c>
      <c r="N307" s="7" t="n">
        <v>8</v>
      </c>
      <c r="O307" s="7" t="n">
        <v>8</v>
      </c>
      <c r="P307" s="7" t="n">
        <v>8</v>
      </c>
      <c r="Q307" s="2"/>
      <c r="R307" s="7" t="n">
        <v>2.007688</v>
      </c>
      <c r="S307" s="5" t="s">
        <v>60</v>
      </c>
      <c r="T307" s="5" t="s">
        <v>61</v>
      </c>
    </row>
    <row r="308" customFormat="false" ht="15" hidden="false" customHeight="false" outlineLevel="0" collapsed="false">
      <c r="A308" s="5" t="s">
        <v>4</v>
      </c>
      <c r="B308" s="5" t="s">
        <v>55</v>
      </c>
      <c r="C308" s="2" t="s">
        <v>56</v>
      </c>
      <c r="D308" s="5" t="s">
        <v>77</v>
      </c>
      <c r="E308" s="5" t="s">
        <v>58</v>
      </c>
      <c r="F308" s="2" t="n">
        <v>11</v>
      </c>
      <c r="G308" s="5" t="s">
        <v>65</v>
      </c>
      <c r="H308" s="2" t="n">
        <v>0</v>
      </c>
      <c r="I308" s="2" t="n">
        <v>1</v>
      </c>
      <c r="J308" s="2" t="n">
        <v>1</v>
      </c>
      <c r="K308" s="7" t="n">
        <v>1.616174385</v>
      </c>
      <c r="L308" s="7" t="n">
        <v>0.4014510567</v>
      </c>
      <c r="M308" s="7" t="n">
        <v>0.4094012352</v>
      </c>
      <c r="N308" s="7" t="n">
        <v>9</v>
      </c>
      <c r="O308" s="7" t="n">
        <v>9</v>
      </c>
      <c r="P308" s="7" t="n">
        <v>0</v>
      </c>
      <c r="Q308" s="2"/>
      <c r="R308" s="7" t="n">
        <v>2.450723</v>
      </c>
      <c r="S308" s="5" t="s">
        <v>60</v>
      </c>
      <c r="T308" s="5" t="s">
        <v>61</v>
      </c>
    </row>
    <row r="309" customFormat="false" ht="15" hidden="false" customHeight="false" outlineLevel="0" collapsed="false">
      <c r="A309" s="5" t="s">
        <v>4</v>
      </c>
      <c r="B309" s="5" t="s">
        <v>55</v>
      </c>
      <c r="C309" s="2" t="s">
        <v>56</v>
      </c>
      <c r="D309" s="5" t="s">
        <v>77</v>
      </c>
      <c r="E309" s="5" t="s">
        <v>62</v>
      </c>
      <c r="F309" s="2" t="n">
        <v>11</v>
      </c>
      <c r="G309" s="5" t="s">
        <v>65</v>
      </c>
      <c r="H309" s="2" t="n">
        <v>0</v>
      </c>
      <c r="I309" s="2" t="n">
        <v>1</v>
      </c>
      <c r="J309" s="2" t="n">
        <v>1</v>
      </c>
      <c r="K309" s="7" t="n">
        <v>1.099062892</v>
      </c>
      <c r="L309" s="7" t="n">
        <v>0.2664459937</v>
      </c>
      <c r="M309" s="7" t="n">
        <v>0.2716992246</v>
      </c>
      <c r="N309" s="7" t="n">
        <v>9</v>
      </c>
      <c r="O309" s="7" t="n">
        <v>9</v>
      </c>
      <c r="P309" s="7" t="n">
        <v>8</v>
      </c>
      <c r="Q309" s="2"/>
      <c r="R309" s="7" t="n">
        <v>3.005493</v>
      </c>
      <c r="S309" s="5" t="s">
        <v>60</v>
      </c>
      <c r="T309" s="5" t="s">
        <v>61</v>
      </c>
    </row>
    <row r="310" customFormat="false" ht="15" hidden="false" customHeight="false" outlineLevel="0" collapsed="false">
      <c r="A310" s="5" t="s">
        <v>4</v>
      </c>
      <c r="B310" s="5" t="s">
        <v>55</v>
      </c>
      <c r="C310" s="2" t="s">
        <v>56</v>
      </c>
      <c r="D310" s="5" t="s">
        <v>77</v>
      </c>
      <c r="E310" s="5" t="s">
        <v>58</v>
      </c>
      <c r="F310" s="2" t="n">
        <v>11</v>
      </c>
      <c r="G310" s="5" t="s">
        <v>66</v>
      </c>
      <c r="H310" s="2" t="n">
        <v>0</v>
      </c>
      <c r="I310" s="2" t="n">
        <v>1</v>
      </c>
      <c r="J310" s="2" t="n">
        <v>0</v>
      </c>
      <c r="K310" s="7" t="n">
        <v>3.648318244</v>
      </c>
      <c r="L310" s="7" t="n">
        <v>1.149170279</v>
      </c>
      <c r="M310" s="7" t="n">
        <v>1.15207621</v>
      </c>
      <c r="N310" s="7" t="n">
        <v>5</v>
      </c>
      <c r="O310" s="7" t="n">
        <v>5</v>
      </c>
      <c r="P310" s="7" t="n">
        <v>0</v>
      </c>
      <c r="Q310" s="2"/>
      <c r="R310" s="7" t="n">
        <v>2.25245</v>
      </c>
      <c r="S310" s="5" t="s">
        <v>60</v>
      </c>
      <c r="T310" s="5" t="s">
        <v>61</v>
      </c>
    </row>
    <row r="311" customFormat="false" ht="15" hidden="false" customHeight="false" outlineLevel="0" collapsed="false">
      <c r="A311" s="5" t="s">
        <v>4</v>
      </c>
      <c r="B311" s="5" t="s">
        <v>55</v>
      </c>
      <c r="C311" s="2" t="s">
        <v>56</v>
      </c>
      <c r="D311" s="5" t="s">
        <v>77</v>
      </c>
      <c r="E311" s="5" t="s">
        <v>62</v>
      </c>
      <c r="F311" s="2" t="n">
        <v>11</v>
      </c>
      <c r="G311" s="5" t="s">
        <v>66</v>
      </c>
      <c r="H311" s="2" t="n">
        <v>0</v>
      </c>
      <c r="I311" s="2" t="n">
        <v>1</v>
      </c>
      <c r="J311" s="2" t="n">
        <v>0</v>
      </c>
      <c r="K311" s="7" t="n">
        <v>3.648318244</v>
      </c>
      <c r="L311" s="7" t="n">
        <v>1.149170279</v>
      </c>
      <c r="M311" s="7" t="n">
        <v>1.15207621</v>
      </c>
      <c r="N311" s="7" t="n">
        <v>5</v>
      </c>
      <c r="O311" s="7" t="n">
        <v>5</v>
      </c>
      <c r="P311" s="7" t="n">
        <v>5</v>
      </c>
      <c r="Q311" s="2"/>
      <c r="R311" s="7" t="n">
        <v>2.623479</v>
      </c>
      <c r="S311" s="5" t="s">
        <v>60</v>
      </c>
      <c r="T311" s="5" t="s">
        <v>61</v>
      </c>
    </row>
    <row r="312" customFormat="false" ht="15" hidden="false" customHeight="false" outlineLevel="0" collapsed="false">
      <c r="A312" s="5" t="s">
        <v>4</v>
      </c>
      <c r="B312" s="5" t="s">
        <v>55</v>
      </c>
      <c r="C312" s="2" t="s">
        <v>56</v>
      </c>
      <c r="D312" s="5" t="s">
        <v>77</v>
      </c>
      <c r="E312" s="5" t="s">
        <v>58</v>
      </c>
      <c r="F312" s="2" t="n">
        <v>12</v>
      </c>
      <c r="G312" s="5" t="s">
        <v>59</v>
      </c>
      <c r="H312" s="2" t="n">
        <v>1</v>
      </c>
      <c r="I312" s="2" t="n">
        <v>1</v>
      </c>
      <c r="J312" s="2" t="n">
        <v>1</v>
      </c>
      <c r="K312" s="7" t="n">
        <v>0.3073270023</v>
      </c>
      <c r="L312" s="7" t="n">
        <v>0.06225318139</v>
      </c>
      <c r="M312" s="7" t="n">
        <v>0.0642328333</v>
      </c>
      <c r="N312" s="7" t="n">
        <v>9</v>
      </c>
      <c r="O312" s="7" t="n">
        <v>9</v>
      </c>
      <c r="P312" s="7" t="n">
        <v>0</v>
      </c>
      <c r="Q312" s="2"/>
      <c r="R312" s="7" t="n">
        <v>1.655838</v>
      </c>
      <c r="S312" s="5" t="s">
        <v>60</v>
      </c>
      <c r="T312" s="5" t="s">
        <v>61</v>
      </c>
    </row>
    <row r="313" customFormat="false" ht="15" hidden="false" customHeight="false" outlineLevel="0" collapsed="false">
      <c r="A313" s="5" t="s">
        <v>4</v>
      </c>
      <c r="B313" s="5" t="s">
        <v>55</v>
      </c>
      <c r="C313" s="2" t="s">
        <v>56</v>
      </c>
      <c r="D313" s="5" t="s">
        <v>77</v>
      </c>
      <c r="E313" s="5" t="s">
        <v>62</v>
      </c>
      <c r="F313" s="2" t="n">
        <v>12</v>
      </c>
      <c r="G313" s="5" t="s">
        <v>59</v>
      </c>
      <c r="H313" s="2" t="n">
        <v>1</v>
      </c>
      <c r="I313" s="2" t="n">
        <v>1</v>
      </c>
      <c r="J313" s="2" t="n">
        <v>1</v>
      </c>
      <c r="K313" s="7" t="n">
        <v>0.3073270023</v>
      </c>
      <c r="L313" s="7" t="n">
        <v>0.06225318139</v>
      </c>
      <c r="M313" s="7" t="n">
        <v>0.0642328333</v>
      </c>
      <c r="N313" s="7" t="n">
        <v>9</v>
      </c>
      <c r="O313" s="7" t="n">
        <v>9</v>
      </c>
      <c r="P313" s="7" t="n">
        <v>9</v>
      </c>
      <c r="Q313" s="2"/>
      <c r="R313" s="7" t="n">
        <v>2.177569</v>
      </c>
      <c r="S313" s="5" t="s">
        <v>60</v>
      </c>
      <c r="T313" s="5" t="s">
        <v>61</v>
      </c>
    </row>
    <row r="314" customFormat="false" ht="15" hidden="false" customHeight="false" outlineLevel="0" collapsed="false">
      <c r="A314" s="5" t="s">
        <v>4</v>
      </c>
      <c r="B314" s="5" t="s">
        <v>55</v>
      </c>
      <c r="C314" s="2" t="s">
        <v>56</v>
      </c>
      <c r="D314" s="5" t="s">
        <v>77</v>
      </c>
      <c r="E314" s="5" t="s">
        <v>58</v>
      </c>
      <c r="F314" s="2" t="n">
        <v>12</v>
      </c>
      <c r="G314" s="5" t="s">
        <v>63</v>
      </c>
      <c r="H314" s="2" t="n">
        <v>1</v>
      </c>
      <c r="I314" s="2" t="n">
        <v>1</v>
      </c>
      <c r="J314" s="2" t="n">
        <v>1</v>
      </c>
      <c r="K314" s="7" t="n">
        <v>0.3576872061</v>
      </c>
      <c r="L314" s="7" t="n">
        <v>0.09991157039</v>
      </c>
      <c r="M314" s="7" t="n">
        <v>0.1047126423</v>
      </c>
      <c r="N314" s="7" t="n">
        <v>12</v>
      </c>
      <c r="O314" s="7" t="n">
        <v>12</v>
      </c>
      <c r="P314" s="7" t="n">
        <v>0</v>
      </c>
      <c r="Q314" s="2"/>
      <c r="R314" s="7" t="n">
        <v>1.368494</v>
      </c>
      <c r="S314" s="5" t="s">
        <v>60</v>
      </c>
      <c r="T314" s="5" t="s">
        <v>61</v>
      </c>
    </row>
    <row r="315" customFormat="false" ht="15" hidden="false" customHeight="false" outlineLevel="0" collapsed="false">
      <c r="A315" s="5" t="s">
        <v>4</v>
      </c>
      <c r="B315" s="5" t="s">
        <v>55</v>
      </c>
      <c r="C315" s="2" t="s">
        <v>56</v>
      </c>
      <c r="D315" s="5" t="s">
        <v>77</v>
      </c>
      <c r="E315" s="5" t="s">
        <v>62</v>
      </c>
      <c r="F315" s="2" t="n">
        <v>12</v>
      </c>
      <c r="G315" s="5" t="s">
        <v>63</v>
      </c>
      <c r="H315" s="2" t="n">
        <v>1</v>
      </c>
      <c r="I315" s="2" t="n">
        <v>1</v>
      </c>
      <c r="J315" s="2" t="n">
        <v>1</v>
      </c>
      <c r="K315" s="7" t="n">
        <v>0.3576872061</v>
      </c>
      <c r="L315" s="7" t="n">
        <v>0.09991157039</v>
      </c>
      <c r="M315" s="7" t="n">
        <v>0.1047126423</v>
      </c>
      <c r="N315" s="7" t="n">
        <v>12</v>
      </c>
      <c r="O315" s="7" t="n">
        <v>12</v>
      </c>
      <c r="P315" s="7" t="n">
        <v>12</v>
      </c>
      <c r="Q315" s="2"/>
      <c r="R315" s="7" t="n">
        <v>1.984985</v>
      </c>
      <c r="S315" s="5" t="s">
        <v>60</v>
      </c>
      <c r="T315" s="5" t="s">
        <v>61</v>
      </c>
    </row>
    <row r="316" customFormat="false" ht="15" hidden="false" customHeight="false" outlineLevel="0" collapsed="false">
      <c r="A316" s="5" t="s">
        <v>4</v>
      </c>
      <c r="B316" s="5" t="s">
        <v>55</v>
      </c>
      <c r="C316" s="2" t="s">
        <v>56</v>
      </c>
      <c r="D316" s="5" t="s">
        <v>77</v>
      </c>
      <c r="E316" s="5" t="s">
        <v>58</v>
      </c>
      <c r="F316" s="2" t="n">
        <v>12</v>
      </c>
      <c r="G316" s="5" t="s">
        <v>64</v>
      </c>
      <c r="H316" s="2" t="n">
        <v>0</v>
      </c>
      <c r="I316" s="2" t="n">
        <v>1</v>
      </c>
      <c r="J316" s="2" t="n">
        <v>1</v>
      </c>
      <c r="K316" s="7" t="n">
        <v>1.075630658</v>
      </c>
      <c r="L316" s="7" t="n">
        <v>0.2311624214</v>
      </c>
      <c r="M316" s="7" t="n">
        <v>0.2385154387</v>
      </c>
      <c r="N316" s="7" t="n">
        <v>6</v>
      </c>
      <c r="O316" s="7" t="n">
        <v>6</v>
      </c>
      <c r="P316" s="7" t="n">
        <v>0</v>
      </c>
      <c r="Q316" s="2"/>
      <c r="R316" s="7" t="n">
        <v>5.551688</v>
      </c>
      <c r="S316" s="5" t="s">
        <v>60</v>
      </c>
      <c r="T316" s="5" t="s">
        <v>61</v>
      </c>
    </row>
    <row r="317" customFormat="false" ht="15" hidden="false" customHeight="false" outlineLevel="0" collapsed="false">
      <c r="A317" s="5" t="s">
        <v>4</v>
      </c>
      <c r="B317" s="5" t="s">
        <v>55</v>
      </c>
      <c r="C317" s="2" t="s">
        <v>56</v>
      </c>
      <c r="D317" s="5" t="s">
        <v>77</v>
      </c>
      <c r="E317" s="5" t="s">
        <v>62</v>
      </c>
      <c r="F317" s="2" t="n">
        <v>12</v>
      </c>
      <c r="G317" s="5" t="s">
        <v>64</v>
      </c>
      <c r="H317" s="2" t="n">
        <v>0</v>
      </c>
      <c r="I317" s="2" t="n">
        <v>1</v>
      </c>
      <c r="J317" s="2" t="n">
        <v>1</v>
      </c>
      <c r="K317" s="7" t="n">
        <v>1.075630658</v>
      </c>
      <c r="L317" s="7" t="n">
        <v>0.2311624214</v>
      </c>
      <c r="M317" s="7" t="n">
        <v>0.2385154387</v>
      </c>
      <c r="N317" s="7" t="n">
        <v>6</v>
      </c>
      <c r="O317" s="7" t="n">
        <v>6</v>
      </c>
      <c r="P317" s="7" t="n">
        <v>6</v>
      </c>
      <c r="Q317" s="2"/>
      <c r="R317" s="7" t="n">
        <v>5.978389</v>
      </c>
      <c r="S317" s="5" t="s">
        <v>60</v>
      </c>
      <c r="T317" s="5" t="s">
        <v>61</v>
      </c>
    </row>
    <row r="318" customFormat="false" ht="15" hidden="false" customHeight="false" outlineLevel="0" collapsed="false">
      <c r="A318" s="5" t="s">
        <v>4</v>
      </c>
      <c r="B318" s="5" t="s">
        <v>55</v>
      </c>
      <c r="C318" s="2" t="s">
        <v>56</v>
      </c>
      <c r="D318" s="5" t="s">
        <v>77</v>
      </c>
      <c r="E318" s="5" t="s">
        <v>58</v>
      </c>
      <c r="F318" s="2" t="n">
        <v>12</v>
      </c>
      <c r="G318" s="5" t="s">
        <v>65</v>
      </c>
      <c r="H318" s="2" t="n">
        <v>0</v>
      </c>
      <c r="I318" s="2" t="n">
        <v>1</v>
      </c>
      <c r="J318" s="2" t="n">
        <v>1</v>
      </c>
      <c r="K318" s="7" t="n">
        <v>0.5723935092</v>
      </c>
      <c r="L318" s="7" t="n">
        <v>0.09467816831</v>
      </c>
      <c r="M318" s="7" t="n">
        <v>0.09932501003</v>
      </c>
      <c r="N318" s="7" t="n">
        <v>9</v>
      </c>
      <c r="O318" s="7" t="n">
        <v>9</v>
      </c>
      <c r="P318" s="7" t="n">
        <v>0</v>
      </c>
      <c r="Q318" s="2"/>
      <c r="R318" s="7" t="n">
        <v>10.566411</v>
      </c>
      <c r="S318" s="5" t="s">
        <v>60</v>
      </c>
      <c r="T318" s="5" t="s">
        <v>61</v>
      </c>
    </row>
    <row r="319" customFormat="false" ht="15" hidden="false" customHeight="false" outlineLevel="0" collapsed="false">
      <c r="A319" s="5" t="s">
        <v>4</v>
      </c>
      <c r="B319" s="5" t="s">
        <v>55</v>
      </c>
      <c r="C319" s="2" t="s">
        <v>56</v>
      </c>
      <c r="D319" s="5" t="s">
        <v>77</v>
      </c>
      <c r="E319" s="5" t="s">
        <v>62</v>
      </c>
      <c r="F319" s="2" t="n">
        <v>12</v>
      </c>
      <c r="G319" s="5" t="s">
        <v>65</v>
      </c>
      <c r="H319" s="2" t="n">
        <v>0</v>
      </c>
      <c r="I319" s="2" t="n">
        <v>1</v>
      </c>
      <c r="J319" s="2" t="n">
        <v>1</v>
      </c>
      <c r="K319" s="7" t="n">
        <v>0.5723935092</v>
      </c>
      <c r="L319" s="7" t="n">
        <v>0.09467816831</v>
      </c>
      <c r="M319" s="7" t="n">
        <v>0.09932501003</v>
      </c>
      <c r="N319" s="7" t="n">
        <v>9</v>
      </c>
      <c r="O319" s="7" t="n">
        <v>9</v>
      </c>
      <c r="P319" s="7" t="n">
        <v>9</v>
      </c>
      <c r="Q319" s="2"/>
      <c r="R319" s="7" t="n">
        <v>11.117036</v>
      </c>
      <c r="S319" s="5" t="s">
        <v>60</v>
      </c>
      <c r="T319" s="5" t="s">
        <v>61</v>
      </c>
    </row>
    <row r="320" customFormat="false" ht="15" hidden="false" customHeight="false" outlineLevel="0" collapsed="false">
      <c r="A320" s="5" t="s">
        <v>4</v>
      </c>
      <c r="B320" s="5" t="s">
        <v>55</v>
      </c>
      <c r="C320" s="2" t="s">
        <v>56</v>
      </c>
      <c r="D320" s="5" t="s">
        <v>77</v>
      </c>
      <c r="E320" s="5" t="s">
        <v>58</v>
      </c>
      <c r="F320" s="2" t="n">
        <v>12</v>
      </c>
      <c r="G320" s="5" t="s">
        <v>66</v>
      </c>
      <c r="H320" s="2" t="n">
        <v>0</v>
      </c>
      <c r="I320" s="2" t="n">
        <v>0</v>
      </c>
      <c r="J320" s="2" t="n">
        <v>0</v>
      </c>
      <c r="K320" s="2"/>
      <c r="L320" s="2"/>
      <c r="M320" s="2"/>
      <c r="N320" s="7" t="n">
        <v>0</v>
      </c>
      <c r="O320" s="7" t="n">
        <v>0</v>
      </c>
      <c r="P320" s="7" t="n">
        <v>0</v>
      </c>
      <c r="Q320" s="2"/>
      <c r="R320" s="7" t="n">
        <v>2.261182</v>
      </c>
      <c r="S320" s="5" t="s">
        <v>60</v>
      </c>
      <c r="T320" s="5" t="s">
        <v>61</v>
      </c>
    </row>
    <row r="321" customFormat="false" ht="15" hidden="false" customHeight="false" outlineLevel="0" collapsed="false">
      <c r="A321" s="5" t="s">
        <v>4</v>
      </c>
      <c r="B321" s="5" t="s">
        <v>55</v>
      </c>
      <c r="C321" s="2" t="s">
        <v>56</v>
      </c>
      <c r="D321" s="5" t="s">
        <v>77</v>
      </c>
      <c r="E321" s="5" t="s">
        <v>62</v>
      </c>
      <c r="F321" s="2" t="n">
        <v>12</v>
      </c>
      <c r="G321" s="5" t="s">
        <v>66</v>
      </c>
      <c r="H321" s="2" t="n">
        <v>0</v>
      </c>
      <c r="I321" s="2" t="n">
        <v>0</v>
      </c>
      <c r="J321" s="2" t="n">
        <v>0</v>
      </c>
      <c r="K321" s="2"/>
      <c r="L321" s="2"/>
      <c r="M321" s="2"/>
      <c r="N321" s="7" t="n">
        <v>0</v>
      </c>
      <c r="O321" s="7" t="n">
        <v>0</v>
      </c>
      <c r="P321" s="7" t="n">
        <v>0</v>
      </c>
      <c r="Q321" s="2"/>
      <c r="R321" s="7" t="n">
        <v>2.261353</v>
      </c>
      <c r="S321" s="5" t="s">
        <v>60</v>
      </c>
      <c r="T321" s="5" t="s">
        <v>61</v>
      </c>
    </row>
    <row r="322" customFormat="false" ht="15" hidden="false" customHeight="false" outlineLevel="0" collapsed="false">
      <c r="A322" s="5" t="s">
        <v>4</v>
      </c>
      <c r="B322" s="5" t="s">
        <v>55</v>
      </c>
      <c r="C322" s="2" t="s">
        <v>56</v>
      </c>
      <c r="D322" s="5" t="s">
        <v>77</v>
      </c>
      <c r="E322" s="5" t="s">
        <v>58</v>
      </c>
      <c r="F322" s="2" t="n">
        <v>13</v>
      </c>
      <c r="G322" s="5" t="s">
        <v>59</v>
      </c>
      <c r="H322" s="2" t="n">
        <v>1</v>
      </c>
      <c r="I322" s="2" t="n">
        <v>1</v>
      </c>
      <c r="J322" s="2" t="n">
        <v>1</v>
      </c>
      <c r="K322" s="7" t="n">
        <v>0.1289090212</v>
      </c>
      <c r="L322" s="7" t="n">
        <v>0.03156211836</v>
      </c>
      <c r="M322" s="7" t="n">
        <v>0.03278784743</v>
      </c>
      <c r="N322" s="7" t="n">
        <v>8</v>
      </c>
      <c r="O322" s="7" t="n">
        <v>8</v>
      </c>
      <c r="P322" s="7" t="n">
        <v>0</v>
      </c>
      <c r="Q322" s="2"/>
      <c r="R322" s="7" t="n">
        <v>5.583144</v>
      </c>
      <c r="S322" s="5" t="s">
        <v>60</v>
      </c>
      <c r="T322" s="5" t="s">
        <v>61</v>
      </c>
    </row>
    <row r="323" customFormat="false" ht="15" hidden="false" customHeight="false" outlineLevel="0" collapsed="false">
      <c r="A323" s="5" t="s">
        <v>4</v>
      </c>
      <c r="B323" s="5" t="s">
        <v>55</v>
      </c>
      <c r="C323" s="2" t="s">
        <v>56</v>
      </c>
      <c r="D323" s="5" t="s">
        <v>77</v>
      </c>
      <c r="E323" s="5" t="s">
        <v>62</v>
      </c>
      <c r="F323" s="2" t="n">
        <v>13</v>
      </c>
      <c r="G323" s="5" t="s">
        <v>59</v>
      </c>
      <c r="H323" s="2" t="n">
        <v>1</v>
      </c>
      <c r="I323" s="2" t="n">
        <v>1</v>
      </c>
      <c r="J323" s="2" t="n">
        <v>1</v>
      </c>
      <c r="K323" s="7" t="n">
        <v>0.1289090212</v>
      </c>
      <c r="L323" s="7" t="n">
        <v>0.03156211836</v>
      </c>
      <c r="M323" s="7" t="n">
        <v>0.03278784743</v>
      </c>
      <c r="N323" s="7" t="n">
        <v>8</v>
      </c>
      <c r="O323" s="7" t="n">
        <v>8</v>
      </c>
      <c r="P323" s="7" t="n">
        <v>8</v>
      </c>
      <c r="Q323" s="2"/>
      <c r="R323" s="7" t="n">
        <v>6.066549</v>
      </c>
      <c r="S323" s="5" t="s">
        <v>60</v>
      </c>
      <c r="T323" s="5" t="s">
        <v>61</v>
      </c>
    </row>
    <row r="324" customFormat="false" ht="15" hidden="false" customHeight="false" outlineLevel="0" collapsed="false">
      <c r="A324" s="5" t="s">
        <v>4</v>
      </c>
      <c r="B324" s="5" t="s">
        <v>55</v>
      </c>
      <c r="C324" s="2" t="s">
        <v>56</v>
      </c>
      <c r="D324" s="5" t="s">
        <v>77</v>
      </c>
      <c r="E324" s="5" t="s">
        <v>58</v>
      </c>
      <c r="F324" s="2" t="n">
        <v>13</v>
      </c>
      <c r="G324" s="5" t="s">
        <v>63</v>
      </c>
      <c r="H324" s="2" t="n">
        <v>1</v>
      </c>
      <c r="I324" s="2" t="n">
        <v>1</v>
      </c>
      <c r="J324" s="2" t="n">
        <v>1</v>
      </c>
      <c r="K324" s="7" t="n">
        <v>0.6065084518</v>
      </c>
      <c r="L324" s="7" t="n">
        <v>0.02070564074</v>
      </c>
      <c r="M324" s="7" t="n">
        <v>0.04004764117</v>
      </c>
      <c r="N324" s="7" t="n">
        <v>10</v>
      </c>
      <c r="O324" s="7" t="n">
        <v>10</v>
      </c>
      <c r="P324" s="7" t="n">
        <v>0</v>
      </c>
      <c r="Q324" s="2"/>
      <c r="R324" s="7" t="n">
        <v>5.393414</v>
      </c>
      <c r="S324" s="5" t="s">
        <v>60</v>
      </c>
      <c r="T324" s="5" t="s">
        <v>61</v>
      </c>
    </row>
    <row r="325" customFormat="false" ht="15" hidden="false" customHeight="false" outlineLevel="0" collapsed="false">
      <c r="A325" s="5" t="s">
        <v>4</v>
      </c>
      <c r="B325" s="5" t="s">
        <v>55</v>
      </c>
      <c r="C325" s="2" t="s">
        <v>56</v>
      </c>
      <c r="D325" s="5" t="s">
        <v>77</v>
      </c>
      <c r="E325" s="5" t="s">
        <v>62</v>
      </c>
      <c r="F325" s="2" t="n">
        <v>13</v>
      </c>
      <c r="G325" s="5" t="s">
        <v>63</v>
      </c>
      <c r="H325" s="2" t="n">
        <v>1</v>
      </c>
      <c r="I325" s="2" t="n">
        <v>1</v>
      </c>
      <c r="J325" s="2" t="n">
        <v>1</v>
      </c>
      <c r="K325" s="7" t="n">
        <v>0.6065084518</v>
      </c>
      <c r="L325" s="7" t="n">
        <v>0.02070564074</v>
      </c>
      <c r="M325" s="7" t="n">
        <v>0.04004764117</v>
      </c>
      <c r="N325" s="7" t="n">
        <v>10</v>
      </c>
      <c r="O325" s="7" t="n">
        <v>10</v>
      </c>
      <c r="P325" s="7" t="n">
        <v>10</v>
      </c>
      <c r="Q325" s="2"/>
      <c r="R325" s="7" t="n">
        <v>5.978128</v>
      </c>
      <c r="S325" s="5" t="s">
        <v>60</v>
      </c>
      <c r="T325" s="5" t="s">
        <v>61</v>
      </c>
    </row>
    <row r="326" customFormat="false" ht="15" hidden="false" customHeight="false" outlineLevel="0" collapsed="false">
      <c r="A326" s="5" t="s">
        <v>4</v>
      </c>
      <c r="B326" s="5" t="s">
        <v>55</v>
      </c>
      <c r="C326" s="2" t="s">
        <v>56</v>
      </c>
      <c r="D326" s="5" t="s">
        <v>77</v>
      </c>
      <c r="E326" s="5" t="s">
        <v>58</v>
      </c>
      <c r="F326" s="2" t="n">
        <v>13</v>
      </c>
      <c r="G326" s="5" t="s">
        <v>64</v>
      </c>
      <c r="H326" s="2" t="n">
        <v>0</v>
      </c>
      <c r="I326" s="2" t="n">
        <v>1</v>
      </c>
      <c r="J326" s="2" t="n">
        <v>1</v>
      </c>
      <c r="K326" s="7" t="n">
        <v>0.9979903171</v>
      </c>
      <c r="L326" s="7" t="n">
        <v>0.1680516372</v>
      </c>
      <c r="M326" s="7" t="n">
        <v>0.1794606038</v>
      </c>
      <c r="N326" s="7" t="n">
        <v>5</v>
      </c>
      <c r="O326" s="7" t="n">
        <v>5</v>
      </c>
      <c r="P326" s="7" t="n">
        <v>0</v>
      </c>
      <c r="Q326" s="2"/>
      <c r="R326" s="7" t="n">
        <v>5.59372</v>
      </c>
      <c r="S326" s="5" t="s">
        <v>60</v>
      </c>
      <c r="T326" s="5" t="s">
        <v>61</v>
      </c>
    </row>
    <row r="327" customFormat="false" ht="15" hidden="false" customHeight="false" outlineLevel="0" collapsed="false">
      <c r="A327" s="5" t="s">
        <v>4</v>
      </c>
      <c r="B327" s="5" t="s">
        <v>55</v>
      </c>
      <c r="C327" s="2" t="s">
        <v>56</v>
      </c>
      <c r="D327" s="5" t="s">
        <v>77</v>
      </c>
      <c r="E327" s="5" t="s">
        <v>62</v>
      </c>
      <c r="F327" s="2" t="n">
        <v>13</v>
      </c>
      <c r="G327" s="5" t="s">
        <v>64</v>
      </c>
      <c r="H327" s="2" t="n">
        <v>0</v>
      </c>
      <c r="I327" s="2" t="n">
        <v>1</v>
      </c>
      <c r="J327" s="2" t="n">
        <v>1</v>
      </c>
      <c r="K327" s="7" t="n">
        <v>0.9979903171</v>
      </c>
      <c r="L327" s="7" t="n">
        <v>0.1680516372</v>
      </c>
      <c r="M327" s="7" t="n">
        <v>0.1794606038</v>
      </c>
      <c r="N327" s="7" t="n">
        <v>5</v>
      </c>
      <c r="O327" s="7" t="n">
        <v>5</v>
      </c>
      <c r="P327" s="7" t="n">
        <v>5</v>
      </c>
      <c r="Q327" s="2"/>
      <c r="R327" s="7" t="n">
        <v>6.061721</v>
      </c>
      <c r="S327" s="5" t="s">
        <v>60</v>
      </c>
      <c r="T327" s="5" t="s">
        <v>61</v>
      </c>
    </row>
    <row r="328" customFormat="false" ht="15" hidden="false" customHeight="false" outlineLevel="0" collapsed="false">
      <c r="A328" s="5" t="s">
        <v>4</v>
      </c>
      <c r="B328" s="5" t="s">
        <v>55</v>
      </c>
      <c r="C328" s="2" t="s">
        <v>56</v>
      </c>
      <c r="D328" s="5" t="s">
        <v>77</v>
      </c>
      <c r="E328" s="5" t="s">
        <v>58</v>
      </c>
      <c r="F328" s="2" t="n">
        <v>13</v>
      </c>
      <c r="G328" s="5" t="s">
        <v>65</v>
      </c>
      <c r="H328" s="2" t="n">
        <v>0</v>
      </c>
      <c r="I328" s="2" t="n">
        <v>1</v>
      </c>
      <c r="J328" s="2" t="n">
        <v>1</v>
      </c>
      <c r="K328" s="7" t="n">
        <v>0.6719184785</v>
      </c>
      <c r="L328" s="7" t="n">
        <v>0.1740890811</v>
      </c>
      <c r="M328" s="7" t="n">
        <v>0.1809938823</v>
      </c>
      <c r="N328" s="7" t="n">
        <v>4</v>
      </c>
      <c r="O328" s="7" t="n">
        <v>4</v>
      </c>
      <c r="P328" s="7" t="n">
        <v>0</v>
      </c>
      <c r="Q328" s="2"/>
      <c r="R328" s="7" t="n">
        <v>3.541325</v>
      </c>
      <c r="S328" s="5" t="s">
        <v>60</v>
      </c>
      <c r="T328" s="5" t="s">
        <v>61</v>
      </c>
    </row>
    <row r="329" customFormat="false" ht="15" hidden="false" customHeight="false" outlineLevel="0" collapsed="false">
      <c r="A329" s="5" t="s">
        <v>4</v>
      </c>
      <c r="B329" s="5" t="s">
        <v>55</v>
      </c>
      <c r="C329" s="2" t="s">
        <v>56</v>
      </c>
      <c r="D329" s="5" t="s">
        <v>77</v>
      </c>
      <c r="E329" s="5" t="s">
        <v>62</v>
      </c>
      <c r="F329" s="2" t="n">
        <v>13</v>
      </c>
      <c r="G329" s="5" t="s">
        <v>65</v>
      </c>
      <c r="H329" s="2" t="n">
        <v>0</v>
      </c>
      <c r="I329" s="2" t="n">
        <v>1</v>
      </c>
      <c r="J329" s="2" t="n">
        <v>1</v>
      </c>
      <c r="K329" s="7" t="n">
        <v>0.6719184785</v>
      </c>
      <c r="L329" s="7" t="n">
        <v>0.1740890811</v>
      </c>
      <c r="M329" s="7" t="n">
        <v>0.1809938823</v>
      </c>
      <c r="N329" s="7" t="n">
        <v>4</v>
      </c>
      <c r="O329" s="7" t="n">
        <v>4</v>
      </c>
      <c r="P329" s="7" t="n">
        <v>4</v>
      </c>
      <c r="Q329" s="2"/>
      <c r="R329" s="7" t="n">
        <v>3.861379</v>
      </c>
      <c r="S329" s="5" t="s">
        <v>60</v>
      </c>
      <c r="T329" s="5" t="s">
        <v>61</v>
      </c>
    </row>
    <row r="330" customFormat="false" ht="15" hidden="false" customHeight="false" outlineLevel="0" collapsed="false">
      <c r="A330" s="5" t="s">
        <v>4</v>
      </c>
      <c r="B330" s="5" t="s">
        <v>55</v>
      </c>
      <c r="C330" s="2" t="s">
        <v>56</v>
      </c>
      <c r="D330" s="5" t="s">
        <v>77</v>
      </c>
      <c r="E330" s="5" t="s">
        <v>58</v>
      </c>
      <c r="F330" s="2" t="n">
        <v>13</v>
      </c>
      <c r="G330" s="5" t="s">
        <v>66</v>
      </c>
      <c r="H330" s="2" t="n">
        <v>0</v>
      </c>
      <c r="I330" s="2" t="n">
        <v>1</v>
      </c>
      <c r="J330" s="2" t="n">
        <v>1</v>
      </c>
      <c r="K330" s="7" t="n">
        <v>0.6524895935</v>
      </c>
      <c r="L330" s="7" t="n">
        <v>0.1959569905</v>
      </c>
      <c r="M330" s="7" t="n">
        <v>0.1983882539</v>
      </c>
      <c r="N330" s="7" t="n">
        <v>5</v>
      </c>
      <c r="O330" s="7" t="n">
        <v>5</v>
      </c>
      <c r="P330" s="7" t="n">
        <v>0</v>
      </c>
      <c r="Q330" s="2"/>
      <c r="R330" s="7" t="n">
        <v>2.342903</v>
      </c>
      <c r="S330" s="5" t="s">
        <v>60</v>
      </c>
      <c r="T330" s="5" t="s">
        <v>61</v>
      </c>
    </row>
    <row r="331" customFormat="false" ht="15" hidden="false" customHeight="false" outlineLevel="0" collapsed="false">
      <c r="A331" s="5" t="s">
        <v>4</v>
      </c>
      <c r="B331" s="5" t="s">
        <v>55</v>
      </c>
      <c r="C331" s="2" t="s">
        <v>56</v>
      </c>
      <c r="D331" s="5" t="s">
        <v>77</v>
      </c>
      <c r="E331" s="5" t="s">
        <v>62</v>
      </c>
      <c r="F331" s="2" t="n">
        <v>13</v>
      </c>
      <c r="G331" s="5" t="s">
        <v>66</v>
      </c>
      <c r="H331" s="2" t="n">
        <v>0</v>
      </c>
      <c r="I331" s="2" t="n">
        <v>1</v>
      </c>
      <c r="J331" s="2" t="n">
        <v>1</v>
      </c>
      <c r="K331" s="7" t="n">
        <v>0.6524895935</v>
      </c>
      <c r="L331" s="7" t="n">
        <v>0.1959569905</v>
      </c>
      <c r="M331" s="7" t="n">
        <v>0.1983882539</v>
      </c>
      <c r="N331" s="7" t="n">
        <v>5</v>
      </c>
      <c r="O331" s="7" t="n">
        <v>5</v>
      </c>
      <c r="P331" s="7" t="n">
        <v>5</v>
      </c>
      <c r="Q331" s="2"/>
      <c r="R331" s="7" t="n">
        <v>2.671369</v>
      </c>
      <c r="S331" s="5" t="s">
        <v>60</v>
      </c>
      <c r="T331" s="5" t="s">
        <v>61</v>
      </c>
    </row>
    <row r="332" customFormat="false" ht="15" hidden="false" customHeight="false" outlineLevel="0" collapsed="false">
      <c r="A332" s="5" t="s">
        <v>4</v>
      </c>
      <c r="B332" s="5" t="s">
        <v>55</v>
      </c>
      <c r="C332" s="2" t="s">
        <v>56</v>
      </c>
      <c r="D332" s="5" t="s">
        <v>77</v>
      </c>
      <c r="E332" s="5" t="s">
        <v>58</v>
      </c>
      <c r="F332" s="2" t="n">
        <v>14</v>
      </c>
      <c r="G332" s="5" t="s">
        <v>59</v>
      </c>
      <c r="H332" s="2" t="n">
        <v>1</v>
      </c>
      <c r="I332" s="2" t="n">
        <v>1</v>
      </c>
      <c r="J332" s="2" t="n">
        <v>1</v>
      </c>
      <c r="K332" s="7" t="n">
        <v>0.1974209949</v>
      </c>
      <c r="L332" s="7" t="n">
        <v>0.03802161968</v>
      </c>
      <c r="M332" s="7" t="n">
        <v>0.04029809204</v>
      </c>
      <c r="N332" s="7" t="n">
        <v>7</v>
      </c>
      <c r="O332" s="7" t="n">
        <v>7</v>
      </c>
      <c r="P332" s="7" t="n">
        <v>0</v>
      </c>
      <c r="Q332" s="2"/>
      <c r="R332" s="7" t="n">
        <v>1.561849</v>
      </c>
      <c r="S332" s="5" t="s">
        <v>60</v>
      </c>
      <c r="T332" s="5" t="s">
        <v>61</v>
      </c>
    </row>
    <row r="333" customFormat="false" ht="15" hidden="false" customHeight="false" outlineLevel="0" collapsed="false">
      <c r="A333" s="5" t="s">
        <v>4</v>
      </c>
      <c r="B333" s="5" t="s">
        <v>55</v>
      </c>
      <c r="C333" s="2" t="s">
        <v>56</v>
      </c>
      <c r="D333" s="5" t="s">
        <v>77</v>
      </c>
      <c r="E333" s="5" t="s">
        <v>62</v>
      </c>
      <c r="F333" s="2" t="n">
        <v>14</v>
      </c>
      <c r="G333" s="5" t="s">
        <v>59</v>
      </c>
      <c r="H333" s="2" t="n">
        <v>1</v>
      </c>
      <c r="I333" s="2" t="n">
        <v>1</v>
      </c>
      <c r="J333" s="2" t="n">
        <v>1</v>
      </c>
      <c r="K333" s="7" t="n">
        <v>0.1974209949</v>
      </c>
      <c r="L333" s="7" t="n">
        <v>0.03802161968</v>
      </c>
      <c r="M333" s="7" t="n">
        <v>0.04029809204</v>
      </c>
      <c r="N333" s="7" t="n">
        <v>7</v>
      </c>
      <c r="O333" s="7" t="n">
        <v>7</v>
      </c>
      <c r="P333" s="7" t="n">
        <v>7</v>
      </c>
      <c r="Q333" s="2"/>
      <c r="R333" s="7" t="n">
        <v>2.256506</v>
      </c>
      <c r="S333" s="5" t="s">
        <v>60</v>
      </c>
      <c r="T333" s="5" t="s">
        <v>61</v>
      </c>
    </row>
    <row r="334" customFormat="false" ht="15" hidden="false" customHeight="false" outlineLevel="0" collapsed="false">
      <c r="A334" s="5" t="s">
        <v>4</v>
      </c>
      <c r="B334" s="5" t="s">
        <v>55</v>
      </c>
      <c r="C334" s="2" t="s">
        <v>56</v>
      </c>
      <c r="D334" s="5" t="s">
        <v>77</v>
      </c>
      <c r="E334" s="5" t="s">
        <v>58</v>
      </c>
      <c r="F334" s="2" t="n">
        <v>14</v>
      </c>
      <c r="G334" s="5" t="s">
        <v>63</v>
      </c>
      <c r="H334" s="2" t="n">
        <v>1</v>
      </c>
      <c r="I334" s="2" t="n">
        <v>1</v>
      </c>
      <c r="J334" s="2" t="n">
        <v>1</v>
      </c>
      <c r="K334" s="7" t="n">
        <v>0.6501184939</v>
      </c>
      <c r="L334" s="7" t="n">
        <v>0.01943297057</v>
      </c>
      <c r="M334" s="7" t="n">
        <v>0.04601247885</v>
      </c>
      <c r="N334" s="7" t="n">
        <v>11</v>
      </c>
      <c r="O334" s="7" t="n">
        <v>11</v>
      </c>
      <c r="P334" s="7" t="n">
        <v>0</v>
      </c>
      <c r="Q334" s="2"/>
      <c r="R334" s="7" t="n">
        <v>5.584054</v>
      </c>
      <c r="S334" s="5" t="s">
        <v>60</v>
      </c>
      <c r="T334" s="5" t="s">
        <v>61</v>
      </c>
    </row>
    <row r="335" customFormat="false" ht="15" hidden="false" customHeight="false" outlineLevel="0" collapsed="false">
      <c r="A335" s="5" t="s">
        <v>4</v>
      </c>
      <c r="B335" s="5" t="s">
        <v>55</v>
      </c>
      <c r="C335" s="2" t="s">
        <v>56</v>
      </c>
      <c r="D335" s="5" t="s">
        <v>77</v>
      </c>
      <c r="E335" s="5" t="s">
        <v>62</v>
      </c>
      <c r="F335" s="2" t="n">
        <v>14</v>
      </c>
      <c r="G335" s="5" t="s">
        <v>63</v>
      </c>
      <c r="H335" s="2" t="n">
        <v>1</v>
      </c>
      <c r="I335" s="2" t="n">
        <v>1</v>
      </c>
      <c r="J335" s="2" t="n">
        <v>1</v>
      </c>
      <c r="K335" s="7" t="n">
        <v>0.6501184939</v>
      </c>
      <c r="L335" s="7" t="n">
        <v>0.01943297057</v>
      </c>
      <c r="M335" s="7" t="n">
        <v>0.04601247885</v>
      </c>
      <c r="N335" s="7" t="n">
        <v>11</v>
      </c>
      <c r="O335" s="7" t="n">
        <v>11</v>
      </c>
      <c r="P335" s="7" t="n">
        <v>11</v>
      </c>
      <c r="Q335" s="2"/>
      <c r="R335" s="7" t="n">
        <v>10.198767</v>
      </c>
      <c r="S335" s="5" t="s">
        <v>60</v>
      </c>
      <c r="T335" s="5" t="s">
        <v>61</v>
      </c>
    </row>
    <row r="336" customFormat="false" ht="15" hidden="false" customHeight="false" outlineLevel="0" collapsed="false">
      <c r="A336" s="5" t="s">
        <v>4</v>
      </c>
      <c r="B336" s="5" t="s">
        <v>55</v>
      </c>
      <c r="C336" s="2" t="s">
        <v>56</v>
      </c>
      <c r="D336" s="5" t="s">
        <v>77</v>
      </c>
      <c r="E336" s="5" t="s">
        <v>58</v>
      </c>
      <c r="F336" s="2" t="n">
        <v>14</v>
      </c>
      <c r="G336" s="5" t="s">
        <v>64</v>
      </c>
      <c r="H336" s="2" t="n">
        <v>0</v>
      </c>
      <c r="I336" s="2" t="n">
        <v>1</v>
      </c>
      <c r="J336" s="2" t="n">
        <v>1</v>
      </c>
      <c r="K336" s="7" t="n">
        <v>1.002032821</v>
      </c>
      <c r="L336" s="7" t="n">
        <v>0.2106783473</v>
      </c>
      <c r="M336" s="7" t="n">
        <v>0.2180887809</v>
      </c>
      <c r="N336" s="7" t="n">
        <v>5</v>
      </c>
      <c r="O336" s="7" t="n">
        <v>5</v>
      </c>
      <c r="P336" s="7" t="n">
        <v>0</v>
      </c>
      <c r="Q336" s="2"/>
      <c r="R336" s="7" t="n">
        <v>1.601767</v>
      </c>
      <c r="S336" s="5" t="s">
        <v>60</v>
      </c>
      <c r="T336" s="5" t="s">
        <v>61</v>
      </c>
    </row>
    <row r="337" customFormat="false" ht="15" hidden="false" customHeight="false" outlineLevel="0" collapsed="false">
      <c r="A337" s="5" t="s">
        <v>4</v>
      </c>
      <c r="B337" s="5" t="s">
        <v>55</v>
      </c>
      <c r="C337" s="2" t="s">
        <v>56</v>
      </c>
      <c r="D337" s="5" t="s">
        <v>77</v>
      </c>
      <c r="E337" s="5" t="s">
        <v>62</v>
      </c>
      <c r="F337" s="2" t="n">
        <v>14</v>
      </c>
      <c r="G337" s="5" t="s">
        <v>64</v>
      </c>
      <c r="H337" s="2" t="n">
        <v>0</v>
      </c>
      <c r="I337" s="2" t="n">
        <v>1</v>
      </c>
      <c r="J337" s="2" t="n">
        <v>1</v>
      </c>
      <c r="K337" s="7" t="n">
        <v>1.002032821</v>
      </c>
      <c r="L337" s="7" t="n">
        <v>0.2106783473</v>
      </c>
      <c r="M337" s="7" t="n">
        <v>0.2180887809</v>
      </c>
      <c r="N337" s="7" t="n">
        <v>5</v>
      </c>
      <c r="O337" s="7" t="n">
        <v>5</v>
      </c>
      <c r="P337" s="7" t="n">
        <v>5</v>
      </c>
      <c r="Q337" s="2"/>
      <c r="R337" s="7" t="n">
        <v>1.94877</v>
      </c>
      <c r="S337" s="5" t="s">
        <v>60</v>
      </c>
      <c r="T337" s="5" t="s">
        <v>61</v>
      </c>
    </row>
    <row r="338" customFormat="false" ht="15" hidden="false" customHeight="false" outlineLevel="0" collapsed="false">
      <c r="A338" s="5" t="s">
        <v>4</v>
      </c>
      <c r="B338" s="5" t="s">
        <v>55</v>
      </c>
      <c r="C338" s="2" t="s">
        <v>56</v>
      </c>
      <c r="D338" s="5" t="s">
        <v>77</v>
      </c>
      <c r="E338" s="5" t="s">
        <v>58</v>
      </c>
      <c r="F338" s="2" t="n">
        <v>14</v>
      </c>
      <c r="G338" s="5" t="s">
        <v>65</v>
      </c>
      <c r="H338" s="2" t="n">
        <v>0</v>
      </c>
      <c r="I338" s="2" t="n">
        <v>0</v>
      </c>
      <c r="J338" s="2" t="n">
        <v>0</v>
      </c>
      <c r="K338" s="2"/>
      <c r="L338" s="2"/>
      <c r="M338" s="2"/>
      <c r="N338" s="7" t="n">
        <v>1</v>
      </c>
      <c r="O338" s="7" t="n">
        <v>1</v>
      </c>
      <c r="P338" s="7" t="n">
        <v>0</v>
      </c>
      <c r="Q338" s="2"/>
      <c r="R338" s="7" t="n">
        <v>6.560309</v>
      </c>
      <c r="S338" s="5" t="s">
        <v>60</v>
      </c>
      <c r="T338" s="5" t="s">
        <v>61</v>
      </c>
    </row>
    <row r="339" customFormat="false" ht="15" hidden="false" customHeight="false" outlineLevel="0" collapsed="false">
      <c r="A339" s="5" t="s">
        <v>4</v>
      </c>
      <c r="B339" s="5" t="s">
        <v>55</v>
      </c>
      <c r="C339" s="2" t="s">
        <v>56</v>
      </c>
      <c r="D339" s="5" t="s">
        <v>77</v>
      </c>
      <c r="E339" s="5" t="s">
        <v>62</v>
      </c>
      <c r="F339" s="2" t="n">
        <v>14</v>
      </c>
      <c r="G339" s="5" t="s">
        <v>65</v>
      </c>
      <c r="H339" s="2" t="n">
        <v>0</v>
      </c>
      <c r="I339" s="2" t="n">
        <v>0</v>
      </c>
      <c r="J339" s="2" t="n">
        <v>0</v>
      </c>
      <c r="K339" s="2"/>
      <c r="L339" s="2"/>
      <c r="M339" s="2"/>
      <c r="N339" s="7" t="n">
        <v>1</v>
      </c>
      <c r="O339" s="7" t="n">
        <v>1</v>
      </c>
      <c r="P339" s="7" t="n">
        <v>0</v>
      </c>
      <c r="Q339" s="2"/>
      <c r="R339" s="7" t="n">
        <v>6.560028</v>
      </c>
      <c r="S339" s="5" t="s">
        <v>60</v>
      </c>
      <c r="T339" s="5" t="s">
        <v>61</v>
      </c>
    </row>
    <row r="340" customFormat="false" ht="15" hidden="false" customHeight="false" outlineLevel="0" collapsed="false">
      <c r="A340" s="5" t="s">
        <v>4</v>
      </c>
      <c r="B340" s="5" t="s">
        <v>55</v>
      </c>
      <c r="C340" s="2" t="s">
        <v>56</v>
      </c>
      <c r="D340" s="5" t="s">
        <v>77</v>
      </c>
      <c r="E340" s="5" t="s">
        <v>58</v>
      </c>
      <c r="F340" s="2" t="n">
        <v>14</v>
      </c>
      <c r="G340" s="5" t="s">
        <v>66</v>
      </c>
      <c r="H340" s="2" t="n">
        <v>0</v>
      </c>
      <c r="I340" s="2" t="n">
        <v>1</v>
      </c>
      <c r="J340" s="2" t="n">
        <v>0</v>
      </c>
      <c r="K340" s="7" t="n">
        <v>3.657401065</v>
      </c>
      <c r="L340" s="7" t="n">
        <v>0.210961245</v>
      </c>
      <c r="M340" s="7" t="n">
        <v>0.2999890724</v>
      </c>
      <c r="N340" s="7" t="n">
        <v>5</v>
      </c>
      <c r="O340" s="7" t="n">
        <v>5</v>
      </c>
      <c r="P340" s="7" t="n">
        <v>0</v>
      </c>
      <c r="Q340" s="2"/>
      <c r="R340" s="7" t="n">
        <v>2.555018</v>
      </c>
      <c r="S340" s="5" t="s">
        <v>60</v>
      </c>
      <c r="T340" s="5" t="s">
        <v>61</v>
      </c>
    </row>
    <row r="341" customFormat="false" ht="15" hidden="false" customHeight="false" outlineLevel="0" collapsed="false">
      <c r="A341" s="5" t="s">
        <v>4</v>
      </c>
      <c r="B341" s="5" t="s">
        <v>55</v>
      </c>
      <c r="C341" s="2" t="s">
        <v>56</v>
      </c>
      <c r="D341" s="5" t="s">
        <v>77</v>
      </c>
      <c r="E341" s="5" t="s">
        <v>62</v>
      </c>
      <c r="F341" s="2" t="n">
        <v>14</v>
      </c>
      <c r="G341" s="5" t="s">
        <v>66</v>
      </c>
      <c r="H341" s="2" t="n">
        <v>0</v>
      </c>
      <c r="I341" s="2" t="n">
        <v>1</v>
      </c>
      <c r="J341" s="2" t="n">
        <v>1</v>
      </c>
      <c r="K341" s="7" t="n">
        <v>1.168784453</v>
      </c>
      <c r="L341" s="7" t="n">
        <v>0.06950984287</v>
      </c>
      <c r="M341" s="7" t="n">
        <v>0.1008864703</v>
      </c>
      <c r="N341" s="7" t="n">
        <v>5</v>
      </c>
      <c r="O341" s="7" t="n">
        <v>5</v>
      </c>
      <c r="P341" s="7" t="n">
        <v>4</v>
      </c>
      <c r="Q341" s="2"/>
      <c r="R341" s="7" t="n">
        <v>2.88132</v>
      </c>
      <c r="S341" s="5" t="s">
        <v>60</v>
      </c>
      <c r="T341" s="5" t="s">
        <v>61</v>
      </c>
    </row>
    <row r="342" customFormat="false" ht="15" hidden="false" customHeight="false" outlineLevel="0" collapsed="false">
      <c r="A342" s="5" t="s">
        <v>4</v>
      </c>
      <c r="B342" s="5" t="s">
        <v>55</v>
      </c>
      <c r="C342" s="2" t="s">
        <v>56</v>
      </c>
      <c r="D342" s="5" t="s">
        <v>77</v>
      </c>
      <c r="E342" s="5" t="s">
        <v>58</v>
      </c>
      <c r="F342" s="2" t="n">
        <v>15</v>
      </c>
      <c r="G342" s="5" t="s">
        <v>59</v>
      </c>
      <c r="H342" s="2" t="n">
        <v>1</v>
      </c>
      <c r="I342" s="2" t="n">
        <v>1</v>
      </c>
      <c r="J342" s="2" t="n">
        <v>1</v>
      </c>
      <c r="K342" s="7" t="n">
        <v>0.3444856751</v>
      </c>
      <c r="L342" s="7" t="n">
        <v>0.0743527817</v>
      </c>
      <c r="M342" s="7" t="n">
        <v>0.07629546052</v>
      </c>
      <c r="N342" s="7" t="n">
        <v>8</v>
      </c>
      <c r="O342" s="7" t="n">
        <v>8</v>
      </c>
      <c r="P342" s="7" t="n">
        <v>0</v>
      </c>
      <c r="Q342" s="2"/>
      <c r="R342" s="7" t="n">
        <v>1.642308</v>
      </c>
      <c r="S342" s="5" t="s">
        <v>60</v>
      </c>
      <c r="T342" s="5" t="s">
        <v>61</v>
      </c>
    </row>
    <row r="343" customFormat="false" ht="15" hidden="false" customHeight="false" outlineLevel="0" collapsed="false">
      <c r="A343" s="5" t="s">
        <v>4</v>
      </c>
      <c r="B343" s="5" t="s">
        <v>55</v>
      </c>
      <c r="C343" s="2" t="s">
        <v>56</v>
      </c>
      <c r="D343" s="5" t="s">
        <v>77</v>
      </c>
      <c r="E343" s="5" t="s">
        <v>62</v>
      </c>
      <c r="F343" s="2" t="n">
        <v>15</v>
      </c>
      <c r="G343" s="5" t="s">
        <v>59</v>
      </c>
      <c r="H343" s="2" t="n">
        <v>1</v>
      </c>
      <c r="I343" s="2" t="n">
        <v>1</v>
      </c>
      <c r="J343" s="2" t="n">
        <v>1</v>
      </c>
      <c r="K343" s="7" t="n">
        <v>0.3444856751</v>
      </c>
      <c r="L343" s="7" t="n">
        <v>0.0743527817</v>
      </c>
      <c r="M343" s="7" t="n">
        <v>0.07629546052</v>
      </c>
      <c r="N343" s="7" t="n">
        <v>8</v>
      </c>
      <c r="O343" s="7" t="n">
        <v>8</v>
      </c>
      <c r="P343" s="7" t="n">
        <v>8</v>
      </c>
      <c r="Q343" s="2"/>
      <c r="R343" s="7" t="n">
        <v>2.127886</v>
      </c>
      <c r="S343" s="5" t="s">
        <v>60</v>
      </c>
      <c r="T343" s="5" t="s">
        <v>61</v>
      </c>
    </row>
    <row r="344" customFormat="false" ht="15" hidden="false" customHeight="false" outlineLevel="0" collapsed="false">
      <c r="A344" s="5" t="s">
        <v>4</v>
      </c>
      <c r="B344" s="5" t="s">
        <v>55</v>
      </c>
      <c r="C344" s="2" t="s">
        <v>56</v>
      </c>
      <c r="D344" s="5" t="s">
        <v>77</v>
      </c>
      <c r="E344" s="5" t="s">
        <v>58</v>
      </c>
      <c r="F344" s="2" t="n">
        <v>15</v>
      </c>
      <c r="G344" s="5" t="s">
        <v>63</v>
      </c>
      <c r="H344" s="2" t="n">
        <v>1</v>
      </c>
      <c r="I344" s="2" t="n">
        <v>1</v>
      </c>
      <c r="J344" s="2" t="n">
        <v>1</v>
      </c>
      <c r="K344" s="7" t="n">
        <v>0.2955976595</v>
      </c>
      <c r="L344" s="7" t="n">
        <v>0.06756011863</v>
      </c>
      <c r="M344" s="7" t="n">
        <v>0.07231322938</v>
      </c>
      <c r="N344" s="7" t="n">
        <v>14</v>
      </c>
      <c r="O344" s="7" t="n">
        <v>14</v>
      </c>
      <c r="P344" s="7" t="n">
        <v>0</v>
      </c>
      <c r="Q344" s="2"/>
      <c r="R344" s="7" t="n">
        <v>1.283848</v>
      </c>
      <c r="S344" s="5" t="s">
        <v>60</v>
      </c>
      <c r="T344" s="5" t="s">
        <v>61</v>
      </c>
    </row>
    <row r="345" customFormat="false" ht="15" hidden="false" customHeight="false" outlineLevel="0" collapsed="false">
      <c r="A345" s="5" t="s">
        <v>4</v>
      </c>
      <c r="B345" s="5" t="s">
        <v>55</v>
      </c>
      <c r="C345" s="2" t="s">
        <v>56</v>
      </c>
      <c r="D345" s="5" t="s">
        <v>77</v>
      </c>
      <c r="E345" s="5" t="s">
        <v>62</v>
      </c>
      <c r="F345" s="2" t="n">
        <v>15</v>
      </c>
      <c r="G345" s="5" t="s">
        <v>63</v>
      </c>
      <c r="H345" s="2" t="n">
        <v>1</v>
      </c>
      <c r="I345" s="2" t="n">
        <v>1</v>
      </c>
      <c r="J345" s="2" t="n">
        <v>1</v>
      </c>
      <c r="K345" s="7" t="n">
        <v>0.2955976595</v>
      </c>
      <c r="L345" s="7" t="n">
        <v>0.06756011863</v>
      </c>
      <c r="M345" s="7" t="n">
        <v>0.07231322938</v>
      </c>
      <c r="N345" s="7" t="n">
        <v>14</v>
      </c>
      <c r="O345" s="7" t="n">
        <v>14</v>
      </c>
      <c r="P345" s="7" t="n">
        <v>14</v>
      </c>
      <c r="Q345" s="2"/>
      <c r="R345" s="7" t="n">
        <v>1.931755</v>
      </c>
      <c r="S345" s="5" t="s">
        <v>60</v>
      </c>
      <c r="T345" s="5" t="s">
        <v>61</v>
      </c>
    </row>
    <row r="346" customFormat="false" ht="15" hidden="false" customHeight="false" outlineLevel="0" collapsed="false">
      <c r="A346" s="5" t="s">
        <v>4</v>
      </c>
      <c r="B346" s="5" t="s">
        <v>55</v>
      </c>
      <c r="C346" s="2" t="s">
        <v>56</v>
      </c>
      <c r="D346" s="5" t="s">
        <v>77</v>
      </c>
      <c r="E346" s="5" t="s">
        <v>58</v>
      </c>
      <c r="F346" s="2" t="n">
        <v>15</v>
      </c>
      <c r="G346" s="5" t="s">
        <v>64</v>
      </c>
      <c r="H346" s="2" t="n">
        <v>0</v>
      </c>
      <c r="I346" s="2" t="n">
        <v>1</v>
      </c>
      <c r="J346" s="2" t="n">
        <v>1</v>
      </c>
      <c r="K346" s="7" t="n">
        <v>0.9844762468</v>
      </c>
      <c r="L346" s="7" t="n">
        <v>0.2013175658</v>
      </c>
      <c r="M346" s="7" t="n">
        <v>0.2094485088</v>
      </c>
      <c r="N346" s="7" t="n">
        <v>4</v>
      </c>
      <c r="O346" s="7" t="n">
        <v>4</v>
      </c>
      <c r="P346" s="7" t="n">
        <v>0</v>
      </c>
      <c r="Q346" s="2"/>
      <c r="R346" s="7" t="n">
        <v>1.448552</v>
      </c>
      <c r="S346" s="5" t="s">
        <v>60</v>
      </c>
      <c r="T346" s="5" t="s">
        <v>61</v>
      </c>
    </row>
    <row r="347" customFormat="false" ht="15" hidden="false" customHeight="false" outlineLevel="0" collapsed="false">
      <c r="A347" s="5" t="s">
        <v>4</v>
      </c>
      <c r="B347" s="5" t="s">
        <v>55</v>
      </c>
      <c r="C347" s="2" t="s">
        <v>56</v>
      </c>
      <c r="D347" s="5" t="s">
        <v>77</v>
      </c>
      <c r="E347" s="5" t="s">
        <v>62</v>
      </c>
      <c r="F347" s="2" t="n">
        <v>15</v>
      </c>
      <c r="G347" s="5" t="s">
        <v>64</v>
      </c>
      <c r="H347" s="2" t="n">
        <v>0</v>
      </c>
      <c r="I347" s="2" t="n">
        <v>1</v>
      </c>
      <c r="J347" s="2" t="n">
        <v>1</v>
      </c>
      <c r="K347" s="7" t="n">
        <v>0.9844762468</v>
      </c>
      <c r="L347" s="7" t="n">
        <v>0.2013175658</v>
      </c>
      <c r="M347" s="7" t="n">
        <v>0.2094485088</v>
      </c>
      <c r="N347" s="7" t="n">
        <v>4</v>
      </c>
      <c r="O347" s="7" t="n">
        <v>4</v>
      </c>
      <c r="P347" s="7" t="n">
        <v>4</v>
      </c>
      <c r="Q347" s="2"/>
      <c r="R347" s="7" t="n">
        <v>2.043342</v>
      </c>
      <c r="S347" s="5" t="s">
        <v>60</v>
      </c>
      <c r="T347" s="5" t="s">
        <v>61</v>
      </c>
    </row>
    <row r="348" customFormat="false" ht="15" hidden="false" customHeight="false" outlineLevel="0" collapsed="false">
      <c r="A348" s="5" t="s">
        <v>4</v>
      </c>
      <c r="B348" s="5" t="s">
        <v>55</v>
      </c>
      <c r="C348" s="2" t="s">
        <v>56</v>
      </c>
      <c r="D348" s="5" t="s">
        <v>77</v>
      </c>
      <c r="E348" s="5" t="s">
        <v>58</v>
      </c>
      <c r="F348" s="2" t="n">
        <v>15</v>
      </c>
      <c r="G348" s="5" t="s">
        <v>65</v>
      </c>
      <c r="H348" s="2" t="n">
        <v>0</v>
      </c>
      <c r="I348" s="2" t="n">
        <v>0</v>
      </c>
      <c r="J348" s="2" t="n">
        <v>0</v>
      </c>
      <c r="K348" s="2"/>
      <c r="L348" s="2"/>
      <c r="M348" s="2"/>
      <c r="N348" s="7" t="n">
        <v>2</v>
      </c>
      <c r="O348" s="7" t="n">
        <v>2</v>
      </c>
      <c r="P348" s="7" t="n">
        <v>0</v>
      </c>
      <c r="Q348" s="2"/>
      <c r="R348" s="7" t="n">
        <v>6.44576</v>
      </c>
      <c r="S348" s="5" t="s">
        <v>60</v>
      </c>
      <c r="T348" s="5" t="s">
        <v>61</v>
      </c>
    </row>
    <row r="349" customFormat="false" ht="15" hidden="false" customHeight="false" outlineLevel="0" collapsed="false">
      <c r="A349" s="5" t="s">
        <v>4</v>
      </c>
      <c r="B349" s="5" t="s">
        <v>55</v>
      </c>
      <c r="C349" s="2" t="s">
        <v>56</v>
      </c>
      <c r="D349" s="5" t="s">
        <v>77</v>
      </c>
      <c r="E349" s="5" t="s">
        <v>62</v>
      </c>
      <c r="F349" s="2" t="n">
        <v>15</v>
      </c>
      <c r="G349" s="5" t="s">
        <v>65</v>
      </c>
      <c r="H349" s="2" t="n">
        <v>0</v>
      </c>
      <c r="I349" s="2" t="n">
        <v>0</v>
      </c>
      <c r="J349" s="2" t="n">
        <v>0</v>
      </c>
      <c r="K349" s="2"/>
      <c r="L349" s="2"/>
      <c r="M349" s="2"/>
      <c r="N349" s="7" t="n">
        <v>2</v>
      </c>
      <c r="O349" s="7" t="n">
        <v>2</v>
      </c>
      <c r="P349" s="7" t="n">
        <v>0</v>
      </c>
      <c r="Q349" s="2"/>
      <c r="R349" s="7" t="n">
        <v>6.445529</v>
      </c>
      <c r="S349" s="5" t="s">
        <v>60</v>
      </c>
      <c r="T349" s="5" t="s">
        <v>61</v>
      </c>
    </row>
    <row r="350" customFormat="false" ht="15" hidden="false" customHeight="false" outlineLevel="0" collapsed="false">
      <c r="A350" s="5" t="s">
        <v>4</v>
      </c>
      <c r="B350" s="5" t="s">
        <v>55</v>
      </c>
      <c r="C350" s="2" t="s">
        <v>56</v>
      </c>
      <c r="D350" s="5" t="s">
        <v>77</v>
      </c>
      <c r="E350" s="5" t="s">
        <v>58</v>
      </c>
      <c r="F350" s="2" t="n">
        <v>15</v>
      </c>
      <c r="G350" s="5" t="s">
        <v>66</v>
      </c>
      <c r="H350" s="2" t="n">
        <v>0</v>
      </c>
      <c r="I350" s="2" t="n">
        <v>1</v>
      </c>
      <c r="J350" s="2" t="n">
        <v>1</v>
      </c>
      <c r="K350" s="7" t="n">
        <v>1.139967598</v>
      </c>
      <c r="L350" s="7" t="n">
        <v>0.106814834</v>
      </c>
      <c r="M350" s="7" t="n">
        <v>0.128210849</v>
      </c>
      <c r="N350" s="7" t="n">
        <v>8</v>
      </c>
      <c r="O350" s="7" t="n">
        <v>8</v>
      </c>
      <c r="P350" s="7" t="n">
        <v>0</v>
      </c>
      <c r="Q350" s="2"/>
      <c r="R350" s="7" t="n">
        <v>6.507741</v>
      </c>
      <c r="S350" s="5" t="s">
        <v>60</v>
      </c>
      <c r="T350" s="5" t="s">
        <v>61</v>
      </c>
    </row>
    <row r="351" customFormat="false" ht="15" hidden="false" customHeight="false" outlineLevel="0" collapsed="false">
      <c r="A351" s="5" t="s">
        <v>4</v>
      </c>
      <c r="B351" s="5" t="s">
        <v>55</v>
      </c>
      <c r="C351" s="2" t="s">
        <v>56</v>
      </c>
      <c r="D351" s="5" t="s">
        <v>77</v>
      </c>
      <c r="E351" s="5" t="s">
        <v>62</v>
      </c>
      <c r="F351" s="2" t="n">
        <v>15</v>
      </c>
      <c r="G351" s="5" t="s">
        <v>66</v>
      </c>
      <c r="H351" s="2" t="n">
        <v>0</v>
      </c>
      <c r="I351" s="2" t="n">
        <v>1</v>
      </c>
      <c r="J351" s="2" t="n">
        <v>1</v>
      </c>
      <c r="K351" s="7" t="n">
        <v>1.139967598</v>
      </c>
      <c r="L351" s="7" t="n">
        <v>0.106814834</v>
      </c>
      <c r="M351" s="7" t="n">
        <v>0.128210849</v>
      </c>
      <c r="N351" s="7" t="n">
        <v>8</v>
      </c>
      <c r="O351" s="7" t="n">
        <v>8</v>
      </c>
      <c r="P351" s="7" t="n">
        <v>8</v>
      </c>
      <c r="Q351" s="2"/>
      <c r="R351" s="7" t="n">
        <v>6.999028</v>
      </c>
      <c r="S351" s="5" t="s">
        <v>60</v>
      </c>
      <c r="T351" s="5" t="s">
        <v>61</v>
      </c>
    </row>
    <row r="352" customFormat="false" ht="15" hidden="false" customHeight="false" outlineLevel="0" collapsed="false">
      <c r="A352" s="5" t="s">
        <v>4</v>
      </c>
      <c r="B352" s="5" t="s">
        <v>55</v>
      </c>
      <c r="C352" s="2" t="s">
        <v>56</v>
      </c>
      <c r="D352" s="5" t="s">
        <v>77</v>
      </c>
      <c r="E352" s="5" t="s">
        <v>58</v>
      </c>
      <c r="F352" s="2" t="n">
        <v>16</v>
      </c>
      <c r="G352" s="5" t="s">
        <v>59</v>
      </c>
      <c r="H352" s="2" t="n">
        <v>1</v>
      </c>
      <c r="I352" s="2" t="n">
        <v>1</v>
      </c>
      <c r="J352" s="2" t="n">
        <v>1</v>
      </c>
      <c r="K352" s="7" t="n">
        <v>0.3653985662</v>
      </c>
      <c r="L352" s="7" t="n">
        <v>0.06243100374</v>
      </c>
      <c r="M352" s="7" t="n">
        <v>0.06542517742</v>
      </c>
      <c r="N352" s="7" t="n">
        <v>8</v>
      </c>
      <c r="O352" s="7" t="n">
        <v>8</v>
      </c>
      <c r="P352" s="7" t="n">
        <v>0</v>
      </c>
      <c r="Q352" s="2"/>
      <c r="R352" s="7" t="n">
        <v>1.598293</v>
      </c>
      <c r="S352" s="5" t="s">
        <v>60</v>
      </c>
      <c r="T352" s="5" t="s">
        <v>61</v>
      </c>
    </row>
    <row r="353" customFormat="false" ht="15" hidden="false" customHeight="false" outlineLevel="0" collapsed="false">
      <c r="A353" s="5" t="s">
        <v>4</v>
      </c>
      <c r="B353" s="5" t="s">
        <v>55</v>
      </c>
      <c r="C353" s="2" t="s">
        <v>56</v>
      </c>
      <c r="D353" s="5" t="s">
        <v>77</v>
      </c>
      <c r="E353" s="5" t="s">
        <v>62</v>
      </c>
      <c r="F353" s="2" t="n">
        <v>16</v>
      </c>
      <c r="G353" s="5" t="s">
        <v>59</v>
      </c>
      <c r="H353" s="2" t="n">
        <v>1</v>
      </c>
      <c r="I353" s="2" t="n">
        <v>1</v>
      </c>
      <c r="J353" s="2" t="n">
        <v>1</v>
      </c>
      <c r="K353" s="7" t="n">
        <v>0.3653985662</v>
      </c>
      <c r="L353" s="7" t="n">
        <v>0.06243100374</v>
      </c>
      <c r="M353" s="7" t="n">
        <v>0.06542517742</v>
      </c>
      <c r="N353" s="7" t="n">
        <v>8</v>
      </c>
      <c r="O353" s="7" t="n">
        <v>8</v>
      </c>
      <c r="P353" s="7" t="n">
        <v>8</v>
      </c>
      <c r="Q353" s="2"/>
      <c r="R353" s="7" t="n">
        <v>6.234176</v>
      </c>
      <c r="S353" s="5" t="s">
        <v>60</v>
      </c>
      <c r="T353" s="5" t="s">
        <v>61</v>
      </c>
    </row>
    <row r="354" customFormat="false" ht="15" hidden="false" customHeight="false" outlineLevel="0" collapsed="false">
      <c r="A354" s="5" t="s">
        <v>4</v>
      </c>
      <c r="B354" s="5" t="s">
        <v>55</v>
      </c>
      <c r="C354" s="2" t="s">
        <v>56</v>
      </c>
      <c r="D354" s="5" t="s">
        <v>77</v>
      </c>
      <c r="E354" s="5" t="s">
        <v>58</v>
      </c>
      <c r="F354" s="2" t="n">
        <v>16</v>
      </c>
      <c r="G354" s="5" t="s">
        <v>63</v>
      </c>
      <c r="H354" s="2" t="n">
        <v>1</v>
      </c>
      <c r="I354" s="2" t="n">
        <v>1</v>
      </c>
      <c r="J354" s="2" t="n">
        <v>1</v>
      </c>
      <c r="K354" s="7" t="n">
        <v>0.6402475878</v>
      </c>
      <c r="L354" s="7" t="n">
        <v>0.02419416983</v>
      </c>
      <c r="M354" s="7" t="n">
        <v>0.04187746001</v>
      </c>
      <c r="N354" s="7" t="n">
        <v>13</v>
      </c>
      <c r="O354" s="7" t="n">
        <v>13</v>
      </c>
      <c r="P354" s="7" t="n">
        <v>0</v>
      </c>
      <c r="Q354" s="2"/>
      <c r="R354" s="7" t="n">
        <v>9.403943</v>
      </c>
      <c r="S354" s="5" t="s">
        <v>60</v>
      </c>
      <c r="T354" s="5" t="s">
        <v>61</v>
      </c>
    </row>
    <row r="355" customFormat="false" ht="15" hidden="false" customHeight="false" outlineLevel="0" collapsed="false">
      <c r="A355" s="5" t="s">
        <v>4</v>
      </c>
      <c r="B355" s="5" t="s">
        <v>55</v>
      </c>
      <c r="C355" s="2" t="s">
        <v>56</v>
      </c>
      <c r="D355" s="5" t="s">
        <v>77</v>
      </c>
      <c r="E355" s="5" t="s">
        <v>62</v>
      </c>
      <c r="F355" s="2" t="n">
        <v>16</v>
      </c>
      <c r="G355" s="5" t="s">
        <v>63</v>
      </c>
      <c r="H355" s="2" t="n">
        <v>1</v>
      </c>
      <c r="I355" s="2" t="n">
        <v>1</v>
      </c>
      <c r="J355" s="2" t="n">
        <v>1</v>
      </c>
      <c r="K355" s="7" t="n">
        <v>0.6402475878</v>
      </c>
      <c r="L355" s="7" t="n">
        <v>0.02419416983</v>
      </c>
      <c r="M355" s="7" t="n">
        <v>0.04187746001</v>
      </c>
      <c r="N355" s="7" t="n">
        <v>13</v>
      </c>
      <c r="O355" s="7" t="n">
        <v>13</v>
      </c>
      <c r="P355" s="7" t="n">
        <v>13</v>
      </c>
      <c r="Q355" s="2"/>
      <c r="R355" s="7" t="n">
        <v>10.060614</v>
      </c>
      <c r="S355" s="5" t="s">
        <v>60</v>
      </c>
      <c r="T355" s="5" t="s">
        <v>61</v>
      </c>
    </row>
    <row r="356" customFormat="false" ht="15" hidden="false" customHeight="false" outlineLevel="0" collapsed="false">
      <c r="A356" s="5" t="s">
        <v>4</v>
      </c>
      <c r="B356" s="5" t="s">
        <v>55</v>
      </c>
      <c r="C356" s="2" t="s">
        <v>56</v>
      </c>
      <c r="D356" s="5" t="s">
        <v>77</v>
      </c>
      <c r="E356" s="5" t="s">
        <v>58</v>
      </c>
      <c r="F356" s="2" t="n">
        <v>16</v>
      </c>
      <c r="G356" s="5" t="s">
        <v>64</v>
      </c>
      <c r="H356" s="2" t="n">
        <v>0</v>
      </c>
      <c r="I356" s="2" t="n">
        <v>0</v>
      </c>
      <c r="J356" s="2" t="n">
        <v>0</v>
      </c>
      <c r="K356" s="2"/>
      <c r="L356" s="2"/>
      <c r="M356" s="2"/>
      <c r="N356" s="7" t="n">
        <v>2</v>
      </c>
      <c r="O356" s="7" t="n">
        <v>2</v>
      </c>
      <c r="P356" s="7" t="n">
        <v>0</v>
      </c>
      <c r="Q356" s="2"/>
      <c r="R356" s="7" t="n">
        <v>5.626048</v>
      </c>
      <c r="S356" s="5" t="s">
        <v>60</v>
      </c>
      <c r="T356" s="5" t="s">
        <v>61</v>
      </c>
    </row>
    <row r="357" customFormat="false" ht="15" hidden="false" customHeight="false" outlineLevel="0" collapsed="false">
      <c r="A357" s="5" t="s">
        <v>4</v>
      </c>
      <c r="B357" s="5" t="s">
        <v>55</v>
      </c>
      <c r="C357" s="2" t="s">
        <v>56</v>
      </c>
      <c r="D357" s="5" t="s">
        <v>77</v>
      </c>
      <c r="E357" s="5" t="s">
        <v>62</v>
      </c>
      <c r="F357" s="2" t="n">
        <v>16</v>
      </c>
      <c r="G357" s="5" t="s">
        <v>64</v>
      </c>
      <c r="H357" s="2" t="n">
        <v>0</v>
      </c>
      <c r="I357" s="2" t="n">
        <v>0</v>
      </c>
      <c r="J357" s="2" t="n">
        <v>0</v>
      </c>
      <c r="K357" s="2"/>
      <c r="L357" s="2"/>
      <c r="M357" s="2"/>
      <c r="N357" s="7" t="n">
        <v>2</v>
      </c>
      <c r="O357" s="7" t="n">
        <v>2</v>
      </c>
      <c r="P357" s="7" t="n">
        <v>0</v>
      </c>
      <c r="Q357" s="2"/>
      <c r="R357" s="7" t="n">
        <v>5.625658</v>
      </c>
      <c r="S357" s="5" t="s">
        <v>60</v>
      </c>
      <c r="T357" s="5" t="s">
        <v>61</v>
      </c>
    </row>
    <row r="358" customFormat="false" ht="15" hidden="false" customHeight="false" outlineLevel="0" collapsed="false">
      <c r="A358" s="5" t="s">
        <v>4</v>
      </c>
      <c r="B358" s="5" t="s">
        <v>55</v>
      </c>
      <c r="C358" s="2" t="s">
        <v>56</v>
      </c>
      <c r="D358" s="5" t="s">
        <v>77</v>
      </c>
      <c r="E358" s="5" t="s">
        <v>58</v>
      </c>
      <c r="F358" s="2" t="n">
        <v>16</v>
      </c>
      <c r="G358" s="5" t="s">
        <v>65</v>
      </c>
      <c r="H358" s="2" t="n">
        <v>0</v>
      </c>
      <c r="I358" s="2" t="n">
        <v>1</v>
      </c>
      <c r="J358" s="2" t="n">
        <v>1</v>
      </c>
      <c r="K358" s="7" t="n">
        <v>0.8010489428</v>
      </c>
      <c r="L358" s="7" t="n">
        <v>0.221383066</v>
      </c>
      <c r="M358" s="7" t="n">
        <v>0.2288251161</v>
      </c>
      <c r="N358" s="7" t="n">
        <v>5</v>
      </c>
      <c r="O358" s="7" t="n">
        <v>5</v>
      </c>
      <c r="P358" s="7" t="n">
        <v>0</v>
      </c>
      <c r="Q358" s="2"/>
      <c r="R358" s="7" t="n">
        <v>2.172541</v>
      </c>
      <c r="S358" s="5" t="s">
        <v>60</v>
      </c>
      <c r="T358" s="5" t="s">
        <v>61</v>
      </c>
    </row>
    <row r="359" customFormat="false" ht="15" hidden="false" customHeight="false" outlineLevel="0" collapsed="false">
      <c r="A359" s="5" t="s">
        <v>4</v>
      </c>
      <c r="B359" s="5" t="s">
        <v>55</v>
      </c>
      <c r="C359" s="2" t="s">
        <v>56</v>
      </c>
      <c r="D359" s="5" t="s">
        <v>77</v>
      </c>
      <c r="E359" s="5" t="s">
        <v>62</v>
      </c>
      <c r="F359" s="2" t="n">
        <v>16</v>
      </c>
      <c r="G359" s="5" t="s">
        <v>65</v>
      </c>
      <c r="H359" s="2" t="n">
        <v>0</v>
      </c>
      <c r="I359" s="2" t="n">
        <v>1</v>
      </c>
      <c r="J359" s="2" t="n">
        <v>1</v>
      </c>
      <c r="K359" s="7" t="n">
        <v>0.8010489428</v>
      </c>
      <c r="L359" s="7" t="n">
        <v>0.221383066</v>
      </c>
      <c r="M359" s="7" t="n">
        <v>0.2288251161</v>
      </c>
      <c r="N359" s="7" t="n">
        <v>5</v>
      </c>
      <c r="O359" s="7" t="n">
        <v>5</v>
      </c>
      <c r="P359" s="7" t="n">
        <v>5</v>
      </c>
      <c r="Q359" s="2"/>
      <c r="R359" s="7" t="n">
        <v>2.500407</v>
      </c>
      <c r="S359" s="5" t="s">
        <v>60</v>
      </c>
      <c r="T359" s="5" t="s">
        <v>61</v>
      </c>
    </row>
    <row r="360" customFormat="false" ht="15" hidden="false" customHeight="false" outlineLevel="0" collapsed="false">
      <c r="A360" s="5" t="s">
        <v>4</v>
      </c>
      <c r="B360" s="5" t="s">
        <v>55</v>
      </c>
      <c r="C360" s="2" t="s">
        <v>56</v>
      </c>
      <c r="D360" s="5" t="s">
        <v>77</v>
      </c>
      <c r="E360" s="5" t="s">
        <v>58</v>
      </c>
      <c r="F360" s="2" t="n">
        <v>16</v>
      </c>
      <c r="G360" s="5" t="s">
        <v>66</v>
      </c>
      <c r="H360" s="2" t="n">
        <v>0</v>
      </c>
      <c r="I360" s="2" t="n">
        <v>1</v>
      </c>
      <c r="J360" s="2" t="n">
        <v>1</v>
      </c>
      <c r="K360" s="7" t="n">
        <v>0.4228016566</v>
      </c>
      <c r="L360" s="7" t="n">
        <v>0.02655797441</v>
      </c>
      <c r="M360" s="7" t="n">
        <v>0.03721709449</v>
      </c>
      <c r="N360" s="7" t="n">
        <v>3</v>
      </c>
      <c r="O360" s="7" t="n">
        <v>3</v>
      </c>
      <c r="P360" s="7" t="n">
        <v>0</v>
      </c>
      <c r="Q360" s="2"/>
      <c r="R360" s="7" t="n">
        <v>6.797228</v>
      </c>
      <c r="S360" s="5" t="s">
        <v>60</v>
      </c>
      <c r="T360" s="5" t="s">
        <v>61</v>
      </c>
    </row>
    <row r="361" customFormat="false" ht="15" hidden="false" customHeight="false" outlineLevel="0" collapsed="false">
      <c r="A361" s="5" t="s">
        <v>4</v>
      </c>
      <c r="B361" s="5" t="s">
        <v>55</v>
      </c>
      <c r="C361" s="2" t="s">
        <v>56</v>
      </c>
      <c r="D361" s="5" t="s">
        <v>77</v>
      </c>
      <c r="E361" s="5" t="s">
        <v>62</v>
      </c>
      <c r="F361" s="2" t="n">
        <v>16</v>
      </c>
      <c r="G361" s="5" t="s">
        <v>66</v>
      </c>
      <c r="H361" s="2" t="n">
        <v>0</v>
      </c>
      <c r="I361" s="2" t="n">
        <v>1</v>
      </c>
      <c r="J361" s="2" t="n">
        <v>1</v>
      </c>
      <c r="K361" s="7" t="n">
        <v>0.4228016566</v>
      </c>
      <c r="L361" s="7" t="n">
        <v>0.02655797441</v>
      </c>
      <c r="M361" s="7" t="n">
        <v>0.03721709449</v>
      </c>
      <c r="N361" s="7" t="n">
        <v>3</v>
      </c>
      <c r="O361" s="7" t="n">
        <v>3</v>
      </c>
      <c r="P361" s="7" t="n">
        <v>3</v>
      </c>
      <c r="Q361" s="2"/>
      <c r="R361" s="7" t="n">
        <v>6.958587</v>
      </c>
      <c r="S361" s="5" t="s">
        <v>60</v>
      </c>
      <c r="T361" s="5" t="s">
        <v>61</v>
      </c>
    </row>
    <row r="362" customFormat="false" ht="15" hidden="false" customHeight="false" outlineLevel="0" collapsed="false">
      <c r="A362" s="5" t="s">
        <v>4</v>
      </c>
      <c r="B362" s="5" t="s">
        <v>55</v>
      </c>
      <c r="C362" s="2" t="s">
        <v>56</v>
      </c>
      <c r="D362" s="5" t="s">
        <v>77</v>
      </c>
      <c r="E362" s="5" t="s">
        <v>58</v>
      </c>
      <c r="F362" s="2" t="n">
        <v>17</v>
      </c>
      <c r="G362" s="5" t="s">
        <v>59</v>
      </c>
      <c r="H362" s="2" t="n">
        <v>1</v>
      </c>
      <c r="I362" s="2" t="n">
        <v>1</v>
      </c>
      <c r="J362" s="2" t="n">
        <v>1</v>
      </c>
      <c r="K362" s="7" t="n">
        <v>0.304561717</v>
      </c>
      <c r="L362" s="7" t="n">
        <v>0.06462204815</v>
      </c>
      <c r="M362" s="7" t="n">
        <v>0.06693138448</v>
      </c>
      <c r="N362" s="7" t="n">
        <v>8</v>
      </c>
      <c r="O362" s="7" t="n">
        <v>8</v>
      </c>
      <c r="P362" s="7" t="n">
        <v>0</v>
      </c>
      <c r="Q362" s="2"/>
      <c r="R362" s="7" t="n">
        <v>5.799534</v>
      </c>
      <c r="S362" s="5" t="s">
        <v>60</v>
      </c>
      <c r="T362" s="5" t="s">
        <v>61</v>
      </c>
    </row>
    <row r="363" customFormat="false" ht="15" hidden="false" customHeight="false" outlineLevel="0" collapsed="false">
      <c r="A363" s="5" t="s">
        <v>4</v>
      </c>
      <c r="B363" s="5" t="s">
        <v>55</v>
      </c>
      <c r="C363" s="2" t="s">
        <v>56</v>
      </c>
      <c r="D363" s="5" t="s">
        <v>77</v>
      </c>
      <c r="E363" s="5" t="s">
        <v>62</v>
      </c>
      <c r="F363" s="2" t="n">
        <v>17</v>
      </c>
      <c r="G363" s="5" t="s">
        <v>59</v>
      </c>
      <c r="H363" s="2" t="n">
        <v>1</v>
      </c>
      <c r="I363" s="2" t="n">
        <v>1</v>
      </c>
      <c r="J363" s="2" t="n">
        <v>1</v>
      </c>
      <c r="K363" s="7" t="n">
        <v>0.304561717</v>
      </c>
      <c r="L363" s="7" t="n">
        <v>0.06462204815</v>
      </c>
      <c r="M363" s="7" t="n">
        <v>0.06693138448</v>
      </c>
      <c r="N363" s="7" t="n">
        <v>8</v>
      </c>
      <c r="O363" s="7" t="n">
        <v>8</v>
      </c>
      <c r="P363" s="7" t="n">
        <v>8</v>
      </c>
      <c r="Q363" s="2"/>
      <c r="R363" s="7" t="n">
        <v>6.513589</v>
      </c>
      <c r="S363" s="5" t="s">
        <v>60</v>
      </c>
      <c r="T363" s="5" t="s">
        <v>61</v>
      </c>
    </row>
    <row r="364" customFormat="false" ht="15" hidden="false" customHeight="false" outlineLevel="0" collapsed="false">
      <c r="A364" s="5" t="s">
        <v>4</v>
      </c>
      <c r="B364" s="5" t="s">
        <v>55</v>
      </c>
      <c r="C364" s="2" t="s">
        <v>56</v>
      </c>
      <c r="D364" s="5" t="s">
        <v>77</v>
      </c>
      <c r="E364" s="5" t="s">
        <v>58</v>
      </c>
      <c r="F364" s="2" t="n">
        <v>17</v>
      </c>
      <c r="G364" s="5" t="s">
        <v>63</v>
      </c>
      <c r="H364" s="2" t="n">
        <v>1</v>
      </c>
      <c r="I364" s="2" t="n">
        <v>1</v>
      </c>
      <c r="J364" s="2" t="n">
        <v>1</v>
      </c>
      <c r="K364" s="7" t="n">
        <v>0.5613943599</v>
      </c>
      <c r="L364" s="7" t="n">
        <v>0.02425216566</v>
      </c>
      <c r="M364" s="7" t="n">
        <v>0.03870062682</v>
      </c>
      <c r="N364" s="7" t="n">
        <v>10</v>
      </c>
      <c r="O364" s="7" t="n">
        <v>10</v>
      </c>
      <c r="P364" s="7" t="n">
        <v>0</v>
      </c>
      <c r="Q364" s="2"/>
      <c r="R364" s="7" t="n">
        <v>1.371318</v>
      </c>
      <c r="S364" s="5" t="s">
        <v>60</v>
      </c>
      <c r="T364" s="5" t="s">
        <v>61</v>
      </c>
    </row>
    <row r="365" customFormat="false" ht="15" hidden="false" customHeight="false" outlineLevel="0" collapsed="false">
      <c r="A365" s="5" t="s">
        <v>4</v>
      </c>
      <c r="B365" s="5" t="s">
        <v>55</v>
      </c>
      <c r="C365" s="2" t="s">
        <v>56</v>
      </c>
      <c r="D365" s="5" t="s">
        <v>77</v>
      </c>
      <c r="E365" s="5" t="s">
        <v>62</v>
      </c>
      <c r="F365" s="2" t="n">
        <v>17</v>
      </c>
      <c r="G365" s="5" t="s">
        <v>63</v>
      </c>
      <c r="H365" s="2" t="n">
        <v>1</v>
      </c>
      <c r="I365" s="2" t="n">
        <v>1</v>
      </c>
      <c r="J365" s="2" t="n">
        <v>1</v>
      </c>
      <c r="K365" s="7" t="n">
        <v>0.5613943599</v>
      </c>
      <c r="L365" s="7" t="n">
        <v>0.02425216566</v>
      </c>
      <c r="M365" s="7" t="n">
        <v>0.03870062682</v>
      </c>
      <c r="N365" s="7" t="n">
        <v>10</v>
      </c>
      <c r="O365" s="7" t="n">
        <v>10</v>
      </c>
      <c r="P365" s="7" t="n">
        <v>10</v>
      </c>
      <c r="Q365" s="2"/>
      <c r="R365" s="7" t="n">
        <v>1.943694</v>
      </c>
      <c r="S365" s="5" t="s">
        <v>60</v>
      </c>
      <c r="T365" s="5" t="s">
        <v>61</v>
      </c>
    </row>
    <row r="366" customFormat="false" ht="15" hidden="false" customHeight="false" outlineLevel="0" collapsed="false">
      <c r="A366" s="5" t="s">
        <v>4</v>
      </c>
      <c r="B366" s="5" t="s">
        <v>55</v>
      </c>
      <c r="C366" s="2" t="s">
        <v>56</v>
      </c>
      <c r="D366" s="5" t="s">
        <v>77</v>
      </c>
      <c r="E366" s="5" t="s">
        <v>58</v>
      </c>
      <c r="F366" s="2" t="n">
        <v>17</v>
      </c>
      <c r="G366" s="5" t="s">
        <v>64</v>
      </c>
      <c r="H366" s="2" t="n">
        <v>0</v>
      </c>
      <c r="I366" s="2" t="n">
        <v>1</v>
      </c>
      <c r="J366" s="2" t="n">
        <v>1</v>
      </c>
      <c r="K366" s="7" t="n">
        <v>0.9817512489</v>
      </c>
      <c r="L366" s="7" t="n">
        <v>0.2032420738</v>
      </c>
      <c r="M366" s="7" t="n">
        <v>0.2116168328</v>
      </c>
      <c r="N366" s="7" t="n">
        <v>5</v>
      </c>
      <c r="O366" s="7" t="n">
        <v>5</v>
      </c>
      <c r="P366" s="7" t="n">
        <v>0</v>
      </c>
      <c r="Q366" s="2"/>
      <c r="R366" s="7" t="n">
        <v>1.554248</v>
      </c>
      <c r="S366" s="5" t="s">
        <v>60</v>
      </c>
      <c r="T366" s="5" t="s">
        <v>61</v>
      </c>
    </row>
    <row r="367" customFormat="false" ht="15" hidden="false" customHeight="false" outlineLevel="0" collapsed="false">
      <c r="A367" s="5" t="s">
        <v>4</v>
      </c>
      <c r="B367" s="5" t="s">
        <v>55</v>
      </c>
      <c r="C367" s="2" t="s">
        <v>56</v>
      </c>
      <c r="D367" s="5" t="s">
        <v>77</v>
      </c>
      <c r="E367" s="5" t="s">
        <v>62</v>
      </c>
      <c r="F367" s="2" t="n">
        <v>17</v>
      </c>
      <c r="G367" s="5" t="s">
        <v>64</v>
      </c>
      <c r="H367" s="2" t="n">
        <v>0</v>
      </c>
      <c r="I367" s="2" t="n">
        <v>1</v>
      </c>
      <c r="J367" s="2" t="n">
        <v>1</v>
      </c>
      <c r="K367" s="7" t="n">
        <v>0.9817512489</v>
      </c>
      <c r="L367" s="7" t="n">
        <v>0.2032420738</v>
      </c>
      <c r="M367" s="7" t="n">
        <v>0.2116168328</v>
      </c>
      <c r="N367" s="7" t="n">
        <v>5</v>
      </c>
      <c r="O367" s="7" t="n">
        <v>5</v>
      </c>
      <c r="P367" s="7" t="n">
        <v>5</v>
      </c>
      <c r="Q367" s="2"/>
      <c r="R367" s="7" t="n">
        <v>1.884516</v>
      </c>
      <c r="S367" s="5" t="s">
        <v>60</v>
      </c>
      <c r="T367" s="5" t="s">
        <v>61</v>
      </c>
    </row>
    <row r="368" customFormat="false" ht="15" hidden="false" customHeight="false" outlineLevel="0" collapsed="false">
      <c r="A368" s="5" t="s">
        <v>4</v>
      </c>
      <c r="B368" s="5" t="s">
        <v>55</v>
      </c>
      <c r="C368" s="2" t="s">
        <v>56</v>
      </c>
      <c r="D368" s="5" t="s">
        <v>77</v>
      </c>
      <c r="E368" s="5" t="s">
        <v>58</v>
      </c>
      <c r="F368" s="2" t="n">
        <v>17</v>
      </c>
      <c r="G368" s="5" t="s">
        <v>65</v>
      </c>
      <c r="H368" s="2" t="n">
        <v>0</v>
      </c>
      <c r="I368" s="2" t="n">
        <v>1</v>
      </c>
      <c r="J368" s="2" t="n">
        <v>1</v>
      </c>
      <c r="K368" s="7" t="n">
        <v>0.6264880034</v>
      </c>
      <c r="L368" s="7" t="n">
        <v>0.1076116356</v>
      </c>
      <c r="M368" s="7" t="n">
        <v>0.1171010684</v>
      </c>
      <c r="N368" s="7" t="n">
        <v>7</v>
      </c>
      <c r="O368" s="7" t="n">
        <v>7</v>
      </c>
      <c r="P368" s="7" t="n">
        <v>0</v>
      </c>
      <c r="Q368" s="2"/>
      <c r="R368" s="7" t="n">
        <v>2.950201</v>
      </c>
      <c r="S368" s="5" t="s">
        <v>60</v>
      </c>
      <c r="T368" s="5" t="s">
        <v>61</v>
      </c>
    </row>
    <row r="369" customFormat="false" ht="15" hidden="false" customHeight="false" outlineLevel="0" collapsed="false">
      <c r="A369" s="5" t="s">
        <v>4</v>
      </c>
      <c r="B369" s="5" t="s">
        <v>55</v>
      </c>
      <c r="C369" s="2" t="s">
        <v>56</v>
      </c>
      <c r="D369" s="5" t="s">
        <v>77</v>
      </c>
      <c r="E369" s="5" t="s">
        <v>62</v>
      </c>
      <c r="F369" s="2" t="n">
        <v>17</v>
      </c>
      <c r="G369" s="5" t="s">
        <v>65</v>
      </c>
      <c r="H369" s="2" t="n">
        <v>0</v>
      </c>
      <c r="I369" s="2" t="n">
        <v>1</v>
      </c>
      <c r="J369" s="2" t="n">
        <v>1</v>
      </c>
      <c r="K369" s="7" t="n">
        <v>0.6264880034</v>
      </c>
      <c r="L369" s="7" t="n">
        <v>0.1076116356</v>
      </c>
      <c r="M369" s="7" t="n">
        <v>0.1171010684</v>
      </c>
      <c r="N369" s="7" t="n">
        <v>7</v>
      </c>
      <c r="O369" s="7" t="n">
        <v>7</v>
      </c>
      <c r="P369" s="7" t="n">
        <v>7</v>
      </c>
      <c r="Q369" s="2"/>
      <c r="R369" s="7" t="n">
        <v>3.442238</v>
      </c>
      <c r="S369" s="5" t="s">
        <v>60</v>
      </c>
      <c r="T369" s="5" t="s">
        <v>61</v>
      </c>
    </row>
    <row r="370" customFormat="false" ht="15" hidden="false" customHeight="false" outlineLevel="0" collapsed="false">
      <c r="A370" s="5" t="s">
        <v>4</v>
      </c>
      <c r="B370" s="5" t="s">
        <v>55</v>
      </c>
      <c r="C370" s="2" t="s">
        <v>56</v>
      </c>
      <c r="D370" s="5" t="s">
        <v>77</v>
      </c>
      <c r="E370" s="5" t="s">
        <v>58</v>
      </c>
      <c r="F370" s="2" t="n">
        <v>17</v>
      </c>
      <c r="G370" s="5" t="s">
        <v>66</v>
      </c>
      <c r="H370" s="2" t="n">
        <v>0</v>
      </c>
      <c r="I370" s="2" t="n">
        <v>1</v>
      </c>
      <c r="J370" s="2" t="n">
        <v>1</v>
      </c>
      <c r="K370" s="7" t="n">
        <v>1.215613891</v>
      </c>
      <c r="L370" s="7" t="n">
        <v>0.2245314532</v>
      </c>
      <c r="M370" s="7" t="n">
        <v>0.2306209751</v>
      </c>
      <c r="N370" s="7" t="n">
        <v>4</v>
      </c>
      <c r="O370" s="7" t="n">
        <v>4</v>
      </c>
      <c r="P370" s="7" t="n">
        <v>0</v>
      </c>
      <c r="Q370" s="2"/>
      <c r="R370" s="7" t="n">
        <v>6.681318</v>
      </c>
      <c r="S370" s="5" t="s">
        <v>60</v>
      </c>
      <c r="T370" s="5" t="s">
        <v>61</v>
      </c>
    </row>
    <row r="371" customFormat="false" ht="15" hidden="false" customHeight="false" outlineLevel="0" collapsed="false">
      <c r="A371" s="5" t="s">
        <v>4</v>
      </c>
      <c r="B371" s="5" t="s">
        <v>55</v>
      </c>
      <c r="C371" s="2" t="s">
        <v>56</v>
      </c>
      <c r="D371" s="5" t="s">
        <v>77</v>
      </c>
      <c r="E371" s="5" t="s">
        <v>62</v>
      </c>
      <c r="F371" s="2" t="n">
        <v>17</v>
      </c>
      <c r="G371" s="5" t="s">
        <v>66</v>
      </c>
      <c r="H371" s="2" t="n">
        <v>0</v>
      </c>
      <c r="I371" s="2" t="n">
        <v>1</v>
      </c>
      <c r="J371" s="2" t="n">
        <v>1</v>
      </c>
      <c r="K371" s="7" t="n">
        <v>1.215613891</v>
      </c>
      <c r="L371" s="7" t="n">
        <v>0.2245314532</v>
      </c>
      <c r="M371" s="7" t="n">
        <v>0.2306209751</v>
      </c>
      <c r="N371" s="7" t="n">
        <v>4</v>
      </c>
      <c r="O371" s="7" t="n">
        <v>4</v>
      </c>
      <c r="P371" s="7" t="n">
        <v>4</v>
      </c>
      <c r="Q371" s="2"/>
      <c r="R371" s="7" t="n">
        <v>6.982553</v>
      </c>
      <c r="S371" s="5" t="s">
        <v>60</v>
      </c>
      <c r="T371" s="5" t="s">
        <v>61</v>
      </c>
    </row>
    <row r="372" customFormat="false" ht="15" hidden="false" customHeight="false" outlineLevel="0" collapsed="false">
      <c r="A372" s="5" t="s">
        <v>4</v>
      </c>
      <c r="B372" s="5" t="s">
        <v>55</v>
      </c>
      <c r="C372" s="2" t="s">
        <v>56</v>
      </c>
      <c r="D372" s="5" t="s">
        <v>77</v>
      </c>
      <c r="E372" s="5" t="s">
        <v>58</v>
      </c>
      <c r="F372" s="2" t="n">
        <v>18</v>
      </c>
      <c r="G372" s="5" t="s">
        <v>59</v>
      </c>
      <c r="H372" s="2" t="n">
        <v>1</v>
      </c>
      <c r="I372" s="2" t="n">
        <v>1</v>
      </c>
      <c r="J372" s="2" t="n">
        <v>1</v>
      </c>
      <c r="K372" s="7" t="n">
        <v>0.2138084898</v>
      </c>
      <c r="L372" s="7" t="n">
        <v>0.01418085914</v>
      </c>
      <c r="M372" s="7" t="n">
        <v>0.0210378099</v>
      </c>
      <c r="N372" s="7" t="n">
        <v>11</v>
      </c>
      <c r="O372" s="7" t="n">
        <v>11</v>
      </c>
      <c r="P372" s="7" t="n">
        <v>0</v>
      </c>
      <c r="Q372" s="2"/>
      <c r="R372" s="7" t="n">
        <v>1.808453</v>
      </c>
      <c r="S372" s="5" t="s">
        <v>60</v>
      </c>
      <c r="T372" s="5" t="s">
        <v>61</v>
      </c>
    </row>
    <row r="373" customFormat="false" ht="15" hidden="false" customHeight="false" outlineLevel="0" collapsed="false">
      <c r="A373" s="5" t="s">
        <v>4</v>
      </c>
      <c r="B373" s="5" t="s">
        <v>55</v>
      </c>
      <c r="C373" s="2" t="s">
        <v>56</v>
      </c>
      <c r="D373" s="5" t="s">
        <v>77</v>
      </c>
      <c r="E373" s="5" t="s">
        <v>62</v>
      </c>
      <c r="F373" s="2" t="n">
        <v>18</v>
      </c>
      <c r="G373" s="5" t="s">
        <v>59</v>
      </c>
      <c r="H373" s="2" t="n">
        <v>1</v>
      </c>
      <c r="I373" s="2" t="n">
        <v>1</v>
      </c>
      <c r="J373" s="2" t="n">
        <v>1</v>
      </c>
      <c r="K373" s="7" t="n">
        <v>0.2138084898</v>
      </c>
      <c r="L373" s="7" t="n">
        <v>0.01418085914</v>
      </c>
      <c r="M373" s="7" t="n">
        <v>0.0210378099</v>
      </c>
      <c r="N373" s="7" t="n">
        <v>11</v>
      </c>
      <c r="O373" s="7" t="n">
        <v>11</v>
      </c>
      <c r="P373" s="7" t="n">
        <v>11</v>
      </c>
      <c r="Q373" s="2"/>
      <c r="R373" s="7" t="n">
        <v>2.371416</v>
      </c>
      <c r="S373" s="5" t="s">
        <v>60</v>
      </c>
      <c r="T373" s="5" t="s">
        <v>61</v>
      </c>
    </row>
    <row r="374" customFormat="false" ht="15" hidden="false" customHeight="false" outlineLevel="0" collapsed="false">
      <c r="A374" s="5" t="s">
        <v>4</v>
      </c>
      <c r="B374" s="5" t="s">
        <v>55</v>
      </c>
      <c r="C374" s="2" t="s">
        <v>56</v>
      </c>
      <c r="D374" s="5" t="s">
        <v>77</v>
      </c>
      <c r="E374" s="5" t="s">
        <v>58</v>
      </c>
      <c r="F374" s="2" t="n">
        <v>18</v>
      </c>
      <c r="G374" s="5" t="s">
        <v>63</v>
      </c>
      <c r="H374" s="2" t="n">
        <v>1</v>
      </c>
      <c r="I374" s="2" t="n">
        <v>1</v>
      </c>
      <c r="J374" s="2" t="n">
        <v>1</v>
      </c>
      <c r="K374" s="7" t="n">
        <v>0.4485864431</v>
      </c>
      <c r="L374" s="7" t="n">
        <v>0.04105707972</v>
      </c>
      <c r="M374" s="7" t="n">
        <v>0.04941008135</v>
      </c>
      <c r="N374" s="7" t="n">
        <v>13</v>
      </c>
      <c r="O374" s="7" t="n">
        <v>13</v>
      </c>
      <c r="P374" s="7" t="n">
        <v>0</v>
      </c>
      <c r="Q374" s="2"/>
      <c r="R374" s="7" t="n">
        <v>1.658271</v>
      </c>
      <c r="S374" s="5" t="s">
        <v>60</v>
      </c>
      <c r="T374" s="5" t="s">
        <v>61</v>
      </c>
    </row>
    <row r="375" customFormat="false" ht="15" hidden="false" customHeight="false" outlineLevel="0" collapsed="false">
      <c r="A375" s="5" t="s">
        <v>4</v>
      </c>
      <c r="B375" s="5" t="s">
        <v>55</v>
      </c>
      <c r="C375" s="2" t="s">
        <v>56</v>
      </c>
      <c r="D375" s="5" t="s">
        <v>77</v>
      </c>
      <c r="E375" s="5" t="s">
        <v>62</v>
      </c>
      <c r="F375" s="2" t="n">
        <v>18</v>
      </c>
      <c r="G375" s="5" t="s">
        <v>63</v>
      </c>
      <c r="H375" s="2" t="n">
        <v>1</v>
      </c>
      <c r="I375" s="2" t="n">
        <v>1</v>
      </c>
      <c r="J375" s="2" t="n">
        <v>1</v>
      </c>
      <c r="K375" s="7" t="n">
        <v>0.4485864431</v>
      </c>
      <c r="L375" s="7" t="n">
        <v>0.04105707972</v>
      </c>
      <c r="M375" s="7" t="n">
        <v>0.04941008135</v>
      </c>
      <c r="N375" s="7" t="n">
        <v>13</v>
      </c>
      <c r="O375" s="7" t="n">
        <v>13</v>
      </c>
      <c r="P375" s="7" t="n">
        <v>13</v>
      </c>
      <c r="Q375" s="2"/>
      <c r="R375" s="7" t="n">
        <v>6.41223</v>
      </c>
      <c r="S375" s="5" t="s">
        <v>60</v>
      </c>
      <c r="T375" s="5" t="s">
        <v>61</v>
      </c>
    </row>
    <row r="376" customFormat="false" ht="15" hidden="false" customHeight="false" outlineLevel="0" collapsed="false">
      <c r="A376" s="5" t="s">
        <v>4</v>
      </c>
      <c r="B376" s="5" t="s">
        <v>55</v>
      </c>
      <c r="C376" s="2" t="s">
        <v>56</v>
      </c>
      <c r="D376" s="5" t="s">
        <v>77</v>
      </c>
      <c r="E376" s="5" t="s">
        <v>58</v>
      </c>
      <c r="F376" s="2" t="n">
        <v>18</v>
      </c>
      <c r="G376" s="5" t="s">
        <v>64</v>
      </c>
      <c r="H376" s="2" t="n">
        <v>0</v>
      </c>
      <c r="I376" s="2" t="n">
        <v>1</v>
      </c>
      <c r="J376" s="2" t="n">
        <v>1</v>
      </c>
      <c r="K376" s="7" t="n">
        <v>0.80412046</v>
      </c>
      <c r="L376" s="7" t="n">
        <v>0.1408207586</v>
      </c>
      <c r="M376" s="7" t="n">
        <v>0.1492773756</v>
      </c>
      <c r="N376" s="7" t="n">
        <v>8</v>
      </c>
      <c r="O376" s="7" t="n">
        <v>8</v>
      </c>
      <c r="P376" s="7" t="n">
        <v>0</v>
      </c>
      <c r="Q376" s="2"/>
      <c r="R376" s="7" t="n">
        <v>5.511398</v>
      </c>
      <c r="S376" s="5" t="s">
        <v>60</v>
      </c>
      <c r="T376" s="5" t="s">
        <v>61</v>
      </c>
    </row>
    <row r="377" customFormat="false" ht="15" hidden="false" customHeight="false" outlineLevel="0" collapsed="false">
      <c r="A377" s="5" t="s">
        <v>4</v>
      </c>
      <c r="B377" s="5" t="s">
        <v>55</v>
      </c>
      <c r="C377" s="2" t="s">
        <v>56</v>
      </c>
      <c r="D377" s="5" t="s">
        <v>77</v>
      </c>
      <c r="E377" s="5" t="s">
        <v>62</v>
      </c>
      <c r="F377" s="2" t="n">
        <v>18</v>
      </c>
      <c r="G377" s="5" t="s">
        <v>64</v>
      </c>
      <c r="H377" s="2" t="n">
        <v>0</v>
      </c>
      <c r="I377" s="2" t="n">
        <v>1</v>
      </c>
      <c r="J377" s="2" t="n">
        <v>1</v>
      </c>
      <c r="K377" s="7" t="n">
        <v>0.80412046</v>
      </c>
      <c r="L377" s="7" t="n">
        <v>0.1408207586</v>
      </c>
      <c r="M377" s="7" t="n">
        <v>0.1492773756</v>
      </c>
      <c r="N377" s="7" t="n">
        <v>8</v>
      </c>
      <c r="O377" s="7" t="n">
        <v>8</v>
      </c>
      <c r="P377" s="7" t="n">
        <v>8</v>
      </c>
      <c r="Q377" s="2"/>
      <c r="R377" s="7" t="n">
        <v>10.149556</v>
      </c>
      <c r="S377" s="5" t="s">
        <v>60</v>
      </c>
      <c r="T377" s="5" t="s">
        <v>61</v>
      </c>
    </row>
    <row r="378" customFormat="false" ht="15" hidden="false" customHeight="false" outlineLevel="0" collapsed="false">
      <c r="A378" s="5" t="s">
        <v>4</v>
      </c>
      <c r="B378" s="5" t="s">
        <v>55</v>
      </c>
      <c r="C378" s="2" t="s">
        <v>56</v>
      </c>
      <c r="D378" s="5" t="s">
        <v>77</v>
      </c>
      <c r="E378" s="5" t="s">
        <v>58</v>
      </c>
      <c r="F378" s="2" t="n">
        <v>18</v>
      </c>
      <c r="G378" s="5" t="s">
        <v>65</v>
      </c>
      <c r="H378" s="2" t="n">
        <v>0</v>
      </c>
      <c r="I378" s="2" t="n">
        <v>1</v>
      </c>
      <c r="J378" s="2" t="n">
        <v>1</v>
      </c>
      <c r="K378" s="7" t="n">
        <v>0.5411793378</v>
      </c>
      <c r="L378" s="7" t="n">
        <v>0.1327633047</v>
      </c>
      <c r="M378" s="7" t="n">
        <v>0.1350530318</v>
      </c>
      <c r="N378" s="7" t="n">
        <v>6</v>
      </c>
      <c r="O378" s="7" t="n">
        <v>6</v>
      </c>
      <c r="P378" s="7" t="n">
        <v>0</v>
      </c>
      <c r="Q378" s="2"/>
      <c r="R378" s="7" t="n">
        <v>2.441029</v>
      </c>
      <c r="S378" s="5" t="s">
        <v>60</v>
      </c>
      <c r="T378" s="5" t="s">
        <v>61</v>
      </c>
    </row>
    <row r="379" customFormat="false" ht="15" hidden="false" customHeight="false" outlineLevel="0" collapsed="false">
      <c r="A379" s="5" t="s">
        <v>4</v>
      </c>
      <c r="B379" s="5" t="s">
        <v>55</v>
      </c>
      <c r="C379" s="2" t="s">
        <v>56</v>
      </c>
      <c r="D379" s="5" t="s">
        <v>77</v>
      </c>
      <c r="E379" s="5" t="s">
        <v>62</v>
      </c>
      <c r="F379" s="2" t="n">
        <v>18</v>
      </c>
      <c r="G379" s="5" t="s">
        <v>65</v>
      </c>
      <c r="H379" s="2" t="n">
        <v>0</v>
      </c>
      <c r="I379" s="2" t="n">
        <v>1</v>
      </c>
      <c r="J379" s="2" t="n">
        <v>1</v>
      </c>
      <c r="K379" s="7" t="n">
        <v>0.5411793378</v>
      </c>
      <c r="L379" s="7" t="n">
        <v>0.1327633047</v>
      </c>
      <c r="M379" s="7" t="n">
        <v>0.1350530318</v>
      </c>
      <c r="N379" s="7" t="n">
        <v>6</v>
      </c>
      <c r="O379" s="7" t="n">
        <v>6</v>
      </c>
      <c r="P379" s="7" t="n">
        <v>6</v>
      </c>
      <c r="Q379" s="2"/>
      <c r="R379" s="7" t="n">
        <v>28.864453</v>
      </c>
      <c r="S379" s="5" t="s">
        <v>60</v>
      </c>
      <c r="T379" s="5" t="s">
        <v>61</v>
      </c>
    </row>
    <row r="380" customFormat="false" ht="15" hidden="false" customHeight="false" outlineLevel="0" collapsed="false">
      <c r="A380" s="5" t="s">
        <v>4</v>
      </c>
      <c r="B380" s="5" t="s">
        <v>55</v>
      </c>
      <c r="C380" s="2" t="s">
        <v>56</v>
      </c>
      <c r="D380" s="5" t="s">
        <v>77</v>
      </c>
      <c r="E380" s="5" t="s">
        <v>58</v>
      </c>
      <c r="F380" s="2" t="n">
        <v>18</v>
      </c>
      <c r="G380" s="5" t="s">
        <v>66</v>
      </c>
      <c r="H380" s="2" t="n">
        <v>0</v>
      </c>
      <c r="I380" s="2" t="n">
        <v>0</v>
      </c>
      <c r="J380" s="2" t="n">
        <v>0</v>
      </c>
      <c r="K380" s="2"/>
      <c r="L380" s="2"/>
      <c r="M380" s="2"/>
      <c r="N380" s="7" t="n">
        <v>1</v>
      </c>
      <c r="O380" s="7" t="n">
        <v>1</v>
      </c>
      <c r="P380" s="7" t="n">
        <v>0</v>
      </c>
      <c r="Q380" s="2"/>
      <c r="R380" s="7" t="n">
        <v>2.551051</v>
      </c>
      <c r="S380" s="5" t="s">
        <v>60</v>
      </c>
      <c r="T380" s="5" t="s">
        <v>61</v>
      </c>
    </row>
    <row r="381" customFormat="false" ht="15" hidden="false" customHeight="false" outlineLevel="0" collapsed="false">
      <c r="A381" s="5" t="s">
        <v>4</v>
      </c>
      <c r="B381" s="5" t="s">
        <v>55</v>
      </c>
      <c r="C381" s="2" t="s">
        <v>56</v>
      </c>
      <c r="D381" s="5" t="s">
        <v>77</v>
      </c>
      <c r="E381" s="5" t="s">
        <v>62</v>
      </c>
      <c r="F381" s="2" t="n">
        <v>18</v>
      </c>
      <c r="G381" s="5" t="s">
        <v>66</v>
      </c>
      <c r="H381" s="2" t="n">
        <v>0</v>
      </c>
      <c r="I381" s="2" t="n">
        <v>0</v>
      </c>
      <c r="J381" s="2" t="n">
        <v>0</v>
      </c>
      <c r="K381" s="2"/>
      <c r="L381" s="2"/>
      <c r="M381" s="2"/>
      <c r="N381" s="7" t="n">
        <v>1</v>
      </c>
      <c r="O381" s="7" t="n">
        <v>1</v>
      </c>
      <c r="P381" s="7" t="n">
        <v>0</v>
      </c>
      <c r="Q381" s="2"/>
      <c r="R381" s="7" t="n">
        <v>2.550941</v>
      </c>
      <c r="S381" s="5" t="s">
        <v>60</v>
      </c>
      <c r="T381" s="5" t="s">
        <v>61</v>
      </c>
    </row>
    <row r="382" customFormat="false" ht="15" hidden="false" customHeight="false" outlineLevel="0" collapsed="false">
      <c r="A382" s="5" t="s">
        <v>4</v>
      </c>
      <c r="B382" s="5" t="s">
        <v>55</v>
      </c>
      <c r="C382" s="2" t="s">
        <v>56</v>
      </c>
      <c r="D382" s="5" t="s">
        <v>77</v>
      </c>
      <c r="E382" s="5" t="s">
        <v>58</v>
      </c>
      <c r="F382" s="2" t="n">
        <v>19</v>
      </c>
      <c r="G382" s="5" t="s">
        <v>59</v>
      </c>
      <c r="H382" s="2" t="n">
        <v>1</v>
      </c>
      <c r="I382" s="2" t="n">
        <v>1</v>
      </c>
      <c r="J382" s="2" t="n">
        <v>1</v>
      </c>
      <c r="K382" s="7" t="n">
        <v>0.4322095128</v>
      </c>
      <c r="L382" s="7" t="n">
        <v>0.06733723189</v>
      </c>
      <c r="M382" s="7" t="n">
        <v>0.07259691992</v>
      </c>
      <c r="N382" s="7" t="n">
        <v>11</v>
      </c>
      <c r="O382" s="7" t="n">
        <v>11</v>
      </c>
      <c r="P382" s="7" t="n">
        <v>0</v>
      </c>
      <c r="Q382" s="2"/>
      <c r="R382" s="7" t="n">
        <v>5.598326</v>
      </c>
      <c r="S382" s="5" t="s">
        <v>60</v>
      </c>
      <c r="T382" s="5" t="s">
        <v>61</v>
      </c>
    </row>
    <row r="383" customFormat="false" ht="15" hidden="false" customHeight="false" outlineLevel="0" collapsed="false">
      <c r="A383" s="5" t="s">
        <v>4</v>
      </c>
      <c r="B383" s="5" t="s">
        <v>55</v>
      </c>
      <c r="C383" s="2" t="s">
        <v>56</v>
      </c>
      <c r="D383" s="5" t="s">
        <v>77</v>
      </c>
      <c r="E383" s="5" t="s">
        <v>62</v>
      </c>
      <c r="F383" s="2" t="n">
        <v>19</v>
      </c>
      <c r="G383" s="5" t="s">
        <v>59</v>
      </c>
      <c r="H383" s="2" t="n">
        <v>1</v>
      </c>
      <c r="I383" s="2" t="n">
        <v>1</v>
      </c>
      <c r="J383" s="2" t="n">
        <v>1</v>
      </c>
      <c r="K383" s="7" t="n">
        <v>0.4322095128</v>
      </c>
      <c r="L383" s="7" t="n">
        <v>0.06733723189</v>
      </c>
      <c r="M383" s="7" t="n">
        <v>0.07259691992</v>
      </c>
      <c r="N383" s="7" t="n">
        <v>11</v>
      </c>
      <c r="O383" s="7" t="n">
        <v>11</v>
      </c>
      <c r="P383" s="7" t="n">
        <v>11</v>
      </c>
      <c r="Q383" s="2"/>
      <c r="R383" s="7" t="n">
        <v>6.208578</v>
      </c>
      <c r="S383" s="5" t="s">
        <v>60</v>
      </c>
      <c r="T383" s="5" t="s">
        <v>61</v>
      </c>
    </row>
    <row r="384" customFormat="false" ht="15" hidden="false" customHeight="false" outlineLevel="0" collapsed="false">
      <c r="A384" s="5" t="s">
        <v>4</v>
      </c>
      <c r="B384" s="5" t="s">
        <v>55</v>
      </c>
      <c r="C384" s="2" t="s">
        <v>56</v>
      </c>
      <c r="D384" s="5" t="s">
        <v>77</v>
      </c>
      <c r="E384" s="5" t="s">
        <v>58</v>
      </c>
      <c r="F384" s="2" t="n">
        <v>19</v>
      </c>
      <c r="G384" s="5" t="s">
        <v>63</v>
      </c>
      <c r="H384" s="2" t="n">
        <v>1</v>
      </c>
      <c r="I384" s="2" t="n">
        <v>1</v>
      </c>
      <c r="J384" s="2" t="n">
        <v>1</v>
      </c>
      <c r="K384" s="7" t="n">
        <v>0.5335740751</v>
      </c>
      <c r="L384" s="7" t="n">
        <v>0.04078848441</v>
      </c>
      <c r="M384" s="7" t="n">
        <v>0.05199268501</v>
      </c>
      <c r="N384" s="7" t="n">
        <v>12</v>
      </c>
      <c r="O384" s="7" t="n">
        <v>12</v>
      </c>
      <c r="P384" s="7" t="n">
        <v>0</v>
      </c>
      <c r="Q384" s="2"/>
      <c r="R384" s="7" t="n">
        <v>6.203262</v>
      </c>
      <c r="S384" s="5" t="s">
        <v>60</v>
      </c>
      <c r="T384" s="5" t="s">
        <v>61</v>
      </c>
    </row>
    <row r="385" customFormat="false" ht="15" hidden="false" customHeight="false" outlineLevel="0" collapsed="false">
      <c r="A385" s="5" t="s">
        <v>4</v>
      </c>
      <c r="B385" s="5" t="s">
        <v>55</v>
      </c>
      <c r="C385" s="2" t="s">
        <v>56</v>
      </c>
      <c r="D385" s="5" t="s">
        <v>77</v>
      </c>
      <c r="E385" s="5" t="s">
        <v>62</v>
      </c>
      <c r="F385" s="2" t="n">
        <v>19</v>
      </c>
      <c r="G385" s="5" t="s">
        <v>63</v>
      </c>
      <c r="H385" s="2" t="n">
        <v>1</v>
      </c>
      <c r="I385" s="2" t="n">
        <v>1</v>
      </c>
      <c r="J385" s="2" t="n">
        <v>1</v>
      </c>
      <c r="K385" s="7" t="n">
        <v>0.5335740751</v>
      </c>
      <c r="L385" s="7" t="n">
        <v>0.04078848441</v>
      </c>
      <c r="M385" s="7" t="n">
        <v>0.05199268501</v>
      </c>
      <c r="N385" s="7" t="n">
        <v>12</v>
      </c>
      <c r="O385" s="7" t="n">
        <v>12</v>
      </c>
      <c r="P385" s="7" t="n">
        <v>11</v>
      </c>
      <c r="Q385" s="2"/>
      <c r="R385" s="7" t="n">
        <v>6.828135</v>
      </c>
      <c r="S385" s="5" t="s">
        <v>60</v>
      </c>
      <c r="T385" s="5" t="s">
        <v>61</v>
      </c>
    </row>
    <row r="386" customFormat="false" ht="15" hidden="false" customHeight="false" outlineLevel="0" collapsed="false">
      <c r="A386" s="5" t="s">
        <v>4</v>
      </c>
      <c r="B386" s="5" t="s">
        <v>55</v>
      </c>
      <c r="C386" s="2" t="s">
        <v>56</v>
      </c>
      <c r="D386" s="5" t="s">
        <v>77</v>
      </c>
      <c r="E386" s="5" t="s">
        <v>58</v>
      </c>
      <c r="F386" s="2" t="n">
        <v>19</v>
      </c>
      <c r="G386" s="5" t="s">
        <v>64</v>
      </c>
      <c r="H386" s="2" t="n">
        <v>0</v>
      </c>
      <c r="I386" s="2" t="n">
        <v>1</v>
      </c>
      <c r="J386" s="2" t="n">
        <v>1</v>
      </c>
      <c r="K386" s="7" t="n">
        <v>1.02582645</v>
      </c>
      <c r="L386" s="7" t="n">
        <v>0.2094205353</v>
      </c>
      <c r="M386" s="7" t="n">
        <v>0.217949658</v>
      </c>
      <c r="N386" s="7" t="n">
        <v>5</v>
      </c>
      <c r="O386" s="7" t="n">
        <v>5</v>
      </c>
      <c r="P386" s="7" t="n">
        <v>0</v>
      </c>
      <c r="Q386" s="2"/>
      <c r="R386" s="7" t="n">
        <v>1.466038</v>
      </c>
      <c r="S386" s="5" t="s">
        <v>60</v>
      </c>
      <c r="T386" s="5" t="s">
        <v>61</v>
      </c>
    </row>
    <row r="387" customFormat="false" ht="15" hidden="false" customHeight="false" outlineLevel="0" collapsed="false">
      <c r="A387" s="5" t="s">
        <v>4</v>
      </c>
      <c r="B387" s="5" t="s">
        <v>55</v>
      </c>
      <c r="C387" s="2" t="s">
        <v>56</v>
      </c>
      <c r="D387" s="5" t="s">
        <v>77</v>
      </c>
      <c r="E387" s="5" t="s">
        <v>62</v>
      </c>
      <c r="F387" s="2" t="n">
        <v>19</v>
      </c>
      <c r="G387" s="5" t="s">
        <v>64</v>
      </c>
      <c r="H387" s="2" t="n">
        <v>0</v>
      </c>
      <c r="I387" s="2" t="n">
        <v>1</v>
      </c>
      <c r="J387" s="2" t="n">
        <v>1</v>
      </c>
      <c r="K387" s="7" t="n">
        <v>1.02582645</v>
      </c>
      <c r="L387" s="7" t="n">
        <v>0.2094205353</v>
      </c>
      <c r="M387" s="7" t="n">
        <v>0.217949658</v>
      </c>
      <c r="N387" s="7" t="n">
        <v>5</v>
      </c>
      <c r="O387" s="7" t="n">
        <v>5</v>
      </c>
      <c r="P387" s="7" t="n">
        <v>5</v>
      </c>
      <c r="Q387" s="2"/>
      <c r="R387" s="7" t="n">
        <v>5.813584</v>
      </c>
      <c r="S387" s="5" t="s">
        <v>60</v>
      </c>
      <c r="T387" s="5" t="s">
        <v>61</v>
      </c>
    </row>
    <row r="388" customFormat="false" ht="15" hidden="false" customHeight="false" outlineLevel="0" collapsed="false">
      <c r="A388" s="5" t="s">
        <v>4</v>
      </c>
      <c r="B388" s="5" t="s">
        <v>55</v>
      </c>
      <c r="C388" s="2" t="s">
        <v>56</v>
      </c>
      <c r="D388" s="5" t="s">
        <v>77</v>
      </c>
      <c r="E388" s="5" t="s">
        <v>58</v>
      </c>
      <c r="F388" s="2" t="n">
        <v>19</v>
      </c>
      <c r="G388" s="5" t="s">
        <v>65</v>
      </c>
      <c r="H388" s="2" t="n">
        <v>0</v>
      </c>
      <c r="I388" s="2" t="n">
        <v>1</v>
      </c>
      <c r="J388" s="2" t="n">
        <v>1</v>
      </c>
      <c r="K388" s="7" t="n">
        <v>0.2000438862</v>
      </c>
      <c r="L388" s="7" t="n">
        <v>0.03341530611</v>
      </c>
      <c r="M388" s="7" t="n">
        <v>0.03841277303</v>
      </c>
      <c r="N388" s="7" t="n">
        <v>5</v>
      </c>
      <c r="O388" s="7" t="n">
        <v>5</v>
      </c>
      <c r="P388" s="7" t="n">
        <v>0</v>
      </c>
      <c r="Q388" s="2"/>
      <c r="R388" s="7" t="n">
        <v>6.498167</v>
      </c>
      <c r="S388" s="5" t="s">
        <v>60</v>
      </c>
      <c r="T388" s="5" t="s">
        <v>61</v>
      </c>
    </row>
    <row r="389" customFormat="false" ht="15" hidden="false" customHeight="false" outlineLevel="0" collapsed="false">
      <c r="A389" s="5" t="s">
        <v>4</v>
      </c>
      <c r="B389" s="5" t="s">
        <v>55</v>
      </c>
      <c r="C389" s="2" t="s">
        <v>56</v>
      </c>
      <c r="D389" s="5" t="s">
        <v>77</v>
      </c>
      <c r="E389" s="5" t="s">
        <v>62</v>
      </c>
      <c r="F389" s="2" t="n">
        <v>19</v>
      </c>
      <c r="G389" s="5" t="s">
        <v>65</v>
      </c>
      <c r="H389" s="2" t="n">
        <v>0</v>
      </c>
      <c r="I389" s="2" t="n">
        <v>1</v>
      </c>
      <c r="J389" s="2" t="n">
        <v>1</v>
      </c>
      <c r="K389" s="7" t="n">
        <v>0.2000438862</v>
      </c>
      <c r="L389" s="7" t="n">
        <v>0.03341530611</v>
      </c>
      <c r="M389" s="7" t="n">
        <v>0.03841277303</v>
      </c>
      <c r="N389" s="7" t="n">
        <v>5</v>
      </c>
      <c r="O389" s="7" t="n">
        <v>5</v>
      </c>
      <c r="P389" s="7" t="n">
        <v>5</v>
      </c>
      <c r="Q389" s="2"/>
      <c r="R389" s="7" t="n">
        <v>6.828325</v>
      </c>
      <c r="S389" s="5" t="s">
        <v>60</v>
      </c>
      <c r="T389" s="5" t="s">
        <v>61</v>
      </c>
    </row>
    <row r="390" customFormat="false" ht="15" hidden="false" customHeight="false" outlineLevel="0" collapsed="false">
      <c r="A390" s="5" t="s">
        <v>4</v>
      </c>
      <c r="B390" s="5" t="s">
        <v>55</v>
      </c>
      <c r="C390" s="2" t="s">
        <v>56</v>
      </c>
      <c r="D390" s="5" t="s">
        <v>77</v>
      </c>
      <c r="E390" s="5" t="s">
        <v>58</v>
      </c>
      <c r="F390" s="2" t="n">
        <v>19</v>
      </c>
      <c r="G390" s="5" t="s">
        <v>66</v>
      </c>
      <c r="H390" s="2" t="n">
        <v>0</v>
      </c>
      <c r="I390" s="2" t="n">
        <v>1</v>
      </c>
      <c r="J390" s="2" t="n">
        <v>1</v>
      </c>
      <c r="K390" s="7" t="n">
        <v>1.144372141</v>
      </c>
      <c r="L390" s="7" t="n">
        <v>0.1378416689</v>
      </c>
      <c r="M390" s="7" t="n">
        <v>0.1558132503</v>
      </c>
      <c r="N390" s="7" t="n">
        <v>7</v>
      </c>
      <c r="O390" s="7" t="n">
        <v>7</v>
      </c>
      <c r="P390" s="7" t="n">
        <v>0</v>
      </c>
      <c r="Q390" s="2"/>
      <c r="R390" s="7" t="n">
        <v>2.7529</v>
      </c>
      <c r="S390" s="5" t="s">
        <v>60</v>
      </c>
      <c r="T390" s="5" t="s">
        <v>61</v>
      </c>
    </row>
    <row r="391" customFormat="false" ht="15" hidden="false" customHeight="false" outlineLevel="0" collapsed="false">
      <c r="A391" s="5" t="s">
        <v>4</v>
      </c>
      <c r="B391" s="5" t="s">
        <v>55</v>
      </c>
      <c r="C391" s="2" t="s">
        <v>56</v>
      </c>
      <c r="D391" s="5" t="s">
        <v>77</v>
      </c>
      <c r="E391" s="5" t="s">
        <v>62</v>
      </c>
      <c r="F391" s="2" t="n">
        <v>19</v>
      </c>
      <c r="G391" s="5" t="s">
        <v>66</v>
      </c>
      <c r="H391" s="2" t="n">
        <v>0</v>
      </c>
      <c r="I391" s="2" t="n">
        <v>1</v>
      </c>
      <c r="J391" s="2" t="n">
        <v>1</v>
      </c>
      <c r="K391" s="7" t="n">
        <v>1.144372141</v>
      </c>
      <c r="L391" s="7" t="n">
        <v>0.1378416689</v>
      </c>
      <c r="M391" s="7" t="n">
        <v>0.1558132503</v>
      </c>
      <c r="N391" s="7" t="n">
        <v>7</v>
      </c>
      <c r="O391" s="7" t="n">
        <v>7</v>
      </c>
      <c r="P391" s="7" t="n">
        <v>7</v>
      </c>
      <c r="Q391" s="2"/>
      <c r="R391" s="7" t="n">
        <v>3.438754</v>
      </c>
      <c r="S391" s="5" t="s">
        <v>60</v>
      </c>
      <c r="T391" s="5" t="s">
        <v>61</v>
      </c>
    </row>
    <row r="392" customFormat="false" ht="15" hidden="false" customHeight="false" outlineLevel="0" collapsed="false">
      <c r="A392" s="5" t="s">
        <v>4</v>
      </c>
      <c r="B392" s="5" t="s">
        <v>55</v>
      </c>
      <c r="C392" s="2" t="s">
        <v>56</v>
      </c>
      <c r="D392" s="5" t="s">
        <v>77</v>
      </c>
      <c r="E392" s="5" t="s">
        <v>58</v>
      </c>
      <c r="F392" s="2" t="n">
        <v>20</v>
      </c>
      <c r="G392" s="5" t="s">
        <v>59</v>
      </c>
      <c r="H392" s="2" t="n">
        <v>1</v>
      </c>
      <c r="I392" s="2" t="n">
        <v>1</v>
      </c>
      <c r="J392" s="2" t="n">
        <v>1</v>
      </c>
      <c r="K392" s="7" t="n">
        <v>0.4824844353</v>
      </c>
      <c r="L392" s="7" t="n">
        <v>0.06839292566</v>
      </c>
      <c r="M392" s="7" t="n">
        <v>0.07352957455</v>
      </c>
      <c r="N392" s="7" t="n">
        <v>13</v>
      </c>
      <c r="O392" s="7" t="n">
        <v>13</v>
      </c>
      <c r="P392" s="7" t="n">
        <v>0</v>
      </c>
      <c r="Q392" s="2"/>
      <c r="R392" s="7" t="n">
        <v>1.565445</v>
      </c>
      <c r="S392" s="5" t="s">
        <v>60</v>
      </c>
      <c r="T392" s="5" t="s">
        <v>61</v>
      </c>
    </row>
    <row r="393" customFormat="false" ht="15" hidden="false" customHeight="false" outlineLevel="0" collapsed="false">
      <c r="A393" s="5" t="s">
        <v>4</v>
      </c>
      <c r="B393" s="5" t="s">
        <v>55</v>
      </c>
      <c r="C393" s="2" t="s">
        <v>56</v>
      </c>
      <c r="D393" s="5" t="s">
        <v>77</v>
      </c>
      <c r="E393" s="5" t="s">
        <v>62</v>
      </c>
      <c r="F393" s="2" t="n">
        <v>20</v>
      </c>
      <c r="G393" s="5" t="s">
        <v>59</v>
      </c>
      <c r="H393" s="2" t="n">
        <v>1</v>
      </c>
      <c r="I393" s="2" t="n">
        <v>1</v>
      </c>
      <c r="J393" s="2" t="n">
        <v>1</v>
      </c>
      <c r="K393" s="7" t="n">
        <v>0.4824844353</v>
      </c>
      <c r="L393" s="7" t="n">
        <v>0.06839292566</v>
      </c>
      <c r="M393" s="7" t="n">
        <v>0.07352957455</v>
      </c>
      <c r="N393" s="7" t="n">
        <v>13</v>
      </c>
      <c r="O393" s="7" t="n">
        <v>13</v>
      </c>
      <c r="P393" s="7" t="n">
        <v>13</v>
      </c>
      <c r="Q393" s="2"/>
      <c r="R393" s="7" t="n">
        <v>2.158532</v>
      </c>
      <c r="S393" s="5" t="s">
        <v>60</v>
      </c>
      <c r="T393" s="5" t="s">
        <v>61</v>
      </c>
    </row>
    <row r="394" customFormat="false" ht="15" hidden="false" customHeight="false" outlineLevel="0" collapsed="false">
      <c r="A394" s="5" t="s">
        <v>4</v>
      </c>
      <c r="B394" s="5" t="s">
        <v>55</v>
      </c>
      <c r="C394" s="2" t="s">
        <v>56</v>
      </c>
      <c r="D394" s="5" t="s">
        <v>77</v>
      </c>
      <c r="E394" s="5" t="s">
        <v>58</v>
      </c>
      <c r="F394" s="2" t="n">
        <v>20</v>
      </c>
      <c r="G394" s="5" t="s">
        <v>63</v>
      </c>
      <c r="H394" s="2" t="n">
        <v>1</v>
      </c>
      <c r="I394" s="2" t="n">
        <v>1</v>
      </c>
      <c r="J394" s="2" t="n">
        <v>1</v>
      </c>
      <c r="K394" s="7" t="n">
        <v>0.2461335978</v>
      </c>
      <c r="L394" s="7" t="n">
        <v>0.1146894153</v>
      </c>
      <c r="M394" s="7" t="n">
        <v>0.1170022957</v>
      </c>
      <c r="N394" s="7" t="n">
        <v>10</v>
      </c>
      <c r="O394" s="7" t="n">
        <v>10</v>
      </c>
      <c r="P394" s="7" t="n">
        <v>0</v>
      </c>
      <c r="Q394" s="2"/>
      <c r="R394" s="7" t="n">
        <v>1.432256</v>
      </c>
      <c r="S394" s="5" t="s">
        <v>60</v>
      </c>
      <c r="T394" s="5" t="s">
        <v>61</v>
      </c>
    </row>
    <row r="395" customFormat="false" ht="15" hidden="false" customHeight="false" outlineLevel="0" collapsed="false">
      <c r="A395" s="5" t="s">
        <v>4</v>
      </c>
      <c r="B395" s="5" t="s">
        <v>55</v>
      </c>
      <c r="C395" s="2" t="s">
        <v>56</v>
      </c>
      <c r="D395" s="5" t="s">
        <v>77</v>
      </c>
      <c r="E395" s="5" t="s">
        <v>62</v>
      </c>
      <c r="F395" s="2" t="n">
        <v>20</v>
      </c>
      <c r="G395" s="5" t="s">
        <v>63</v>
      </c>
      <c r="H395" s="2" t="n">
        <v>1</v>
      </c>
      <c r="I395" s="2" t="n">
        <v>1</v>
      </c>
      <c r="J395" s="2" t="n">
        <v>1</v>
      </c>
      <c r="K395" s="7" t="n">
        <v>0.2461335978</v>
      </c>
      <c r="L395" s="7" t="n">
        <v>0.1146894153</v>
      </c>
      <c r="M395" s="7" t="n">
        <v>0.1170022957</v>
      </c>
      <c r="N395" s="7" t="n">
        <v>10</v>
      </c>
      <c r="O395" s="7" t="n">
        <v>10</v>
      </c>
      <c r="P395" s="7" t="n">
        <v>10</v>
      </c>
      <c r="Q395" s="2"/>
      <c r="R395" s="7" t="n">
        <v>2.085823</v>
      </c>
      <c r="S395" s="5" t="s">
        <v>60</v>
      </c>
      <c r="T395" s="5" t="s">
        <v>61</v>
      </c>
    </row>
    <row r="396" customFormat="false" ht="15" hidden="false" customHeight="false" outlineLevel="0" collapsed="false">
      <c r="A396" s="5" t="s">
        <v>4</v>
      </c>
      <c r="B396" s="5" t="s">
        <v>55</v>
      </c>
      <c r="C396" s="2" t="s">
        <v>56</v>
      </c>
      <c r="D396" s="5" t="s">
        <v>77</v>
      </c>
      <c r="E396" s="5" t="s">
        <v>58</v>
      </c>
      <c r="F396" s="2" t="n">
        <v>20</v>
      </c>
      <c r="G396" s="5" t="s">
        <v>64</v>
      </c>
      <c r="H396" s="2" t="n">
        <v>0</v>
      </c>
      <c r="I396" s="2" t="n">
        <v>1</v>
      </c>
      <c r="J396" s="2" t="n">
        <v>1</v>
      </c>
      <c r="K396" s="7" t="n">
        <v>0.8870024843</v>
      </c>
      <c r="L396" s="7" t="n">
        <v>0.1208855638</v>
      </c>
      <c r="M396" s="7" t="n">
        <v>0.1321370479</v>
      </c>
      <c r="N396" s="7" t="n">
        <v>8</v>
      </c>
      <c r="O396" s="7" t="n">
        <v>8</v>
      </c>
      <c r="P396" s="7" t="n">
        <v>0</v>
      </c>
      <c r="Q396" s="2"/>
      <c r="R396" s="7" t="n">
        <v>5.519319</v>
      </c>
      <c r="S396" s="5" t="s">
        <v>60</v>
      </c>
      <c r="T396" s="5" t="s">
        <v>61</v>
      </c>
    </row>
    <row r="397" customFormat="false" ht="15" hidden="false" customHeight="false" outlineLevel="0" collapsed="false">
      <c r="A397" s="5" t="s">
        <v>4</v>
      </c>
      <c r="B397" s="5" t="s">
        <v>55</v>
      </c>
      <c r="C397" s="2" t="s">
        <v>56</v>
      </c>
      <c r="D397" s="5" t="s">
        <v>77</v>
      </c>
      <c r="E397" s="5" t="s">
        <v>62</v>
      </c>
      <c r="F397" s="2" t="n">
        <v>20</v>
      </c>
      <c r="G397" s="5" t="s">
        <v>64</v>
      </c>
      <c r="H397" s="2" t="n">
        <v>0</v>
      </c>
      <c r="I397" s="2" t="n">
        <v>1</v>
      </c>
      <c r="J397" s="2" t="n">
        <v>1</v>
      </c>
      <c r="K397" s="7" t="n">
        <v>0.8870024843</v>
      </c>
      <c r="L397" s="7" t="n">
        <v>0.1208855638</v>
      </c>
      <c r="M397" s="7" t="n">
        <v>0.1321370479</v>
      </c>
      <c r="N397" s="7" t="n">
        <v>8</v>
      </c>
      <c r="O397" s="7" t="n">
        <v>8</v>
      </c>
      <c r="P397" s="7" t="n">
        <v>8</v>
      </c>
      <c r="Q397" s="2"/>
      <c r="R397" s="7" t="n">
        <v>6.088871</v>
      </c>
      <c r="S397" s="5" t="s">
        <v>60</v>
      </c>
      <c r="T397" s="5" t="s">
        <v>61</v>
      </c>
    </row>
    <row r="398" customFormat="false" ht="15" hidden="false" customHeight="false" outlineLevel="0" collapsed="false">
      <c r="A398" s="5" t="s">
        <v>4</v>
      </c>
      <c r="B398" s="5" t="s">
        <v>55</v>
      </c>
      <c r="C398" s="2" t="s">
        <v>56</v>
      </c>
      <c r="D398" s="5" t="s">
        <v>77</v>
      </c>
      <c r="E398" s="5" t="s">
        <v>58</v>
      </c>
      <c r="F398" s="2" t="n">
        <v>20</v>
      </c>
      <c r="G398" s="5" t="s">
        <v>65</v>
      </c>
      <c r="H398" s="2" t="n">
        <v>0</v>
      </c>
      <c r="I398" s="2" t="n">
        <v>1</v>
      </c>
      <c r="J398" s="2" t="n">
        <v>1</v>
      </c>
      <c r="K398" s="7" t="n">
        <v>0.6996558777</v>
      </c>
      <c r="L398" s="7" t="n">
        <v>0.1619045825</v>
      </c>
      <c r="M398" s="7" t="n">
        <v>0.1694965261</v>
      </c>
      <c r="N398" s="7" t="n">
        <v>4</v>
      </c>
      <c r="O398" s="7" t="n">
        <v>4</v>
      </c>
      <c r="P398" s="7" t="n">
        <v>0</v>
      </c>
      <c r="Q398" s="2"/>
      <c r="R398" s="7" t="n">
        <v>6.551084</v>
      </c>
      <c r="S398" s="5" t="s">
        <v>60</v>
      </c>
      <c r="T398" s="5" t="s">
        <v>61</v>
      </c>
    </row>
    <row r="399" customFormat="false" ht="15" hidden="false" customHeight="false" outlineLevel="0" collapsed="false">
      <c r="A399" s="5" t="s">
        <v>4</v>
      </c>
      <c r="B399" s="5" t="s">
        <v>55</v>
      </c>
      <c r="C399" s="2" t="s">
        <v>56</v>
      </c>
      <c r="D399" s="5" t="s">
        <v>77</v>
      </c>
      <c r="E399" s="5" t="s">
        <v>62</v>
      </c>
      <c r="F399" s="2" t="n">
        <v>20</v>
      </c>
      <c r="G399" s="5" t="s">
        <v>65</v>
      </c>
      <c r="H399" s="2" t="n">
        <v>0</v>
      </c>
      <c r="I399" s="2" t="n">
        <v>1</v>
      </c>
      <c r="J399" s="2" t="n">
        <v>1</v>
      </c>
      <c r="K399" s="7" t="n">
        <v>0.6996558777</v>
      </c>
      <c r="L399" s="7" t="n">
        <v>0.1619045825</v>
      </c>
      <c r="M399" s="7" t="n">
        <v>0.1694965261</v>
      </c>
      <c r="N399" s="7" t="n">
        <v>4</v>
      </c>
      <c r="O399" s="7" t="n">
        <v>4</v>
      </c>
      <c r="P399" s="7" t="n">
        <v>4</v>
      </c>
      <c r="Q399" s="2"/>
      <c r="R399" s="7" t="n">
        <v>10.874847</v>
      </c>
      <c r="S399" s="5" t="s">
        <v>60</v>
      </c>
      <c r="T399" s="5" t="s">
        <v>61</v>
      </c>
    </row>
    <row r="400" customFormat="false" ht="15" hidden="false" customHeight="false" outlineLevel="0" collapsed="false">
      <c r="A400" s="5" t="s">
        <v>4</v>
      </c>
      <c r="B400" s="5" t="s">
        <v>55</v>
      </c>
      <c r="C400" s="2" t="s">
        <v>56</v>
      </c>
      <c r="D400" s="5" t="s">
        <v>77</v>
      </c>
      <c r="E400" s="5" t="s">
        <v>58</v>
      </c>
      <c r="F400" s="2" t="n">
        <v>20</v>
      </c>
      <c r="G400" s="5" t="s">
        <v>66</v>
      </c>
      <c r="H400" s="2" t="n">
        <v>0</v>
      </c>
      <c r="I400" s="2" t="n">
        <v>0</v>
      </c>
      <c r="J400" s="2" t="n">
        <v>0</v>
      </c>
      <c r="K400" s="2"/>
      <c r="L400" s="2"/>
      <c r="M400" s="2"/>
      <c r="N400" s="7" t="n">
        <v>0</v>
      </c>
      <c r="O400" s="7" t="n">
        <v>0</v>
      </c>
      <c r="P400" s="7" t="n">
        <v>0</v>
      </c>
      <c r="Q400" s="2"/>
      <c r="R400" s="7" t="n">
        <v>6.501442</v>
      </c>
      <c r="S400" s="5" t="s">
        <v>60</v>
      </c>
      <c r="T400" s="5" t="s">
        <v>61</v>
      </c>
    </row>
    <row r="401" customFormat="false" ht="15" hidden="false" customHeight="false" outlineLevel="0" collapsed="false">
      <c r="A401" s="5" t="s">
        <v>4</v>
      </c>
      <c r="B401" s="5" t="s">
        <v>55</v>
      </c>
      <c r="C401" s="2" t="s">
        <v>56</v>
      </c>
      <c r="D401" s="5" t="s">
        <v>77</v>
      </c>
      <c r="E401" s="5" t="s">
        <v>62</v>
      </c>
      <c r="F401" s="2" t="n">
        <v>20</v>
      </c>
      <c r="G401" s="5" t="s">
        <v>66</v>
      </c>
      <c r="H401" s="2" t="n">
        <v>0</v>
      </c>
      <c r="I401" s="2" t="n">
        <v>0</v>
      </c>
      <c r="J401" s="2" t="n">
        <v>0</v>
      </c>
      <c r="K401" s="2"/>
      <c r="L401" s="2"/>
      <c r="M401" s="2"/>
      <c r="N401" s="7" t="n">
        <v>0</v>
      </c>
      <c r="O401" s="7" t="n">
        <v>0</v>
      </c>
      <c r="P401" s="7" t="n">
        <v>0</v>
      </c>
      <c r="Q401" s="2"/>
      <c r="R401" s="7" t="n">
        <v>6.501392</v>
      </c>
      <c r="S401" s="5" t="s">
        <v>60</v>
      </c>
      <c r="T401" s="5" t="s">
        <v>61</v>
      </c>
    </row>
    <row r="402" customFormat="false" ht="15" hidden="false" customHeight="false" outlineLevel="0" collapsed="false">
      <c r="A402" s="5" t="s">
        <v>4</v>
      </c>
      <c r="B402" s="5" t="s">
        <v>55</v>
      </c>
      <c r="C402" s="2" t="s">
        <v>56</v>
      </c>
      <c r="D402" s="5" t="s">
        <v>77</v>
      </c>
      <c r="E402" s="5" t="s">
        <v>58</v>
      </c>
      <c r="F402" s="2" t="n">
        <v>11</v>
      </c>
      <c r="G402" s="5" t="s">
        <v>67</v>
      </c>
      <c r="H402" s="2" t="n">
        <v>1</v>
      </c>
      <c r="I402" s="2" t="n">
        <v>1</v>
      </c>
      <c r="J402" s="2" t="n">
        <v>0</v>
      </c>
      <c r="K402" s="7" t="n">
        <v>2.000360028</v>
      </c>
      <c r="L402" s="7" t="n">
        <v>0.1093946499</v>
      </c>
      <c r="M402" s="7" t="n">
        <v>0.1572080183</v>
      </c>
      <c r="N402" s="7" t="n">
        <v>16</v>
      </c>
      <c r="O402" s="7" t="n">
        <v>16</v>
      </c>
      <c r="P402" s="7" t="n">
        <v>0</v>
      </c>
      <c r="Q402" s="2"/>
      <c r="R402" s="7" t="n">
        <v>1.573737</v>
      </c>
      <c r="S402" s="5" t="s">
        <v>60</v>
      </c>
      <c r="T402" s="5" t="s">
        <v>61</v>
      </c>
    </row>
    <row r="403" customFormat="false" ht="15" hidden="false" customHeight="false" outlineLevel="0" collapsed="false">
      <c r="A403" s="5" t="s">
        <v>4</v>
      </c>
      <c r="B403" s="5" t="s">
        <v>55</v>
      </c>
      <c r="C403" s="2" t="s">
        <v>56</v>
      </c>
      <c r="D403" s="5" t="s">
        <v>77</v>
      </c>
      <c r="E403" s="5" t="s">
        <v>62</v>
      </c>
      <c r="F403" s="2" t="n">
        <v>11</v>
      </c>
      <c r="G403" s="5" t="s">
        <v>67</v>
      </c>
      <c r="H403" s="2" t="n">
        <v>1</v>
      </c>
      <c r="I403" s="2" t="n">
        <v>1</v>
      </c>
      <c r="J403" s="2" t="n">
        <v>1</v>
      </c>
      <c r="K403" s="7" t="n">
        <v>0.6760169955</v>
      </c>
      <c r="L403" s="7" t="n">
        <v>0.02935232648</v>
      </c>
      <c r="M403" s="7" t="n">
        <v>0.04927343593</v>
      </c>
      <c r="N403" s="7" t="n">
        <v>16</v>
      </c>
      <c r="O403" s="7" t="n">
        <v>16</v>
      </c>
      <c r="P403" s="7" t="n">
        <v>14</v>
      </c>
      <c r="Q403" s="2"/>
      <c r="R403" s="7" t="n">
        <v>6.309568</v>
      </c>
      <c r="S403" s="5" t="s">
        <v>60</v>
      </c>
      <c r="T403" s="5" t="s">
        <v>61</v>
      </c>
    </row>
    <row r="404" customFormat="false" ht="15" hidden="false" customHeight="false" outlineLevel="0" collapsed="false">
      <c r="A404" s="5" t="s">
        <v>4</v>
      </c>
      <c r="B404" s="5" t="s">
        <v>55</v>
      </c>
      <c r="C404" s="2" t="s">
        <v>56</v>
      </c>
      <c r="D404" s="5" t="s">
        <v>77</v>
      </c>
      <c r="E404" s="5" t="s">
        <v>58</v>
      </c>
      <c r="F404" s="2" t="n">
        <v>11</v>
      </c>
      <c r="G404" s="5" t="s">
        <v>68</v>
      </c>
      <c r="H404" s="2" t="n">
        <v>1</v>
      </c>
      <c r="I404" s="2" t="n">
        <v>1</v>
      </c>
      <c r="J404" s="2" t="n">
        <v>1</v>
      </c>
      <c r="K404" s="7" t="n">
        <v>0.4311018121</v>
      </c>
      <c r="L404" s="7" t="n">
        <v>0.008761703801</v>
      </c>
      <c r="M404" s="7" t="n">
        <v>0.02809797766</v>
      </c>
      <c r="N404" s="7" t="n">
        <v>13</v>
      </c>
      <c r="O404" s="7" t="n">
        <v>13</v>
      </c>
      <c r="P404" s="7" t="n">
        <v>0</v>
      </c>
      <c r="Q404" s="2"/>
      <c r="R404" s="7" t="n">
        <v>1.550593</v>
      </c>
      <c r="S404" s="5" t="s">
        <v>60</v>
      </c>
      <c r="T404" s="5" t="s">
        <v>61</v>
      </c>
    </row>
    <row r="405" customFormat="false" ht="15" hidden="false" customHeight="false" outlineLevel="0" collapsed="false">
      <c r="A405" s="5" t="s">
        <v>4</v>
      </c>
      <c r="B405" s="5" t="s">
        <v>55</v>
      </c>
      <c r="C405" s="2" t="s">
        <v>56</v>
      </c>
      <c r="D405" s="5" t="s">
        <v>77</v>
      </c>
      <c r="E405" s="5" t="s">
        <v>62</v>
      </c>
      <c r="F405" s="2" t="n">
        <v>11</v>
      </c>
      <c r="G405" s="5" t="s">
        <v>68</v>
      </c>
      <c r="H405" s="2" t="n">
        <v>1</v>
      </c>
      <c r="I405" s="2" t="n">
        <v>1</v>
      </c>
      <c r="J405" s="2" t="n">
        <v>1</v>
      </c>
      <c r="K405" s="7" t="n">
        <v>0.4311018121</v>
      </c>
      <c r="L405" s="7" t="n">
        <v>0.008761703801</v>
      </c>
      <c r="M405" s="7" t="n">
        <v>0.02809797766</v>
      </c>
      <c r="N405" s="7" t="n">
        <v>13</v>
      </c>
      <c r="O405" s="7" t="n">
        <v>13</v>
      </c>
      <c r="P405" s="7" t="n">
        <v>13</v>
      </c>
      <c r="Q405" s="2"/>
      <c r="R405" s="7" t="n">
        <v>2.29301</v>
      </c>
      <c r="S405" s="5" t="s">
        <v>60</v>
      </c>
      <c r="T405" s="5" t="s">
        <v>61</v>
      </c>
    </row>
    <row r="406" customFormat="false" ht="15" hidden="false" customHeight="false" outlineLevel="0" collapsed="false">
      <c r="A406" s="5" t="s">
        <v>4</v>
      </c>
      <c r="B406" s="5" t="s">
        <v>55</v>
      </c>
      <c r="C406" s="2" t="s">
        <v>56</v>
      </c>
      <c r="D406" s="5" t="s">
        <v>77</v>
      </c>
      <c r="E406" s="5" t="s">
        <v>58</v>
      </c>
      <c r="F406" s="2" t="n">
        <v>11</v>
      </c>
      <c r="G406" s="5" t="s">
        <v>69</v>
      </c>
      <c r="H406" s="2" t="n">
        <v>1</v>
      </c>
      <c r="I406" s="2" t="n">
        <v>1</v>
      </c>
      <c r="J406" s="2" t="n">
        <v>1</v>
      </c>
      <c r="K406" s="7" t="n">
        <v>0.8291449881</v>
      </c>
      <c r="L406" s="7" t="n">
        <v>0.0623732722</v>
      </c>
      <c r="M406" s="7" t="n">
        <v>0.08185592453</v>
      </c>
      <c r="N406" s="7" t="n">
        <v>9</v>
      </c>
      <c r="O406" s="7" t="n">
        <v>9</v>
      </c>
      <c r="P406" s="7" t="n">
        <v>0</v>
      </c>
      <c r="Q406" s="2"/>
      <c r="R406" s="7" t="n">
        <v>2.508168</v>
      </c>
      <c r="S406" s="5" t="s">
        <v>60</v>
      </c>
      <c r="T406" s="5" t="s">
        <v>61</v>
      </c>
    </row>
    <row r="407" customFormat="false" ht="15" hidden="false" customHeight="false" outlineLevel="0" collapsed="false">
      <c r="A407" s="5" t="s">
        <v>4</v>
      </c>
      <c r="B407" s="5" t="s">
        <v>55</v>
      </c>
      <c r="C407" s="2" t="s">
        <v>56</v>
      </c>
      <c r="D407" s="5" t="s">
        <v>77</v>
      </c>
      <c r="E407" s="5" t="s">
        <v>62</v>
      </c>
      <c r="F407" s="2" t="n">
        <v>11</v>
      </c>
      <c r="G407" s="5" t="s">
        <v>69</v>
      </c>
      <c r="H407" s="2" t="n">
        <v>1</v>
      </c>
      <c r="I407" s="2" t="n">
        <v>1</v>
      </c>
      <c r="J407" s="2" t="n">
        <v>1</v>
      </c>
      <c r="K407" s="7" t="n">
        <v>0.8291449881</v>
      </c>
      <c r="L407" s="7" t="n">
        <v>0.0623732722</v>
      </c>
      <c r="M407" s="7" t="n">
        <v>0.08185592453</v>
      </c>
      <c r="N407" s="7" t="n">
        <v>9</v>
      </c>
      <c r="O407" s="7" t="n">
        <v>9</v>
      </c>
      <c r="P407" s="7" t="n">
        <v>9</v>
      </c>
      <c r="Q407" s="2"/>
      <c r="R407" s="7" t="n">
        <v>7.173125</v>
      </c>
      <c r="S407" s="5" t="s">
        <v>60</v>
      </c>
      <c r="T407" s="5" t="s">
        <v>61</v>
      </c>
    </row>
    <row r="408" customFormat="false" ht="15" hidden="false" customHeight="false" outlineLevel="0" collapsed="false">
      <c r="A408" s="5" t="s">
        <v>4</v>
      </c>
      <c r="B408" s="5" t="s">
        <v>55</v>
      </c>
      <c r="C408" s="2" t="s">
        <v>56</v>
      </c>
      <c r="D408" s="5" t="s">
        <v>77</v>
      </c>
      <c r="E408" s="5" t="s">
        <v>58</v>
      </c>
      <c r="F408" s="2" t="n">
        <v>11</v>
      </c>
      <c r="G408" s="5" t="s">
        <v>70</v>
      </c>
      <c r="H408" s="2" t="n">
        <v>0</v>
      </c>
      <c r="I408" s="2" t="n">
        <v>1</v>
      </c>
      <c r="J408" s="2" t="n">
        <v>0</v>
      </c>
      <c r="K408" s="7" t="n">
        <v>2.009413143</v>
      </c>
      <c r="L408" s="7" t="n">
        <v>0.1107980851</v>
      </c>
      <c r="M408" s="7" t="n">
        <v>0.1644899392</v>
      </c>
      <c r="N408" s="7" t="n">
        <v>8</v>
      </c>
      <c r="O408" s="7" t="n">
        <v>8</v>
      </c>
      <c r="P408" s="7" t="n">
        <v>0</v>
      </c>
      <c r="Q408" s="2"/>
      <c r="R408" s="7" t="n">
        <v>6.367123</v>
      </c>
      <c r="S408" s="5" t="s">
        <v>60</v>
      </c>
      <c r="T408" s="5" t="s">
        <v>61</v>
      </c>
    </row>
    <row r="409" customFormat="false" ht="15" hidden="false" customHeight="false" outlineLevel="0" collapsed="false">
      <c r="A409" s="5" t="s">
        <v>4</v>
      </c>
      <c r="B409" s="5" t="s">
        <v>55</v>
      </c>
      <c r="C409" s="2" t="s">
        <v>56</v>
      </c>
      <c r="D409" s="5" t="s">
        <v>77</v>
      </c>
      <c r="E409" s="5" t="s">
        <v>62</v>
      </c>
      <c r="F409" s="2" t="n">
        <v>11</v>
      </c>
      <c r="G409" s="5" t="s">
        <v>70</v>
      </c>
      <c r="H409" s="2" t="n">
        <v>0</v>
      </c>
      <c r="I409" s="2" t="n">
        <v>1</v>
      </c>
      <c r="J409" s="2" t="n">
        <v>1</v>
      </c>
      <c r="K409" s="7" t="n">
        <v>0.8822015135</v>
      </c>
      <c r="L409" s="7" t="n">
        <v>0.03661242995</v>
      </c>
      <c r="M409" s="7" t="n">
        <v>0.06935078275</v>
      </c>
      <c r="N409" s="7" t="n">
        <v>8</v>
      </c>
      <c r="O409" s="7" t="n">
        <v>8</v>
      </c>
      <c r="P409" s="7" t="n">
        <v>7</v>
      </c>
      <c r="Q409" s="2"/>
      <c r="R409" s="7" t="n">
        <v>6.901403</v>
      </c>
      <c r="S409" s="5" t="s">
        <v>60</v>
      </c>
      <c r="T409" s="5" t="s">
        <v>61</v>
      </c>
    </row>
    <row r="410" customFormat="false" ht="15" hidden="false" customHeight="false" outlineLevel="0" collapsed="false">
      <c r="A410" s="5" t="s">
        <v>4</v>
      </c>
      <c r="B410" s="5" t="s">
        <v>55</v>
      </c>
      <c r="C410" s="2" t="s">
        <v>56</v>
      </c>
      <c r="D410" s="5" t="s">
        <v>77</v>
      </c>
      <c r="E410" s="5" t="s">
        <v>58</v>
      </c>
      <c r="F410" s="2" t="n">
        <v>12</v>
      </c>
      <c r="G410" s="5" t="s">
        <v>67</v>
      </c>
      <c r="H410" s="2" t="n">
        <v>1</v>
      </c>
      <c r="I410" s="2" t="n">
        <v>1</v>
      </c>
      <c r="J410" s="2" t="n">
        <v>1</v>
      </c>
      <c r="K410" s="7" t="n">
        <v>1.386850448</v>
      </c>
      <c r="L410" s="7" t="n">
        <v>0.1316035182</v>
      </c>
      <c r="M410" s="7" t="n">
        <v>0.1611160717</v>
      </c>
      <c r="N410" s="7" t="n">
        <v>15</v>
      </c>
      <c r="O410" s="7" t="n">
        <v>15</v>
      </c>
      <c r="P410" s="7" t="n">
        <v>0</v>
      </c>
      <c r="Q410" s="2"/>
      <c r="R410" s="7" t="n">
        <v>5.467103</v>
      </c>
      <c r="S410" s="5" t="s">
        <v>60</v>
      </c>
      <c r="T410" s="5" t="s">
        <v>61</v>
      </c>
    </row>
    <row r="411" customFormat="false" ht="15" hidden="false" customHeight="false" outlineLevel="0" collapsed="false">
      <c r="A411" s="5" t="s">
        <v>4</v>
      </c>
      <c r="B411" s="5" t="s">
        <v>55</v>
      </c>
      <c r="C411" s="2" t="s">
        <v>56</v>
      </c>
      <c r="D411" s="5" t="s">
        <v>77</v>
      </c>
      <c r="E411" s="5" t="s">
        <v>62</v>
      </c>
      <c r="F411" s="2" t="n">
        <v>12</v>
      </c>
      <c r="G411" s="5" t="s">
        <v>67</v>
      </c>
      <c r="H411" s="2" t="n">
        <v>1</v>
      </c>
      <c r="I411" s="2" t="n">
        <v>1</v>
      </c>
      <c r="J411" s="2" t="n">
        <v>1</v>
      </c>
      <c r="K411" s="7" t="n">
        <v>0.3688189584</v>
      </c>
      <c r="L411" s="7" t="n">
        <v>0.0572684471</v>
      </c>
      <c r="M411" s="7" t="n">
        <v>0.06330316608</v>
      </c>
      <c r="N411" s="7" t="n">
        <v>15</v>
      </c>
      <c r="O411" s="7" t="n">
        <v>15</v>
      </c>
      <c r="P411" s="7" t="n">
        <v>14</v>
      </c>
      <c r="Q411" s="2"/>
      <c r="R411" s="7" t="n">
        <v>6.185485</v>
      </c>
      <c r="S411" s="5" t="s">
        <v>60</v>
      </c>
      <c r="T411" s="5" t="s">
        <v>61</v>
      </c>
    </row>
    <row r="412" customFormat="false" ht="15" hidden="false" customHeight="false" outlineLevel="0" collapsed="false">
      <c r="A412" s="5" t="s">
        <v>4</v>
      </c>
      <c r="B412" s="5" t="s">
        <v>55</v>
      </c>
      <c r="C412" s="2" t="s">
        <v>56</v>
      </c>
      <c r="D412" s="5" t="s">
        <v>77</v>
      </c>
      <c r="E412" s="5" t="s">
        <v>58</v>
      </c>
      <c r="F412" s="2" t="n">
        <v>12</v>
      </c>
      <c r="G412" s="5" t="s">
        <v>68</v>
      </c>
      <c r="H412" s="2" t="n">
        <v>1</v>
      </c>
      <c r="I412" s="2" t="n">
        <v>1</v>
      </c>
      <c r="J412" s="2" t="n">
        <v>1</v>
      </c>
      <c r="K412" s="7" t="n">
        <v>0.5371364088</v>
      </c>
      <c r="L412" s="7" t="n">
        <v>0.0306967167</v>
      </c>
      <c r="M412" s="7" t="n">
        <v>0.05085486357</v>
      </c>
      <c r="N412" s="7" t="n">
        <v>11</v>
      </c>
      <c r="O412" s="7" t="n">
        <v>11</v>
      </c>
      <c r="P412" s="7" t="n">
        <v>0</v>
      </c>
      <c r="Q412" s="2"/>
      <c r="R412" s="7" t="n">
        <v>1.620275</v>
      </c>
      <c r="S412" s="5" t="s">
        <v>60</v>
      </c>
      <c r="T412" s="5" t="s">
        <v>61</v>
      </c>
    </row>
    <row r="413" customFormat="false" ht="15" hidden="false" customHeight="false" outlineLevel="0" collapsed="false">
      <c r="A413" s="5" t="s">
        <v>4</v>
      </c>
      <c r="B413" s="5" t="s">
        <v>55</v>
      </c>
      <c r="C413" s="2" t="s">
        <v>56</v>
      </c>
      <c r="D413" s="5" t="s">
        <v>77</v>
      </c>
      <c r="E413" s="5" t="s">
        <v>62</v>
      </c>
      <c r="F413" s="2" t="n">
        <v>12</v>
      </c>
      <c r="G413" s="5" t="s">
        <v>68</v>
      </c>
      <c r="H413" s="2" t="n">
        <v>1</v>
      </c>
      <c r="I413" s="2" t="n">
        <v>1</v>
      </c>
      <c r="J413" s="2" t="n">
        <v>1</v>
      </c>
      <c r="K413" s="7" t="n">
        <v>0.5371364088</v>
      </c>
      <c r="L413" s="7" t="n">
        <v>0.0306967167</v>
      </c>
      <c r="M413" s="7" t="n">
        <v>0.05085486357</v>
      </c>
      <c r="N413" s="7" t="n">
        <v>11</v>
      </c>
      <c r="O413" s="7" t="n">
        <v>11</v>
      </c>
      <c r="P413" s="7" t="n">
        <v>11</v>
      </c>
      <c r="Q413" s="2"/>
      <c r="R413" s="7" t="n">
        <v>2.207134</v>
      </c>
      <c r="S413" s="5" t="s">
        <v>60</v>
      </c>
      <c r="T413" s="5" t="s">
        <v>61</v>
      </c>
    </row>
    <row r="414" customFormat="false" ht="15" hidden="false" customHeight="false" outlineLevel="0" collapsed="false">
      <c r="A414" s="5" t="s">
        <v>4</v>
      </c>
      <c r="B414" s="5" t="s">
        <v>55</v>
      </c>
      <c r="C414" s="2" t="s">
        <v>56</v>
      </c>
      <c r="D414" s="5" t="s">
        <v>77</v>
      </c>
      <c r="E414" s="5" t="s">
        <v>58</v>
      </c>
      <c r="F414" s="2" t="n">
        <v>12</v>
      </c>
      <c r="G414" s="5" t="s">
        <v>69</v>
      </c>
      <c r="H414" s="2" t="n">
        <v>1</v>
      </c>
      <c r="I414" s="2" t="n">
        <v>1</v>
      </c>
      <c r="J414" s="2" t="n">
        <v>1</v>
      </c>
      <c r="K414" s="7" t="n">
        <v>0.9757934784</v>
      </c>
      <c r="L414" s="7" t="n">
        <v>0.03859444526</v>
      </c>
      <c r="M414" s="7" t="n">
        <v>0.0788279954</v>
      </c>
      <c r="N414" s="7" t="n">
        <v>4</v>
      </c>
      <c r="O414" s="7" t="n">
        <v>4</v>
      </c>
      <c r="P414" s="7" t="n">
        <v>0</v>
      </c>
      <c r="Q414" s="2"/>
      <c r="R414" s="7" t="n">
        <v>2.619773</v>
      </c>
      <c r="S414" s="5" t="s">
        <v>60</v>
      </c>
      <c r="T414" s="5" t="s">
        <v>61</v>
      </c>
    </row>
    <row r="415" customFormat="false" ht="15" hidden="false" customHeight="false" outlineLevel="0" collapsed="false">
      <c r="A415" s="5" t="s">
        <v>4</v>
      </c>
      <c r="B415" s="5" t="s">
        <v>55</v>
      </c>
      <c r="C415" s="2" t="s">
        <v>56</v>
      </c>
      <c r="D415" s="5" t="s">
        <v>77</v>
      </c>
      <c r="E415" s="5" t="s">
        <v>62</v>
      </c>
      <c r="F415" s="2" t="n">
        <v>12</v>
      </c>
      <c r="G415" s="5" t="s">
        <v>69</v>
      </c>
      <c r="H415" s="2" t="n">
        <v>1</v>
      </c>
      <c r="I415" s="2" t="n">
        <v>1</v>
      </c>
      <c r="J415" s="2" t="n">
        <v>1</v>
      </c>
      <c r="K415" s="7" t="n">
        <v>0.9757934784</v>
      </c>
      <c r="L415" s="7" t="n">
        <v>0.03859444526</v>
      </c>
      <c r="M415" s="7" t="n">
        <v>0.0788279954</v>
      </c>
      <c r="N415" s="7" t="n">
        <v>4</v>
      </c>
      <c r="O415" s="7" t="n">
        <v>4</v>
      </c>
      <c r="P415" s="7" t="n">
        <v>4</v>
      </c>
      <c r="Q415" s="2"/>
      <c r="R415" s="7" t="n">
        <v>2.916401</v>
      </c>
      <c r="S415" s="5" t="s">
        <v>60</v>
      </c>
      <c r="T415" s="5" t="s">
        <v>61</v>
      </c>
    </row>
    <row r="416" customFormat="false" ht="15" hidden="false" customHeight="false" outlineLevel="0" collapsed="false">
      <c r="A416" s="5" t="s">
        <v>4</v>
      </c>
      <c r="B416" s="5" t="s">
        <v>55</v>
      </c>
      <c r="C416" s="2" t="s">
        <v>56</v>
      </c>
      <c r="D416" s="5" t="s">
        <v>77</v>
      </c>
      <c r="E416" s="5" t="s">
        <v>58</v>
      </c>
      <c r="F416" s="2" t="n">
        <v>12</v>
      </c>
      <c r="G416" s="5" t="s">
        <v>70</v>
      </c>
      <c r="H416" s="2" t="n">
        <v>0</v>
      </c>
      <c r="I416" s="2" t="n">
        <v>1</v>
      </c>
      <c r="J416" s="2" t="n">
        <v>0</v>
      </c>
      <c r="K416" s="7" t="n">
        <v>2.601155593</v>
      </c>
      <c r="L416" s="7" t="n">
        <v>0.2240727779</v>
      </c>
      <c r="M416" s="7" t="n">
        <v>0.2813168821</v>
      </c>
      <c r="N416" s="7" t="n">
        <v>7</v>
      </c>
      <c r="O416" s="7" t="n">
        <v>7</v>
      </c>
      <c r="P416" s="7" t="n">
        <v>0</v>
      </c>
      <c r="Q416" s="2"/>
      <c r="R416" s="7" t="n">
        <v>6.597454</v>
      </c>
      <c r="S416" s="5" t="s">
        <v>60</v>
      </c>
      <c r="T416" s="5" t="s">
        <v>61</v>
      </c>
    </row>
    <row r="417" customFormat="false" ht="15" hidden="false" customHeight="false" outlineLevel="0" collapsed="false">
      <c r="A417" s="5" t="s">
        <v>4</v>
      </c>
      <c r="B417" s="5" t="s">
        <v>55</v>
      </c>
      <c r="C417" s="2" t="s">
        <v>56</v>
      </c>
      <c r="D417" s="5" t="s">
        <v>77</v>
      </c>
      <c r="E417" s="5" t="s">
        <v>62</v>
      </c>
      <c r="F417" s="2" t="n">
        <v>12</v>
      </c>
      <c r="G417" s="5" t="s">
        <v>70</v>
      </c>
      <c r="H417" s="2" t="n">
        <v>0</v>
      </c>
      <c r="I417" s="2" t="n">
        <v>1</v>
      </c>
      <c r="J417" s="2" t="n">
        <v>1</v>
      </c>
      <c r="K417" s="7" t="n">
        <v>0.7573146574</v>
      </c>
      <c r="L417" s="7" t="n">
        <v>0.05117237</v>
      </c>
      <c r="M417" s="7" t="n">
        <v>0.07155107705</v>
      </c>
      <c r="N417" s="7" t="n">
        <v>7</v>
      </c>
      <c r="O417" s="7" t="n">
        <v>7</v>
      </c>
      <c r="P417" s="7" t="n">
        <v>6</v>
      </c>
      <c r="Q417" s="2"/>
      <c r="R417" s="7" t="n">
        <v>7.179404</v>
      </c>
      <c r="S417" s="5" t="s">
        <v>60</v>
      </c>
      <c r="T417" s="5" t="s">
        <v>61</v>
      </c>
    </row>
    <row r="418" customFormat="false" ht="15" hidden="false" customHeight="false" outlineLevel="0" collapsed="false">
      <c r="A418" s="5" t="s">
        <v>4</v>
      </c>
      <c r="B418" s="5" t="s">
        <v>55</v>
      </c>
      <c r="C418" s="2" t="s">
        <v>56</v>
      </c>
      <c r="D418" s="5" t="s">
        <v>77</v>
      </c>
      <c r="E418" s="5" t="s">
        <v>58</v>
      </c>
      <c r="F418" s="2" t="n">
        <v>13</v>
      </c>
      <c r="G418" s="5" t="s">
        <v>67</v>
      </c>
      <c r="H418" s="2" t="n">
        <v>1</v>
      </c>
      <c r="I418" s="2" t="n">
        <v>1</v>
      </c>
      <c r="J418" s="2" t="n">
        <v>1</v>
      </c>
      <c r="K418" s="7" t="n">
        <v>0.1067507792</v>
      </c>
      <c r="L418" s="7" t="n">
        <v>0.02997373929</v>
      </c>
      <c r="M418" s="7" t="n">
        <v>0.03236592639</v>
      </c>
      <c r="N418" s="7" t="n">
        <v>9</v>
      </c>
      <c r="O418" s="7" t="n">
        <v>9</v>
      </c>
      <c r="P418" s="7" t="n">
        <v>0</v>
      </c>
      <c r="Q418" s="2"/>
      <c r="R418" s="7" t="n">
        <v>1.512365</v>
      </c>
      <c r="S418" s="5" t="s">
        <v>60</v>
      </c>
      <c r="T418" s="5" t="s">
        <v>61</v>
      </c>
    </row>
    <row r="419" customFormat="false" ht="15" hidden="false" customHeight="false" outlineLevel="0" collapsed="false">
      <c r="A419" s="5" t="s">
        <v>4</v>
      </c>
      <c r="B419" s="5" t="s">
        <v>55</v>
      </c>
      <c r="C419" s="2" t="s">
        <v>56</v>
      </c>
      <c r="D419" s="5" t="s">
        <v>77</v>
      </c>
      <c r="E419" s="5" t="s">
        <v>62</v>
      </c>
      <c r="F419" s="2" t="n">
        <v>13</v>
      </c>
      <c r="G419" s="5" t="s">
        <v>67</v>
      </c>
      <c r="H419" s="2" t="n">
        <v>1</v>
      </c>
      <c r="I419" s="2" t="n">
        <v>1</v>
      </c>
      <c r="J419" s="2" t="n">
        <v>1</v>
      </c>
      <c r="K419" s="7" t="n">
        <v>0.1067507792</v>
      </c>
      <c r="L419" s="7" t="n">
        <v>0.02997373929</v>
      </c>
      <c r="M419" s="7" t="n">
        <v>0.03236592639</v>
      </c>
      <c r="N419" s="7" t="n">
        <v>9</v>
      </c>
      <c r="O419" s="7" t="n">
        <v>9</v>
      </c>
      <c r="P419" s="7" t="n">
        <v>9</v>
      </c>
      <c r="Q419" s="2"/>
      <c r="R419" s="7" t="n">
        <v>2.024343</v>
      </c>
      <c r="S419" s="5" t="s">
        <v>60</v>
      </c>
      <c r="T419" s="5" t="s">
        <v>61</v>
      </c>
    </row>
    <row r="420" customFormat="false" ht="15" hidden="false" customHeight="false" outlineLevel="0" collapsed="false">
      <c r="A420" s="5" t="s">
        <v>4</v>
      </c>
      <c r="B420" s="5" t="s">
        <v>55</v>
      </c>
      <c r="C420" s="2" t="s">
        <v>56</v>
      </c>
      <c r="D420" s="5" t="s">
        <v>77</v>
      </c>
      <c r="E420" s="5" t="s">
        <v>58</v>
      </c>
      <c r="F420" s="2" t="n">
        <v>13</v>
      </c>
      <c r="G420" s="5" t="s">
        <v>68</v>
      </c>
      <c r="H420" s="2" t="n">
        <v>1</v>
      </c>
      <c r="I420" s="2" t="n">
        <v>1</v>
      </c>
      <c r="J420" s="2" t="n">
        <v>1</v>
      </c>
      <c r="K420" s="7" t="n">
        <v>0.6186756978</v>
      </c>
      <c r="L420" s="7" t="n">
        <v>0.03294354541</v>
      </c>
      <c r="M420" s="7" t="n">
        <v>0.05604295311</v>
      </c>
      <c r="N420" s="7" t="n">
        <v>10</v>
      </c>
      <c r="O420" s="7" t="n">
        <v>10</v>
      </c>
      <c r="P420" s="7" t="n">
        <v>0</v>
      </c>
      <c r="Q420" s="2"/>
      <c r="R420" s="7" t="n">
        <v>2.264127</v>
      </c>
      <c r="S420" s="5" t="s">
        <v>60</v>
      </c>
      <c r="T420" s="5" t="s">
        <v>61</v>
      </c>
    </row>
    <row r="421" customFormat="false" ht="15" hidden="false" customHeight="false" outlineLevel="0" collapsed="false">
      <c r="A421" s="5" t="s">
        <v>4</v>
      </c>
      <c r="B421" s="5" t="s">
        <v>55</v>
      </c>
      <c r="C421" s="2" t="s">
        <v>56</v>
      </c>
      <c r="D421" s="5" t="s">
        <v>77</v>
      </c>
      <c r="E421" s="5" t="s">
        <v>62</v>
      </c>
      <c r="F421" s="2" t="n">
        <v>13</v>
      </c>
      <c r="G421" s="5" t="s">
        <v>68</v>
      </c>
      <c r="H421" s="2" t="n">
        <v>1</v>
      </c>
      <c r="I421" s="2" t="n">
        <v>1</v>
      </c>
      <c r="J421" s="2" t="n">
        <v>1</v>
      </c>
      <c r="K421" s="7" t="n">
        <v>0.6186756978</v>
      </c>
      <c r="L421" s="7" t="n">
        <v>0.03294354541</v>
      </c>
      <c r="M421" s="7" t="n">
        <v>0.05604295311</v>
      </c>
      <c r="N421" s="7" t="n">
        <v>10</v>
      </c>
      <c r="O421" s="7" t="n">
        <v>10</v>
      </c>
      <c r="P421" s="7" t="n">
        <v>10</v>
      </c>
      <c r="Q421" s="2"/>
      <c r="R421" s="7" t="n">
        <v>2.940567</v>
      </c>
      <c r="S421" s="5" t="s">
        <v>60</v>
      </c>
      <c r="T421" s="5" t="s">
        <v>61</v>
      </c>
    </row>
    <row r="422" customFormat="false" ht="15" hidden="false" customHeight="false" outlineLevel="0" collapsed="false">
      <c r="A422" s="5" t="s">
        <v>4</v>
      </c>
      <c r="B422" s="5" t="s">
        <v>55</v>
      </c>
      <c r="C422" s="2" t="s">
        <v>56</v>
      </c>
      <c r="D422" s="5" t="s">
        <v>77</v>
      </c>
      <c r="E422" s="5" t="s">
        <v>58</v>
      </c>
      <c r="F422" s="2" t="n">
        <v>13</v>
      </c>
      <c r="G422" s="5" t="s">
        <v>69</v>
      </c>
      <c r="H422" s="2" t="n">
        <v>1</v>
      </c>
      <c r="I422" s="2" t="n">
        <v>1</v>
      </c>
      <c r="J422" s="2" t="n">
        <v>1</v>
      </c>
      <c r="K422" s="7" t="n">
        <v>0.8060249512</v>
      </c>
      <c r="L422" s="7" t="n">
        <v>0.06802527789</v>
      </c>
      <c r="M422" s="7" t="n">
        <v>0.08666904932</v>
      </c>
      <c r="N422" s="7" t="n">
        <v>5</v>
      </c>
      <c r="O422" s="7" t="n">
        <v>5</v>
      </c>
      <c r="P422" s="7" t="n">
        <v>0</v>
      </c>
      <c r="Q422" s="2"/>
      <c r="R422" s="7" t="n">
        <v>2.64551</v>
      </c>
      <c r="S422" s="5" t="s">
        <v>60</v>
      </c>
      <c r="T422" s="5" t="s">
        <v>61</v>
      </c>
    </row>
    <row r="423" customFormat="false" ht="15" hidden="false" customHeight="false" outlineLevel="0" collapsed="false">
      <c r="A423" s="5" t="s">
        <v>4</v>
      </c>
      <c r="B423" s="5" t="s">
        <v>55</v>
      </c>
      <c r="C423" s="2" t="s">
        <v>56</v>
      </c>
      <c r="D423" s="5" t="s">
        <v>77</v>
      </c>
      <c r="E423" s="5" t="s">
        <v>62</v>
      </c>
      <c r="F423" s="2" t="n">
        <v>13</v>
      </c>
      <c r="G423" s="5" t="s">
        <v>69</v>
      </c>
      <c r="H423" s="2" t="n">
        <v>1</v>
      </c>
      <c r="I423" s="2" t="n">
        <v>1</v>
      </c>
      <c r="J423" s="2" t="n">
        <v>1</v>
      </c>
      <c r="K423" s="7" t="n">
        <v>0.8060249512</v>
      </c>
      <c r="L423" s="7" t="n">
        <v>0.06802527789</v>
      </c>
      <c r="M423" s="7" t="n">
        <v>0.08666904932</v>
      </c>
      <c r="N423" s="7" t="n">
        <v>5</v>
      </c>
      <c r="O423" s="7" t="n">
        <v>5</v>
      </c>
      <c r="P423" s="7" t="n">
        <v>5</v>
      </c>
      <c r="Q423" s="2"/>
      <c r="R423" s="7" t="n">
        <v>3.013404</v>
      </c>
      <c r="S423" s="5" t="s">
        <v>60</v>
      </c>
      <c r="T423" s="5" t="s">
        <v>61</v>
      </c>
    </row>
    <row r="424" customFormat="false" ht="15" hidden="false" customHeight="false" outlineLevel="0" collapsed="false">
      <c r="A424" s="5" t="s">
        <v>4</v>
      </c>
      <c r="B424" s="5" t="s">
        <v>55</v>
      </c>
      <c r="C424" s="2" t="s">
        <v>56</v>
      </c>
      <c r="D424" s="5" t="s">
        <v>77</v>
      </c>
      <c r="E424" s="5" t="s">
        <v>58</v>
      </c>
      <c r="F424" s="2" t="n">
        <v>13</v>
      </c>
      <c r="G424" s="5" t="s">
        <v>70</v>
      </c>
      <c r="H424" s="2" t="n">
        <v>0</v>
      </c>
      <c r="I424" s="2" t="n">
        <v>1</v>
      </c>
      <c r="J424" s="2" t="n">
        <v>1</v>
      </c>
      <c r="K424" s="7" t="n">
        <v>0.6459145008</v>
      </c>
      <c r="L424" s="7" t="n">
        <v>0.01355345604</v>
      </c>
      <c r="M424" s="7" t="n">
        <v>0.04495342759</v>
      </c>
      <c r="N424" s="7" t="n">
        <v>9</v>
      </c>
      <c r="O424" s="7" t="n">
        <v>9</v>
      </c>
      <c r="P424" s="7" t="n">
        <v>0</v>
      </c>
      <c r="Q424" s="2"/>
      <c r="R424" s="7" t="n">
        <v>24.487162</v>
      </c>
      <c r="S424" s="5" t="s">
        <v>60</v>
      </c>
      <c r="T424" s="5" t="s">
        <v>61</v>
      </c>
    </row>
    <row r="425" customFormat="false" ht="15" hidden="false" customHeight="false" outlineLevel="0" collapsed="false">
      <c r="A425" s="5" t="s">
        <v>4</v>
      </c>
      <c r="B425" s="5" t="s">
        <v>55</v>
      </c>
      <c r="C425" s="2" t="s">
        <v>56</v>
      </c>
      <c r="D425" s="5" t="s">
        <v>77</v>
      </c>
      <c r="E425" s="5" t="s">
        <v>62</v>
      </c>
      <c r="F425" s="2" t="n">
        <v>13</v>
      </c>
      <c r="G425" s="5" t="s">
        <v>70</v>
      </c>
      <c r="H425" s="2" t="n">
        <v>0</v>
      </c>
      <c r="I425" s="2" t="n">
        <v>1</v>
      </c>
      <c r="J425" s="2" t="n">
        <v>1</v>
      </c>
      <c r="K425" s="7" t="n">
        <v>0.6459145008</v>
      </c>
      <c r="L425" s="7" t="n">
        <v>0.01355345604</v>
      </c>
      <c r="M425" s="7" t="n">
        <v>0.04495342759</v>
      </c>
      <c r="N425" s="7" t="n">
        <v>9</v>
      </c>
      <c r="O425" s="7" t="n">
        <v>9</v>
      </c>
      <c r="P425" s="7" t="n">
        <v>9</v>
      </c>
      <c r="Q425" s="2"/>
      <c r="R425" s="7" t="n">
        <v>25.032459</v>
      </c>
      <c r="S425" s="5" t="s">
        <v>60</v>
      </c>
      <c r="T425" s="5" t="s">
        <v>61</v>
      </c>
    </row>
    <row r="426" customFormat="false" ht="15" hidden="false" customHeight="false" outlineLevel="0" collapsed="false">
      <c r="A426" s="5" t="s">
        <v>4</v>
      </c>
      <c r="B426" s="5" t="s">
        <v>55</v>
      </c>
      <c r="C426" s="2" t="s">
        <v>56</v>
      </c>
      <c r="D426" s="5" t="s">
        <v>77</v>
      </c>
      <c r="E426" s="5" t="s">
        <v>58</v>
      </c>
      <c r="F426" s="2" t="n">
        <v>14</v>
      </c>
      <c r="G426" s="5" t="s">
        <v>67</v>
      </c>
      <c r="H426" s="2" t="n">
        <v>1</v>
      </c>
      <c r="I426" s="2" t="n">
        <v>1</v>
      </c>
      <c r="J426" s="2" t="n">
        <v>1</v>
      </c>
      <c r="K426" s="7" t="n">
        <v>1.16078689</v>
      </c>
      <c r="L426" s="7" t="n">
        <v>0.1501445998</v>
      </c>
      <c r="M426" s="7" t="n">
        <v>0.1706973562</v>
      </c>
      <c r="N426" s="7" t="n">
        <v>11</v>
      </c>
      <c r="O426" s="7" t="n">
        <v>11</v>
      </c>
      <c r="P426" s="7" t="n">
        <v>0</v>
      </c>
      <c r="Q426" s="2"/>
      <c r="R426" s="7" t="n">
        <v>1.643429</v>
      </c>
      <c r="S426" s="5" t="s">
        <v>60</v>
      </c>
      <c r="T426" s="5" t="s">
        <v>61</v>
      </c>
    </row>
    <row r="427" customFormat="false" ht="15" hidden="false" customHeight="false" outlineLevel="0" collapsed="false">
      <c r="A427" s="5" t="s">
        <v>4</v>
      </c>
      <c r="B427" s="5" t="s">
        <v>55</v>
      </c>
      <c r="C427" s="2" t="s">
        <v>56</v>
      </c>
      <c r="D427" s="5" t="s">
        <v>77</v>
      </c>
      <c r="E427" s="5" t="s">
        <v>62</v>
      </c>
      <c r="F427" s="2" t="n">
        <v>14</v>
      </c>
      <c r="G427" s="5" t="s">
        <v>67</v>
      </c>
      <c r="H427" s="2" t="n">
        <v>1</v>
      </c>
      <c r="I427" s="2" t="n">
        <v>1</v>
      </c>
      <c r="J427" s="2" t="n">
        <v>1</v>
      </c>
      <c r="K427" s="7" t="n">
        <v>0.1775018723</v>
      </c>
      <c r="L427" s="7" t="n">
        <v>0.02386411342</v>
      </c>
      <c r="M427" s="7" t="n">
        <v>0.02634832271</v>
      </c>
      <c r="N427" s="7" t="n">
        <v>11</v>
      </c>
      <c r="O427" s="7" t="n">
        <v>11</v>
      </c>
      <c r="P427" s="7" t="n">
        <v>9</v>
      </c>
      <c r="Q427" s="2"/>
      <c r="R427" s="7" t="n">
        <v>2.323916</v>
      </c>
      <c r="S427" s="5" t="s">
        <v>60</v>
      </c>
      <c r="T427" s="5" t="s">
        <v>61</v>
      </c>
    </row>
    <row r="428" customFormat="false" ht="15" hidden="false" customHeight="false" outlineLevel="0" collapsed="false">
      <c r="A428" s="5" t="s">
        <v>4</v>
      </c>
      <c r="B428" s="5" t="s">
        <v>55</v>
      </c>
      <c r="C428" s="2" t="s">
        <v>56</v>
      </c>
      <c r="D428" s="5" t="s">
        <v>77</v>
      </c>
      <c r="E428" s="5" t="s">
        <v>58</v>
      </c>
      <c r="F428" s="2" t="n">
        <v>14</v>
      </c>
      <c r="G428" s="5" t="s">
        <v>68</v>
      </c>
      <c r="H428" s="2" t="n">
        <v>1</v>
      </c>
      <c r="I428" s="2" t="n">
        <v>1</v>
      </c>
      <c r="J428" s="2" t="n">
        <v>1</v>
      </c>
      <c r="K428" s="7" t="n">
        <v>1.882654743</v>
      </c>
      <c r="L428" s="7" t="n">
        <v>0.1048886</v>
      </c>
      <c r="M428" s="7" t="n">
        <v>0.1477689704</v>
      </c>
      <c r="N428" s="7" t="n">
        <v>10</v>
      </c>
      <c r="O428" s="7" t="n">
        <v>10</v>
      </c>
      <c r="P428" s="7" t="n">
        <v>0</v>
      </c>
      <c r="Q428" s="2"/>
      <c r="R428" s="7" t="n">
        <v>5.762019</v>
      </c>
      <c r="S428" s="5" t="s">
        <v>60</v>
      </c>
      <c r="T428" s="5" t="s">
        <v>61</v>
      </c>
    </row>
    <row r="429" customFormat="false" ht="15" hidden="false" customHeight="false" outlineLevel="0" collapsed="false">
      <c r="A429" s="5" t="s">
        <v>4</v>
      </c>
      <c r="B429" s="5" t="s">
        <v>55</v>
      </c>
      <c r="C429" s="2" t="s">
        <v>56</v>
      </c>
      <c r="D429" s="5" t="s">
        <v>77</v>
      </c>
      <c r="E429" s="5" t="s">
        <v>62</v>
      </c>
      <c r="F429" s="2" t="n">
        <v>14</v>
      </c>
      <c r="G429" s="5" t="s">
        <v>68</v>
      </c>
      <c r="H429" s="2" t="n">
        <v>1</v>
      </c>
      <c r="I429" s="2" t="n">
        <v>1</v>
      </c>
      <c r="J429" s="2" t="n">
        <v>1</v>
      </c>
      <c r="K429" s="7" t="n">
        <v>1.339076281</v>
      </c>
      <c r="L429" s="7" t="n">
        <v>0.1515280483</v>
      </c>
      <c r="M429" s="7" t="n">
        <v>0.1702105824</v>
      </c>
      <c r="N429" s="7" t="n">
        <v>10</v>
      </c>
      <c r="O429" s="7" t="n">
        <v>10</v>
      </c>
      <c r="P429" s="7" t="n">
        <v>9</v>
      </c>
      <c r="Q429" s="2"/>
      <c r="R429" s="7" t="n">
        <v>6.30335</v>
      </c>
      <c r="S429" s="5" t="s">
        <v>60</v>
      </c>
      <c r="T429" s="5" t="s">
        <v>61</v>
      </c>
    </row>
    <row r="430" customFormat="false" ht="15" hidden="false" customHeight="false" outlineLevel="0" collapsed="false">
      <c r="A430" s="5" t="s">
        <v>4</v>
      </c>
      <c r="B430" s="5" t="s">
        <v>55</v>
      </c>
      <c r="C430" s="2" t="s">
        <v>56</v>
      </c>
      <c r="D430" s="5" t="s">
        <v>77</v>
      </c>
      <c r="E430" s="5" t="s">
        <v>58</v>
      </c>
      <c r="F430" s="2" t="n">
        <v>14</v>
      </c>
      <c r="G430" s="5" t="s">
        <v>69</v>
      </c>
      <c r="H430" s="2" t="n">
        <v>1</v>
      </c>
      <c r="I430" s="2" t="n">
        <v>1</v>
      </c>
      <c r="J430" s="2" t="n">
        <v>1</v>
      </c>
      <c r="K430" s="7" t="n">
        <v>0.7208479313</v>
      </c>
      <c r="L430" s="7" t="n">
        <v>0.06422047416</v>
      </c>
      <c r="M430" s="7" t="n">
        <v>0.08117505215</v>
      </c>
      <c r="N430" s="7" t="n">
        <v>3</v>
      </c>
      <c r="O430" s="7" t="n">
        <v>3</v>
      </c>
      <c r="P430" s="7" t="n">
        <v>0</v>
      </c>
      <c r="Q430" s="2"/>
      <c r="R430" s="7" t="n">
        <v>6.708327</v>
      </c>
      <c r="S430" s="5" t="s">
        <v>60</v>
      </c>
      <c r="T430" s="5" t="s">
        <v>61</v>
      </c>
    </row>
    <row r="431" customFormat="false" ht="15" hidden="false" customHeight="false" outlineLevel="0" collapsed="false">
      <c r="A431" s="5" t="s">
        <v>4</v>
      </c>
      <c r="B431" s="5" t="s">
        <v>55</v>
      </c>
      <c r="C431" s="2" t="s">
        <v>56</v>
      </c>
      <c r="D431" s="5" t="s">
        <v>77</v>
      </c>
      <c r="E431" s="5" t="s">
        <v>62</v>
      </c>
      <c r="F431" s="2" t="n">
        <v>14</v>
      </c>
      <c r="G431" s="5" t="s">
        <v>69</v>
      </c>
      <c r="H431" s="2" t="n">
        <v>1</v>
      </c>
      <c r="I431" s="2" t="n">
        <v>1</v>
      </c>
      <c r="J431" s="2" t="n">
        <v>1</v>
      </c>
      <c r="K431" s="7" t="n">
        <v>0.7208479313</v>
      </c>
      <c r="L431" s="7" t="n">
        <v>0.06422047416</v>
      </c>
      <c r="M431" s="7" t="n">
        <v>0.08117505215</v>
      </c>
      <c r="N431" s="7" t="n">
        <v>3</v>
      </c>
      <c r="O431" s="7" t="n">
        <v>3</v>
      </c>
      <c r="P431" s="7" t="n">
        <v>3</v>
      </c>
      <c r="Q431" s="2"/>
      <c r="R431" s="7" t="n">
        <v>6.887923</v>
      </c>
      <c r="S431" s="5" t="s">
        <v>60</v>
      </c>
      <c r="T431" s="5" t="s">
        <v>61</v>
      </c>
    </row>
    <row r="432" customFormat="false" ht="15" hidden="false" customHeight="false" outlineLevel="0" collapsed="false">
      <c r="A432" s="5" t="s">
        <v>4</v>
      </c>
      <c r="B432" s="5" t="s">
        <v>55</v>
      </c>
      <c r="C432" s="2" t="s">
        <v>56</v>
      </c>
      <c r="D432" s="5" t="s">
        <v>77</v>
      </c>
      <c r="E432" s="5" t="s">
        <v>58</v>
      </c>
      <c r="F432" s="2" t="n">
        <v>14</v>
      </c>
      <c r="G432" s="5" t="s">
        <v>70</v>
      </c>
      <c r="H432" s="2" t="n">
        <v>0</v>
      </c>
      <c r="I432" s="2" t="n">
        <v>1</v>
      </c>
      <c r="J432" s="2" t="n">
        <v>0</v>
      </c>
      <c r="K432" s="7" t="n">
        <v>2.232944834</v>
      </c>
      <c r="L432" s="7" t="n">
        <v>0.1551206349</v>
      </c>
      <c r="M432" s="7" t="n">
        <v>0.2060170831</v>
      </c>
      <c r="N432" s="7" t="n">
        <v>6</v>
      </c>
      <c r="O432" s="7" t="n">
        <v>6</v>
      </c>
      <c r="P432" s="7" t="n">
        <v>0</v>
      </c>
      <c r="Q432" s="2"/>
      <c r="R432" s="7" t="n">
        <v>6.714516</v>
      </c>
      <c r="S432" s="5" t="s">
        <v>60</v>
      </c>
      <c r="T432" s="5" t="s">
        <v>61</v>
      </c>
    </row>
    <row r="433" customFormat="false" ht="15" hidden="false" customHeight="false" outlineLevel="0" collapsed="false">
      <c r="A433" s="5" t="s">
        <v>4</v>
      </c>
      <c r="B433" s="5" t="s">
        <v>55</v>
      </c>
      <c r="C433" s="2" t="s">
        <v>56</v>
      </c>
      <c r="D433" s="5" t="s">
        <v>77</v>
      </c>
      <c r="E433" s="5" t="s">
        <v>62</v>
      </c>
      <c r="F433" s="2" t="n">
        <v>14</v>
      </c>
      <c r="G433" s="5" t="s">
        <v>70</v>
      </c>
      <c r="H433" s="2" t="n">
        <v>0</v>
      </c>
      <c r="I433" s="2" t="n">
        <v>1</v>
      </c>
      <c r="J433" s="2" t="n">
        <v>1</v>
      </c>
      <c r="K433" s="7" t="n">
        <v>1.007795007</v>
      </c>
      <c r="L433" s="7" t="n">
        <v>0.06619155912</v>
      </c>
      <c r="M433" s="7" t="n">
        <v>0.09270505369</v>
      </c>
      <c r="N433" s="7" t="n">
        <v>6</v>
      </c>
      <c r="O433" s="7" t="n">
        <v>6</v>
      </c>
      <c r="P433" s="7" t="n">
        <v>5</v>
      </c>
      <c r="Q433" s="2"/>
      <c r="R433" s="7" t="n">
        <v>7.189088</v>
      </c>
      <c r="S433" s="5" t="s">
        <v>60</v>
      </c>
      <c r="T433" s="5" t="s">
        <v>61</v>
      </c>
    </row>
    <row r="434" customFormat="false" ht="15" hidden="false" customHeight="false" outlineLevel="0" collapsed="false">
      <c r="A434" s="5" t="s">
        <v>4</v>
      </c>
      <c r="B434" s="5" t="s">
        <v>55</v>
      </c>
      <c r="C434" s="2" t="s">
        <v>56</v>
      </c>
      <c r="D434" s="5" t="s">
        <v>77</v>
      </c>
      <c r="E434" s="5" t="s">
        <v>58</v>
      </c>
      <c r="F434" s="2" t="n">
        <v>15</v>
      </c>
      <c r="G434" s="5" t="s">
        <v>67</v>
      </c>
      <c r="H434" s="2" t="n">
        <v>1</v>
      </c>
      <c r="I434" s="2" t="n">
        <v>1</v>
      </c>
      <c r="J434" s="2" t="n">
        <v>1</v>
      </c>
      <c r="K434" s="7" t="n">
        <v>0.1754256744</v>
      </c>
      <c r="L434" s="7" t="n">
        <v>0.02230923373</v>
      </c>
      <c r="M434" s="7" t="n">
        <v>0.02649993062</v>
      </c>
      <c r="N434" s="7" t="n">
        <v>12</v>
      </c>
      <c r="O434" s="7" t="n">
        <v>12</v>
      </c>
      <c r="P434" s="7" t="n">
        <v>0</v>
      </c>
      <c r="Q434" s="2"/>
      <c r="R434" s="7" t="n">
        <v>5.618627</v>
      </c>
      <c r="S434" s="5" t="s">
        <v>60</v>
      </c>
      <c r="T434" s="5" t="s">
        <v>61</v>
      </c>
    </row>
    <row r="435" customFormat="false" ht="15" hidden="false" customHeight="false" outlineLevel="0" collapsed="false">
      <c r="A435" s="5" t="s">
        <v>4</v>
      </c>
      <c r="B435" s="5" t="s">
        <v>55</v>
      </c>
      <c r="C435" s="2" t="s">
        <v>56</v>
      </c>
      <c r="D435" s="5" t="s">
        <v>77</v>
      </c>
      <c r="E435" s="5" t="s">
        <v>62</v>
      </c>
      <c r="F435" s="2" t="n">
        <v>15</v>
      </c>
      <c r="G435" s="5" t="s">
        <v>67</v>
      </c>
      <c r="H435" s="2" t="n">
        <v>1</v>
      </c>
      <c r="I435" s="2" t="n">
        <v>1</v>
      </c>
      <c r="J435" s="2" t="n">
        <v>1</v>
      </c>
      <c r="K435" s="7" t="n">
        <v>0.1754256744</v>
      </c>
      <c r="L435" s="7" t="n">
        <v>0.02230923373</v>
      </c>
      <c r="M435" s="7" t="n">
        <v>0.02649993062</v>
      </c>
      <c r="N435" s="7" t="n">
        <v>12</v>
      </c>
      <c r="O435" s="7" t="n">
        <v>12</v>
      </c>
      <c r="P435" s="7" t="n">
        <v>12</v>
      </c>
      <c r="Q435" s="2"/>
      <c r="R435" s="7" t="n">
        <v>6.276089</v>
      </c>
      <c r="S435" s="5" t="s">
        <v>60</v>
      </c>
      <c r="T435" s="5" t="s">
        <v>61</v>
      </c>
    </row>
    <row r="436" customFormat="false" ht="15" hidden="false" customHeight="false" outlineLevel="0" collapsed="false">
      <c r="A436" s="5" t="s">
        <v>4</v>
      </c>
      <c r="B436" s="5" t="s">
        <v>55</v>
      </c>
      <c r="C436" s="2" t="s">
        <v>56</v>
      </c>
      <c r="D436" s="5" t="s">
        <v>77</v>
      </c>
      <c r="E436" s="5" t="s">
        <v>58</v>
      </c>
      <c r="F436" s="2" t="n">
        <v>15</v>
      </c>
      <c r="G436" s="5" t="s">
        <v>68</v>
      </c>
      <c r="H436" s="2" t="n">
        <v>1</v>
      </c>
      <c r="I436" s="2" t="n">
        <v>1</v>
      </c>
      <c r="J436" s="2" t="n">
        <v>1</v>
      </c>
      <c r="K436" s="7" t="n">
        <v>0.3682587763</v>
      </c>
      <c r="L436" s="7" t="n">
        <v>0.01237828119</v>
      </c>
      <c r="M436" s="7" t="n">
        <v>0.02746600592</v>
      </c>
      <c r="N436" s="7" t="n">
        <v>12</v>
      </c>
      <c r="O436" s="7" t="n">
        <v>12</v>
      </c>
      <c r="P436" s="7" t="n">
        <v>0</v>
      </c>
      <c r="Q436" s="2"/>
      <c r="R436" s="7" t="n">
        <v>5.564517</v>
      </c>
      <c r="S436" s="5" t="s">
        <v>60</v>
      </c>
      <c r="T436" s="5" t="s">
        <v>61</v>
      </c>
    </row>
    <row r="437" customFormat="false" ht="15" hidden="false" customHeight="false" outlineLevel="0" collapsed="false">
      <c r="A437" s="5" t="s">
        <v>4</v>
      </c>
      <c r="B437" s="5" t="s">
        <v>55</v>
      </c>
      <c r="C437" s="2" t="s">
        <v>56</v>
      </c>
      <c r="D437" s="5" t="s">
        <v>77</v>
      </c>
      <c r="E437" s="5" t="s">
        <v>62</v>
      </c>
      <c r="F437" s="2" t="n">
        <v>15</v>
      </c>
      <c r="G437" s="5" t="s">
        <v>68</v>
      </c>
      <c r="H437" s="2" t="n">
        <v>1</v>
      </c>
      <c r="I437" s="2" t="n">
        <v>1</v>
      </c>
      <c r="J437" s="2" t="n">
        <v>1</v>
      </c>
      <c r="K437" s="7" t="n">
        <v>0.3682587763</v>
      </c>
      <c r="L437" s="7" t="n">
        <v>0.01237828119</v>
      </c>
      <c r="M437" s="7" t="n">
        <v>0.02746600592</v>
      </c>
      <c r="N437" s="7" t="n">
        <v>12</v>
      </c>
      <c r="O437" s="7" t="n">
        <v>12</v>
      </c>
      <c r="P437" s="7" t="n">
        <v>12</v>
      </c>
      <c r="Q437" s="2"/>
      <c r="R437" s="7" t="n">
        <v>6.14852</v>
      </c>
      <c r="S437" s="5" t="s">
        <v>60</v>
      </c>
      <c r="T437" s="5" t="s">
        <v>61</v>
      </c>
    </row>
    <row r="438" customFormat="false" ht="15" hidden="false" customHeight="false" outlineLevel="0" collapsed="false">
      <c r="A438" s="5" t="s">
        <v>4</v>
      </c>
      <c r="B438" s="5" t="s">
        <v>55</v>
      </c>
      <c r="C438" s="2" t="s">
        <v>56</v>
      </c>
      <c r="D438" s="5" t="s">
        <v>77</v>
      </c>
      <c r="E438" s="5" t="s">
        <v>58</v>
      </c>
      <c r="F438" s="2" t="n">
        <v>15</v>
      </c>
      <c r="G438" s="5" t="s">
        <v>69</v>
      </c>
      <c r="H438" s="2" t="n">
        <v>1</v>
      </c>
      <c r="I438" s="2" t="n">
        <v>1</v>
      </c>
      <c r="J438" s="2" t="n">
        <v>1</v>
      </c>
      <c r="K438" s="7" t="n">
        <v>0.6782526524</v>
      </c>
      <c r="L438" s="7" t="n">
        <v>0.07685709087</v>
      </c>
      <c r="M438" s="7" t="n">
        <v>0.09014841237</v>
      </c>
      <c r="N438" s="7" t="n">
        <v>3</v>
      </c>
      <c r="O438" s="7" t="n">
        <v>3</v>
      </c>
      <c r="P438" s="7" t="n">
        <v>0</v>
      </c>
      <c r="Q438" s="2"/>
      <c r="R438" s="7" t="n">
        <v>2.61728</v>
      </c>
      <c r="S438" s="5" t="s">
        <v>60</v>
      </c>
      <c r="T438" s="5" t="s">
        <v>61</v>
      </c>
    </row>
    <row r="439" customFormat="false" ht="15" hidden="false" customHeight="false" outlineLevel="0" collapsed="false">
      <c r="A439" s="5" t="s">
        <v>4</v>
      </c>
      <c r="B439" s="5" t="s">
        <v>55</v>
      </c>
      <c r="C439" s="2" t="s">
        <v>56</v>
      </c>
      <c r="D439" s="5" t="s">
        <v>77</v>
      </c>
      <c r="E439" s="5" t="s">
        <v>62</v>
      </c>
      <c r="F439" s="2" t="n">
        <v>15</v>
      </c>
      <c r="G439" s="5" t="s">
        <v>69</v>
      </c>
      <c r="H439" s="2" t="n">
        <v>1</v>
      </c>
      <c r="I439" s="2" t="n">
        <v>1</v>
      </c>
      <c r="J439" s="2" t="n">
        <v>1</v>
      </c>
      <c r="K439" s="7" t="n">
        <v>0.6782526524</v>
      </c>
      <c r="L439" s="7" t="n">
        <v>0.07685709087</v>
      </c>
      <c r="M439" s="7" t="n">
        <v>0.09014841237</v>
      </c>
      <c r="N439" s="7" t="n">
        <v>3</v>
      </c>
      <c r="O439" s="7" t="n">
        <v>3</v>
      </c>
      <c r="P439" s="7" t="n">
        <v>3</v>
      </c>
      <c r="Q439" s="2"/>
      <c r="R439" s="7" t="n">
        <v>2.79323</v>
      </c>
      <c r="S439" s="5" t="s">
        <v>60</v>
      </c>
      <c r="T439" s="5" t="s">
        <v>61</v>
      </c>
    </row>
    <row r="440" customFormat="false" ht="15" hidden="false" customHeight="false" outlineLevel="0" collapsed="false">
      <c r="A440" s="5" t="s">
        <v>4</v>
      </c>
      <c r="B440" s="5" t="s">
        <v>55</v>
      </c>
      <c r="C440" s="2" t="s">
        <v>56</v>
      </c>
      <c r="D440" s="5" t="s">
        <v>77</v>
      </c>
      <c r="E440" s="5" t="s">
        <v>58</v>
      </c>
      <c r="F440" s="2" t="n">
        <v>15</v>
      </c>
      <c r="G440" s="5" t="s">
        <v>70</v>
      </c>
      <c r="H440" s="2" t="n">
        <v>0</v>
      </c>
      <c r="I440" s="2" t="n">
        <v>1</v>
      </c>
      <c r="J440" s="2" t="n">
        <v>1</v>
      </c>
      <c r="K440" s="7" t="n">
        <v>0.3445652479</v>
      </c>
      <c r="L440" s="7" t="n">
        <v>0.02281139835</v>
      </c>
      <c r="M440" s="7" t="n">
        <v>0.03185542929</v>
      </c>
      <c r="N440" s="7" t="n">
        <v>8</v>
      </c>
      <c r="O440" s="7" t="n">
        <v>8</v>
      </c>
      <c r="P440" s="7" t="n">
        <v>0</v>
      </c>
      <c r="Q440" s="2"/>
      <c r="R440" s="7" t="n">
        <v>2.517021</v>
      </c>
      <c r="S440" s="5" t="s">
        <v>60</v>
      </c>
      <c r="T440" s="5" t="s">
        <v>61</v>
      </c>
    </row>
    <row r="441" customFormat="false" ht="15" hidden="false" customHeight="false" outlineLevel="0" collapsed="false">
      <c r="A441" s="5" t="s">
        <v>4</v>
      </c>
      <c r="B441" s="5" t="s">
        <v>55</v>
      </c>
      <c r="C441" s="2" t="s">
        <v>56</v>
      </c>
      <c r="D441" s="5" t="s">
        <v>77</v>
      </c>
      <c r="E441" s="5" t="s">
        <v>62</v>
      </c>
      <c r="F441" s="2" t="n">
        <v>15</v>
      </c>
      <c r="G441" s="5" t="s">
        <v>70</v>
      </c>
      <c r="H441" s="2" t="n">
        <v>0</v>
      </c>
      <c r="I441" s="2" t="n">
        <v>1</v>
      </c>
      <c r="J441" s="2" t="n">
        <v>1</v>
      </c>
      <c r="K441" s="7" t="n">
        <v>1.087455891</v>
      </c>
      <c r="L441" s="7" t="n">
        <v>0.09119274625</v>
      </c>
      <c r="M441" s="7" t="n">
        <v>0.1160791517</v>
      </c>
      <c r="N441" s="7" t="n">
        <v>8</v>
      </c>
      <c r="O441" s="7" t="n">
        <v>8</v>
      </c>
      <c r="P441" s="7" t="n">
        <v>7</v>
      </c>
      <c r="Q441" s="2"/>
      <c r="R441" s="7" t="n">
        <v>3.058401</v>
      </c>
      <c r="S441" s="5" t="s">
        <v>60</v>
      </c>
      <c r="T441" s="5" t="s">
        <v>61</v>
      </c>
    </row>
    <row r="442" customFormat="false" ht="15" hidden="false" customHeight="false" outlineLevel="0" collapsed="false">
      <c r="A442" s="5" t="s">
        <v>4</v>
      </c>
      <c r="B442" s="5" t="s">
        <v>55</v>
      </c>
      <c r="C442" s="2" t="s">
        <v>56</v>
      </c>
      <c r="D442" s="5" t="s">
        <v>77</v>
      </c>
      <c r="E442" s="5" t="s">
        <v>58</v>
      </c>
      <c r="F442" s="2" t="n">
        <v>16</v>
      </c>
      <c r="G442" s="5" t="s">
        <v>67</v>
      </c>
      <c r="H442" s="2" t="n">
        <v>1</v>
      </c>
      <c r="I442" s="2" t="n">
        <v>1</v>
      </c>
      <c r="J442" s="2" t="n">
        <v>1</v>
      </c>
      <c r="K442" s="7" t="n">
        <v>1.427279083</v>
      </c>
      <c r="L442" s="7" t="n">
        <v>0.1208780852</v>
      </c>
      <c r="M442" s="7" t="n">
        <v>0.1526370295</v>
      </c>
      <c r="N442" s="7" t="n">
        <v>13</v>
      </c>
      <c r="O442" s="7" t="n">
        <v>13</v>
      </c>
      <c r="P442" s="7" t="n">
        <v>0</v>
      </c>
      <c r="Q442" s="2"/>
      <c r="R442" s="7" t="n">
        <v>1.56313</v>
      </c>
      <c r="S442" s="5" t="s">
        <v>60</v>
      </c>
      <c r="T442" s="5" t="s">
        <v>61</v>
      </c>
    </row>
    <row r="443" customFormat="false" ht="15" hidden="false" customHeight="false" outlineLevel="0" collapsed="false">
      <c r="A443" s="5" t="s">
        <v>4</v>
      </c>
      <c r="B443" s="5" t="s">
        <v>55</v>
      </c>
      <c r="C443" s="2" t="s">
        <v>56</v>
      </c>
      <c r="D443" s="5" t="s">
        <v>77</v>
      </c>
      <c r="E443" s="5" t="s">
        <v>62</v>
      </c>
      <c r="F443" s="2" t="n">
        <v>16</v>
      </c>
      <c r="G443" s="5" t="s">
        <v>67</v>
      </c>
      <c r="H443" s="2" t="n">
        <v>1</v>
      </c>
      <c r="I443" s="2" t="n">
        <v>1</v>
      </c>
      <c r="J443" s="2" t="n">
        <v>1</v>
      </c>
      <c r="K443" s="7" t="n">
        <v>0.312399928</v>
      </c>
      <c r="L443" s="7" t="n">
        <v>0.0352798652</v>
      </c>
      <c r="M443" s="7" t="n">
        <v>0.04319958452</v>
      </c>
      <c r="N443" s="7" t="n">
        <v>13</v>
      </c>
      <c r="O443" s="7" t="n">
        <v>13</v>
      </c>
      <c r="P443" s="7" t="n">
        <v>12</v>
      </c>
      <c r="Q443" s="2"/>
      <c r="R443" s="7" t="n">
        <v>2.201224</v>
      </c>
      <c r="S443" s="5" t="s">
        <v>60</v>
      </c>
      <c r="T443" s="5" t="s">
        <v>61</v>
      </c>
    </row>
    <row r="444" customFormat="false" ht="15" hidden="false" customHeight="false" outlineLevel="0" collapsed="false">
      <c r="A444" s="5" t="s">
        <v>4</v>
      </c>
      <c r="B444" s="5" t="s">
        <v>55</v>
      </c>
      <c r="C444" s="2" t="s">
        <v>56</v>
      </c>
      <c r="D444" s="5" t="s">
        <v>77</v>
      </c>
      <c r="E444" s="5" t="s">
        <v>58</v>
      </c>
      <c r="F444" s="2" t="n">
        <v>16</v>
      </c>
      <c r="G444" s="5" t="s">
        <v>68</v>
      </c>
      <c r="H444" s="2" t="n">
        <v>1</v>
      </c>
      <c r="I444" s="2" t="n">
        <v>1</v>
      </c>
      <c r="J444" s="2" t="n">
        <v>1</v>
      </c>
      <c r="K444" s="7" t="n">
        <v>0.7102688246</v>
      </c>
      <c r="L444" s="7" t="n">
        <v>0.05707465427</v>
      </c>
      <c r="M444" s="7" t="n">
        <v>0.07112085512</v>
      </c>
      <c r="N444" s="7" t="n">
        <v>9</v>
      </c>
      <c r="O444" s="7" t="n">
        <v>9</v>
      </c>
      <c r="P444" s="7" t="n">
        <v>0</v>
      </c>
      <c r="Q444" s="2"/>
      <c r="R444" s="7" t="n">
        <v>5.631226</v>
      </c>
      <c r="S444" s="5" t="s">
        <v>60</v>
      </c>
      <c r="T444" s="5" t="s">
        <v>61</v>
      </c>
    </row>
    <row r="445" customFormat="false" ht="15" hidden="false" customHeight="false" outlineLevel="0" collapsed="false">
      <c r="A445" s="5" t="s">
        <v>4</v>
      </c>
      <c r="B445" s="5" t="s">
        <v>55</v>
      </c>
      <c r="C445" s="2" t="s">
        <v>56</v>
      </c>
      <c r="D445" s="5" t="s">
        <v>77</v>
      </c>
      <c r="E445" s="5" t="s">
        <v>62</v>
      </c>
      <c r="F445" s="2" t="n">
        <v>16</v>
      </c>
      <c r="G445" s="5" t="s">
        <v>68</v>
      </c>
      <c r="H445" s="2" t="n">
        <v>1</v>
      </c>
      <c r="I445" s="2" t="n">
        <v>1</v>
      </c>
      <c r="J445" s="2" t="n">
        <v>1</v>
      </c>
      <c r="K445" s="7" t="n">
        <v>0.7102688246</v>
      </c>
      <c r="L445" s="7" t="n">
        <v>0.05707465427</v>
      </c>
      <c r="M445" s="7" t="n">
        <v>0.07112085512</v>
      </c>
      <c r="N445" s="7" t="n">
        <v>9</v>
      </c>
      <c r="O445" s="7" t="n">
        <v>9</v>
      </c>
      <c r="P445" s="7" t="n">
        <v>9</v>
      </c>
      <c r="Q445" s="2"/>
      <c r="R445" s="7" t="n">
        <v>6.141389</v>
      </c>
      <c r="S445" s="5" t="s">
        <v>60</v>
      </c>
      <c r="T445" s="5" t="s">
        <v>61</v>
      </c>
    </row>
    <row r="446" customFormat="false" ht="15" hidden="false" customHeight="false" outlineLevel="0" collapsed="false">
      <c r="A446" s="5" t="s">
        <v>4</v>
      </c>
      <c r="B446" s="5" t="s">
        <v>55</v>
      </c>
      <c r="C446" s="2" t="s">
        <v>56</v>
      </c>
      <c r="D446" s="5" t="s">
        <v>77</v>
      </c>
      <c r="E446" s="5" t="s">
        <v>58</v>
      </c>
      <c r="F446" s="2" t="n">
        <v>16</v>
      </c>
      <c r="G446" s="5" t="s">
        <v>69</v>
      </c>
      <c r="H446" s="2" t="n">
        <v>1</v>
      </c>
      <c r="I446" s="2" t="n">
        <v>1</v>
      </c>
      <c r="J446" s="2" t="n">
        <v>1</v>
      </c>
      <c r="K446" s="7" t="n">
        <v>0.7638036968</v>
      </c>
      <c r="L446" s="7" t="n">
        <v>0.07283134105</v>
      </c>
      <c r="M446" s="7" t="n">
        <v>0.09010368618</v>
      </c>
      <c r="N446" s="7" t="n">
        <v>4</v>
      </c>
      <c r="O446" s="7" t="n">
        <v>4</v>
      </c>
      <c r="P446" s="7" t="n">
        <v>0</v>
      </c>
      <c r="Q446" s="2"/>
      <c r="R446" s="7" t="n">
        <v>6.678263</v>
      </c>
      <c r="S446" s="5" t="s">
        <v>60</v>
      </c>
      <c r="T446" s="5" t="s">
        <v>61</v>
      </c>
    </row>
    <row r="447" customFormat="false" ht="15" hidden="false" customHeight="false" outlineLevel="0" collapsed="false">
      <c r="A447" s="5" t="s">
        <v>4</v>
      </c>
      <c r="B447" s="5" t="s">
        <v>55</v>
      </c>
      <c r="C447" s="2" t="s">
        <v>56</v>
      </c>
      <c r="D447" s="5" t="s">
        <v>77</v>
      </c>
      <c r="E447" s="5" t="s">
        <v>62</v>
      </c>
      <c r="F447" s="2" t="n">
        <v>16</v>
      </c>
      <c r="G447" s="5" t="s">
        <v>69</v>
      </c>
      <c r="H447" s="2" t="n">
        <v>1</v>
      </c>
      <c r="I447" s="2" t="n">
        <v>1</v>
      </c>
      <c r="J447" s="2" t="n">
        <v>1</v>
      </c>
      <c r="K447" s="7" t="n">
        <v>0.7638036968</v>
      </c>
      <c r="L447" s="7" t="n">
        <v>0.07283134105</v>
      </c>
      <c r="M447" s="7" t="n">
        <v>0.09010368618</v>
      </c>
      <c r="N447" s="7" t="n">
        <v>4</v>
      </c>
      <c r="O447" s="7" t="n">
        <v>4</v>
      </c>
      <c r="P447" s="7" t="n">
        <v>4</v>
      </c>
      <c r="Q447" s="2"/>
      <c r="R447" s="7" t="n">
        <v>6.987951</v>
      </c>
      <c r="S447" s="5" t="s">
        <v>60</v>
      </c>
      <c r="T447" s="5" t="s">
        <v>61</v>
      </c>
    </row>
    <row r="448" customFormat="false" ht="15" hidden="false" customHeight="false" outlineLevel="0" collapsed="false">
      <c r="A448" s="5" t="s">
        <v>4</v>
      </c>
      <c r="B448" s="5" t="s">
        <v>55</v>
      </c>
      <c r="C448" s="2" t="s">
        <v>56</v>
      </c>
      <c r="D448" s="5" t="s">
        <v>77</v>
      </c>
      <c r="E448" s="5" t="s">
        <v>58</v>
      </c>
      <c r="F448" s="2" t="n">
        <v>16</v>
      </c>
      <c r="G448" s="5" t="s">
        <v>70</v>
      </c>
      <c r="H448" s="2" t="n">
        <v>0</v>
      </c>
      <c r="I448" s="2" t="n">
        <v>1</v>
      </c>
      <c r="J448" s="2" t="n">
        <v>1</v>
      </c>
      <c r="K448" s="7" t="n">
        <v>0.5018247449</v>
      </c>
      <c r="L448" s="7" t="n">
        <v>0.02395733278</v>
      </c>
      <c r="M448" s="7" t="n">
        <v>0.03926190446</v>
      </c>
      <c r="N448" s="7" t="n">
        <v>7</v>
      </c>
      <c r="O448" s="7" t="n">
        <v>7</v>
      </c>
      <c r="P448" s="7" t="n">
        <v>0</v>
      </c>
      <c r="Q448" s="2"/>
      <c r="R448" s="7" t="n">
        <v>2.674444</v>
      </c>
      <c r="S448" s="5" t="s">
        <v>60</v>
      </c>
      <c r="T448" s="5" t="s">
        <v>61</v>
      </c>
    </row>
    <row r="449" customFormat="false" ht="15" hidden="false" customHeight="false" outlineLevel="0" collapsed="false">
      <c r="A449" s="5" t="s">
        <v>4</v>
      </c>
      <c r="B449" s="5" t="s">
        <v>55</v>
      </c>
      <c r="C449" s="2" t="s">
        <v>56</v>
      </c>
      <c r="D449" s="5" t="s">
        <v>77</v>
      </c>
      <c r="E449" s="5" t="s">
        <v>62</v>
      </c>
      <c r="F449" s="2" t="n">
        <v>16</v>
      </c>
      <c r="G449" s="5" t="s">
        <v>70</v>
      </c>
      <c r="H449" s="2" t="n">
        <v>0</v>
      </c>
      <c r="I449" s="2" t="n">
        <v>1</v>
      </c>
      <c r="J449" s="2" t="n">
        <v>1</v>
      </c>
      <c r="K449" s="7" t="n">
        <v>0.5018247449</v>
      </c>
      <c r="L449" s="7" t="n">
        <v>0.02395733278</v>
      </c>
      <c r="M449" s="7" t="n">
        <v>0.03926190446</v>
      </c>
      <c r="N449" s="7" t="n">
        <v>7</v>
      </c>
      <c r="O449" s="7" t="n">
        <v>7</v>
      </c>
      <c r="P449" s="7" t="n">
        <v>7</v>
      </c>
      <c r="Q449" s="2"/>
      <c r="R449" s="7" t="n">
        <v>3.143657</v>
      </c>
      <c r="S449" s="5" t="s">
        <v>60</v>
      </c>
      <c r="T449" s="5" t="s">
        <v>61</v>
      </c>
    </row>
    <row r="450" customFormat="false" ht="15" hidden="false" customHeight="false" outlineLevel="0" collapsed="false">
      <c r="A450" s="5" t="s">
        <v>4</v>
      </c>
      <c r="B450" s="5" t="s">
        <v>55</v>
      </c>
      <c r="C450" s="2" t="s">
        <v>56</v>
      </c>
      <c r="D450" s="5" t="s">
        <v>77</v>
      </c>
      <c r="E450" s="5" t="s">
        <v>58</v>
      </c>
      <c r="F450" s="2" t="n">
        <v>17</v>
      </c>
      <c r="G450" s="5" t="s">
        <v>67</v>
      </c>
      <c r="H450" s="2" t="n">
        <v>1</v>
      </c>
      <c r="I450" s="2" t="n">
        <v>1</v>
      </c>
      <c r="J450" s="2" t="n">
        <v>1</v>
      </c>
      <c r="K450" s="7" t="n">
        <v>0.3919179925</v>
      </c>
      <c r="L450" s="7" t="n">
        <v>0.03458882423</v>
      </c>
      <c r="M450" s="7" t="n">
        <v>0.04359415276</v>
      </c>
      <c r="N450" s="7" t="n">
        <v>12</v>
      </c>
      <c r="O450" s="7" t="n">
        <v>12</v>
      </c>
      <c r="P450" s="7" t="n">
        <v>0</v>
      </c>
      <c r="Q450" s="2"/>
      <c r="R450" s="7" t="n">
        <v>1.431927</v>
      </c>
      <c r="S450" s="5" t="s">
        <v>60</v>
      </c>
      <c r="T450" s="5" t="s">
        <v>61</v>
      </c>
    </row>
    <row r="451" customFormat="false" ht="15" hidden="false" customHeight="false" outlineLevel="0" collapsed="false">
      <c r="A451" s="5" t="s">
        <v>4</v>
      </c>
      <c r="B451" s="5" t="s">
        <v>55</v>
      </c>
      <c r="C451" s="2" t="s">
        <v>56</v>
      </c>
      <c r="D451" s="5" t="s">
        <v>77</v>
      </c>
      <c r="E451" s="5" t="s">
        <v>62</v>
      </c>
      <c r="F451" s="2" t="n">
        <v>17</v>
      </c>
      <c r="G451" s="5" t="s">
        <v>67</v>
      </c>
      <c r="H451" s="2" t="n">
        <v>1</v>
      </c>
      <c r="I451" s="2" t="n">
        <v>1</v>
      </c>
      <c r="J451" s="2" t="n">
        <v>1</v>
      </c>
      <c r="K451" s="7" t="n">
        <v>0.3919179925</v>
      </c>
      <c r="L451" s="7" t="n">
        <v>0.03458882423</v>
      </c>
      <c r="M451" s="7" t="n">
        <v>0.04359415276</v>
      </c>
      <c r="N451" s="7" t="n">
        <v>12</v>
      </c>
      <c r="O451" s="7" t="n">
        <v>12</v>
      </c>
      <c r="P451" s="7" t="n">
        <v>11</v>
      </c>
      <c r="Q451" s="2"/>
      <c r="R451" s="7" t="n">
        <v>2.043381</v>
      </c>
      <c r="S451" s="5" t="s">
        <v>60</v>
      </c>
      <c r="T451" s="5" t="s">
        <v>61</v>
      </c>
    </row>
    <row r="452" customFormat="false" ht="15" hidden="false" customHeight="false" outlineLevel="0" collapsed="false">
      <c r="A452" s="5" t="s">
        <v>4</v>
      </c>
      <c r="B452" s="5" t="s">
        <v>55</v>
      </c>
      <c r="C452" s="2" t="s">
        <v>56</v>
      </c>
      <c r="D452" s="5" t="s">
        <v>77</v>
      </c>
      <c r="E452" s="5" t="s">
        <v>58</v>
      </c>
      <c r="F452" s="2" t="n">
        <v>17</v>
      </c>
      <c r="G452" s="5" t="s">
        <v>68</v>
      </c>
      <c r="H452" s="2" t="n">
        <v>1</v>
      </c>
      <c r="I452" s="2" t="n">
        <v>1</v>
      </c>
      <c r="J452" s="2" t="n">
        <v>1</v>
      </c>
      <c r="K452" s="7" t="n">
        <v>0.5140682312</v>
      </c>
      <c r="L452" s="7" t="n">
        <v>0.05186490933</v>
      </c>
      <c r="M452" s="7" t="n">
        <v>0.06028084768</v>
      </c>
      <c r="N452" s="7" t="n">
        <v>9</v>
      </c>
      <c r="O452" s="7" t="n">
        <v>9</v>
      </c>
      <c r="P452" s="7" t="n">
        <v>0</v>
      </c>
      <c r="Q452" s="2"/>
      <c r="R452" s="7" t="n">
        <v>1.593667</v>
      </c>
      <c r="S452" s="5" t="s">
        <v>60</v>
      </c>
      <c r="T452" s="5" t="s">
        <v>61</v>
      </c>
    </row>
    <row r="453" customFormat="false" ht="15" hidden="false" customHeight="false" outlineLevel="0" collapsed="false">
      <c r="A453" s="5" t="s">
        <v>4</v>
      </c>
      <c r="B453" s="5" t="s">
        <v>55</v>
      </c>
      <c r="C453" s="2" t="s">
        <v>56</v>
      </c>
      <c r="D453" s="5" t="s">
        <v>77</v>
      </c>
      <c r="E453" s="5" t="s">
        <v>62</v>
      </c>
      <c r="F453" s="2" t="n">
        <v>17</v>
      </c>
      <c r="G453" s="5" t="s">
        <v>68</v>
      </c>
      <c r="H453" s="2" t="n">
        <v>1</v>
      </c>
      <c r="I453" s="2" t="n">
        <v>1</v>
      </c>
      <c r="J453" s="2" t="n">
        <v>1</v>
      </c>
      <c r="K453" s="7" t="n">
        <v>0.5140682312</v>
      </c>
      <c r="L453" s="7" t="n">
        <v>0.05186490933</v>
      </c>
      <c r="M453" s="7" t="n">
        <v>0.06028084768</v>
      </c>
      <c r="N453" s="7" t="n">
        <v>9</v>
      </c>
      <c r="O453" s="7" t="n">
        <v>9</v>
      </c>
      <c r="P453" s="7" t="n">
        <v>9</v>
      </c>
      <c r="Q453" s="2"/>
      <c r="R453" s="7" t="n">
        <v>2.087286</v>
      </c>
      <c r="S453" s="5" t="s">
        <v>60</v>
      </c>
      <c r="T453" s="5" t="s">
        <v>61</v>
      </c>
    </row>
    <row r="454" customFormat="false" ht="15" hidden="false" customHeight="false" outlineLevel="0" collapsed="false">
      <c r="A454" s="5" t="s">
        <v>4</v>
      </c>
      <c r="B454" s="5" t="s">
        <v>55</v>
      </c>
      <c r="C454" s="2" t="s">
        <v>56</v>
      </c>
      <c r="D454" s="5" t="s">
        <v>77</v>
      </c>
      <c r="E454" s="5" t="s">
        <v>58</v>
      </c>
      <c r="F454" s="2" t="n">
        <v>17</v>
      </c>
      <c r="G454" s="5" t="s">
        <v>69</v>
      </c>
      <c r="H454" s="2" t="n">
        <v>1</v>
      </c>
      <c r="I454" s="2" t="n">
        <v>1</v>
      </c>
      <c r="J454" s="2" t="n">
        <v>1</v>
      </c>
      <c r="K454" s="7" t="n">
        <v>0.5284738559</v>
      </c>
      <c r="L454" s="7" t="n">
        <v>0.09230633507</v>
      </c>
      <c r="M454" s="7" t="n">
        <v>0.09924315312</v>
      </c>
      <c r="N454" s="7" t="n">
        <v>11</v>
      </c>
      <c r="O454" s="7" t="n">
        <v>11</v>
      </c>
      <c r="P454" s="7" t="n">
        <v>0</v>
      </c>
      <c r="Q454" s="2"/>
      <c r="R454" s="7" t="n">
        <v>2.777447</v>
      </c>
      <c r="S454" s="5" t="s">
        <v>60</v>
      </c>
      <c r="T454" s="5" t="s">
        <v>61</v>
      </c>
    </row>
    <row r="455" customFormat="false" ht="15" hidden="false" customHeight="false" outlineLevel="0" collapsed="false">
      <c r="A455" s="5" t="s">
        <v>4</v>
      </c>
      <c r="B455" s="5" t="s">
        <v>55</v>
      </c>
      <c r="C455" s="2" t="s">
        <v>56</v>
      </c>
      <c r="D455" s="5" t="s">
        <v>77</v>
      </c>
      <c r="E455" s="5" t="s">
        <v>62</v>
      </c>
      <c r="F455" s="2" t="n">
        <v>17</v>
      </c>
      <c r="G455" s="5" t="s">
        <v>69</v>
      </c>
      <c r="H455" s="2" t="n">
        <v>1</v>
      </c>
      <c r="I455" s="2" t="n">
        <v>1</v>
      </c>
      <c r="J455" s="2" t="n">
        <v>1</v>
      </c>
      <c r="K455" s="7" t="n">
        <v>0.5284738559</v>
      </c>
      <c r="L455" s="7" t="n">
        <v>0.09230633507</v>
      </c>
      <c r="M455" s="7" t="n">
        <v>0.09924315312</v>
      </c>
      <c r="N455" s="7" t="n">
        <v>11</v>
      </c>
      <c r="O455" s="7" t="n">
        <v>11</v>
      </c>
      <c r="P455" s="7" t="n">
        <v>11</v>
      </c>
      <c r="Q455" s="2"/>
      <c r="R455" s="7" t="n">
        <v>3.369813</v>
      </c>
      <c r="S455" s="5" t="s">
        <v>60</v>
      </c>
      <c r="T455" s="5" t="s">
        <v>61</v>
      </c>
    </row>
    <row r="456" customFormat="false" ht="15" hidden="false" customHeight="false" outlineLevel="0" collapsed="false">
      <c r="A456" s="5" t="s">
        <v>4</v>
      </c>
      <c r="B456" s="5" t="s">
        <v>55</v>
      </c>
      <c r="C456" s="2" t="s">
        <v>56</v>
      </c>
      <c r="D456" s="5" t="s">
        <v>77</v>
      </c>
      <c r="E456" s="5" t="s">
        <v>58</v>
      </c>
      <c r="F456" s="2" t="n">
        <v>17</v>
      </c>
      <c r="G456" s="5" t="s">
        <v>70</v>
      </c>
      <c r="H456" s="2" t="n">
        <v>0</v>
      </c>
      <c r="I456" s="2" t="n">
        <v>1</v>
      </c>
      <c r="J456" s="2" t="n">
        <v>1</v>
      </c>
      <c r="K456" s="7" t="n">
        <v>0.5290248621</v>
      </c>
      <c r="L456" s="7" t="n">
        <v>0.009415501846</v>
      </c>
      <c r="M456" s="7" t="n">
        <v>0.04091807305</v>
      </c>
      <c r="N456" s="7" t="n">
        <v>6</v>
      </c>
      <c r="O456" s="7" t="n">
        <v>6</v>
      </c>
      <c r="P456" s="7" t="n">
        <v>0</v>
      </c>
      <c r="Q456" s="2"/>
      <c r="R456" s="7" t="n">
        <v>7.065294</v>
      </c>
      <c r="S456" s="5" t="s">
        <v>60</v>
      </c>
      <c r="T456" s="5" t="s">
        <v>61</v>
      </c>
    </row>
    <row r="457" customFormat="false" ht="15" hidden="false" customHeight="false" outlineLevel="0" collapsed="false">
      <c r="A457" s="5" t="s">
        <v>4</v>
      </c>
      <c r="B457" s="5" t="s">
        <v>55</v>
      </c>
      <c r="C457" s="2" t="s">
        <v>56</v>
      </c>
      <c r="D457" s="5" t="s">
        <v>77</v>
      </c>
      <c r="E457" s="5" t="s">
        <v>62</v>
      </c>
      <c r="F457" s="2" t="n">
        <v>17</v>
      </c>
      <c r="G457" s="5" t="s">
        <v>70</v>
      </c>
      <c r="H457" s="2" t="n">
        <v>0</v>
      </c>
      <c r="I457" s="2" t="n">
        <v>1</v>
      </c>
      <c r="J457" s="2" t="n">
        <v>1</v>
      </c>
      <c r="K457" s="7" t="n">
        <v>0.5290248621</v>
      </c>
      <c r="L457" s="7" t="n">
        <v>0.009415501846</v>
      </c>
      <c r="M457" s="7" t="n">
        <v>0.04091807305</v>
      </c>
      <c r="N457" s="7" t="n">
        <v>6</v>
      </c>
      <c r="O457" s="7" t="n">
        <v>6</v>
      </c>
      <c r="P457" s="7" t="n">
        <v>6</v>
      </c>
      <c r="Q457" s="2"/>
      <c r="R457" s="7" t="n">
        <v>7.563942</v>
      </c>
      <c r="S457" s="5" t="s">
        <v>60</v>
      </c>
      <c r="T457" s="5" t="s">
        <v>61</v>
      </c>
    </row>
    <row r="458" customFormat="false" ht="15" hidden="false" customHeight="false" outlineLevel="0" collapsed="false">
      <c r="A458" s="5" t="s">
        <v>4</v>
      </c>
      <c r="B458" s="5" t="s">
        <v>55</v>
      </c>
      <c r="C458" s="2" t="s">
        <v>56</v>
      </c>
      <c r="D458" s="5" t="s">
        <v>77</v>
      </c>
      <c r="E458" s="5" t="s">
        <v>58</v>
      </c>
      <c r="F458" s="2" t="n">
        <v>18</v>
      </c>
      <c r="G458" s="5" t="s">
        <v>67</v>
      </c>
      <c r="H458" s="2" t="n">
        <v>1</v>
      </c>
      <c r="I458" s="2" t="n">
        <v>1</v>
      </c>
      <c r="J458" s="2" t="n">
        <v>1</v>
      </c>
      <c r="K458" s="7" t="n">
        <v>1.030606494</v>
      </c>
      <c r="L458" s="7" t="n">
        <v>0.06864447795</v>
      </c>
      <c r="M458" s="7" t="n">
        <v>0.09359916218</v>
      </c>
      <c r="N458" s="7" t="n">
        <v>5</v>
      </c>
      <c r="O458" s="7" t="n">
        <v>5</v>
      </c>
      <c r="P458" s="7" t="n">
        <v>0</v>
      </c>
      <c r="Q458" s="2"/>
      <c r="R458" s="7" t="n">
        <v>1.769146</v>
      </c>
      <c r="S458" s="5" t="s">
        <v>60</v>
      </c>
      <c r="T458" s="5" t="s">
        <v>61</v>
      </c>
    </row>
    <row r="459" customFormat="false" ht="15" hidden="false" customHeight="false" outlineLevel="0" collapsed="false">
      <c r="A459" s="5" t="s">
        <v>4</v>
      </c>
      <c r="B459" s="5" t="s">
        <v>55</v>
      </c>
      <c r="C459" s="2" t="s">
        <v>56</v>
      </c>
      <c r="D459" s="5" t="s">
        <v>77</v>
      </c>
      <c r="E459" s="5" t="s">
        <v>62</v>
      </c>
      <c r="F459" s="2" t="n">
        <v>18</v>
      </c>
      <c r="G459" s="5" t="s">
        <v>67</v>
      </c>
      <c r="H459" s="2" t="n">
        <v>1</v>
      </c>
      <c r="I459" s="2" t="n">
        <v>1</v>
      </c>
      <c r="J459" s="2" t="n">
        <v>1</v>
      </c>
      <c r="K459" s="7" t="n">
        <v>1.030606494</v>
      </c>
      <c r="L459" s="7" t="n">
        <v>0.06864447795</v>
      </c>
      <c r="M459" s="7" t="n">
        <v>0.09359916218</v>
      </c>
      <c r="N459" s="7" t="n">
        <v>5</v>
      </c>
      <c r="O459" s="7" t="n">
        <v>5</v>
      </c>
      <c r="P459" s="7" t="n">
        <v>5</v>
      </c>
      <c r="Q459" s="2"/>
      <c r="R459" s="7" t="n">
        <v>2.112073</v>
      </c>
      <c r="S459" s="5" t="s">
        <v>60</v>
      </c>
      <c r="T459" s="5" t="s">
        <v>61</v>
      </c>
    </row>
    <row r="460" customFormat="false" ht="15" hidden="false" customHeight="false" outlineLevel="0" collapsed="false">
      <c r="A460" s="5" t="s">
        <v>4</v>
      </c>
      <c r="B460" s="5" t="s">
        <v>55</v>
      </c>
      <c r="C460" s="2" t="s">
        <v>56</v>
      </c>
      <c r="D460" s="5" t="s">
        <v>77</v>
      </c>
      <c r="E460" s="5" t="s">
        <v>58</v>
      </c>
      <c r="F460" s="2" t="n">
        <v>18</v>
      </c>
      <c r="G460" s="5" t="s">
        <v>68</v>
      </c>
      <c r="H460" s="2" t="n">
        <v>1</v>
      </c>
      <c r="I460" s="2" t="n">
        <v>1</v>
      </c>
      <c r="J460" s="2" t="n">
        <v>1</v>
      </c>
      <c r="K460" s="7" t="n">
        <v>0.4698780449</v>
      </c>
      <c r="L460" s="7" t="n">
        <v>0.0335657658</v>
      </c>
      <c r="M460" s="7" t="n">
        <v>0.05007874155</v>
      </c>
      <c r="N460" s="7" t="n">
        <v>9</v>
      </c>
      <c r="O460" s="7" t="n">
        <v>9</v>
      </c>
      <c r="P460" s="7" t="n">
        <v>0</v>
      </c>
      <c r="Q460" s="2"/>
      <c r="R460" s="7" t="n">
        <v>5.536374</v>
      </c>
      <c r="S460" s="5" t="s">
        <v>60</v>
      </c>
      <c r="T460" s="5" t="s">
        <v>61</v>
      </c>
    </row>
    <row r="461" customFormat="false" ht="15" hidden="false" customHeight="false" outlineLevel="0" collapsed="false">
      <c r="A461" s="5" t="s">
        <v>4</v>
      </c>
      <c r="B461" s="5" t="s">
        <v>55</v>
      </c>
      <c r="C461" s="2" t="s">
        <v>56</v>
      </c>
      <c r="D461" s="5" t="s">
        <v>77</v>
      </c>
      <c r="E461" s="5" t="s">
        <v>62</v>
      </c>
      <c r="F461" s="2" t="n">
        <v>18</v>
      </c>
      <c r="G461" s="5" t="s">
        <v>68</v>
      </c>
      <c r="H461" s="2" t="n">
        <v>1</v>
      </c>
      <c r="I461" s="2" t="n">
        <v>1</v>
      </c>
      <c r="J461" s="2" t="n">
        <v>1</v>
      </c>
      <c r="K461" s="7" t="n">
        <v>0.4698780449</v>
      </c>
      <c r="L461" s="7" t="n">
        <v>0.0335657658</v>
      </c>
      <c r="M461" s="7" t="n">
        <v>0.05007874155</v>
      </c>
      <c r="N461" s="7" t="n">
        <v>9</v>
      </c>
      <c r="O461" s="7" t="n">
        <v>9</v>
      </c>
      <c r="P461" s="7" t="n">
        <v>9</v>
      </c>
      <c r="Q461" s="2"/>
      <c r="R461" s="7" t="n">
        <v>6.053629</v>
      </c>
      <c r="S461" s="5" t="s">
        <v>60</v>
      </c>
      <c r="T461" s="5" t="s">
        <v>61</v>
      </c>
    </row>
    <row r="462" customFormat="false" ht="15" hidden="false" customHeight="false" outlineLevel="0" collapsed="false">
      <c r="A462" s="5" t="s">
        <v>4</v>
      </c>
      <c r="B462" s="5" t="s">
        <v>55</v>
      </c>
      <c r="C462" s="2" t="s">
        <v>56</v>
      </c>
      <c r="D462" s="5" t="s">
        <v>77</v>
      </c>
      <c r="E462" s="5" t="s">
        <v>58</v>
      </c>
      <c r="F462" s="2" t="n">
        <v>18</v>
      </c>
      <c r="G462" s="5" t="s">
        <v>69</v>
      </c>
      <c r="H462" s="2" t="n">
        <v>1</v>
      </c>
      <c r="I462" s="2" t="n">
        <v>1</v>
      </c>
      <c r="J462" s="2" t="n">
        <v>1</v>
      </c>
      <c r="K462" s="7" t="n">
        <v>0.6777352237</v>
      </c>
      <c r="L462" s="7" t="n">
        <v>0.0796002556</v>
      </c>
      <c r="M462" s="7" t="n">
        <v>0.09126681615</v>
      </c>
      <c r="N462" s="7" t="n">
        <v>3</v>
      </c>
      <c r="O462" s="7" t="n">
        <v>3</v>
      </c>
      <c r="P462" s="7" t="n">
        <v>0</v>
      </c>
      <c r="Q462" s="2"/>
      <c r="R462" s="7" t="n">
        <v>6.344981</v>
      </c>
      <c r="S462" s="5" t="s">
        <v>60</v>
      </c>
      <c r="T462" s="5" t="s">
        <v>61</v>
      </c>
    </row>
    <row r="463" customFormat="false" ht="15" hidden="false" customHeight="false" outlineLevel="0" collapsed="false">
      <c r="A463" s="5" t="s">
        <v>4</v>
      </c>
      <c r="B463" s="5" t="s">
        <v>55</v>
      </c>
      <c r="C463" s="2" t="s">
        <v>56</v>
      </c>
      <c r="D463" s="5" t="s">
        <v>77</v>
      </c>
      <c r="E463" s="5" t="s">
        <v>62</v>
      </c>
      <c r="F463" s="2" t="n">
        <v>18</v>
      </c>
      <c r="G463" s="5" t="s">
        <v>69</v>
      </c>
      <c r="H463" s="2" t="n">
        <v>1</v>
      </c>
      <c r="I463" s="2" t="n">
        <v>1</v>
      </c>
      <c r="J463" s="2" t="n">
        <v>1</v>
      </c>
      <c r="K463" s="7" t="n">
        <v>0.6777352237</v>
      </c>
      <c r="L463" s="7" t="n">
        <v>0.0796002556</v>
      </c>
      <c r="M463" s="7" t="n">
        <v>0.09126681615</v>
      </c>
      <c r="N463" s="7" t="n">
        <v>3</v>
      </c>
      <c r="O463" s="7" t="n">
        <v>3</v>
      </c>
      <c r="P463" s="7" t="n">
        <v>3</v>
      </c>
      <c r="Q463" s="2"/>
      <c r="R463" s="7" t="n">
        <v>6.543985</v>
      </c>
      <c r="S463" s="5" t="s">
        <v>60</v>
      </c>
      <c r="T463" s="5" t="s">
        <v>61</v>
      </c>
    </row>
    <row r="464" customFormat="false" ht="15" hidden="false" customHeight="false" outlineLevel="0" collapsed="false">
      <c r="A464" s="5" t="s">
        <v>4</v>
      </c>
      <c r="B464" s="5" t="s">
        <v>55</v>
      </c>
      <c r="C464" s="2" t="s">
        <v>56</v>
      </c>
      <c r="D464" s="5" t="s">
        <v>77</v>
      </c>
      <c r="E464" s="5" t="s">
        <v>58</v>
      </c>
      <c r="F464" s="2" t="n">
        <v>18</v>
      </c>
      <c r="G464" s="5" t="s">
        <v>70</v>
      </c>
      <c r="H464" s="2" t="n">
        <v>0</v>
      </c>
      <c r="I464" s="2" t="n">
        <v>1</v>
      </c>
      <c r="J464" s="2" t="n">
        <v>1</v>
      </c>
      <c r="K464" s="7" t="n">
        <v>0.416263552</v>
      </c>
      <c r="L464" s="7" t="n">
        <v>0.05970980466</v>
      </c>
      <c r="M464" s="7" t="n">
        <v>0.06748441384</v>
      </c>
      <c r="N464" s="7" t="n">
        <v>10</v>
      </c>
      <c r="O464" s="7" t="n">
        <v>10</v>
      </c>
      <c r="P464" s="7" t="n">
        <v>0</v>
      </c>
      <c r="Q464" s="2"/>
      <c r="R464" s="7" t="n">
        <v>2.587033</v>
      </c>
      <c r="S464" s="5" t="s">
        <v>60</v>
      </c>
      <c r="T464" s="5" t="s">
        <v>61</v>
      </c>
    </row>
    <row r="465" customFormat="false" ht="15" hidden="false" customHeight="false" outlineLevel="0" collapsed="false">
      <c r="A465" s="5" t="s">
        <v>4</v>
      </c>
      <c r="B465" s="5" t="s">
        <v>55</v>
      </c>
      <c r="C465" s="2" t="s">
        <v>56</v>
      </c>
      <c r="D465" s="5" t="s">
        <v>77</v>
      </c>
      <c r="E465" s="5" t="s">
        <v>62</v>
      </c>
      <c r="F465" s="2" t="n">
        <v>18</v>
      </c>
      <c r="G465" s="5" t="s">
        <v>70</v>
      </c>
      <c r="H465" s="2" t="n">
        <v>0</v>
      </c>
      <c r="I465" s="2" t="n">
        <v>1</v>
      </c>
      <c r="J465" s="2" t="n">
        <v>1</v>
      </c>
      <c r="K465" s="7" t="n">
        <v>0.7613198522</v>
      </c>
      <c r="L465" s="7" t="n">
        <v>0.06751242083</v>
      </c>
      <c r="M465" s="7" t="n">
        <v>0.08621355364</v>
      </c>
      <c r="N465" s="7" t="n">
        <v>10</v>
      </c>
      <c r="O465" s="7" t="n">
        <v>10</v>
      </c>
      <c r="P465" s="7" t="n">
        <v>9</v>
      </c>
      <c r="Q465" s="2"/>
      <c r="R465" s="7" t="n">
        <v>3.166671</v>
      </c>
      <c r="S465" s="5" t="s">
        <v>60</v>
      </c>
      <c r="T465" s="5" t="s">
        <v>61</v>
      </c>
    </row>
    <row r="466" customFormat="false" ht="15" hidden="false" customHeight="false" outlineLevel="0" collapsed="false">
      <c r="A466" s="5" t="s">
        <v>4</v>
      </c>
      <c r="B466" s="5" t="s">
        <v>55</v>
      </c>
      <c r="C466" s="2" t="s">
        <v>56</v>
      </c>
      <c r="D466" s="5" t="s">
        <v>77</v>
      </c>
      <c r="E466" s="5" t="s">
        <v>58</v>
      </c>
      <c r="F466" s="2" t="n">
        <v>19</v>
      </c>
      <c r="G466" s="5" t="s">
        <v>67</v>
      </c>
      <c r="H466" s="2" t="n">
        <v>1</v>
      </c>
      <c r="I466" s="2" t="n">
        <v>1</v>
      </c>
      <c r="J466" s="2" t="n">
        <v>1</v>
      </c>
      <c r="K466" s="7" t="n">
        <v>1.248399554</v>
      </c>
      <c r="L466" s="7" t="n">
        <v>0.06369928207</v>
      </c>
      <c r="M466" s="7" t="n">
        <v>0.1010734821</v>
      </c>
      <c r="N466" s="7" t="n">
        <v>17</v>
      </c>
      <c r="O466" s="7" t="n">
        <v>17</v>
      </c>
      <c r="P466" s="7" t="n">
        <v>0</v>
      </c>
      <c r="Q466" s="2"/>
      <c r="R466" s="7" t="n">
        <v>1.367541</v>
      </c>
      <c r="S466" s="5" t="s">
        <v>60</v>
      </c>
      <c r="T466" s="5" t="s">
        <v>61</v>
      </c>
    </row>
    <row r="467" customFormat="false" ht="15" hidden="false" customHeight="false" outlineLevel="0" collapsed="false">
      <c r="A467" s="5" t="s">
        <v>4</v>
      </c>
      <c r="B467" s="5" t="s">
        <v>55</v>
      </c>
      <c r="C467" s="2" t="s">
        <v>56</v>
      </c>
      <c r="D467" s="5" t="s">
        <v>77</v>
      </c>
      <c r="E467" s="5" t="s">
        <v>62</v>
      </c>
      <c r="F467" s="2" t="n">
        <v>19</v>
      </c>
      <c r="G467" s="5" t="s">
        <v>67</v>
      </c>
      <c r="H467" s="2" t="n">
        <v>1</v>
      </c>
      <c r="I467" s="2" t="n">
        <v>1</v>
      </c>
      <c r="J467" s="2" t="n">
        <v>1</v>
      </c>
      <c r="K467" s="7" t="n">
        <v>0.141728047</v>
      </c>
      <c r="L467" s="7" t="n">
        <v>0.03584946006</v>
      </c>
      <c r="M467" s="7" t="n">
        <v>0.03757160191</v>
      </c>
      <c r="N467" s="7" t="n">
        <v>17</v>
      </c>
      <c r="O467" s="7" t="n">
        <v>17</v>
      </c>
      <c r="P467" s="7" t="n">
        <v>15</v>
      </c>
      <c r="Q467" s="2"/>
      <c r="R467" s="7" t="n">
        <v>2.075167</v>
      </c>
      <c r="S467" s="5" t="s">
        <v>60</v>
      </c>
      <c r="T467" s="5" t="s">
        <v>61</v>
      </c>
    </row>
    <row r="468" customFormat="false" ht="15" hidden="false" customHeight="false" outlineLevel="0" collapsed="false">
      <c r="A468" s="5" t="s">
        <v>4</v>
      </c>
      <c r="B468" s="5" t="s">
        <v>55</v>
      </c>
      <c r="C468" s="2" t="s">
        <v>56</v>
      </c>
      <c r="D468" s="5" t="s">
        <v>77</v>
      </c>
      <c r="E468" s="5" t="s">
        <v>58</v>
      </c>
      <c r="F468" s="2" t="n">
        <v>19</v>
      </c>
      <c r="G468" s="5" t="s">
        <v>68</v>
      </c>
      <c r="H468" s="2" t="n">
        <v>1</v>
      </c>
      <c r="I468" s="2" t="n">
        <v>1</v>
      </c>
      <c r="J468" s="2" t="n">
        <v>1</v>
      </c>
      <c r="K468" s="7" t="n">
        <v>0.3652415465</v>
      </c>
      <c r="L468" s="7" t="n">
        <v>0.01495892843</v>
      </c>
      <c r="M468" s="7" t="n">
        <v>0.02872285443</v>
      </c>
      <c r="N468" s="7" t="n">
        <v>11</v>
      </c>
      <c r="O468" s="7" t="n">
        <v>11</v>
      </c>
      <c r="P468" s="7" t="n">
        <v>0</v>
      </c>
      <c r="Q468" s="2"/>
      <c r="R468" s="7" t="n">
        <v>1.477925</v>
      </c>
      <c r="S468" s="5" t="s">
        <v>60</v>
      </c>
      <c r="T468" s="5" t="s">
        <v>61</v>
      </c>
    </row>
    <row r="469" customFormat="false" ht="15" hidden="false" customHeight="false" outlineLevel="0" collapsed="false">
      <c r="A469" s="5" t="s">
        <v>4</v>
      </c>
      <c r="B469" s="5" t="s">
        <v>55</v>
      </c>
      <c r="C469" s="2" t="s">
        <v>56</v>
      </c>
      <c r="D469" s="5" t="s">
        <v>77</v>
      </c>
      <c r="E469" s="5" t="s">
        <v>62</v>
      </c>
      <c r="F469" s="2" t="n">
        <v>19</v>
      </c>
      <c r="G469" s="5" t="s">
        <v>68</v>
      </c>
      <c r="H469" s="2" t="n">
        <v>1</v>
      </c>
      <c r="I469" s="2" t="n">
        <v>1</v>
      </c>
      <c r="J469" s="2" t="n">
        <v>1</v>
      </c>
      <c r="K469" s="7" t="n">
        <v>0.3652415465</v>
      </c>
      <c r="L469" s="7" t="n">
        <v>0.01495892843</v>
      </c>
      <c r="M469" s="7" t="n">
        <v>0.02872285443</v>
      </c>
      <c r="N469" s="7" t="n">
        <v>11</v>
      </c>
      <c r="O469" s="7" t="n">
        <v>11</v>
      </c>
      <c r="P469" s="7" t="n">
        <v>11</v>
      </c>
      <c r="Q469" s="2"/>
      <c r="R469" s="7" t="n">
        <v>2.152673</v>
      </c>
      <c r="S469" s="5" t="s">
        <v>60</v>
      </c>
      <c r="T469" s="5" t="s">
        <v>61</v>
      </c>
    </row>
    <row r="470" customFormat="false" ht="15" hidden="false" customHeight="false" outlineLevel="0" collapsed="false">
      <c r="A470" s="5" t="s">
        <v>4</v>
      </c>
      <c r="B470" s="5" t="s">
        <v>55</v>
      </c>
      <c r="C470" s="2" t="s">
        <v>56</v>
      </c>
      <c r="D470" s="5" t="s">
        <v>77</v>
      </c>
      <c r="E470" s="5" t="s">
        <v>58</v>
      </c>
      <c r="F470" s="2" t="n">
        <v>19</v>
      </c>
      <c r="G470" s="5" t="s">
        <v>69</v>
      </c>
      <c r="H470" s="2" t="n">
        <v>1</v>
      </c>
      <c r="I470" s="2" t="n">
        <v>1</v>
      </c>
      <c r="J470" s="2" t="n">
        <v>1</v>
      </c>
      <c r="K470" s="7" t="n">
        <v>0.5866420158</v>
      </c>
      <c r="L470" s="7" t="n">
        <v>0.1048749825</v>
      </c>
      <c r="M470" s="7" t="n">
        <v>0.1123080942</v>
      </c>
      <c r="N470" s="7" t="n">
        <v>9</v>
      </c>
      <c r="O470" s="7" t="n">
        <v>9</v>
      </c>
      <c r="P470" s="7" t="n">
        <v>0</v>
      </c>
      <c r="Q470" s="2"/>
      <c r="R470" s="7" t="n">
        <v>6.52017</v>
      </c>
      <c r="S470" s="5" t="s">
        <v>60</v>
      </c>
      <c r="T470" s="5" t="s">
        <v>61</v>
      </c>
    </row>
    <row r="471" customFormat="false" ht="15" hidden="false" customHeight="false" outlineLevel="0" collapsed="false">
      <c r="A471" s="5" t="s">
        <v>4</v>
      </c>
      <c r="B471" s="5" t="s">
        <v>55</v>
      </c>
      <c r="C471" s="2" t="s">
        <v>56</v>
      </c>
      <c r="D471" s="5" t="s">
        <v>77</v>
      </c>
      <c r="E471" s="5" t="s">
        <v>62</v>
      </c>
      <c r="F471" s="2" t="n">
        <v>19</v>
      </c>
      <c r="G471" s="5" t="s">
        <v>69</v>
      </c>
      <c r="H471" s="2" t="n">
        <v>1</v>
      </c>
      <c r="I471" s="2" t="n">
        <v>1</v>
      </c>
      <c r="J471" s="2" t="n">
        <v>1</v>
      </c>
      <c r="K471" s="7" t="n">
        <v>0.5866420158</v>
      </c>
      <c r="L471" s="7" t="n">
        <v>0.1048749825</v>
      </c>
      <c r="M471" s="7" t="n">
        <v>0.1123080942</v>
      </c>
      <c r="N471" s="7" t="n">
        <v>9</v>
      </c>
      <c r="O471" s="7" t="n">
        <v>9</v>
      </c>
      <c r="P471" s="7" t="n">
        <v>9</v>
      </c>
      <c r="Q471" s="2"/>
      <c r="R471" s="7" t="n">
        <v>7.078145</v>
      </c>
      <c r="S471" s="5" t="s">
        <v>60</v>
      </c>
      <c r="T471" s="5" t="s">
        <v>61</v>
      </c>
    </row>
    <row r="472" customFormat="false" ht="15" hidden="false" customHeight="false" outlineLevel="0" collapsed="false">
      <c r="A472" s="5" t="s">
        <v>4</v>
      </c>
      <c r="B472" s="5" t="s">
        <v>55</v>
      </c>
      <c r="C472" s="2" t="s">
        <v>56</v>
      </c>
      <c r="D472" s="5" t="s">
        <v>77</v>
      </c>
      <c r="E472" s="5" t="s">
        <v>58</v>
      </c>
      <c r="F472" s="2" t="n">
        <v>19</v>
      </c>
      <c r="G472" s="5" t="s">
        <v>70</v>
      </c>
      <c r="H472" s="2" t="n">
        <v>0</v>
      </c>
      <c r="I472" s="2" t="n">
        <v>1</v>
      </c>
      <c r="J472" s="2" t="n">
        <v>0</v>
      </c>
      <c r="K472" s="7" t="n">
        <v>2.231415498</v>
      </c>
      <c r="L472" s="7" t="n">
        <v>0.172078076</v>
      </c>
      <c r="M472" s="7" t="n">
        <v>0.2248781618</v>
      </c>
      <c r="N472" s="7" t="n">
        <v>9</v>
      </c>
      <c r="O472" s="7" t="n">
        <v>9</v>
      </c>
      <c r="P472" s="7" t="n">
        <v>0</v>
      </c>
      <c r="Q472" s="2"/>
      <c r="R472" s="7" t="n">
        <v>6.579276</v>
      </c>
      <c r="S472" s="5" t="s">
        <v>60</v>
      </c>
      <c r="T472" s="5" t="s">
        <v>61</v>
      </c>
    </row>
    <row r="473" customFormat="false" ht="15" hidden="false" customHeight="false" outlineLevel="0" collapsed="false">
      <c r="A473" s="5" t="s">
        <v>4</v>
      </c>
      <c r="B473" s="5" t="s">
        <v>55</v>
      </c>
      <c r="C473" s="2" t="s">
        <v>56</v>
      </c>
      <c r="D473" s="5" t="s">
        <v>77</v>
      </c>
      <c r="E473" s="5" t="s">
        <v>62</v>
      </c>
      <c r="F473" s="2" t="n">
        <v>19</v>
      </c>
      <c r="G473" s="5" t="s">
        <v>70</v>
      </c>
      <c r="H473" s="2" t="n">
        <v>0</v>
      </c>
      <c r="I473" s="2" t="n">
        <v>1</v>
      </c>
      <c r="J473" s="2" t="n">
        <v>1</v>
      </c>
      <c r="K473" s="7" t="n">
        <v>0.6605486349</v>
      </c>
      <c r="L473" s="7" t="n">
        <v>0.02053809016</v>
      </c>
      <c r="M473" s="7" t="n">
        <v>0.0484174844</v>
      </c>
      <c r="N473" s="7" t="n">
        <v>9</v>
      </c>
      <c r="O473" s="7" t="n">
        <v>9</v>
      </c>
      <c r="P473" s="7" t="n">
        <v>8</v>
      </c>
      <c r="Q473" s="2"/>
      <c r="R473" s="7" t="n">
        <v>7.128568</v>
      </c>
      <c r="S473" s="5" t="s">
        <v>60</v>
      </c>
      <c r="T473" s="5" t="s">
        <v>61</v>
      </c>
    </row>
    <row r="474" customFormat="false" ht="15" hidden="false" customHeight="false" outlineLevel="0" collapsed="false">
      <c r="A474" s="5" t="s">
        <v>4</v>
      </c>
      <c r="B474" s="5" t="s">
        <v>55</v>
      </c>
      <c r="C474" s="2" t="s">
        <v>56</v>
      </c>
      <c r="D474" s="5" t="s">
        <v>77</v>
      </c>
      <c r="E474" s="5" t="s">
        <v>58</v>
      </c>
      <c r="F474" s="2" t="n">
        <v>20</v>
      </c>
      <c r="G474" s="5" t="s">
        <v>67</v>
      </c>
      <c r="H474" s="2" t="n">
        <v>1</v>
      </c>
      <c r="I474" s="2" t="n">
        <v>1</v>
      </c>
      <c r="J474" s="2" t="n">
        <v>0</v>
      </c>
      <c r="K474" s="7" t="n">
        <v>2.997163299</v>
      </c>
      <c r="L474" s="7" t="n">
        <v>0.1819344805</v>
      </c>
      <c r="M474" s="7" t="n">
        <v>0.2521644646</v>
      </c>
      <c r="N474" s="7" t="n">
        <v>12</v>
      </c>
      <c r="O474" s="7" t="n">
        <v>12</v>
      </c>
      <c r="P474" s="7" t="n">
        <v>0</v>
      </c>
      <c r="Q474" s="2"/>
      <c r="R474" s="7" t="n">
        <v>1.500018</v>
      </c>
      <c r="S474" s="5" t="s">
        <v>60</v>
      </c>
      <c r="T474" s="5" t="s">
        <v>61</v>
      </c>
    </row>
    <row r="475" customFormat="false" ht="15" hidden="false" customHeight="false" outlineLevel="0" collapsed="false">
      <c r="A475" s="5" t="s">
        <v>4</v>
      </c>
      <c r="B475" s="5" t="s">
        <v>55</v>
      </c>
      <c r="C475" s="2" t="s">
        <v>56</v>
      </c>
      <c r="D475" s="5" t="s">
        <v>77</v>
      </c>
      <c r="E475" s="5" t="s">
        <v>62</v>
      </c>
      <c r="F475" s="2" t="n">
        <v>20</v>
      </c>
      <c r="G475" s="5" t="s">
        <v>67</v>
      </c>
      <c r="H475" s="2" t="n">
        <v>1</v>
      </c>
      <c r="I475" s="2" t="n">
        <v>1</v>
      </c>
      <c r="J475" s="2" t="n">
        <v>1</v>
      </c>
      <c r="K475" s="7" t="n">
        <v>0.5134916496</v>
      </c>
      <c r="L475" s="7" t="n">
        <v>0.02397104593</v>
      </c>
      <c r="M475" s="7" t="n">
        <v>0.03806825937</v>
      </c>
      <c r="N475" s="7" t="n">
        <v>12</v>
      </c>
      <c r="O475" s="7" t="n">
        <v>12</v>
      </c>
      <c r="P475" s="7" t="n">
        <v>10</v>
      </c>
      <c r="Q475" s="2"/>
      <c r="R475" s="7" t="n">
        <v>2.111571</v>
      </c>
      <c r="S475" s="5" t="s">
        <v>60</v>
      </c>
      <c r="T475" s="5" t="s">
        <v>61</v>
      </c>
    </row>
    <row r="476" customFormat="false" ht="15" hidden="false" customHeight="false" outlineLevel="0" collapsed="false">
      <c r="A476" s="5" t="s">
        <v>4</v>
      </c>
      <c r="B476" s="5" t="s">
        <v>55</v>
      </c>
      <c r="C476" s="2" t="s">
        <v>56</v>
      </c>
      <c r="D476" s="5" t="s">
        <v>77</v>
      </c>
      <c r="E476" s="5" t="s">
        <v>58</v>
      </c>
      <c r="F476" s="2" t="n">
        <v>20</v>
      </c>
      <c r="G476" s="5" t="s">
        <v>68</v>
      </c>
      <c r="H476" s="2" t="n">
        <v>1</v>
      </c>
      <c r="I476" s="2" t="n">
        <v>1</v>
      </c>
      <c r="J476" s="2" t="n">
        <v>1</v>
      </c>
      <c r="K476" s="7" t="n">
        <v>0.7963448737</v>
      </c>
      <c r="L476" s="7" t="n">
        <v>0.07804521061</v>
      </c>
      <c r="M476" s="7" t="n">
        <v>0.09321697521</v>
      </c>
      <c r="N476" s="7" t="n">
        <v>11</v>
      </c>
      <c r="O476" s="7" t="n">
        <v>11</v>
      </c>
      <c r="P476" s="7" t="n">
        <v>0</v>
      </c>
      <c r="Q476" s="2"/>
      <c r="R476" s="7" t="n">
        <v>1.492997</v>
      </c>
      <c r="S476" s="5" t="s">
        <v>60</v>
      </c>
      <c r="T476" s="5" t="s">
        <v>61</v>
      </c>
    </row>
    <row r="477" customFormat="false" ht="15" hidden="false" customHeight="false" outlineLevel="0" collapsed="false">
      <c r="A477" s="5" t="s">
        <v>4</v>
      </c>
      <c r="B477" s="5" t="s">
        <v>55</v>
      </c>
      <c r="C477" s="2" t="s">
        <v>56</v>
      </c>
      <c r="D477" s="5" t="s">
        <v>77</v>
      </c>
      <c r="E477" s="5" t="s">
        <v>62</v>
      </c>
      <c r="F477" s="2" t="n">
        <v>20</v>
      </c>
      <c r="G477" s="5" t="s">
        <v>68</v>
      </c>
      <c r="H477" s="2" t="n">
        <v>1</v>
      </c>
      <c r="I477" s="2" t="n">
        <v>1</v>
      </c>
      <c r="J477" s="2" t="n">
        <v>1</v>
      </c>
      <c r="K477" s="7" t="n">
        <v>0.7963448737</v>
      </c>
      <c r="L477" s="7" t="n">
        <v>0.07804521061</v>
      </c>
      <c r="M477" s="7" t="n">
        <v>0.09321697521</v>
      </c>
      <c r="N477" s="7" t="n">
        <v>11</v>
      </c>
      <c r="O477" s="7" t="n">
        <v>11</v>
      </c>
      <c r="P477" s="7" t="n">
        <v>11</v>
      </c>
      <c r="Q477" s="2"/>
      <c r="R477" s="7" t="n">
        <v>6.082362</v>
      </c>
      <c r="S477" s="5" t="s">
        <v>60</v>
      </c>
      <c r="T477" s="5" t="s">
        <v>61</v>
      </c>
    </row>
    <row r="478" customFormat="false" ht="15" hidden="false" customHeight="false" outlineLevel="0" collapsed="false">
      <c r="A478" s="5" t="s">
        <v>4</v>
      </c>
      <c r="B478" s="5" t="s">
        <v>55</v>
      </c>
      <c r="C478" s="2" t="s">
        <v>56</v>
      </c>
      <c r="D478" s="5" t="s">
        <v>77</v>
      </c>
      <c r="E478" s="5" t="s">
        <v>58</v>
      </c>
      <c r="F478" s="2" t="n">
        <v>20</v>
      </c>
      <c r="G478" s="5" t="s">
        <v>69</v>
      </c>
      <c r="H478" s="2" t="n">
        <v>1</v>
      </c>
      <c r="I478" s="2" t="n">
        <v>1</v>
      </c>
      <c r="J478" s="2" t="n">
        <v>1</v>
      </c>
      <c r="K478" s="7" t="n">
        <v>0.1329168519</v>
      </c>
      <c r="L478" s="7" t="n">
        <v>0.02460487636</v>
      </c>
      <c r="M478" s="7" t="n">
        <v>0.02749782083</v>
      </c>
      <c r="N478" s="7" t="n">
        <v>13</v>
      </c>
      <c r="O478" s="7" t="n">
        <v>13</v>
      </c>
      <c r="P478" s="7" t="n">
        <v>0</v>
      </c>
      <c r="Q478" s="2"/>
      <c r="R478" s="7" t="n">
        <v>9.635384</v>
      </c>
      <c r="S478" s="5" t="s">
        <v>60</v>
      </c>
      <c r="T478" s="5" t="s">
        <v>61</v>
      </c>
    </row>
    <row r="479" customFormat="false" ht="15" hidden="false" customHeight="false" outlineLevel="0" collapsed="false">
      <c r="A479" s="5" t="s">
        <v>4</v>
      </c>
      <c r="B479" s="5" t="s">
        <v>55</v>
      </c>
      <c r="C479" s="2" t="s">
        <v>56</v>
      </c>
      <c r="D479" s="5" t="s">
        <v>77</v>
      </c>
      <c r="E479" s="5" t="s">
        <v>62</v>
      </c>
      <c r="F479" s="2" t="n">
        <v>20</v>
      </c>
      <c r="G479" s="5" t="s">
        <v>69</v>
      </c>
      <c r="H479" s="2" t="n">
        <v>1</v>
      </c>
      <c r="I479" s="2" t="n">
        <v>1</v>
      </c>
      <c r="J479" s="2" t="n">
        <v>1</v>
      </c>
      <c r="K479" s="7" t="n">
        <v>0.1329168519</v>
      </c>
      <c r="L479" s="7" t="n">
        <v>0.02460487636</v>
      </c>
      <c r="M479" s="7" t="n">
        <v>0.02749782083</v>
      </c>
      <c r="N479" s="7" t="n">
        <v>13</v>
      </c>
      <c r="O479" s="7" t="n">
        <v>13</v>
      </c>
      <c r="P479" s="7" t="n">
        <v>13</v>
      </c>
      <c r="Q479" s="2"/>
      <c r="R479" s="7" t="n">
        <v>14.366199</v>
      </c>
      <c r="S479" s="5" t="s">
        <v>60</v>
      </c>
      <c r="T479" s="5" t="s">
        <v>61</v>
      </c>
    </row>
    <row r="480" customFormat="false" ht="15" hidden="false" customHeight="false" outlineLevel="0" collapsed="false">
      <c r="A480" s="5" t="s">
        <v>4</v>
      </c>
      <c r="B480" s="5" t="s">
        <v>55</v>
      </c>
      <c r="C480" s="2" t="s">
        <v>56</v>
      </c>
      <c r="D480" s="5" t="s">
        <v>77</v>
      </c>
      <c r="E480" s="5" t="s">
        <v>58</v>
      </c>
      <c r="F480" s="2" t="n">
        <v>20</v>
      </c>
      <c r="G480" s="5" t="s">
        <v>70</v>
      </c>
      <c r="H480" s="2" t="n">
        <v>0</v>
      </c>
      <c r="I480" s="2" t="n">
        <v>1</v>
      </c>
      <c r="J480" s="2" t="n">
        <v>1</v>
      </c>
      <c r="K480" s="7" t="n">
        <v>1.344860221</v>
      </c>
      <c r="L480" s="7" t="n">
        <v>0.06801624673</v>
      </c>
      <c r="M480" s="7" t="n">
        <v>0.1046457507</v>
      </c>
      <c r="N480" s="7" t="n">
        <v>12</v>
      </c>
      <c r="O480" s="7" t="n">
        <v>12</v>
      </c>
      <c r="P480" s="7" t="n">
        <v>0</v>
      </c>
      <c r="Q480" s="2"/>
      <c r="R480" s="7" t="n">
        <v>6.586942</v>
      </c>
      <c r="S480" s="5" t="s">
        <v>60</v>
      </c>
      <c r="T480" s="5" t="s">
        <v>61</v>
      </c>
    </row>
    <row r="481" customFormat="false" ht="15" hidden="false" customHeight="false" outlineLevel="0" collapsed="false">
      <c r="A481" s="5" t="s">
        <v>4</v>
      </c>
      <c r="B481" s="5" t="s">
        <v>55</v>
      </c>
      <c r="C481" s="2" t="s">
        <v>56</v>
      </c>
      <c r="D481" s="5" t="s">
        <v>77</v>
      </c>
      <c r="E481" s="5" t="s">
        <v>62</v>
      </c>
      <c r="F481" s="2" t="n">
        <v>20</v>
      </c>
      <c r="G481" s="5" t="s">
        <v>70</v>
      </c>
      <c r="H481" s="2" t="n">
        <v>0</v>
      </c>
      <c r="I481" s="2" t="n">
        <v>1</v>
      </c>
      <c r="J481" s="2" t="n">
        <v>1</v>
      </c>
      <c r="K481" s="7" t="n">
        <v>0.7093285672</v>
      </c>
      <c r="L481" s="7" t="n">
        <v>0.03865372982</v>
      </c>
      <c r="M481" s="7" t="n">
        <v>0.06157810565</v>
      </c>
      <c r="N481" s="7" t="n">
        <v>12</v>
      </c>
      <c r="O481" s="7" t="n">
        <v>12</v>
      </c>
      <c r="P481" s="7" t="n">
        <v>10</v>
      </c>
      <c r="Q481" s="2"/>
      <c r="R481" s="7" t="n">
        <v>7.215121</v>
      </c>
      <c r="S481" s="5" t="s">
        <v>60</v>
      </c>
      <c r="T481" s="5" t="s">
        <v>61</v>
      </c>
    </row>
    <row r="482" customFormat="false" ht="15" hidden="false" customHeight="false" outlineLevel="0" collapsed="false">
      <c r="A482" s="5" t="s">
        <v>4</v>
      </c>
      <c r="B482" s="5" t="s">
        <v>55</v>
      </c>
      <c r="C482" s="2" t="s">
        <v>56</v>
      </c>
      <c r="D482" s="5" t="s">
        <v>77</v>
      </c>
      <c r="E482" s="5" t="s">
        <v>58</v>
      </c>
      <c r="F482" s="2" t="n">
        <v>11</v>
      </c>
      <c r="G482" s="5" t="s">
        <v>71</v>
      </c>
      <c r="H482" s="2" t="n">
        <v>1</v>
      </c>
      <c r="I482" s="2" t="n">
        <v>1</v>
      </c>
      <c r="J482" s="2" t="n">
        <v>1</v>
      </c>
      <c r="K482" s="7" t="n">
        <v>0.574974501</v>
      </c>
      <c r="L482" s="7" t="n">
        <v>0.0345546381</v>
      </c>
      <c r="M482" s="7" t="n">
        <v>0.05095742751</v>
      </c>
      <c r="N482" s="7" t="n">
        <v>16</v>
      </c>
      <c r="O482" s="7" t="n">
        <v>16</v>
      </c>
      <c r="P482" s="7" t="n">
        <v>0</v>
      </c>
      <c r="Q482" s="2"/>
      <c r="R482" s="7" t="n">
        <v>1.440389</v>
      </c>
      <c r="S482" s="5" t="s">
        <v>60</v>
      </c>
      <c r="T482" s="5" t="s">
        <v>61</v>
      </c>
    </row>
    <row r="483" customFormat="false" ht="15" hidden="false" customHeight="false" outlineLevel="0" collapsed="false">
      <c r="A483" s="5" t="s">
        <v>4</v>
      </c>
      <c r="B483" s="5" t="s">
        <v>55</v>
      </c>
      <c r="C483" s="2" t="s">
        <v>56</v>
      </c>
      <c r="D483" s="5" t="s">
        <v>77</v>
      </c>
      <c r="E483" s="5" t="s">
        <v>62</v>
      </c>
      <c r="F483" s="2" t="n">
        <v>11</v>
      </c>
      <c r="G483" s="5" t="s">
        <v>71</v>
      </c>
      <c r="H483" s="2" t="n">
        <v>1</v>
      </c>
      <c r="I483" s="2" t="n">
        <v>1</v>
      </c>
      <c r="J483" s="2" t="n">
        <v>1</v>
      </c>
      <c r="K483" s="7" t="n">
        <v>0.574974501</v>
      </c>
      <c r="L483" s="7" t="n">
        <v>0.0345546381</v>
      </c>
      <c r="M483" s="7" t="n">
        <v>0.05095742751</v>
      </c>
      <c r="N483" s="7" t="n">
        <v>16</v>
      </c>
      <c r="O483" s="7" t="n">
        <v>16</v>
      </c>
      <c r="P483" s="7" t="n">
        <v>16</v>
      </c>
      <c r="Q483" s="2"/>
      <c r="R483" s="7" t="n">
        <v>2.312629</v>
      </c>
      <c r="S483" s="5" t="s">
        <v>60</v>
      </c>
      <c r="T483" s="5" t="s">
        <v>61</v>
      </c>
    </row>
    <row r="484" customFormat="false" ht="15" hidden="false" customHeight="false" outlineLevel="0" collapsed="false">
      <c r="A484" s="5" t="s">
        <v>4</v>
      </c>
      <c r="B484" s="5" t="s">
        <v>55</v>
      </c>
      <c r="C484" s="2" t="s">
        <v>56</v>
      </c>
      <c r="D484" s="5" t="s">
        <v>77</v>
      </c>
      <c r="E484" s="5" t="s">
        <v>58</v>
      </c>
      <c r="F484" s="2" t="n">
        <v>11</v>
      </c>
      <c r="G484" s="5" t="s">
        <v>72</v>
      </c>
      <c r="H484" s="2" t="n">
        <v>1</v>
      </c>
      <c r="I484" s="2" t="n">
        <v>1</v>
      </c>
      <c r="J484" s="2" t="n">
        <v>1</v>
      </c>
      <c r="K484" s="7" t="n">
        <v>0.2502539356</v>
      </c>
      <c r="L484" s="7" t="n">
        <v>0.03848326736</v>
      </c>
      <c r="M484" s="7" t="n">
        <v>0.04103769977</v>
      </c>
      <c r="N484" s="7" t="n">
        <v>11</v>
      </c>
      <c r="O484" s="7" t="n">
        <v>11</v>
      </c>
      <c r="P484" s="7" t="n">
        <v>0</v>
      </c>
      <c r="Q484" s="2"/>
      <c r="R484" s="7" t="n">
        <v>6.443317</v>
      </c>
      <c r="S484" s="5" t="s">
        <v>60</v>
      </c>
      <c r="T484" s="5" t="s">
        <v>61</v>
      </c>
    </row>
    <row r="485" customFormat="false" ht="15" hidden="false" customHeight="false" outlineLevel="0" collapsed="false">
      <c r="A485" s="5" t="s">
        <v>4</v>
      </c>
      <c r="B485" s="5" t="s">
        <v>55</v>
      </c>
      <c r="C485" s="2" t="s">
        <v>56</v>
      </c>
      <c r="D485" s="5" t="s">
        <v>77</v>
      </c>
      <c r="E485" s="5" t="s">
        <v>62</v>
      </c>
      <c r="F485" s="2" t="n">
        <v>11</v>
      </c>
      <c r="G485" s="5" t="s">
        <v>72</v>
      </c>
      <c r="H485" s="2" t="n">
        <v>1</v>
      </c>
      <c r="I485" s="2" t="n">
        <v>1</v>
      </c>
      <c r="J485" s="2" t="n">
        <v>1</v>
      </c>
      <c r="K485" s="7" t="n">
        <v>0.2502539356</v>
      </c>
      <c r="L485" s="7" t="n">
        <v>0.03848326736</v>
      </c>
      <c r="M485" s="7" t="n">
        <v>0.04103769977</v>
      </c>
      <c r="N485" s="7" t="n">
        <v>11</v>
      </c>
      <c r="O485" s="7" t="n">
        <v>11</v>
      </c>
      <c r="P485" s="7" t="n">
        <v>11</v>
      </c>
      <c r="Q485" s="2"/>
      <c r="R485" s="7" t="n">
        <v>7.053959</v>
      </c>
      <c r="S485" s="5" t="s">
        <v>60</v>
      </c>
      <c r="T485" s="5" t="s">
        <v>61</v>
      </c>
    </row>
    <row r="486" customFormat="false" ht="15" hidden="false" customHeight="false" outlineLevel="0" collapsed="false">
      <c r="A486" s="5" t="s">
        <v>4</v>
      </c>
      <c r="B486" s="5" t="s">
        <v>55</v>
      </c>
      <c r="C486" s="2" t="s">
        <v>56</v>
      </c>
      <c r="D486" s="5" t="s">
        <v>77</v>
      </c>
      <c r="E486" s="5" t="s">
        <v>58</v>
      </c>
      <c r="F486" s="2" t="n">
        <v>11</v>
      </c>
      <c r="G486" s="5" t="s">
        <v>73</v>
      </c>
      <c r="H486" s="2" t="n">
        <v>0</v>
      </c>
      <c r="I486" s="2" t="n">
        <v>1</v>
      </c>
      <c r="J486" s="2" t="n">
        <v>1</v>
      </c>
      <c r="K486" s="7" t="n">
        <v>0.3253708839</v>
      </c>
      <c r="L486" s="7" t="n">
        <v>0.09272762132</v>
      </c>
      <c r="M486" s="7" t="n">
        <v>0.09424558515</v>
      </c>
      <c r="N486" s="7" t="n">
        <v>9</v>
      </c>
      <c r="O486" s="7" t="n">
        <v>9</v>
      </c>
      <c r="P486" s="7" t="n">
        <v>0</v>
      </c>
      <c r="Q486" s="2"/>
      <c r="R486" s="7" t="n">
        <v>2.239851</v>
      </c>
      <c r="S486" s="5" t="s">
        <v>60</v>
      </c>
      <c r="T486" s="5" t="s">
        <v>61</v>
      </c>
    </row>
    <row r="487" customFormat="false" ht="15" hidden="false" customHeight="false" outlineLevel="0" collapsed="false">
      <c r="A487" s="5" t="s">
        <v>4</v>
      </c>
      <c r="B487" s="5" t="s">
        <v>55</v>
      </c>
      <c r="C487" s="2" t="s">
        <v>56</v>
      </c>
      <c r="D487" s="5" t="s">
        <v>77</v>
      </c>
      <c r="E487" s="5" t="s">
        <v>62</v>
      </c>
      <c r="F487" s="2" t="n">
        <v>11</v>
      </c>
      <c r="G487" s="5" t="s">
        <v>73</v>
      </c>
      <c r="H487" s="2" t="n">
        <v>0</v>
      </c>
      <c r="I487" s="2" t="n">
        <v>1</v>
      </c>
      <c r="J487" s="2" t="n">
        <v>1</v>
      </c>
      <c r="K487" s="7" t="n">
        <v>0.3253708839</v>
      </c>
      <c r="L487" s="7" t="n">
        <v>0.09272762132</v>
      </c>
      <c r="M487" s="7" t="n">
        <v>0.09424558515</v>
      </c>
      <c r="N487" s="7" t="n">
        <v>9</v>
      </c>
      <c r="O487" s="7" t="n">
        <v>9</v>
      </c>
      <c r="P487" s="7" t="n">
        <v>9</v>
      </c>
      <c r="Q487" s="2"/>
      <c r="R487" s="7" t="n">
        <v>2.790365</v>
      </c>
      <c r="S487" s="5" t="s">
        <v>60</v>
      </c>
      <c r="T487" s="5" t="s">
        <v>61</v>
      </c>
    </row>
    <row r="488" customFormat="false" ht="15" hidden="false" customHeight="false" outlineLevel="0" collapsed="false">
      <c r="A488" s="5" t="s">
        <v>4</v>
      </c>
      <c r="B488" s="5" t="s">
        <v>55</v>
      </c>
      <c r="C488" s="2" t="s">
        <v>56</v>
      </c>
      <c r="D488" s="5" t="s">
        <v>77</v>
      </c>
      <c r="E488" s="5" t="s">
        <v>58</v>
      </c>
      <c r="F488" s="2" t="n">
        <v>12</v>
      </c>
      <c r="G488" s="5" t="s">
        <v>71</v>
      </c>
      <c r="H488" s="2" t="n">
        <v>1</v>
      </c>
      <c r="I488" s="2" t="n">
        <v>1</v>
      </c>
      <c r="J488" s="2" t="n">
        <v>1</v>
      </c>
      <c r="K488" s="7" t="n">
        <v>0.5395867506</v>
      </c>
      <c r="L488" s="7" t="n">
        <v>0.02663244539</v>
      </c>
      <c r="M488" s="7" t="n">
        <v>0.04091641218</v>
      </c>
      <c r="N488" s="7" t="n">
        <v>6</v>
      </c>
      <c r="O488" s="7" t="n">
        <v>6</v>
      </c>
      <c r="P488" s="7" t="n">
        <v>0</v>
      </c>
      <c r="Q488" s="2"/>
      <c r="R488" s="7" t="n">
        <v>1.312791</v>
      </c>
      <c r="S488" s="5" t="s">
        <v>60</v>
      </c>
      <c r="T488" s="5" t="s">
        <v>61</v>
      </c>
    </row>
    <row r="489" customFormat="false" ht="15" hidden="false" customHeight="false" outlineLevel="0" collapsed="false">
      <c r="A489" s="5" t="s">
        <v>4</v>
      </c>
      <c r="B489" s="5" t="s">
        <v>55</v>
      </c>
      <c r="C489" s="2" t="s">
        <v>56</v>
      </c>
      <c r="D489" s="5" t="s">
        <v>77</v>
      </c>
      <c r="E489" s="5" t="s">
        <v>62</v>
      </c>
      <c r="F489" s="2" t="n">
        <v>12</v>
      </c>
      <c r="G489" s="5" t="s">
        <v>71</v>
      </c>
      <c r="H489" s="2" t="n">
        <v>1</v>
      </c>
      <c r="I489" s="2" t="n">
        <v>1</v>
      </c>
      <c r="J489" s="2" t="n">
        <v>1</v>
      </c>
      <c r="K489" s="7" t="n">
        <v>0.5395867506</v>
      </c>
      <c r="L489" s="7" t="n">
        <v>0.02663244539</v>
      </c>
      <c r="M489" s="7" t="n">
        <v>0.04091641218</v>
      </c>
      <c r="N489" s="7" t="n">
        <v>6</v>
      </c>
      <c r="O489" s="7" t="n">
        <v>6</v>
      </c>
      <c r="P489" s="7" t="n">
        <v>6</v>
      </c>
      <c r="Q489" s="2"/>
      <c r="R489" s="7" t="n">
        <v>1.803036</v>
      </c>
      <c r="S489" s="5" t="s">
        <v>60</v>
      </c>
      <c r="T489" s="5" t="s">
        <v>61</v>
      </c>
    </row>
    <row r="490" customFormat="false" ht="15" hidden="false" customHeight="false" outlineLevel="0" collapsed="false">
      <c r="A490" s="5" t="s">
        <v>4</v>
      </c>
      <c r="B490" s="5" t="s">
        <v>55</v>
      </c>
      <c r="C490" s="2" t="s">
        <v>56</v>
      </c>
      <c r="D490" s="5" t="s">
        <v>77</v>
      </c>
      <c r="E490" s="5" t="s">
        <v>58</v>
      </c>
      <c r="F490" s="2" t="n">
        <v>12</v>
      </c>
      <c r="G490" s="5" t="s">
        <v>72</v>
      </c>
      <c r="H490" s="2" t="n">
        <v>1</v>
      </c>
      <c r="I490" s="2" t="n">
        <v>1</v>
      </c>
      <c r="J490" s="2" t="n">
        <v>1</v>
      </c>
      <c r="K490" s="7" t="n">
        <v>0.09548288626</v>
      </c>
      <c r="L490" s="7" t="n">
        <v>0.03303640038</v>
      </c>
      <c r="M490" s="7" t="n">
        <v>0.03432878464</v>
      </c>
      <c r="N490" s="7" t="n">
        <v>8</v>
      </c>
      <c r="O490" s="7" t="n">
        <v>8</v>
      </c>
      <c r="P490" s="7" t="n">
        <v>0</v>
      </c>
      <c r="Q490" s="2"/>
      <c r="R490" s="7" t="n">
        <v>2.330425</v>
      </c>
      <c r="S490" s="5" t="s">
        <v>60</v>
      </c>
      <c r="T490" s="5" t="s">
        <v>61</v>
      </c>
    </row>
    <row r="491" customFormat="false" ht="15" hidden="false" customHeight="false" outlineLevel="0" collapsed="false">
      <c r="A491" s="5" t="s">
        <v>4</v>
      </c>
      <c r="B491" s="5" t="s">
        <v>55</v>
      </c>
      <c r="C491" s="2" t="s">
        <v>56</v>
      </c>
      <c r="D491" s="5" t="s">
        <v>77</v>
      </c>
      <c r="E491" s="5" t="s">
        <v>62</v>
      </c>
      <c r="F491" s="2" t="n">
        <v>12</v>
      </c>
      <c r="G491" s="5" t="s">
        <v>72</v>
      </c>
      <c r="H491" s="2" t="n">
        <v>1</v>
      </c>
      <c r="I491" s="2" t="n">
        <v>1</v>
      </c>
      <c r="J491" s="2" t="n">
        <v>1</v>
      </c>
      <c r="K491" s="7" t="n">
        <v>0.09548288626</v>
      </c>
      <c r="L491" s="7" t="n">
        <v>0.03303640038</v>
      </c>
      <c r="M491" s="7" t="n">
        <v>0.03432878464</v>
      </c>
      <c r="N491" s="7" t="n">
        <v>8</v>
      </c>
      <c r="O491" s="7" t="n">
        <v>8</v>
      </c>
      <c r="P491" s="7" t="n">
        <v>8</v>
      </c>
      <c r="Q491" s="2"/>
      <c r="R491" s="7" t="n">
        <v>2.867079</v>
      </c>
      <c r="S491" s="5" t="s">
        <v>60</v>
      </c>
      <c r="T491" s="5" t="s">
        <v>61</v>
      </c>
    </row>
    <row r="492" customFormat="false" ht="15" hidden="false" customHeight="false" outlineLevel="0" collapsed="false">
      <c r="A492" s="5" t="s">
        <v>4</v>
      </c>
      <c r="B492" s="5" t="s">
        <v>55</v>
      </c>
      <c r="C492" s="2" t="s">
        <v>56</v>
      </c>
      <c r="D492" s="5" t="s">
        <v>77</v>
      </c>
      <c r="E492" s="5" t="s">
        <v>58</v>
      </c>
      <c r="F492" s="2" t="n">
        <v>12</v>
      </c>
      <c r="G492" s="5" t="s">
        <v>73</v>
      </c>
      <c r="H492" s="2" t="n">
        <v>0</v>
      </c>
      <c r="I492" s="2" t="n">
        <v>1</v>
      </c>
      <c r="J492" s="2" t="n">
        <v>1</v>
      </c>
      <c r="K492" s="7" t="n">
        <v>0.3739159485</v>
      </c>
      <c r="L492" s="7" t="n">
        <v>0.09565093903</v>
      </c>
      <c r="M492" s="7" t="n">
        <v>0.0969831693</v>
      </c>
      <c r="N492" s="7" t="n">
        <v>8</v>
      </c>
      <c r="O492" s="7" t="n">
        <v>8</v>
      </c>
      <c r="P492" s="7" t="n">
        <v>0</v>
      </c>
      <c r="Q492" s="2"/>
      <c r="R492" s="7" t="n">
        <v>6.138846</v>
      </c>
      <c r="S492" s="5" t="s">
        <v>60</v>
      </c>
      <c r="T492" s="5" t="s">
        <v>61</v>
      </c>
    </row>
    <row r="493" customFormat="false" ht="15" hidden="false" customHeight="false" outlineLevel="0" collapsed="false">
      <c r="A493" s="5" t="s">
        <v>4</v>
      </c>
      <c r="B493" s="5" t="s">
        <v>55</v>
      </c>
      <c r="C493" s="2" t="s">
        <v>56</v>
      </c>
      <c r="D493" s="5" t="s">
        <v>77</v>
      </c>
      <c r="E493" s="5" t="s">
        <v>62</v>
      </c>
      <c r="F493" s="2" t="n">
        <v>12</v>
      </c>
      <c r="G493" s="5" t="s">
        <v>73</v>
      </c>
      <c r="H493" s="2" t="n">
        <v>0</v>
      </c>
      <c r="I493" s="2" t="n">
        <v>1</v>
      </c>
      <c r="J493" s="2" t="n">
        <v>1</v>
      </c>
      <c r="K493" s="7" t="n">
        <v>0.3739159485</v>
      </c>
      <c r="L493" s="7" t="n">
        <v>0.09565093903</v>
      </c>
      <c r="M493" s="7" t="n">
        <v>0.0969831693</v>
      </c>
      <c r="N493" s="7" t="n">
        <v>8</v>
      </c>
      <c r="O493" s="7" t="n">
        <v>8</v>
      </c>
      <c r="P493" s="7" t="n">
        <v>8</v>
      </c>
      <c r="Q493" s="2"/>
      <c r="R493" s="7" t="n">
        <v>10.721711</v>
      </c>
      <c r="S493" s="5" t="s">
        <v>60</v>
      </c>
      <c r="T493" s="5" t="s">
        <v>61</v>
      </c>
    </row>
    <row r="494" customFormat="false" ht="15" hidden="false" customHeight="false" outlineLevel="0" collapsed="false">
      <c r="A494" s="5" t="s">
        <v>4</v>
      </c>
      <c r="B494" s="5" t="s">
        <v>55</v>
      </c>
      <c r="C494" s="2" t="s">
        <v>56</v>
      </c>
      <c r="D494" s="5" t="s">
        <v>77</v>
      </c>
      <c r="E494" s="5" t="s">
        <v>58</v>
      </c>
      <c r="F494" s="2" t="n">
        <v>13</v>
      </c>
      <c r="G494" s="5" t="s">
        <v>71</v>
      </c>
      <c r="H494" s="2" t="n">
        <v>1</v>
      </c>
      <c r="I494" s="2" t="n">
        <v>1</v>
      </c>
      <c r="J494" s="2" t="n">
        <v>1</v>
      </c>
      <c r="K494" s="7" t="n">
        <v>0.4853547366</v>
      </c>
      <c r="L494" s="7" t="n">
        <v>0.03444554258</v>
      </c>
      <c r="M494" s="7" t="n">
        <v>0.04588871555</v>
      </c>
      <c r="N494" s="7" t="n">
        <v>9</v>
      </c>
      <c r="O494" s="7" t="n">
        <v>9</v>
      </c>
      <c r="P494" s="7" t="n">
        <v>0</v>
      </c>
      <c r="Q494" s="2"/>
      <c r="R494" s="7" t="n">
        <v>5.538057</v>
      </c>
      <c r="S494" s="5" t="s">
        <v>60</v>
      </c>
      <c r="T494" s="5" t="s">
        <v>61</v>
      </c>
    </row>
    <row r="495" customFormat="false" ht="15" hidden="false" customHeight="false" outlineLevel="0" collapsed="false">
      <c r="A495" s="5" t="s">
        <v>4</v>
      </c>
      <c r="B495" s="5" t="s">
        <v>55</v>
      </c>
      <c r="C495" s="2" t="s">
        <v>56</v>
      </c>
      <c r="D495" s="5" t="s">
        <v>77</v>
      </c>
      <c r="E495" s="5" t="s">
        <v>62</v>
      </c>
      <c r="F495" s="2" t="n">
        <v>13</v>
      </c>
      <c r="G495" s="5" t="s">
        <v>71</v>
      </c>
      <c r="H495" s="2" t="n">
        <v>1</v>
      </c>
      <c r="I495" s="2" t="n">
        <v>1</v>
      </c>
      <c r="J495" s="2" t="n">
        <v>1</v>
      </c>
      <c r="K495" s="7" t="n">
        <v>0.4853547366</v>
      </c>
      <c r="L495" s="7" t="n">
        <v>0.03444554258</v>
      </c>
      <c r="M495" s="7" t="n">
        <v>0.04588871555</v>
      </c>
      <c r="N495" s="7" t="n">
        <v>9</v>
      </c>
      <c r="O495" s="7" t="n">
        <v>9</v>
      </c>
      <c r="P495" s="7" t="n">
        <v>9</v>
      </c>
      <c r="Q495" s="2"/>
      <c r="R495" s="7" t="n">
        <v>6.213566</v>
      </c>
      <c r="S495" s="5" t="s">
        <v>60</v>
      </c>
      <c r="T495" s="5" t="s">
        <v>61</v>
      </c>
    </row>
    <row r="496" customFormat="false" ht="15" hidden="false" customHeight="false" outlineLevel="0" collapsed="false">
      <c r="A496" s="5" t="s">
        <v>4</v>
      </c>
      <c r="B496" s="5" t="s">
        <v>55</v>
      </c>
      <c r="C496" s="2" t="s">
        <v>56</v>
      </c>
      <c r="D496" s="5" t="s">
        <v>77</v>
      </c>
      <c r="E496" s="5" t="s">
        <v>58</v>
      </c>
      <c r="F496" s="2" t="n">
        <v>13</v>
      </c>
      <c r="G496" s="5" t="s">
        <v>72</v>
      </c>
      <c r="H496" s="2" t="n">
        <v>1</v>
      </c>
      <c r="I496" s="2" t="n">
        <v>1</v>
      </c>
      <c r="J496" s="2" t="n">
        <v>1</v>
      </c>
      <c r="K496" s="7" t="n">
        <v>0.5220022568</v>
      </c>
      <c r="L496" s="7" t="n">
        <v>0.1191590211</v>
      </c>
      <c r="M496" s="7" t="n">
        <v>0.1216607702</v>
      </c>
      <c r="N496" s="7" t="n">
        <v>7</v>
      </c>
      <c r="O496" s="7" t="n">
        <v>7</v>
      </c>
      <c r="P496" s="7" t="n">
        <v>0</v>
      </c>
      <c r="Q496" s="2"/>
      <c r="R496" s="7" t="n">
        <v>2.259772</v>
      </c>
      <c r="S496" s="5" t="s">
        <v>60</v>
      </c>
      <c r="T496" s="5" t="s">
        <v>61</v>
      </c>
    </row>
    <row r="497" customFormat="false" ht="15" hidden="false" customHeight="false" outlineLevel="0" collapsed="false">
      <c r="A497" s="5" t="s">
        <v>4</v>
      </c>
      <c r="B497" s="5" t="s">
        <v>55</v>
      </c>
      <c r="C497" s="2" t="s">
        <v>56</v>
      </c>
      <c r="D497" s="5" t="s">
        <v>77</v>
      </c>
      <c r="E497" s="5" t="s">
        <v>62</v>
      </c>
      <c r="F497" s="2" t="n">
        <v>13</v>
      </c>
      <c r="G497" s="5" t="s">
        <v>72</v>
      </c>
      <c r="H497" s="2" t="n">
        <v>1</v>
      </c>
      <c r="I497" s="2" t="n">
        <v>1</v>
      </c>
      <c r="J497" s="2" t="n">
        <v>1</v>
      </c>
      <c r="K497" s="7" t="n">
        <v>0.5220022568</v>
      </c>
      <c r="L497" s="7" t="n">
        <v>0.1191590211</v>
      </c>
      <c r="M497" s="7" t="n">
        <v>0.1216607702</v>
      </c>
      <c r="N497" s="7" t="n">
        <v>7</v>
      </c>
      <c r="O497" s="7" t="n">
        <v>7</v>
      </c>
      <c r="P497" s="7" t="n">
        <v>7</v>
      </c>
      <c r="Q497" s="2"/>
      <c r="R497" s="7" t="n">
        <v>6.771121</v>
      </c>
      <c r="S497" s="5" t="s">
        <v>60</v>
      </c>
      <c r="T497" s="5" t="s">
        <v>61</v>
      </c>
    </row>
    <row r="498" customFormat="false" ht="15" hidden="false" customHeight="false" outlineLevel="0" collapsed="false">
      <c r="A498" s="5" t="s">
        <v>4</v>
      </c>
      <c r="B498" s="5" t="s">
        <v>55</v>
      </c>
      <c r="C498" s="2" t="s">
        <v>56</v>
      </c>
      <c r="D498" s="5" t="s">
        <v>77</v>
      </c>
      <c r="E498" s="5" t="s">
        <v>58</v>
      </c>
      <c r="F498" s="2" t="n">
        <v>13</v>
      </c>
      <c r="G498" s="5" t="s">
        <v>73</v>
      </c>
      <c r="H498" s="2" t="n">
        <v>0</v>
      </c>
      <c r="I498" s="2" t="n">
        <v>1</v>
      </c>
      <c r="J498" s="2" t="n">
        <v>1</v>
      </c>
      <c r="K498" s="7" t="n">
        <v>1.859113871</v>
      </c>
      <c r="L498" s="7" t="n">
        <v>0.4426154263</v>
      </c>
      <c r="M498" s="7" t="n">
        <v>0.4505093606</v>
      </c>
      <c r="N498" s="7" t="n">
        <v>3</v>
      </c>
      <c r="O498" s="7" t="n">
        <v>3</v>
      </c>
      <c r="P498" s="7" t="n">
        <v>0</v>
      </c>
      <c r="Q498" s="2"/>
      <c r="R498" s="7" t="n">
        <v>2.168375</v>
      </c>
      <c r="S498" s="5" t="s">
        <v>60</v>
      </c>
      <c r="T498" s="5" t="s">
        <v>61</v>
      </c>
    </row>
    <row r="499" customFormat="false" ht="15" hidden="false" customHeight="false" outlineLevel="0" collapsed="false">
      <c r="A499" s="5" t="s">
        <v>4</v>
      </c>
      <c r="B499" s="5" t="s">
        <v>55</v>
      </c>
      <c r="C499" s="2" t="s">
        <v>56</v>
      </c>
      <c r="D499" s="5" t="s">
        <v>77</v>
      </c>
      <c r="E499" s="5" t="s">
        <v>62</v>
      </c>
      <c r="F499" s="2" t="n">
        <v>13</v>
      </c>
      <c r="G499" s="5" t="s">
        <v>73</v>
      </c>
      <c r="H499" s="2" t="n">
        <v>0</v>
      </c>
      <c r="I499" s="2" t="n">
        <v>1</v>
      </c>
      <c r="J499" s="2" t="n">
        <v>1</v>
      </c>
      <c r="K499" s="7" t="n">
        <v>1.859113871</v>
      </c>
      <c r="L499" s="7" t="n">
        <v>0.4426154263</v>
      </c>
      <c r="M499" s="7" t="n">
        <v>0.4505093606</v>
      </c>
      <c r="N499" s="7" t="n">
        <v>3</v>
      </c>
      <c r="O499" s="7" t="n">
        <v>3</v>
      </c>
      <c r="P499" s="7" t="n">
        <v>3</v>
      </c>
      <c r="Q499" s="2"/>
      <c r="R499" s="7" t="n">
        <v>2.338498</v>
      </c>
      <c r="S499" s="5" t="s">
        <v>60</v>
      </c>
      <c r="T499" s="5" t="s">
        <v>61</v>
      </c>
    </row>
    <row r="500" customFormat="false" ht="15" hidden="false" customHeight="false" outlineLevel="0" collapsed="false">
      <c r="A500" s="5" t="s">
        <v>4</v>
      </c>
      <c r="B500" s="5" t="s">
        <v>55</v>
      </c>
      <c r="C500" s="2" t="s">
        <v>56</v>
      </c>
      <c r="D500" s="5" t="s">
        <v>77</v>
      </c>
      <c r="E500" s="5" t="s">
        <v>58</v>
      </c>
      <c r="F500" s="2" t="n">
        <v>14</v>
      </c>
      <c r="G500" s="5" t="s">
        <v>71</v>
      </c>
      <c r="H500" s="2" t="n">
        <v>1</v>
      </c>
      <c r="I500" s="2" t="n">
        <v>1</v>
      </c>
      <c r="J500" s="2" t="n">
        <v>1</v>
      </c>
      <c r="K500" s="7" t="n">
        <v>0.5717544517</v>
      </c>
      <c r="L500" s="7" t="n">
        <v>0.04538700419</v>
      </c>
      <c r="M500" s="7" t="n">
        <v>0.05564666971</v>
      </c>
      <c r="N500" s="7" t="n">
        <v>12</v>
      </c>
      <c r="O500" s="7" t="n">
        <v>12</v>
      </c>
      <c r="P500" s="7" t="n">
        <v>0</v>
      </c>
      <c r="Q500" s="2"/>
      <c r="R500" s="7" t="n">
        <v>6.260756</v>
      </c>
      <c r="S500" s="5" t="s">
        <v>60</v>
      </c>
      <c r="T500" s="5" t="s">
        <v>61</v>
      </c>
    </row>
    <row r="501" customFormat="false" ht="15" hidden="false" customHeight="false" outlineLevel="0" collapsed="false">
      <c r="A501" s="5" t="s">
        <v>4</v>
      </c>
      <c r="B501" s="5" t="s">
        <v>55</v>
      </c>
      <c r="C501" s="2" t="s">
        <v>56</v>
      </c>
      <c r="D501" s="5" t="s">
        <v>77</v>
      </c>
      <c r="E501" s="5" t="s">
        <v>62</v>
      </c>
      <c r="F501" s="2" t="n">
        <v>14</v>
      </c>
      <c r="G501" s="5" t="s">
        <v>71</v>
      </c>
      <c r="H501" s="2" t="n">
        <v>1</v>
      </c>
      <c r="I501" s="2" t="n">
        <v>1</v>
      </c>
      <c r="J501" s="2" t="n">
        <v>1</v>
      </c>
      <c r="K501" s="7" t="n">
        <v>0.5717544517</v>
      </c>
      <c r="L501" s="7" t="n">
        <v>0.04538700419</v>
      </c>
      <c r="M501" s="7" t="n">
        <v>0.05564666971</v>
      </c>
      <c r="N501" s="7" t="n">
        <v>12</v>
      </c>
      <c r="O501" s="7" t="n">
        <v>12</v>
      </c>
      <c r="P501" s="7" t="n">
        <v>12</v>
      </c>
      <c r="Q501" s="2"/>
      <c r="R501" s="7" t="n">
        <v>11.428316</v>
      </c>
      <c r="S501" s="5" t="s">
        <v>60</v>
      </c>
      <c r="T501" s="5" t="s">
        <v>61</v>
      </c>
    </row>
    <row r="502" customFormat="false" ht="15" hidden="false" customHeight="false" outlineLevel="0" collapsed="false">
      <c r="A502" s="5" t="s">
        <v>4</v>
      </c>
      <c r="B502" s="5" t="s">
        <v>55</v>
      </c>
      <c r="C502" s="2" t="s">
        <v>56</v>
      </c>
      <c r="D502" s="5" t="s">
        <v>77</v>
      </c>
      <c r="E502" s="5" t="s">
        <v>58</v>
      </c>
      <c r="F502" s="2" t="n">
        <v>14</v>
      </c>
      <c r="G502" s="5" t="s">
        <v>72</v>
      </c>
      <c r="H502" s="2" t="n">
        <v>1</v>
      </c>
      <c r="I502" s="2" t="n">
        <v>1</v>
      </c>
      <c r="J502" s="2" t="n">
        <v>1</v>
      </c>
      <c r="K502" s="7" t="n">
        <v>0.2270145819</v>
      </c>
      <c r="L502" s="7" t="n">
        <v>0.03272064601</v>
      </c>
      <c r="M502" s="7" t="n">
        <v>0.03825393425</v>
      </c>
      <c r="N502" s="7" t="n">
        <v>10</v>
      </c>
      <c r="O502" s="7" t="n">
        <v>10</v>
      </c>
      <c r="P502" s="7" t="n">
        <v>0</v>
      </c>
      <c r="Q502" s="2"/>
      <c r="R502" s="7" t="n">
        <v>2.69261</v>
      </c>
      <c r="S502" s="5" t="s">
        <v>60</v>
      </c>
      <c r="T502" s="5" t="s">
        <v>61</v>
      </c>
    </row>
    <row r="503" customFormat="false" ht="15" hidden="false" customHeight="false" outlineLevel="0" collapsed="false">
      <c r="A503" s="5" t="s">
        <v>4</v>
      </c>
      <c r="B503" s="5" t="s">
        <v>55</v>
      </c>
      <c r="C503" s="2" t="s">
        <v>56</v>
      </c>
      <c r="D503" s="5" t="s">
        <v>77</v>
      </c>
      <c r="E503" s="5" t="s">
        <v>62</v>
      </c>
      <c r="F503" s="2" t="n">
        <v>14</v>
      </c>
      <c r="G503" s="5" t="s">
        <v>72</v>
      </c>
      <c r="H503" s="2" t="n">
        <v>1</v>
      </c>
      <c r="I503" s="2" t="n">
        <v>1</v>
      </c>
      <c r="J503" s="2" t="n">
        <v>1</v>
      </c>
      <c r="K503" s="7" t="n">
        <v>0.2270145819</v>
      </c>
      <c r="L503" s="7" t="n">
        <v>0.03272064601</v>
      </c>
      <c r="M503" s="7" t="n">
        <v>0.03825393425</v>
      </c>
      <c r="N503" s="7" t="n">
        <v>10</v>
      </c>
      <c r="O503" s="7" t="n">
        <v>10</v>
      </c>
      <c r="P503" s="7" t="n">
        <v>10</v>
      </c>
      <c r="Q503" s="2"/>
      <c r="R503" s="7" t="n">
        <v>3.232008</v>
      </c>
      <c r="S503" s="5" t="s">
        <v>60</v>
      </c>
      <c r="T503" s="5" t="s">
        <v>61</v>
      </c>
    </row>
    <row r="504" customFormat="false" ht="15" hidden="false" customHeight="false" outlineLevel="0" collapsed="false">
      <c r="A504" s="5" t="s">
        <v>4</v>
      </c>
      <c r="B504" s="5" t="s">
        <v>55</v>
      </c>
      <c r="C504" s="2" t="s">
        <v>56</v>
      </c>
      <c r="D504" s="5" t="s">
        <v>77</v>
      </c>
      <c r="E504" s="5" t="s">
        <v>58</v>
      </c>
      <c r="F504" s="2" t="n">
        <v>14</v>
      </c>
      <c r="G504" s="5" t="s">
        <v>73</v>
      </c>
      <c r="H504" s="2" t="n">
        <v>0</v>
      </c>
      <c r="I504" s="2" t="n">
        <v>1</v>
      </c>
      <c r="J504" s="2" t="n">
        <v>1</v>
      </c>
      <c r="K504" s="7" t="n">
        <v>0.6368640013</v>
      </c>
      <c r="L504" s="7" t="n">
        <v>0.3873281188</v>
      </c>
      <c r="M504" s="7" t="n">
        <v>0.3847448111</v>
      </c>
      <c r="N504" s="7" t="n">
        <v>6</v>
      </c>
      <c r="O504" s="7" t="n">
        <v>6</v>
      </c>
      <c r="P504" s="7" t="n">
        <v>0</v>
      </c>
      <c r="Q504" s="2"/>
      <c r="R504" s="7" t="n">
        <v>6.775261</v>
      </c>
      <c r="S504" s="5" t="s">
        <v>60</v>
      </c>
      <c r="T504" s="5" t="s">
        <v>61</v>
      </c>
    </row>
    <row r="505" customFormat="false" ht="15" hidden="false" customHeight="false" outlineLevel="0" collapsed="false">
      <c r="A505" s="5" t="s">
        <v>4</v>
      </c>
      <c r="B505" s="5" t="s">
        <v>55</v>
      </c>
      <c r="C505" s="2" t="s">
        <v>56</v>
      </c>
      <c r="D505" s="5" t="s">
        <v>77</v>
      </c>
      <c r="E505" s="5" t="s">
        <v>62</v>
      </c>
      <c r="F505" s="2" t="n">
        <v>14</v>
      </c>
      <c r="G505" s="5" t="s">
        <v>73</v>
      </c>
      <c r="H505" s="2" t="n">
        <v>0</v>
      </c>
      <c r="I505" s="2" t="n">
        <v>1</v>
      </c>
      <c r="J505" s="2" t="n">
        <v>1</v>
      </c>
      <c r="K505" s="7" t="n">
        <v>0.6368640013</v>
      </c>
      <c r="L505" s="7" t="n">
        <v>0.3873281188</v>
      </c>
      <c r="M505" s="7" t="n">
        <v>0.3847448111</v>
      </c>
      <c r="N505" s="7" t="n">
        <v>6</v>
      </c>
      <c r="O505" s="7" t="n">
        <v>6</v>
      </c>
      <c r="P505" s="7" t="n">
        <v>6</v>
      </c>
      <c r="Q505" s="2"/>
      <c r="R505" s="7" t="n">
        <v>7.181201</v>
      </c>
      <c r="S505" s="5" t="s">
        <v>60</v>
      </c>
      <c r="T505" s="5" t="s">
        <v>61</v>
      </c>
    </row>
    <row r="506" customFormat="false" ht="15" hidden="false" customHeight="false" outlineLevel="0" collapsed="false">
      <c r="A506" s="5" t="s">
        <v>4</v>
      </c>
      <c r="B506" s="5" t="s">
        <v>55</v>
      </c>
      <c r="C506" s="2" t="s">
        <v>56</v>
      </c>
      <c r="D506" s="5" t="s">
        <v>77</v>
      </c>
      <c r="E506" s="5" t="s">
        <v>58</v>
      </c>
      <c r="F506" s="2" t="n">
        <v>15</v>
      </c>
      <c r="G506" s="5" t="s">
        <v>71</v>
      </c>
      <c r="H506" s="2" t="n">
        <v>1</v>
      </c>
      <c r="I506" s="2" t="n">
        <v>1</v>
      </c>
      <c r="J506" s="2" t="n">
        <v>1</v>
      </c>
      <c r="K506" s="7" t="n">
        <v>0.4259913862</v>
      </c>
      <c r="L506" s="7" t="n">
        <v>0.0281483945</v>
      </c>
      <c r="M506" s="7" t="n">
        <v>0.03870760181</v>
      </c>
      <c r="N506" s="7" t="n">
        <v>10</v>
      </c>
      <c r="O506" s="7" t="n">
        <v>10</v>
      </c>
      <c r="P506" s="7" t="n">
        <v>0</v>
      </c>
      <c r="Q506" s="2"/>
      <c r="R506" s="7" t="n">
        <v>1.201235</v>
      </c>
      <c r="S506" s="5" t="s">
        <v>60</v>
      </c>
      <c r="T506" s="5" t="s">
        <v>61</v>
      </c>
    </row>
    <row r="507" customFormat="false" ht="15" hidden="false" customHeight="false" outlineLevel="0" collapsed="false">
      <c r="A507" s="5" t="s">
        <v>4</v>
      </c>
      <c r="B507" s="5" t="s">
        <v>55</v>
      </c>
      <c r="C507" s="2" t="s">
        <v>56</v>
      </c>
      <c r="D507" s="5" t="s">
        <v>77</v>
      </c>
      <c r="E507" s="5" t="s">
        <v>62</v>
      </c>
      <c r="F507" s="2" t="n">
        <v>15</v>
      </c>
      <c r="G507" s="5" t="s">
        <v>71</v>
      </c>
      <c r="H507" s="2" t="n">
        <v>1</v>
      </c>
      <c r="I507" s="2" t="n">
        <v>1</v>
      </c>
      <c r="J507" s="2" t="n">
        <v>1</v>
      </c>
      <c r="K507" s="7" t="n">
        <v>0.4259913862</v>
      </c>
      <c r="L507" s="7" t="n">
        <v>0.0281483945</v>
      </c>
      <c r="M507" s="7" t="n">
        <v>0.03870760181</v>
      </c>
      <c r="N507" s="7" t="n">
        <v>10</v>
      </c>
      <c r="O507" s="7" t="n">
        <v>10</v>
      </c>
      <c r="P507" s="7" t="n">
        <v>10</v>
      </c>
      <c r="Q507" s="2"/>
      <c r="R507" s="7" t="n">
        <v>2.008379</v>
      </c>
      <c r="S507" s="5" t="s">
        <v>60</v>
      </c>
      <c r="T507" s="5" t="s">
        <v>61</v>
      </c>
    </row>
    <row r="508" customFormat="false" ht="15" hidden="false" customHeight="false" outlineLevel="0" collapsed="false">
      <c r="A508" s="5" t="s">
        <v>4</v>
      </c>
      <c r="B508" s="5" t="s">
        <v>55</v>
      </c>
      <c r="C508" s="2" t="s">
        <v>56</v>
      </c>
      <c r="D508" s="5" t="s">
        <v>77</v>
      </c>
      <c r="E508" s="5" t="s">
        <v>58</v>
      </c>
      <c r="F508" s="2" t="n">
        <v>15</v>
      </c>
      <c r="G508" s="5" t="s">
        <v>72</v>
      </c>
      <c r="H508" s="2" t="n">
        <v>1</v>
      </c>
      <c r="I508" s="2" t="n">
        <v>1</v>
      </c>
      <c r="J508" s="2" t="n">
        <v>1</v>
      </c>
      <c r="K508" s="7" t="n">
        <v>0.3820476154</v>
      </c>
      <c r="L508" s="7" t="n">
        <v>0.03606133046</v>
      </c>
      <c r="M508" s="7" t="n">
        <v>0.04196265622</v>
      </c>
      <c r="N508" s="7" t="n">
        <v>11</v>
      </c>
      <c r="O508" s="7" t="n">
        <v>11</v>
      </c>
      <c r="P508" s="7" t="n">
        <v>0</v>
      </c>
      <c r="Q508" s="2"/>
      <c r="R508" s="7" t="n">
        <v>7.689087</v>
      </c>
      <c r="S508" s="5" t="s">
        <v>60</v>
      </c>
      <c r="T508" s="5" t="s">
        <v>61</v>
      </c>
    </row>
    <row r="509" customFormat="false" ht="15" hidden="false" customHeight="false" outlineLevel="0" collapsed="false">
      <c r="A509" s="5" t="s">
        <v>4</v>
      </c>
      <c r="B509" s="5" t="s">
        <v>55</v>
      </c>
      <c r="C509" s="2" t="s">
        <v>56</v>
      </c>
      <c r="D509" s="5" t="s">
        <v>77</v>
      </c>
      <c r="E509" s="5" t="s">
        <v>62</v>
      </c>
      <c r="F509" s="2" t="n">
        <v>15</v>
      </c>
      <c r="G509" s="5" t="s">
        <v>72</v>
      </c>
      <c r="H509" s="2" t="n">
        <v>1</v>
      </c>
      <c r="I509" s="2" t="n">
        <v>1</v>
      </c>
      <c r="J509" s="2" t="n">
        <v>1</v>
      </c>
      <c r="K509" s="7" t="n">
        <v>0.3820476154</v>
      </c>
      <c r="L509" s="7" t="n">
        <v>0.03606133046</v>
      </c>
      <c r="M509" s="7" t="n">
        <v>0.04196265622</v>
      </c>
      <c r="N509" s="7" t="n">
        <v>11</v>
      </c>
      <c r="O509" s="7" t="n">
        <v>11</v>
      </c>
      <c r="P509" s="7" t="n">
        <v>11</v>
      </c>
      <c r="Q509" s="2"/>
      <c r="R509" s="7" t="n">
        <v>8.263116</v>
      </c>
      <c r="S509" s="5" t="s">
        <v>60</v>
      </c>
      <c r="T509" s="5" t="s">
        <v>61</v>
      </c>
    </row>
    <row r="510" customFormat="false" ht="15" hidden="false" customHeight="false" outlineLevel="0" collapsed="false">
      <c r="A510" s="5" t="s">
        <v>4</v>
      </c>
      <c r="B510" s="5" t="s">
        <v>55</v>
      </c>
      <c r="C510" s="2" t="s">
        <v>56</v>
      </c>
      <c r="D510" s="5" t="s">
        <v>77</v>
      </c>
      <c r="E510" s="5" t="s">
        <v>58</v>
      </c>
      <c r="F510" s="2" t="n">
        <v>15</v>
      </c>
      <c r="G510" s="5" t="s">
        <v>73</v>
      </c>
      <c r="H510" s="2" t="n">
        <v>0</v>
      </c>
      <c r="I510" s="2" t="n">
        <v>1</v>
      </c>
      <c r="J510" s="2" t="n">
        <v>1</v>
      </c>
      <c r="K510" s="7" t="n">
        <v>0.3147759771</v>
      </c>
      <c r="L510" s="7" t="n">
        <v>0.09715910434</v>
      </c>
      <c r="M510" s="7" t="n">
        <v>0.0976759303</v>
      </c>
      <c r="N510" s="7" t="n">
        <v>13</v>
      </c>
      <c r="O510" s="7" t="n">
        <v>13</v>
      </c>
      <c r="P510" s="7" t="n">
        <v>0</v>
      </c>
      <c r="Q510" s="2"/>
      <c r="R510" s="7" t="n">
        <v>2.229166</v>
      </c>
      <c r="S510" s="5" t="s">
        <v>60</v>
      </c>
      <c r="T510" s="5" t="s">
        <v>61</v>
      </c>
    </row>
    <row r="511" customFormat="false" ht="15" hidden="false" customHeight="false" outlineLevel="0" collapsed="false">
      <c r="A511" s="5" t="s">
        <v>4</v>
      </c>
      <c r="B511" s="5" t="s">
        <v>55</v>
      </c>
      <c r="C511" s="2" t="s">
        <v>56</v>
      </c>
      <c r="D511" s="5" t="s">
        <v>77</v>
      </c>
      <c r="E511" s="5" t="s">
        <v>62</v>
      </c>
      <c r="F511" s="2" t="n">
        <v>15</v>
      </c>
      <c r="G511" s="5" t="s">
        <v>73</v>
      </c>
      <c r="H511" s="2" t="n">
        <v>0</v>
      </c>
      <c r="I511" s="2" t="n">
        <v>1</v>
      </c>
      <c r="J511" s="2" t="n">
        <v>1</v>
      </c>
      <c r="K511" s="7" t="n">
        <v>0.2870786796</v>
      </c>
      <c r="L511" s="7" t="n">
        <v>0.091511029</v>
      </c>
      <c r="M511" s="7" t="n">
        <v>0.09154106435</v>
      </c>
      <c r="N511" s="7" t="n">
        <v>13</v>
      </c>
      <c r="O511" s="7" t="n">
        <v>13</v>
      </c>
      <c r="P511" s="7" t="n">
        <v>12</v>
      </c>
      <c r="Q511" s="2"/>
      <c r="R511" s="7" t="n">
        <v>2.89459</v>
      </c>
      <c r="S511" s="5" t="s">
        <v>60</v>
      </c>
      <c r="T511" s="5" t="s">
        <v>61</v>
      </c>
    </row>
    <row r="512" customFormat="false" ht="15" hidden="false" customHeight="false" outlineLevel="0" collapsed="false">
      <c r="A512" s="5" t="s">
        <v>4</v>
      </c>
      <c r="B512" s="5" t="s">
        <v>55</v>
      </c>
      <c r="C512" s="2" t="s">
        <v>56</v>
      </c>
      <c r="D512" s="5" t="s">
        <v>77</v>
      </c>
      <c r="E512" s="5" t="s">
        <v>58</v>
      </c>
      <c r="F512" s="2" t="n">
        <v>16</v>
      </c>
      <c r="G512" s="5" t="s">
        <v>71</v>
      </c>
      <c r="H512" s="2" t="n">
        <v>1</v>
      </c>
      <c r="I512" s="2" t="n">
        <v>1</v>
      </c>
      <c r="J512" s="2" t="n">
        <v>1</v>
      </c>
      <c r="K512" s="7" t="n">
        <v>0.3203355416</v>
      </c>
      <c r="L512" s="7" t="n">
        <v>0.03169059933</v>
      </c>
      <c r="M512" s="7" t="n">
        <v>0.03700609116</v>
      </c>
      <c r="N512" s="7" t="n">
        <v>10</v>
      </c>
      <c r="O512" s="7" t="n">
        <v>10</v>
      </c>
      <c r="P512" s="7" t="n">
        <v>0</v>
      </c>
      <c r="Q512" s="2"/>
      <c r="R512" s="7" t="n">
        <v>29.437882</v>
      </c>
      <c r="S512" s="5" t="s">
        <v>60</v>
      </c>
      <c r="T512" s="5" t="s">
        <v>61</v>
      </c>
    </row>
    <row r="513" customFormat="false" ht="15" hidden="false" customHeight="false" outlineLevel="0" collapsed="false">
      <c r="A513" s="5" t="s">
        <v>4</v>
      </c>
      <c r="B513" s="5" t="s">
        <v>55</v>
      </c>
      <c r="C513" s="2" t="s">
        <v>56</v>
      </c>
      <c r="D513" s="5" t="s">
        <v>77</v>
      </c>
      <c r="E513" s="5" t="s">
        <v>62</v>
      </c>
      <c r="F513" s="2" t="n">
        <v>16</v>
      </c>
      <c r="G513" s="5" t="s">
        <v>71</v>
      </c>
      <c r="H513" s="2" t="n">
        <v>1</v>
      </c>
      <c r="I513" s="2" t="n">
        <v>1</v>
      </c>
      <c r="J513" s="2" t="n">
        <v>1</v>
      </c>
      <c r="K513" s="7" t="n">
        <v>0.3203355416</v>
      </c>
      <c r="L513" s="7" t="n">
        <v>0.03169059933</v>
      </c>
      <c r="M513" s="7" t="n">
        <v>0.03700609116</v>
      </c>
      <c r="N513" s="7" t="n">
        <v>10</v>
      </c>
      <c r="O513" s="7" t="n">
        <v>10</v>
      </c>
      <c r="P513" s="7" t="n">
        <v>10</v>
      </c>
      <c r="Q513" s="2"/>
      <c r="R513" s="7" t="n">
        <v>30.050448</v>
      </c>
      <c r="S513" s="5" t="s">
        <v>60</v>
      </c>
      <c r="T513" s="5" t="s">
        <v>61</v>
      </c>
    </row>
    <row r="514" customFormat="false" ht="15" hidden="false" customHeight="false" outlineLevel="0" collapsed="false">
      <c r="A514" s="5" t="s">
        <v>4</v>
      </c>
      <c r="B514" s="5" t="s">
        <v>55</v>
      </c>
      <c r="C514" s="2" t="s">
        <v>56</v>
      </c>
      <c r="D514" s="5" t="s">
        <v>77</v>
      </c>
      <c r="E514" s="5" t="s">
        <v>58</v>
      </c>
      <c r="F514" s="2" t="n">
        <v>16</v>
      </c>
      <c r="G514" s="5" t="s">
        <v>72</v>
      </c>
      <c r="H514" s="2" t="n">
        <v>1</v>
      </c>
      <c r="I514" s="2" t="n">
        <v>1</v>
      </c>
      <c r="J514" s="2" t="n">
        <v>1</v>
      </c>
      <c r="K514" s="7" t="n">
        <v>0.4892811943</v>
      </c>
      <c r="L514" s="7" t="n">
        <v>0.08622905121</v>
      </c>
      <c r="M514" s="7" t="n">
        <v>0.09130266395</v>
      </c>
      <c r="N514" s="7" t="n">
        <v>6</v>
      </c>
      <c r="O514" s="7" t="n">
        <v>6</v>
      </c>
      <c r="P514" s="7" t="n">
        <v>0</v>
      </c>
      <c r="Q514" s="2"/>
      <c r="R514" s="7" t="n">
        <v>6.010896</v>
      </c>
      <c r="S514" s="5" t="s">
        <v>60</v>
      </c>
      <c r="T514" s="5" t="s">
        <v>61</v>
      </c>
    </row>
    <row r="515" customFormat="false" ht="15" hidden="false" customHeight="false" outlineLevel="0" collapsed="false">
      <c r="A515" s="5" t="s">
        <v>4</v>
      </c>
      <c r="B515" s="5" t="s">
        <v>55</v>
      </c>
      <c r="C515" s="2" t="s">
        <v>56</v>
      </c>
      <c r="D515" s="5" t="s">
        <v>77</v>
      </c>
      <c r="E515" s="5" t="s">
        <v>62</v>
      </c>
      <c r="F515" s="2" t="n">
        <v>16</v>
      </c>
      <c r="G515" s="5" t="s">
        <v>72</v>
      </c>
      <c r="H515" s="2" t="n">
        <v>1</v>
      </c>
      <c r="I515" s="2" t="n">
        <v>1</v>
      </c>
      <c r="J515" s="2" t="n">
        <v>1</v>
      </c>
      <c r="K515" s="7" t="n">
        <v>0.4892811943</v>
      </c>
      <c r="L515" s="7" t="n">
        <v>0.08622905121</v>
      </c>
      <c r="M515" s="7" t="n">
        <v>0.09130266395</v>
      </c>
      <c r="N515" s="7" t="n">
        <v>6</v>
      </c>
      <c r="O515" s="7" t="n">
        <v>6</v>
      </c>
      <c r="P515" s="7" t="n">
        <v>6</v>
      </c>
      <c r="Q515" s="2"/>
      <c r="R515" s="7" t="n">
        <v>6.504375</v>
      </c>
      <c r="S515" s="5" t="s">
        <v>60</v>
      </c>
      <c r="T515" s="5" t="s">
        <v>61</v>
      </c>
    </row>
    <row r="516" customFormat="false" ht="15" hidden="false" customHeight="false" outlineLevel="0" collapsed="false">
      <c r="A516" s="5" t="s">
        <v>4</v>
      </c>
      <c r="B516" s="5" t="s">
        <v>55</v>
      </c>
      <c r="C516" s="2" t="s">
        <v>56</v>
      </c>
      <c r="D516" s="5" t="s">
        <v>77</v>
      </c>
      <c r="E516" s="5" t="s">
        <v>58</v>
      </c>
      <c r="F516" s="2" t="n">
        <v>16</v>
      </c>
      <c r="G516" s="5" t="s">
        <v>73</v>
      </c>
      <c r="H516" s="2" t="n">
        <v>0</v>
      </c>
      <c r="I516" s="2" t="n">
        <v>1</v>
      </c>
      <c r="J516" s="2" t="n">
        <v>1</v>
      </c>
      <c r="K516" s="7" t="n">
        <v>0.8232799473</v>
      </c>
      <c r="L516" s="7" t="n">
        <v>0.2541197971</v>
      </c>
      <c r="M516" s="7" t="n">
        <v>0.2564008342</v>
      </c>
      <c r="N516" s="7" t="n">
        <v>3</v>
      </c>
      <c r="O516" s="7" t="n">
        <v>3</v>
      </c>
      <c r="P516" s="7" t="n">
        <v>0</v>
      </c>
      <c r="Q516" s="2"/>
      <c r="R516" s="7" t="n">
        <v>2.640875</v>
      </c>
      <c r="S516" s="5" t="s">
        <v>60</v>
      </c>
      <c r="T516" s="5" t="s">
        <v>61</v>
      </c>
    </row>
    <row r="517" customFormat="false" ht="15" hidden="false" customHeight="false" outlineLevel="0" collapsed="false">
      <c r="A517" s="5" t="s">
        <v>4</v>
      </c>
      <c r="B517" s="5" t="s">
        <v>55</v>
      </c>
      <c r="C517" s="2" t="s">
        <v>56</v>
      </c>
      <c r="D517" s="5" t="s">
        <v>77</v>
      </c>
      <c r="E517" s="5" t="s">
        <v>62</v>
      </c>
      <c r="F517" s="2" t="n">
        <v>16</v>
      </c>
      <c r="G517" s="5" t="s">
        <v>73</v>
      </c>
      <c r="H517" s="2" t="n">
        <v>0</v>
      </c>
      <c r="I517" s="2" t="n">
        <v>1</v>
      </c>
      <c r="J517" s="2" t="n">
        <v>1</v>
      </c>
      <c r="K517" s="7" t="n">
        <v>0.8232799473</v>
      </c>
      <c r="L517" s="7" t="n">
        <v>0.2541197971</v>
      </c>
      <c r="M517" s="7" t="n">
        <v>0.2564008342</v>
      </c>
      <c r="N517" s="7" t="n">
        <v>3</v>
      </c>
      <c r="O517" s="7" t="n">
        <v>3</v>
      </c>
      <c r="P517" s="7" t="n">
        <v>3</v>
      </c>
      <c r="Q517" s="2"/>
      <c r="R517" s="7" t="n">
        <v>2.81372</v>
      </c>
      <c r="S517" s="5" t="s">
        <v>60</v>
      </c>
      <c r="T517" s="5" t="s">
        <v>61</v>
      </c>
    </row>
    <row r="518" customFormat="false" ht="15" hidden="false" customHeight="false" outlineLevel="0" collapsed="false">
      <c r="A518" s="5" t="s">
        <v>4</v>
      </c>
      <c r="B518" s="5" t="s">
        <v>55</v>
      </c>
      <c r="C518" s="2" t="s">
        <v>56</v>
      </c>
      <c r="D518" s="5" t="s">
        <v>77</v>
      </c>
      <c r="E518" s="5" t="s">
        <v>58</v>
      </c>
      <c r="F518" s="2" t="n">
        <v>17</v>
      </c>
      <c r="G518" s="5" t="s">
        <v>71</v>
      </c>
      <c r="H518" s="2" t="n">
        <v>1</v>
      </c>
      <c r="I518" s="2" t="n">
        <v>1</v>
      </c>
      <c r="J518" s="2" t="n">
        <v>1</v>
      </c>
      <c r="K518" s="7" t="n">
        <v>0.5017895293</v>
      </c>
      <c r="L518" s="7" t="n">
        <v>0.05112563375</v>
      </c>
      <c r="M518" s="7" t="n">
        <v>0.05910760657</v>
      </c>
      <c r="N518" s="7" t="n">
        <v>9</v>
      </c>
      <c r="O518" s="7" t="n">
        <v>9</v>
      </c>
      <c r="P518" s="7" t="n">
        <v>0</v>
      </c>
      <c r="Q518" s="2"/>
      <c r="R518" s="7" t="n">
        <v>1.268516</v>
      </c>
      <c r="S518" s="5" t="s">
        <v>60</v>
      </c>
      <c r="T518" s="5" t="s">
        <v>61</v>
      </c>
    </row>
    <row r="519" customFormat="false" ht="15" hidden="false" customHeight="false" outlineLevel="0" collapsed="false">
      <c r="A519" s="5" t="s">
        <v>4</v>
      </c>
      <c r="B519" s="5" t="s">
        <v>55</v>
      </c>
      <c r="C519" s="2" t="s">
        <v>56</v>
      </c>
      <c r="D519" s="5" t="s">
        <v>77</v>
      </c>
      <c r="E519" s="5" t="s">
        <v>62</v>
      </c>
      <c r="F519" s="2" t="n">
        <v>17</v>
      </c>
      <c r="G519" s="5" t="s">
        <v>71</v>
      </c>
      <c r="H519" s="2" t="n">
        <v>1</v>
      </c>
      <c r="I519" s="2" t="n">
        <v>1</v>
      </c>
      <c r="J519" s="2" t="n">
        <v>1</v>
      </c>
      <c r="K519" s="7" t="n">
        <v>0.5017895293</v>
      </c>
      <c r="L519" s="7" t="n">
        <v>0.05112563375</v>
      </c>
      <c r="M519" s="7" t="n">
        <v>0.05910760657</v>
      </c>
      <c r="N519" s="7" t="n">
        <v>9</v>
      </c>
      <c r="O519" s="7" t="n">
        <v>9</v>
      </c>
      <c r="P519" s="7" t="n">
        <v>9</v>
      </c>
      <c r="Q519" s="2"/>
      <c r="R519" s="7" t="n">
        <v>1.789956</v>
      </c>
      <c r="S519" s="5" t="s">
        <v>60</v>
      </c>
      <c r="T519" s="5" t="s">
        <v>61</v>
      </c>
    </row>
    <row r="520" customFormat="false" ht="15" hidden="false" customHeight="false" outlineLevel="0" collapsed="false">
      <c r="A520" s="5" t="s">
        <v>4</v>
      </c>
      <c r="B520" s="5" t="s">
        <v>55</v>
      </c>
      <c r="C520" s="2" t="s">
        <v>56</v>
      </c>
      <c r="D520" s="5" t="s">
        <v>77</v>
      </c>
      <c r="E520" s="5" t="s">
        <v>58</v>
      </c>
      <c r="F520" s="2" t="n">
        <v>17</v>
      </c>
      <c r="G520" s="5" t="s">
        <v>72</v>
      </c>
      <c r="H520" s="2" t="n">
        <v>1</v>
      </c>
      <c r="I520" s="2" t="n">
        <v>1</v>
      </c>
      <c r="J520" s="2" t="n">
        <v>1</v>
      </c>
      <c r="K520" s="7" t="n">
        <v>0.7446110611</v>
      </c>
      <c r="L520" s="7" t="n">
        <v>0.1605138224</v>
      </c>
      <c r="M520" s="7" t="n">
        <v>0.1646136459</v>
      </c>
      <c r="N520" s="7" t="n">
        <v>10</v>
      </c>
      <c r="O520" s="7" t="n">
        <v>10</v>
      </c>
      <c r="P520" s="7" t="n">
        <v>0</v>
      </c>
      <c r="Q520" s="2"/>
      <c r="R520" s="7" t="n">
        <v>6.409927</v>
      </c>
      <c r="S520" s="5" t="s">
        <v>60</v>
      </c>
      <c r="T520" s="5" t="s">
        <v>61</v>
      </c>
    </row>
    <row r="521" customFormat="false" ht="15" hidden="false" customHeight="false" outlineLevel="0" collapsed="false">
      <c r="A521" s="5" t="s">
        <v>4</v>
      </c>
      <c r="B521" s="5" t="s">
        <v>55</v>
      </c>
      <c r="C521" s="2" t="s">
        <v>56</v>
      </c>
      <c r="D521" s="5" t="s">
        <v>77</v>
      </c>
      <c r="E521" s="5" t="s">
        <v>62</v>
      </c>
      <c r="F521" s="2" t="n">
        <v>17</v>
      </c>
      <c r="G521" s="5" t="s">
        <v>72</v>
      </c>
      <c r="H521" s="2" t="n">
        <v>1</v>
      </c>
      <c r="I521" s="2" t="n">
        <v>1</v>
      </c>
      <c r="J521" s="2" t="n">
        <v>1</v>
      </c>
      <c r="K521" s="7" t="n">
        <v>0.7446110611</v>
      </c>
      <c r="L521" s="7" t="n">
        <v>0.1605138224</v>
      </c>
      <c r="M521" s="7" t="n">
        <v>0.1646136459</v>
      </c>
      <c r="N521" s="7" t="n">
        <v>10</v>
      </c>
      <c r="O521" s="7" t="n">
        <v>10</v>
      </c>
      <c r="P521" s="7" t="n">
        <v>10</v>
      </c>
      <c r="Q521" s="2"/>
      <c r="R521" s="7" t="n">
        <v>6.982032</v>
      </c>
      <c r="S521" s="5" t="s">
        <v>60</v>
      </c>
      <c r="T521" s="5" t="s">
        <v>61</v>
      </c>
    </row>
    <row r="522" customFormat="false" ht="15" hidden="false" customHeight="false" outlineLevel="0" collapsed="false">
      <c r="A522" s="5" t="s">
        <v>4</v>
      </c>
      <c r="B522" s="5" t="s">
        <v>55</v>
      </c>
      <c r="C522" s="2" t="s">
        <v>56</v>
      </c>
      <c r="D522" s="5" t="s">
        <v>77</v>
      </c>
      <c r="E522" s="5" t="s">
        <v>58</v>
      </c>
      <c r="F522" s="2" t="n">
        <v>17</v>
      </c>
      <c r="G522" s="5" t="s">
        <v>73</v>
      </c>
      <c r="H522" s="2" t="n">
        <v>0</v>
      </c>
      <c r="I522" s="2" t="n">
        <v>1</v>
      </c>
      <c r="J522" s="2" t="n">
        <v>1</v>
      </c>
      <c r="K522" s="7" t="n">
        <v>0.5410785614</v>
      </c>
      <c r="L522" s="7" t="n">
        <v>0.09635110559</v>
      </c>
      <c r="M522" s="7" t="n">
        <v>0.1091600519</v>
      </c>
      <c r="N522" s="7" t="n">
        <v>3</v>
      </c>
      <c r="O522" s="7" t="n">
        <v>3</v>
      </c>
      <c r="P522" s="7" t="n">
        <v>0</v>
      </c>
      <c r="Q522" s="2"/>
      <c r="R522" s="7" t="n">
        <v>6.371169</v>
      </c>
      <c r="S522" s="5" t="s">
        <v>60</v>
      </c>
      <c r="T522" s="5" t="s">
        <v>61</v>
      </c>
    </row>
    <row r="523" customFormat="false" ht="15" hidden="false" customHeight="false" outlineLevel="0" collapsed="false">
      <c r="A523" s="5" t="s">
        <v>4</v>
      </c>
      <c r="B523" s="5" t="s">
        <v>55</v>
      </c>
      <c r="C523" s="2" t="s">
        <v>56</v>
      </c>
      <c r="D523" s="5" t="s">
        <v>77</v>
      </c>
      <c r="E523" s="5" t="s">
        <v>62</v>
      </c>
      <c r="F523" s="2" t="n">
        <v>17</v>
      </c>
      <c r="G523" s="5" t="s">
        <v>73</v>
      </c>
      <c r="H523" s="2" t="n">
        <v>0</v>
      </c>
      <c r="I523" s="2" t="n">
        <v>1</v>
      </c>
      <c r="J523" s="2" t="n">
        <v>1</v>
      </c>
      <c r="K523" s="7" t="n">
        <v>0.5410785614</v>
      </c>
      <c r="L523" s="7" t="n">
        <v>0.09635110559</v>
      </c>
      <c r="M523" s="7" t="n">
        <v>0.1091600519</v>
      </c>
      <c r="N523" s="7" t="n">
        <v>3</v>
      </c>
      <c r="O523" s="7" t="n">
        <v>3</v>
      </c>
      <c r="P523" s="7" t="n">
        <v>3</v>
      </c>
      <c r="Q523" s="2"/>
      <c r="R523" s="7" t="n">
        <v>6.543333</v>
      </c>
      <c r="S523" s="5" t="s">
        <v>60</v>
      </c>
      <c r="T523" s="5" t="s">
        <v>61</v>
      </c>
    </row>
    <row r="524" customFormat="false" ht="15" hidden="false" customHeight="false" outlineLevel="0" collapsed="false">
      <c r="A524" s="5" t="s">
        <v>4</v>
      </c>
      <c r="B524" s="5" t="s">
        <v>55</v>
      </c>
      <c r="C524" s="2" t="s">
        <v>56</v>
      </c>
      <c r="D524" s="5" t="s">
        <v>77</v>
      </c>
      <c r="E524" s="5" t="s">
        <v>58</v>
      </c>
      <c r="F524" s="2" t="n">
        <v>18</v>
      </c>
      <c r="G524" s="5" t="s">
        <v>71</v>
      </c>
      <c r="H524" s="2" t="n">
        <v>1</v>
      </c>
      <c r="I524" s="2" t="n">
        <v>1</v>
      </c>
      <c r="J524" s="2" t="n">
        <v>1</v>
      </c>
      <c r="K524" s="7" t="n">
        <v>0.587921177</v>
      </c>
      <c r="L524" s="7" t="n">
        <v>0.02555983169</v>
      </c>
      <c r="M524" s="7" t="n">
        <v>0.04109071576</v>
      </c>
      <c r="N524" s="7" t="n">
        <v>8</v>
      </c>
      <c r="O524" s="7" t="n">
        <v>8</v>
      </c>
      <c r="P524" s="7" t="n">
        <v>0</v>
      </c>
      <c r="Q524" s="2"/>
      <c r="R524" s="7" t="n">
        <v>1.329936</v>
      </c>
      <c r="S524" s="5" t="s">
        <v>60</v>
      </c>
      <c r="T524" s="5" t="s">
        <v>61</v>
      </c>
    </row>
    <row r="525" customFormat="false" ht="15" hidden="false" customHeight="false" outlineLevel="0" collapsed="false">
      <c r="A525" s="5" t="s">
        <v>4</v>
      </c>
      <c r="B525" s="5" t="s">
        <v>55</v>
      </c>
      <c r="C525" s="2" t="s">
        <v>56</v>
      </c>
      <c r="D525" s="5" t="s">
        <v>77</v>
      </c>
      <c r="E525" s="5" t="s">
        <v>62</v>
      </c>
      <c r="F525" s="2" t="n">
        <v>18</v>
      </c>
      <c r="G525" s="5" t="s">
        <v>71</v>
      </c>
      <c r="H525" s="2" t="n">
        <v>1</v>
      </c>
      <c r="I525" s="2" t="n">
        <v>1</v>
      </c>
      <c r="J525" s="2" t="n">
        <v>1</v>
      </c>
      <c r="K525" s="7" t="n">
        <v>0.587921177</v>
      </c>
      <c r="L525" s="7" t="n">
        <v>0.02555983169</v>
      </c>
      <c r="M525" s="7" t="n">
        <v>0.04109071576</v>
      </c>
      <c r="N525" s="7" t="n">
        <v>8</v>
      </c>
      <c r="O525" s="7" t="n">
        <v>8</v>
      </c>
      <c r="P525" s="7" t="n">
        <v>8</v>
      </c>
      <c r="Q525" s="2"/>
      <c r="R525" s="7" t="n">
        <v>1.849314</v>
      </c>
      <c r="S525" s="5" t="s">
        <v>60</v>
      </c>
      <c r="T525" s="5" t="s">
        <v>61</v>
      </c>
    </row>
    <row r="526" customFormat="false" ht="15" hidden="false" customHeight="false" outlineLevel="0" collapsed="false">
      <c r="A526" s="5" t="s">
        <v>4</v>
      </c>
      <c r="B526" s="5" t="s">
        <v>55</v>
      </c>
      <c r="C526" s="2" t="s">
        <v>56</v>
      </c>
      <c r="D526" s="5" t="s">
        <v>77</v>
      </c>
      <c r="E526" s="5" t="s">
        <v>58</v>
      </c>
      <c r="F526" s="2" t="n">
        <v>18</v>
      </c>
      <c r="G526" s="5" t="s">
        <v>72</v>
      </c>
      <c r="H526" s="2" t="n">
        <v>1</v>
      </c>
      <c r="I526" s="2" t="n">
        <v>1</v>
      </c>
      <c r="J526" s="2" t="n">
        <v>1</v>
      </c>
      <c r="K526" s="7" t="n">
        <v>0.5435629419</v>
      </c>
      <c r="L526" s="7" t="n">
        <v>0.1177280734</v>
      </c>
      <c r="M526" s="7" t="n">
        <v>0.1215414822</v>
      </c>
      <c r="N526" s="7" t="n">
        <v>10</v>
      </c>
      <c r="O526" s="7" t="n">
        <v>10</v>
      </c>
      <c r="P526" s="7" t="n">
        <v>0</v>
      </c>
      <c r="Q526" s="2"/>
      <c r="R526" s="7" t="n">
        <v>6.167137</v>
      </c>
      <c r="S526" s="5" t="s">
        <v>60</v>
      </c>
      <c r="T526" s="5" t="s">
        <v>61</v>
      </c>
    </row>
    <row r="527" customFormat="false" ht="15" hidden="false" customHeight="false" outlineLevel="0" collapsed="false">
      <c r="A527" s="5" t="s">
        <v>4</v>
      </c>
      <c r="B527" s="5" t="s">
        <v>55</v>
      </c>
      <c r="C527" s="2" t="s">
        <v>56</v>
      </c>
      <c r="D527" s="5" t="s">
        <v>77</v>
      </c>
      <c r="E527" s="5" t="s">
        <v>62</v>
      </c>
      <c r="F527" s="2" t="n">
        <v>18</v>
      </c>
      <c r="G527" s="5" t="s">
        <v>72</v>
      </c>
      <c r="H527" s="2" t="n">
        <v>1</v>
      </c>
      <c r="I527" s="2" t="n">
        <v>1</v>
      </c>
      <c r="J527" s="2" t="n">
        <v>1</v>
      </c>
      <c r="K527" s="7" t="n">
        <v>0.5435629419</v>
      </c>
      <c r="L527" s="7" t="n">
        <v>0.1177280734</v>
      </c>
      <c r="M527" s="7" t="n">
        <v>0.1215414822</v>
      </c>
      <c r="N527" s="7" t="n">
        <v>10</v>
      </c>
      <c r="O527" s="7" t="n">
        <v>10</v>
      </c>
      <c r="P527" s="7" t="n">
        <v>10</v>
      </c>
      <c r="Q527" s="2"/>
      <c r="R527" s="7" t="n">
        <v>6.722358</v>
      </c>
      <c r="S527" s="5" t="s">
        <v>60</v>
      </c>
      <c r="T527" s="5" t="s">
        <v>61</v>
      </c>
    </row>
    <row r="528" customFormat="false" ht="15" hidden="false" customHeight="false" outlineLevel="0" collapsed="false">
      <c r="A528" s="5" t="s">
        <v>4</v>
      </c>
      <c r="B528" s="5" t="s">
        <v>55</v>
      </c>
      <c r="C528" s="2" t="s">
        <v>56</v>
      </c>
      <c r="D528" s="5" t="s">
        <v>77</v>
      </c>
      <c r="E528" s="5" t="s">
        <v>58</v>
      </c>
      <c r="F528" s="2" t="n">
        <v>18</v>
      </c>
      <c r="G528" s="5" t="s">
        <v>73</v>
      </c>
      <c r="H528" s="2" t="n">
        <v>0</v>
      </c>
      <c r="I528" s="2" t="n">
        <v>1</v>
      </c>
      <c r="J528" s="2" t="n">
        <v>1</v>
      </c>
      <c r="K528" s="7" t="n">
        <v>1.133728384</v>
      </c>
      <c r="L528" s="7" t="n">
        <v>0.2914470712</v>
      </c>
      <c r="M528" s="7" t="n">
        <v>0.2958689315</v>
      </c>
      <c r="N528" s="7" t="n">
        <v>7</v>
      </c>
      <c r="O528" s="7" t="n">
        <v>7</v>
      </c>
      <c r="P528" s="7" t="n">
        <v>0</v>
      </c>
      <c r="Q528" s="2"/>
      <c r="R528" s="7" t="n">
        <v>2.485344</v>
      </c>
      <c r="S528" s="5" t="s">
        <v>60</v>
      </c>
      <c r="T528" s="5" t="s">
        <v>61</v>
      </c>
    </row>
    <row r="529" customFormat="false" ht="15" hidden="false" customHeight="false" outlineLevel="0" collapsed="false">
      <c r="A529" s="5" t="s">
        <v>4</v>
      </c>
      <c r="B529" s="5" t="s">
        <v>55</v>
      </c>
      <c r="C529" s="2" t="s">
        <v>56</v>
      </c>
      <c r="D529" s="5" t="s">
        <v>77</v>
      </c>
      <c r="E529" s="5" t="s">
        <v>62</v>
      </c>
      <c r="F529" s="2" t="n">
        <v>18</v>
      </c>
      <c r="G529" s="5" t="s">
        <v>73</v>
      </c>
      <c r="H529" s="2" t="n">
        <v>0</v>
      </c>
      <c r="I529" s="2" t="n">
        <v>1</v>
      </c>
      <c r="J529" s="2" t="n">
        <v>1</v>
      </c>
      <c r="K529" s="7" t="n">
        <v>1.133728384</v>
      </c>
      <c r="L529" s="7" t="n">
        <v>0.2914470712</v>
      </c>
      <c r="M529" s="7" t="n">
        <v>0.2958689315</v>
      </c>
      <c r="N529" s="7" t="n">
        <v>7</v>
      </c>
      <c r="O529" s="7" t="n">
        <v>7</v>
      </c>
      <c r="P529" s="7" t="n">
        <v>7</v>
      </c>
      <c r="Q529" s="2"/>
      <c r="R529" s="7" t="n">
        <v>2.964563</v>
      </c>
      <c r="S529" s="5" t="s">
        <v>60</v>
      </c>
      <c r="T529" s="5" t="s">
        <v>61</v>
      </c>
    </row>
    <row r="530" customFormat="false" ht="15" hidden="false" customHeight="false" outlineLevel="0" collapsed="false">
      <c r="A530" s="5" t="s">
        <v>4</v>
      </c>
      <c r="B530" s="5" t="s">
        <v>55</v>
      </c>
      <c r="C530" s="2" t="s">
        <v>56</v>
      </c>
      <c r="D530" s="5" t="s">
        <v>77</v>
      </c>
      <c r="E530" s="5" t="s">
        <v>58</v>
      </c>
      <c r="F530" s="2" t="n">
        <v>19</v>
      </c>
      <c r="G530" s="5" t="s">
        <v>71</v>
      </c>
      <c r="H530" s="2" t="n">
        <v>1</v>
      </c>
      <c r="I530" s="2" t="n">
        <v>1</v>
      </c>
      <c r="J530" s="2" t="n">
        <v>1</v>
      </c>
      <c r="K530" s="7" t="n">
        <v>0.5370855009</v>
      </c>
      <c r="L530" s="7" t="n">
        <v>0.02281516751</v>
      </c>
      <c r="M530" s="7" t="n">
        <v>0.04292850613</v>
      </c>
      <c r="N530" s="7" t="n">
        <v>9</v>
      </c>
      <c r="O530" s="7" t="n">
        <v>9</v>
      </c>
      <c r="P530" s="7" t="n">
        <v>0</v>
      </c>
      <c r="Q530" s="2"/>
      <c r="R530" s="7" t="n">
        <v>1.32552</v>
      </c>
      <c r="S530" s="5" t="s">
        <v>60</v>
      </c>
      <c r="T530" s="5" t="s">
        <v>61</v>
      </c>
    </row>
    <row r="531" customFormat="false" ht="15" hidden="false" customHeight="false" outlineLevel="0" collapsed="false">
      <c r="A531" s="5" t="s">
        <v>4</v>
      </c>
      <c r="B531" s="5" t="s">
        <v>55</v>
      </c>
      <c r="C531" s="2" t="s">
        <v>56</v>
      </c>
      <c r="D531" s="5" t="s">
        <v>77</v>
      </c>
      <c r="E531" s="5" t="s">
        <v>62</v>
      </c>
      <c r="F531" s="2" t="n">
        <v>19</v>
      </c>
      <c r="G531" s="5" t="s">
        <v>71</v>
      </c>
      <c r="H531" s="2" t="n">
        <v>1</v>
      </c>
      <c r="I531" s="2" t="n">
        <v>1</v>
      </c>
      <c r="J531" s="2" t="n">
        <v>1</v>
      </c>
      <c r="K531" s="7" t="n">
        <v>0.5370855009</v>
      </c>
      <c r="L531" s="7" t="n">
        <v>0.02281516751</v>
      </c>
      <c r="M531" s="7" t="n">
        <v>0.04292850613</v>
      </c>
      <c r="N531" s="7" t="n">
        <v>9</v>
      </c>
      <c r="O531" s="7" t="n">
        <v>9</v>
      </c>
      <c r="P531" s="7" t="n">
        <v>9</v>
      </c>
      <c r="Q531" s="2"/>
      <c r="R531" s="7" t="n">
        <v>9.884393</v>
      </c>
      <c r="S531" s="5" t="s">
        <v>60</v>
      </c>
      <c r="T531" s="5" t="s">
        <v>61</v>
      </c>
    </row>
    <row r="532" customFormat="false" ht="15" hidden="false" customHeight="false" outlineLevel="0" collapsed="false">
      <c r="A532" s="5" t="s">
        <v>4</v>
      </c>
      <c r="B532" s="5" t="s">
        <v>55</v>
      </c>
      <c r="C532" s="2" t="s">
        <v>56</v>
      </c>
      <c r="D532" s="5" t="s">
        <v>77</v>
      </c>
      <c r="E532" s="5" t="s">
        <v>58</v>
      </c>
      <c r="F532" s="2" t="n">
        <v>19</v>
      </c>
      <c r="G532" s="5" t="s">
        <v>72</v>
      </c>
      <c r="H532" s="2" t="n">
        <v>1</v>
      </c>
      <c r="I532" s="2" t="n">
        <v>1</v>
      </c>
      <c r="J532" s="2" t="n">
        <v>1</v>
      </c>
      <c r="K532" s="7" t="n">
        <v>0.6449172136</v>
      </c>
      <c r="L532" s="7" t="n">
        <v>0.07312124021</v>
      </c>
      <c r="M532" s="7" t="n">
        <v>0.08269042431</v>
      </c>
      <c r="N532" s="7" t="n">
        <v>12</v>
      </c>
      <c r="O532" s="7" t="n">
        <v>12</v>
      </c>
      <c r="P532" s="7" t="n">
        <v>0</v>
      </c>
      <c r="Q532" s="2"/>
      <c r="R532" s="7" t="n">
        <v>2.251829</v>
      </c>
      <c r="S532" s="5" t="s">
        <v>60</v>
      </c>
      <c r="T532" s="5" t="s">
        <v>61</v>
      </c>
    </row>
    <row r="533" customFormat="false" ht="15" hidden="false" customHeight="false" outlineLevel="0" collapsed="false">
      <c r="A533" s="5" t="s">
        <v>4</v>
      </c>
      <c r="B533" s="5" t="s">
        <v>55</v>
      </c>
      <c r="C533" s="2" t="s">
        <v>56</v>
      </c>
      <c r="D533" s="5" t="s">
        <v>77</v>
      </c>
      <c r="E533" s="5" t="s">
        <v>62</v>
      </c>
      <c r="F533" s="2" t="n">
        <v>19</v>
      </c>
      <c r="G533" s="5" t="s">
        <v>72</v>
      </c>
      <c r="H533" s="2" t="n">
        <v>1</v>
      </c>
      <c r="I533" s="2" t="n">
        <v>1</v>
      </c>
      <c r="J533" s="2" t="n">
        <v>1</v>
      </c>
      <c r="K533" s="7" t="n">
        <v>0.6449172136</v>
      </c>
      <c r="L533" s="7" t="n">
        <v>0.07312124021</v>
      </c>
      <c r="M533" s="7" t="n">
        <v>0.08269042431</v>
      </c>
      <c r="N533" s="7" t="n">
        <v>12</v>
      </c>
      <c r="O533" s="7" t="n">
        <v>12</v>
      </c>
      <c r="P533" s="7" t="n">
        <v>12</v>
      </c>
      <c r="Q533" s="2"/>
      <c r="R533" s="7" t="n">
        <v>2.82068</v>
      </c>
      <c r="S533" s="5" t="s">
        <v>60</v>
      </c>
      <c r="T533" s="5" t="s">
        <v>61</v>
      </c>
    </row>
    <row r="534" customFormat="false" ht="15" hidden="false" customHeight="false" outlineLevel="0" collapsed="false">
      <c r="A534" s="5" t="s">
        <v>4</v>
      </c>
      <c r="B534" s="5" t="s">
        <v>55</v>
      </c>
      <c r="C534" s="2" t="s">
        <v>56</v>
      </c>
      <c r="D534" s="5" t="s">
        <v>77</v>
      </c>
      <c r="E534" s="5" t="s">
        <v>58</v>
      </c>
      <c r="F534" s="2" t="n">
        <v>19</v>
      </c>
      <c r="G534" s="5" t="s">
        <v>73</v>
      </c>
      <c r="H534" s="2" t="n">
        <v>0</v>
      </c>
      <c r="I534" s="2" t="n">
        <v>1</v>
      </c>
      <c r="J534" s="2" t="n">
        <v>1</v>
      </c>
      <c r="K534" s="7" t="n">
        <v>0.3202498717</v>
      </c>
      <c r="L534" s="7" t="n">
        <v>0.08742203682</v>
      </c>
      <c r="M534" s="7" t="n">
        <v>0.08842502079</v>
      </c>
      <c r="N534" s="7" t="n">
        <v>15</v>
      </c>
      <c r="O534" s="7" t="n">
        <v>15</v>
      </c>
      <c r="P534" s="7" t="n">
        <v>0</v>
      </c>
      <c r="Q534" s="2"/>
      <c r="R534" s="7" t="n">
        <v>2.416403</v>
      </c>
      <c r="S534" s="5" t="s">
        <v>60</v>
      </c>
      <c r="T534" s="5" t="s">
        <v>61</v>
      </c>
    </row>
    <row r="535" customFormat="false" ht="15" hidden="false" customHeight="false" outlineLevel="0" collapsed="false">
      <c r="A535" s="5" t="s">
        <v>4</v>
      </c>
      <c r="B535" s="5" t="s">
        <v>55</v>
      </c>
      <c r="C535" s="2" t="s">
        <v>56</v>
      </c>
      <c r="D535" s="5" t="s">
        <v>77</v>
      </c>
      <c r="E535" s="5" t="s">
        <v>62</v>
      </c>
      <c r="F535" s="2" t="n">
        <v>19</v>
      </c>
      <c r="G535" s="5" t="s">
        <v>73</v>
      </c>
      <c r="H535" s="2" t="n">
        <v>0</v>
      </c>
      <c r="I535" s="2" t="n">
        <v>1</v>
      </c>
      <c r="J535" s="2" t="n">
        <v>1</v>
      </c>
      <c r="K535" s="7" t="n">
        <v>0.4987585393</v>
      </c>
      <c r="L535" s="7" t="n">
        <v>0.1356012482</v>
      </c>
      <c r="M535" s="7" t="n">
        <v>0.1371464528</v>
      </c>
      <c r="N535" s="7" t="n">
        <v>15</v>
      </c>
      <c r="O535" s="7" t="n">
        <v>15</v>
      </c>
      <c r="P535" s="7" t="n">
        <v>14</v>
      </c>
      <c r="Q535" s="2"/>
      <c r="R535" s="7" t="n">
        <v>29.028526</v>
      </c>
      <c r="S535" s="5" t="s">
        <v>60</v>
      </c>
      <c r="T535" s="5" t="s">
        <v>61</v>
      </c>
    </row>
    <row r="536" customFormat="false" ht="15" hidden="false" customHeight="false" outlineLevel="0" collapsed="false">
      <c r="A536" s="5" t="s">
        <v>4</v>
      </c>
      <c r="B536" s="5" t="s">
        <v>55</v>
      </c>
      <c r="C536" s="2" t="s">
        <v>56</v>
      </c>
      <c r="D536" s="5" t="s">
        <v>77</v>
      </c>
      <c r="E536" s="5" t="s">
        <v>58</v>
      </c>
      <c r="F536" s="2" t="n">
        <v>20</v>
      </c>
      <c r="G536" s="5" t="s">
        <v>71</v>
      </c>
      <c r="H536" s="2" t="n">
        <v>1</v>
      </c>
      <c r="I536" s="2" t="n">
        <v>1</v>
      </c>
      <c r="J536" s="2" t="n">
        <v>1</v>
      </c>
      <c r="K536" s="7" t="n">
        <v>0.5446571472</v>
      </c>
      <c r="L536" s="7" t="n">
        <v>0.0270259889</v>
      </c>
      <c r="M536" s="7" t="n">
        <v>0.04375797003</v>
      </c>
      <c r="N536" s="7" t="n">
        <v>10</v>
      </c>
      <c r="O536" s="7" t="n">
        <v>10</v>
      </c>
      <c r="P536" s="7" t="n">
        <v>0</v>
      </c>
      <c r="Q536" s="2"/>
      <c r="R536" s="7" t="n">
        <v>5.475004</v>
      </c>
      <c r="S536" s="5" t="s">
        <v>60</v>
      </c>
      <c r="T536" s="5" t="s">
        <v>61</v>
      </c>
    </row>
    <row r="537" customFormat="false" ht="15" hidden="false" customHeight="false" outlineLevel="0" collapsed="false">
      <c r="A537" s="5" t="s">
        <v>4</v>
      </c>
      <c r="B537" s="5" t="s">
        <v>55</v>
      </c>
      <c r="C537" s="2" t="s">
        <v>56</v>
      </c>
      <c r="D537" s="5" t="s">
        <v>77</v>
      </c>
      <c r="E537" s="5" t="s">
        <v>62</v>
      </c>
      <c r="F537" s="2" t="n">
        <v>20</v>
      </c>
      <c r="G537" s="5" t="s">
        <v>71</v>
      </c>
      <c r="H537" s="2" t="n">
        <v>1</v>
      </c>
      <c r="I537" s="2" t="n">
        <v>1</v>
      </c>
      <c r="J537" s="2" t="n">
        <v>1</v>
      </c>
      <c r="K537" s="7" t="n">
        <v>0.5446571472</v>
      </c>
      <c r="L537" s="7" t="n">
        <v>0.0270259889</v>
      </c>
      <c r="M537" s="7" t="n">
        <v>0.04375797003</v>
      </c>
      <c r="N537" s="7" t="n">
        <v>10</v>
      </c>
      <c r="O537" s="7" t="n">
        <v>10</v>
      </c>
      <c r="P537" s="7" t="n">
        <v>10</v>
      </c>
      <c r="Q537" s="2"/>
      <c r="R537" s="7" t="n">
        <v>6.022314</v>
      </c>
      <c r="S537" s="5" t="s">
        <v>60</v>
      </c>
      <c r="T537" s="5" t="s">
        <v>61</v>
      </c>
    </row>
    <row r="538" customFormat="false" ht="15" hidden="false" customHeight="false" outlineLevel="0" collapsed="false">
      <c r="A538" s="5" t="s">
        <v>4</v>
      </c>
      <c r="B538" s="5" t="s">
        <v>55</v>
      </c>
      <c r="C538" s="2" t="s">
        <v>56</v>
      </c>
      <c r="D538" s="5" t="s">
        <v>77</v>
      </c>
      <c r="E538" s="5" t="s">
        <v>58</v>
      </c>
      <c r="F538" s="2" t="n">
        <v>20</v>
      </c>
      <c r="G538" s="5" t="s">
        <v>72</v>
      </c>
      <c r="H538" s="2" t="n">
        <v>1</v>
      </c>
      <c r="I538" s="2" t="n">
        <v>1</v>
      </c>
      <c r="J538" s="2" t="n">
        <v>1</v>
      </c>
      <c r="K538" s="7" t="n">
        <v>0.390536175</v>
      </c>
      <c r="L538" s="7" t="n">
        <v>0.1411950611</v>
      </c>
      <c r="M538" s="7" t="n">
        <v>0.1416481009</v>
      </c>
      <c r="N538" s="7" t="n">
        <v>10</v>
      </c>
      <c r="O538" s="7" t="n">
        <v>10</v>
      </c>
      <c r="P538" s="7" t="n">
        <v>0</v>
      </c>
      <c r="Q538" s="2"/>
      <c r="R538" s="7" t="n">
        <v>6.564816</v>
      </c>
      <c r="S538" s="5" t="s">
        <v>60</v>
      </c>
      <c r="T538" s="5" t="s">
        <v>61</v>
      </c>
    </row>
    <row r="539" customFormat="false" ht="15" hidden="false" customHeight="false" outlineLevel="0" collapsed="false">
      <c r="A539" s="5" t="s">
        <v>4</v>
      </c>
      <c r="B539" s="5" t="s">
        <v>55</v>
      </c>
      <c r="C539" s="2" t="s">
        <v>56</v>
      </c>
      <c r="D539" s="5" t="s">
        <v>77</v>
      </c>
      <c r="E539" s="5" t="s">
        <v>62</v>
      </c>
      <c r="F539" s="2" t="n">
        <v>20</v>
      </c>
      <c r="G539" s="5" t="s">
        <v>72</v>
      </c>
      <c r="H539" s="2" t="n">
        <v>1</v>
      </c>
      <c r="I539" s="2" t="n">
        <v>1</v>
      </c>
      <c r="J539" s="2" t="n">
        <v>1</v>
      </c>
      <c r="K539" s="7" t="n">
        <v>0.390536175</v>
      </c>
      <c r="L539" s="7" t="n">
        <v>0.1411950611</v>
      </c>
      <c r="M539" s="7" t="n">
        <v>0.1416481009</v>
      </c>
      <c r="N539" s="7" t="n">
        <v>10</v>
      </c>
      <c r="O539" s="7" t="n">
        <v>10</v>
      </c>
      <c r="P539" s="7" t="n">
        <v>10</v>
      </c>
      <c r="Q539" s="2"/>
      <c r="R539" s="7" t="n">
        <v>7.116181</v>
      </c>
      <c r="S539" s="5" t="s">
        <v>60</v>
      </c>
      <c r="T539" s="5" t="s">
        <v>61</v>
      </c>
    </row>
    <row r="540" customFormat="false" ht="15" hidden="false" customHeight="false" outlineLevel="0" collapsed="false">
      <c r="A540" s="5" t="s">
        <v>4</v>
      </c>
      <c r="B540" s="5" t="s">
        <v>55</v>
      </c>
      <c r="C540" s="2" t="s">
        <v>56</v>
      </c>
      <c r="D540" s="5" t="s">
        <v>77</v>
      </c>
      <c r="E540" s="5" t="s">
        <v>58</v>
      </c>
      <c r="F540" s="2" t="n">
        <v>20</v>
      </c>
      <c r="G540" s="5" t="s">
        <v>73</v>
      </c>
      <c r="H540" s="2" t="n">
        <v>0</v>
      </c>
      <c r="I540" s="2" t="n">
        <v>1</v>
      </c>
      <c r="J540" s="2" t="n">
        <v>1</v>
      </c>
      <c r="K540" s="7" t="n">
        <v>0.4635733122</v>
      </c>
      <c r="L540" s="7" t="n">
        <v>0.1075326748</v>
      </c>
      <c r="M540" s="7" t="n">
        <v>0.1092487494</v>
      </c>
      <c r="N540" s="7" t="n">
        <v>9</v>
      </c>
      <c r="O540" s="7" t="n">
        <v>9</v>
      </c>
      <c r="P540" s="7" t="n">
        <v>0</v>
      </c>
      <c r="Q540" s="2"/>
      <c r="R540" s="7" t="n">
        <v>6.598736</v>
      </c>
      <c r="S540" s="5" t="s">
        <v>60</v>
      </c>
      <c r="T540" s="5" t="s">
        <v>61</v>
      </c>
    </row>
    <row r="541" customFormat="false" ht="15" hidden="false" customHeight="false" outlineLevel="0" collapsed="false">
      <c r="A541" s="5" t="s">
        <v>4</v>
      </c>
      <c r="B541" s="5" t="s">
        <v>55</v>
      </c>
      <c r="C541" s="2" t="s">
        <v>56</v>
      </c>
      <c r="D541" s="5" t="s">
        <v>77</v>
      </c>
      <c r="E541" s="5" t="s">
        <v>62</v>
      </c>
      <c r="F541" s="2" t="n">
        <v>20</v>
      </c>
      <c r="G541" s="5" t="s">
        <v>73</v>
      </c>
      <c r="H541" s="2" t="n">
        <v>0</v>
      </c>
      <c r="I541" s="2" t="n">
        <v>1</v>
      </c>
      <c r="J541" s="2" t="n">
        <v>1</v>
      </c>
      <c r="K541" s="7" t="n">
        <v>0.4635733122</v>
      </c>
      <c r="L541" s="7" t="n">
        <v>0.1075326748</v>
      </c>
      <c r="M541" s="7" t="n">
        <v>0.1092487494</v>
      </c>
      <c r="N541" s="7" t="n">
        <v>9</v>
      </c>
      <c r="O541" s="7" t="n">
        <v>9</v>
      </c>
      <c r="P541" s="7" t="n">
        <v>9</v>
      </c>
      <c r="Q541" s="2"/>
      <c r="R541" s="7" t="n">
        <v>7.1362</v>
      </c>
      <c r="S541" s="5" t="s">
        <v>60</v>
      </c>
      <c r="T541" s="5" t="s">
        <v>61</v>
      </c>
    </row>
    <row r="542" customFormat="false" ht="15" hidden="false" customHeight="false" outlineLevel="0" collapsed="false">
      <c r="A542" s="5" t="s">
        <v>4</v>
      </c>
      <c r="B542" s="5" t="s">
        <v>55</v>
      </c>
      <c r="C542" s="2" t="s">
        <v>56</v>
      </c>
      <c r="D542" s="5" t="s">
        <v>77</v>
      </c>
      <c r="E542" s="5" t="s">
        <v>58</v>
      </c>
      <c r="F542" s="2" t="n">
        <v>11</v>
      </c>
      <c r="G542" s="5" t="s">
        <v>74</v>
      </c>
      <c r="H542" s="2" t="n">
        <v>1</v>
      </c>
      <c r="I542" s="2" t="n">
        <v>1</v>
      </c>
      <c r="J542" s="2" t="n">
        <v>1</v>
      </c>
      <c r="K542" s="7" t="n">
        <v>0.4389310286</v>
      </c>
      <c r="L542" s="7" t="n">
        <v>0.09762214036</v>
      </c>
      <c r="M542" s="7" t="n">
        <v>0.1020411219</v>
      </c>
      <c r="N542" s="7" t="n">
        <v>8</v>
      </c>
      <c r="O542" s="7" t="n">
        <v>8</v>
      </c>
      <c r="P542" s="7" t="n">
        <v>0</v>
      </c>
      <c r="Q542" s="2"/>
      <c r="R542" s="7" t="n">
        <v>3.430772</v>
      </c>
      <c r="S542" s="5" t="s">
        <v>60</v>
      </c>
      <c r="T542" s="5" t="s">
        <v>61</v>
      </c>
    </row>
    <row r="543" customFormat="false" ht="15" hidden="false" customHeight="false" outlineLevel="0" collapsed="false">
      <c r="A543" s="5" t="s">
        <v>4</v>
      </c>
      <c r="B543" s="5" t="s">
        <v>55</v>
      </c>
      <c r="C543" s="2" t="s">
        <v>56</v>
      </c>
      <c r="D543" s="5" t="s">
        <v>77</v>
      </c>
      <c r="E543" s="5" t="s">
        <v>62</v>
      </c>
      <c r="F543" s="2" t="n">
        <v>11</v>
      </c>
      <c r="G543" s="5" t="s">
        <v>74</v>
      </c>
      <c r="H543" s="2" t="n">
        <v>1</v>
      </c>
      <c r="I543" s="2" t="n">
        <v>1</v>
      </c>
      <c r="J543" s="2" t="n">
        <v>1</v>
      </c>
      <c r="K543" s="7" t="n">
        <v>0.4389310286</v>
      </c>
      <c r="L543" s="7" t="n">
        <v>0.09762214036</v>
      </c>
      <c r="M543" s="7" t="n">
        <v>0.1020411219</v>
      </c>
      <c r="N543" s="7" t="n">
        <v>8</v>
      </c>
      <c r="O543" s="7" t="n">
        <v>8</v>
      </c>
      <c r="P543" s="7" t="n">
        <v>8</v>
      </c>
      <c r="Q543" s="2"/>
      <c r="R543" s="7" t="n">
        <v>4.009798</v>
      </c>
      <c r="S543" s="5" t="s">
        <v>60</v>
      </c>
      <c r="T543" s="5" t="s">
        <v>61</v>
      </c>
    </row>
    <row r="544" customFormat="false" ht="15" hidden="false" customHeight="false" outlineLevel="0" collapsed="false">
      <c r="A544" s="5" t="s">
        <v>4</v>
      </c>
      <c r="B544" s="5" t="s">
        <v>55</v>
      </c>
      <c r="C544" s="2" t="s">
        <v>56</v>
      </c>
      <c r="D544" s="5" t="s">
        <v>77</v>
      </c>
      <c r="E544" s="5" t="s">
        <v>58</v>
      </c>
      <c r="F544" s="2" t="n">
        <v>11</v>
      </c>
      <c r="G544" s="5" t="s">
        <v>75</v>
      </c>
      <c r="H544" s="2" t="n">
        <v>1</v>
      </c>
      <c r="I544" s="2" t="n">
        <v>1</v>
      </c>
      <c r="J544" s="2" t="n">
        <v>1</v>
      </c>
      <c r="K544" s="7" t="n">
        <v>0.2514560084</v>
      </c>
      <c r="L544" s="7" t="n">
        <v>0.1071975786</v>
      </c>
      <c r="M544" s="7" t="n">
        <v>0.1086905618</v>
      </c>
      <c r="N544" s="7" t="n">
        <v>13</v>
      </c>
      <c r="O544" s="7" t="n">
        <v>13</v>
      </c>
      <c r="P544" s="7" t="n">
        <v>0</v>
      </c>
      <c r="Q544" s="2"/>
      <c r="R544" s="7" t="n">
        <v>6.260716</v>
      </c>
      <c r="S544" s="5" t="s">
        <v>60</v>
      </c>
      <c r="T544" s="5" t="s">
        <v>61</v>
      </c>
    </row>
    <row r="545" customFormat="false" ht="15" hidden="false" customHeight="false" outlineLevel="0" collapsed="false">
      <c r="A545" s="5" t="s">
        <v>4</v>
      </c>
      <c r="B545" s="5" t="s">
        <v>55</v>
      </c>
      <c r="C545" s="2" t="s">
        <v>56</v>
      </c>
      <c r="D545" s="5" t="s">
        <v>77</v>
      </c>
      <c r="E545" s="5" t="s">
        <v>62</v>
      </c>
      <c r="F545" s="2" t="n">
        <v>11</v>
      </c>
      <c r="G545" s="5" t="s">
        <v>75</v>
      </c>
      <c r="H545" s="2" t="n">
        <v>1</v>
      </c>
      <c r="I545" s="2" t="n">
        <v>1</v>
      </c>
      <c r="J545" s="2" t="n">
        <v>1</v>
      </c>
      <c r="K545" s="7" t="n">
        <v>0.2514560084</v>
      </c>
      <c r="L545" s="7" t="n">
        <v>0.1071975786</v>
      </c>
      <c r="M545" s="7" t="n">
        <v>0.1086905618</v>
      </c>
      <c r="N545" s="7" t="n">
        <v>13</v>
      </c>
      <c r="O545" s="7" t="n">
        <v>13</v>
      </c>
      <c r="P545" s="7" t="n">
        <v>12</v>
      </c>
      <c r="Q545" s="2"/>
      <c r="R545" s="7" t="n">
        <v>10.914175</v>
      </c>
      <c r="S545" s="5" t="s">
        <v>60</v>
      </c>
      <c r="T545" s="5" t="s">
        <v>61</v>
      </c>
    </row>
    <row r="546" customFormat="false" ht="15" hidden="false" customHeight="false" outlineLevel="0" collapsed="false">
      <c r="A546" s="5" t="s">
        <v>4</v>
      </c>
      <c r="B546" s="5" t="s">
        <v>55</v>
      </c>
      <c r="C546" s="2" t="s">
        <v>56</v>
      </c>
      <c r="D546" s="5" t="s">
        <v>77</v>
      </c>
      <c r="E546" s="5" t="s">
        <v>58</v>
      </c>
      <c r="F546" s="2" t="n">
        <v>12</v>
      </c>
      <c r="G546" s="5" t="s">
        <v>74</v>
      </c>
      <c r="H546" s="2" t="n">
        <v>1</v>
      </c>
      <c r="I546" s="2" t="n">
        <v>1</v>
      </c>
      <c r="J546" s="2" t="n">
        <v>1</v>
      </c>
      <c r="K546" s="7" t="n">
        <v>0.2847182857</v>
      </c>
      <c r="L546" s="7" t="n">
        <v>0.0949340286</v>
      </c>
      <c r="M546" s="7" t="n">
        <v>0.09706392634</v>
      </c>
      <c r="N546" s="7" t="n">
        <v>9</v>
      </c>
      <c r="O546" s="7" t="n">
        <v>9</v>
      </c>
      <c r="P546" s="7" t="n">
        <v>0</v>
      </c>
      <c r="Q546" s="2"/>
      <c r="R546" s="7" t="n">
        <v>2.487787</v>
      </c>
      <c r="S546" s="5" t="s">
        <v>60</v>
      </c>
      <c r="T546" s="5" t="s">
        <v>61</v>
      </c>
    </row>
    <row r="547" customFormat="false" ht="15" hidden="false" customHeight="false" outlineLevel="0" collapsed="false">
      <c r="A547" s="5" t="s">
        <v>4</v>
      </c>
      <c r="B547" s="5" t="s">
        <v>55</v>
      </c>
      <c r="C547" s="2" t="s">
        <v>56</v>
      </c>
      <c r="D547" s="5" t="s">
        <v>77</v>
      </c>
      <c r="E547" s="5" t="s">
        <v>62</v>
      </c>
      <c r="F547" s="2" t="n">
        <v>12</v>
      </c>
      <c r="G547" s="5" t="s">
        <v>74</v>
      </c>
      <c r="H547" s="2" t="n">
        <v>1</v>
      </c>
      <c r="I547" s="2" t="n">
        <v>1</v>
      </c>
      <c r="J547" s="2" t="n">
        <v>1</v>
      </c>
      <c r="K547" s="7" t="n">
        <v>0.2847182857</v>
      </c>
      <c r="L547" s="7" t="n">
        <v>0.0949340286</v>
      </c>
      <c r="M547" s="7" t="n">
        <v>0.09706392634</v>
      </c>
      <c r="N547" s="7" t="n">
        <v>9</v>
      </c>
      <c r="O547" s="7" t="n">
        <v>9</v>
      </c>
      <c r="P547" s="7" t="n">
        <v>9</v>
      </c>
      <c r="Q547" s="2"/>
      <c r="R547" s="7" t="n">
        <v>7.117722</v>
      </c>
      <c r="S547" s="5" t="s">
        <v>60</v>
      </c>
      <c r="T547" s="5" t="s">
        <v>61</v>
      </c>
    </row>
    <row r="548" customFormat="false" ht="15" hidden="false" customHeight="false" outlineLevel="0" collapsed="false">
      <c r="A548" s="5" t="s">
        <v>4</v>
      </c>
      <c r="B548" s="5" t="s">
        <v>55</v>
      </c>
      <c r="C548" s="2" t="s">
        <v>56</v>
      </c>
      <c r="D548" s="5" t="s">
        <v>77</v>
      </c>
      <c r="E548" s="5" t="s">
        <v>58</v>
      </c>
      <c r="F548" s="2" t="n">
        <v>12</v>
      </c>
      <c r="G548" s="5" t="s">
        <v>75</v>
      </c>
      <c r="H548" s="2" t="n">
        <v>1</v>
      </c>
      <c r="I548" s="2" t="n">
        <v>1</v>
      </c>
      <c r="J548" s="2" t="n">
        <v>1</v>
      </c>
      <c r="K548" s="7" t="n">
        <v>0.1738177899</v>
      </c>
      <c r="L548" s="7" t="n">
        <v>0.09265383088</v>
      </c>
      <c r="M548" s="7" t="n">
        <v>0.09310650023</v>
      </c>
      <c r="N548" s="7" t="n">
        <v>14</v>
      </c>
      <c r="O548" s="7" t="n">
        <v>14</v>
      </c>
      <c r="P548" s="7" t="n">
        <v>0</v>
      </c>
      <c r="Q548" s="2"/>
      <c r="R548" s="7" t="n">
        <v>2.443983</v>
      </c>
      <c r="S548" s="5" t="s">
        <v>60</v>
      </c>
      <c r="T548" s="5" t="s">
        <v>61</v>
      </c>
    </row>
    <row r="549" customFormat="false" ht="15" hidden="false" customHeight="false" outlineLevel="0" collapsed="false">
      <c r="A549" s="5" t="s">
        <v>4</v>
      </c>
      <c r="B549" s="5" t="s">
        <v>55</v>
      </c>
      <c r="C549" s="2" t="s">
        <v>56</v>
      </c>
      <c r="D549" s="5" t="s">
        <v>77</v>
      </c>
      <c r="E549" s="5" t="s">
        <v>62</v>
      </c>
      <c r="F549" s="2" t="n">
        <v>12</v>
      </c>
      <c r="G549" s="5" t="s">
        <v>75</v>
      </c>
      <c r="H549" s="2" t="n">
        <v>1</v>
      </c>
      <c r="I549" s="2" t="n">
        <v>1</v>
      </c>
      <c r="J549" s="2" t="n">
        <v>1</v>
      </c>
      <c r="K549" s="7" t="n">
        <v>0.1738177899</v>
      </c>
      <c r="L549" s="7" t="n">
        <v>0.09265383088</v>
      </c>
      <c r="M549" s="7" t="n">
        <v>0.09310650023</v>
      </c>
      <c r="N549" s="7" t="n">
        <v>14</v>
      </c>
      <c r="O549" s="7" t="n">
        <v>14</v>
      </c>
      <c r="P549" s="7" t="n">
        <v>13</v>
      </c>
      <c r="Q549" s="2"/>
      <c r="R549" s="7" t="n">
        <v>3.07747</v>
      </c>
      <c r="S549" s="5" t="s">
        <v>60</v>
      </c>
      <c r="T549" s="5" t="s">
        <v>61</v>
      </c>
    </row>
    <row r="550" customFormat="false" ht="15" hidden="false" customHeight="false" outlineLevel="0" collapsed="false">
      <c r="A550" s="5" t="s">
        <v>4</v>
      </c>
      <c r="B550" s="5" t="s">
        <v>55</v>
      </c>
      <c r="C550" s="2" t="s">
        <v>56</v>
      </c>
      <c r="D550" s="5" t="s">
        <v>77</v>
      </c>
      <c r="E550" s="5" t="s">
        <v>58</v>
      </c>
      <c r="F550" s="2" t="n">
        <v>13</v>
      </c>
      <c r="G550" s="5" t="s">
        <v>74</v>
      </c>
      <c r="H550" s="2" t="n">
        <v>1</v>
      </c>
      <c r="I550" s="2" t="n">
        <v>1</v>
      </c>
      <c r="J550" s="2" t="n">
        <v>1</v>
      </c>
      <c r="K550" s="7" t="n">
        <v>0.2615829445</v>
      </c>
      <c r="L550" s="7" t="n">
        <v>0.06284587103</v>
      </c>
      <c r="M550" s="7" t="n">
        <v>0.06532666462</v>
      </c>
      <c r="N550" s="7" t="n">
        <v>9</v>
      </c>
      <c r="O550" s="7" t="n">
        <v>9</v>
      </c>
      <c r="P550" s="7" t="n">
        <v>0</v>
      </c>
      <c r="Q550" s="2"/>
      <c r="R550" s="7" t="n">
        <v>6.855094</v>
      </c>
      <c r="S550" s="5" t="s">
        <v>60</v>
      </c>
      <c r="T550" s="5" t="s">
        <v>61</v>
      </c>
    </row>
    <row r="551" customFormat="false" ht="15" hidden="false" customHeight="false" outlineLevel="0" collapsed="false">
      <c r="A551" s="5" t="s">
        <v>4</v>
      </c>
      <c r="B551" s="5" t="s">
        <v>55</v>
      </c>
      <c r="C551" s="2" t="s">
        <v>56</v>
      </c>
      <c r="D551" s="5" t="s">
        <v>77</v>
      </c>
      <c r="E551" s="5" t="s">
        <v>62</v>
      </c>
      <c r="F551" s="2" t="n">
        <v>13</v>
      </c>
      <c r="G551" s="5" t="s">
        <v>74</v>
      </c>
      <c r="H551" s="2" t="n">
        <v>1</v>
      </c>
      <c r="I551" s="2" t="n">
        <v>1</v>
      </c>
      <c r="J551" s="2" t="n">
        <v>1</v>
      </c>
      <c r="K551" s="7" t="n">
        <v>0.2615829445</v>
      </c>
      <c r="L551" s="7" t="n">
        <v>0.06284587103</v>
      </c>
      <c r="M551" s="7" t="n">
        <v>0.06532666462</v>
      </c>
      <c r="N551" s="7" t="n">
        <v>9</v>
      </c>
      <c r="O551" s="7" t="n">
        <v>9</v>
      </c>
      <c r="P551" s="7" t="n">
        <v>9</v>
      </c>
      <c r="Q551" s="2"/>
      <c r="R551" s="7" t="n">
        <v>7.399419</v>
      </c>
      <c r="S551" s="5" t="s">
        <v>60</v>
      </c>
      <c r="T551" s="5" t="s">
        <v>61</v>
      </c>
    </row>
    <row r="552" customFormat="false" ht="15" hidden="false" customHeight="false" outlineLevel="0" collapsed="false">
      <c r="A552" s="5" t="s">
        <v>4</v>
      </c>
      <c r="B552" s="5" t="s">
        <v>55</v>
      </c>
      <c r="C552" s="2" t="s">
        <v>56</v>
      </c>
      <c r="D552" s="5" t="s">
        <v>77</v>
      </c>
      <c r="E552" s="5" t="s">
        <v>58</v>
      </c>
      <c r="F552" s="2" t="n">
        <v>13</v>
      </c>
      <c r="G552" s="5" t="s">
        <v>75</v>
      </c>
      <c r="H552" s="2" t="n">
        <v>1</v>
      </c>
      <c r="I552" s="2" t="n">
        <v>1</v>
      </c>
      <c r="J552" s="2" t="n">
        <v>1</v>
      </c>
      <c r="K552" s="7" t="n">
        <v>0.2035437488</v>
      </c>
      <c r="L552" s="7" t="n">
        <v>0.1007487105</v>
      </c>
      <c r="M552" s="7" t="n">
        <v>0.1018738367</v>
      </c>
      <c r="N552" s="7" t="n">
        <v>11</v>
      </c>
      <c r="O552" s="7" t="n">
        <v>11</v>
      </c>
      <c r="P552" s="7" t="n">
        <v>0</v>
      </c>
      <c r="Q552" s="2"/>
      <c r="R552" s="7" t="n">
        <v>2.405998</v>
      </c>
      <c r="S552" s="5" t="s">
        <v>60</v>
      </c>
      <c r="T552" s="5" t="s">
        <v>61</v>
      </c>
    </row>
    <row r="553" customFormat="false" ht="15" hidden="false" customHeight="false" outlineLevel="0" collapsed="false">
      <c r="A553" s="5" t="s">
        <v>4</v>
      </c>
      <c r="B553" s="5" t="s">
        <v>55</v>
      </c>
      <c r="C553" s="2" t="s">
        <v>56</v>
      </c>
      <c r="D553" s="5" t="s">
        <v>77</v>
      </c>
      <c r="E553" s="5" t="s">
        <v>62</v>
      </c>
      <c r="F553" s="2" t="n">
        <v>13</v>
      </c>
      <c r="G553" s="5" t="s">
        <v>75</v>
      </c>
      <c r="H553" s="2" t="n">
        <v>1</v>
      </c>
      <c r="I553" s="2" t="n">
        <v>1</v>
      </c>
      <c r="J553" s="2" t="n">
        <v>1</v>
      </c>
      <c r="K553" s="7" t="n">
        <v>0.2035437488</v>
      </c>
      <c r="L553" s="7" t="n">
        <v>0.1007487105</v>
      </c>
      <c r="M553" s="7" t="n">
        <v>0.1018738367</v>
      </c>
      <c r="N553" s="7" t="n">
        <v>11</v>
      </c>
      <c r="O553" s="7" t="n">
        <v>11</v>
      </c>
      <c r="P553" s="7" t="n">
        <v>11</v>
      </c>
      <c r="Q553" s="2"/>
      <c r="R553" s="7" t="n">
        <v>32.968552</v>
      </c>
      <c r="S553" s="5" t="s">
        <v>60</v>
      </c>
      <c r="T553" s="5" t="s">
        <v>61</v>
      </c>
    </row>
    <row r="554" customFormat="false" ht="15" hidden="false" customHeight="false" outlineLevel="0" collapsed="false">
      <c r="A554" s="5" t="s">
        <v>4</v>
      </c>
      <c r="B554" s="5" t="s">
        <v>55</v>
      </c>
      <c r="C554" s="2" t="s">
        <v>56</v>
      </c>
      <c r="D554" s="5" t="s">
        <v>77</v>
      </c>
      <c r="E554" s="5" t="s">
        <v>58</v>
      </c>
      <c r="F554" s="2" t="n">
        <v>14</v>
      </c>
      <c r="G554" s="5" t="s">
        <v>74</v>
      </c>
      <c r="H554" s="2" t="n">
        <v>1</v>
      </c>
      <c r="I554" s="2" t="n">
        <v>0</v>
      </c>
      <c r="J554" s="2" t="n">
        <v>0</v>
      </c>
      <c r="K554" s="2"/>
      <c r="L554" s="2"/>
      <c r="M554" s="2"/>
      <c r="N554" s="7" t="n">
        <v>2</v>
      </c>
      <c r="O554" s="7" t="n">
        <v>2</v>
      </c>
      <c r="P554" s="7" t="n">
        <v>0</v>
      </c>
      <c r="Q554" s="2"/>
      <c r="R554" s="7" t="n">
        <v>6.744661</v>
      </c>
      <c r="S554" s="5" t="s">
        <v>60</v>
      </c>
      <c r="T554" s="5" t="s">
        <v>61</v>
      </c>
    </row>
    <row r="555" customFormat="false" ht="15" hidden="false" customHeight="false" outlineLevel="0" collapsed="false">
      <c r="A555" s="5" t="s">
        <v>4</v>
      </c>
      <c r="B555" s="5" t="s">
        <v>55</v>
      </c>
      <c r="C555" s="2" t="s">
        <v>56</v>
      </c>
      <c r="D555" s="5" t="s">
        <v>77</v>
      </c>
      <c r="E555" s="5" t="s">
        <v>62</v>
      </c>
      <c r="F555" s="2" t="n">
        <v>14</v>
      </c>
      <c r="G555" s="5" t="s">
        <v>74</v>
      </c>
      <c r="H555" s="2" t="n">
        <v>1</v>
      </c>
      <c r="I555" s="2" t="n">
        <v>0</v>
      </c>
      <c r="J555" s="2" t="n">
        <v>0</v>
      </c>
      <c r="K555" s="2"/>
      <c r="L555" s="2"/>
      <c r="M555" s="2"/>
      <c r="N555" s="7" t="n">
        <v>2</v>
      </c>
      <c r="O555" s="7" t="n">
        <v>2</v>
      </c>
      <c r="P555" s="7" t="n">
        <v>0</v>
      </c>
      <c r="Q555" s="2"/>
      <c r="R555" s="7" t="n">
        <v>6.744552</v>
      </c>
      <c r="S555" s="5" t="s">
        <v>60</v>
      </c>
      <c r="T555" s="5" t="s">
        <v>61</v>
      </c>
    </row>
    <row r="556" customFormat="false" ht="15" hidden="false" customHeight="false" outlineLevel="0" collapsed="false">
      <c r="A556" s="5" t="s">
        <v>4</v>
      </c>
      <c r="B556" s="5" t="s">
        <v>55</v>
      </c>
      <c r="C556" s="2" t="s">
        <v>56</v>
      </c>
      <c r="D556" s="5" t="s">
        <v>77</v>
      </c>
      <c r="E556" s="5" t="s">
        <v>58</v>
      </c>
      <c r="F556" s="2" t="n">
        <v>14</v>
      </c>
      <c r="G556" s="5" t="s">
        <v>75</v>
      </c>
      <c r="H556" s="2" t="n">
        <v>1</v>
      </c>
      <c r="I556" s="2" t="n">
        <v>1</v>
      </c>
      <c r="J556" s="2" t="n">
        <v>1</v>
      </c>
      <c r="K556" s="7" t="n">
        <v>0.4597690308</v>
      </c>
      <c r="L556" s="7" t="n">
        <v>0.1471277691</v>
      </c>
      <c r="M556" s="7" t="n">
        <v>0.1489764451</v>
      </c>
      <c r="N556" s="7" t="n">
        <v>16</v>
      </c>
      <c r="O556" s="7" t="n">
        <v>16</v>
      </c>
      <c r="P556" s="7" t="n">
        <v>0</v>
      </c>
      <c r="Q556" s="2"/>
      <c r="R556" s="7" t="n">
        <v>2.690327</v>
      </c>
      <c r="S556" s="5" t="s">
        <v>60</v>
      </c>
      <c r="T556" s="5" t="s">
        <v>61</v>
      </c>
    </row>
    <row r="557" customFormat="false" ht="15" hidden="false" customHeight="false" outlineLevel="0" collapsed="false">
      <c r="A557" s="5" t="s">
        <v>4</v>
      </c>
      <c r="B557" s="5" t="s">
        <v>55</v>
      </c>
      <c r="C557" s="2" t="s">
        <v>56</v>
      </c>
      <c r="D557" s="5" t="s">
        <v>77</v>
      </c>
      <c r="E557" s="5" t="s">
        <v>62</v>
      </c>
      <c r="F557" s="2" t="n">
        <v>14</v>
      </c>
      <c r="G557" s="5" t="s">
        <v>75</v>
      </c>
      <c r="H557" s="2" t="n">
        <v>1</v>
      </c>
      <c r="I557" s="2" t="n">
        <v>1</v>
      </c>
      <c r="J557" s="2" t="n">
        <v>1</v>
      </c>
      <c r="K557" s="7" t="n">
        <v>0.4637037794</v>
      </c>
      <c r="L557" s="7" t="n">
        <v>0.08630728257</v>
      </c>
      <c r="M557" s="7" t="n">
        <v>0.09175719601</v>
      </c>
      <c r="N557" s="7" t="n">
        <v>16</v>
      </c>
      <c r="O557" s="7" t="n">
        <v>16</v>
      </c>
      <c r="P557" s="7" t="n">
        <v>14</v>
      </c>
      <c r="Q557" s="2"/>
      <c r="R557" s="7" t="n">
        <v>3.393757</v>
      </c>
      <c r="S557" s="5" t="s">
        <v>60</v>
      </c>
      <c r="T557" s="5" t="s">
        <v>61</v>
      </c>
    </row>
    <row r="558" customFormat="false" ht="15" hidden="false" customHeight="false" outlineLevel="0" collapsed="false">
      <c r="A558" s="5" t="s">
        <v>4</v>
      </c>
      <c r="B558" s="5" t="s">
        <v>55</v>
      </c>
      <c r="C558" s="2" t="s">
        <v>56</v>
      </c>
      <c r="D558" s="5" t="s">
        <v>77</v>
      </c>
      <c r="E558" s="5" t="s">
        <v>58</v>
      </c>
      <c r="F558" s="2" t="n">
        <v>15</v>
      </c>
      <c r="G558" s="5" t="s">
        <v>74</v>
      </c>
      <c r="H558" s="2" t="n">
        <v>1</v>
      </c>
      <c r="I558" s="2" t="n">
        <v>1</v>
      </c>
      <c r="J558" s="2" t="n">
        <v>1</v>
      </c>
      <c r="K558" s="7" t="n">
        <v>0.232268406</v>
      </c>
      <c r="L558" s="7" t="n">
        <v>0.06218976642</v>
      </c>
      <c r="M558" s="7" t="n">
        <v>0.06430960358</v>
      </c>
      <c r="N558" s="7" t="n">
        <v>12</v>
      </c>
      <c r="O558" s="7" t="n">
        <v>12</v>
      </c>
      <c r="P558" s="7" t="n">
        <v>0</v>
      </c>
      <c r="Q558" s="2"/>
      <c r="R558" s="7" t="n">
        <v>6.450047</v>
      </c>
      <c r="S558" s="5" t="s">
        <v>60</v>
      </c>
      <c r="T558" s="5" t="s">
        <v>61</v>
      </c>
    </row>
    <row r="559" customFormat="false" ht="15" hidden="false" customHeight="false" outlineLevel="0" collapsed="false">
      <c r="A559" s="5" t="s">
        <v>4</v>
      </c>
      <c r="B559" s="5" t="s">
        <v>55</v>
      </c>
      <c r="C559" s="2" t="s">
        <v>56</v>
      </c>
      <c r="D559" s="5" t="s">
        <v>77</v>
      </c>
      <c r="E559" s="5" t="s">
        <v>62</v>
      </c>
      <c r="F559" s="2" t="n">
        <v>15</v>
      </c>
      <c r="G559" s="5" t="s">
        <v>74</v>
      </c>
      <c r="H559" s="2" t="n">
        <v>1</v>
      </c>
      <c r="I559" s="2" t="n">
        <v>1</v>
      </c>
      <c r="J559" s="2" t="n">
        <v>1</v>
      </c>
      <c r="K559" s="7" t="n">
        <v>0.232268406</v>
      </c>
      <c r="L559" s="7" t="n">
        <v>0.06218976642</v>
      </c>
      <c r="M559" s="7" t="n">
        <v>0.06430960358</v>
      </c>
      <c r="N559" s="7" t="n">
        <v>12</v>
      </c>
      <c r="O559" s="7" t="n">
        <v>12</v>
      </c>
      <c r="P559" s="7" t="n">
        <v>12</v>
      </c>
      <c r="Q559" s="2"/>
      <c r="R559" s="7" t="n">
        <v>7.150842</v>
      </c>
      <c r="S559" s="5" t="s">
        <v>60</v>
      </c>
      <c r="T559" s="5" t="s">
        <v>61</v>
      </c>
    </row>
    <row r="560" customFormat="false" ht="15" hidden="false" customHeight="false" outlineLevel="0" collapsed="false">
      <c r="A560" s="5" t="s">
        <v>4</v>
      </c>
      <c r="B560" s="5" t="s">
        <v>55</v>
      </c>
      <c r="C560" s="2" t="s">
        <v>56</v>
      </c>
      <c r="D560" s="5" t="s">
        <v>77</v>
      </c>
      <c r="E560" s="5" t="s">
        <v>58</v>
      </c>
      <c r="F560" s="2" t="n">
        <v>15</v>
      </c>
      <c r="G560" s="5" t="s">
        <v>75</v>
      </c>
      <c r="H560" s="2" t="n">
        <v>1</v>
      </c>
      <c r="I560" s="2" t="n">
        <v>1</v>
      </c>
      <c r="J560" s="2" t="n">
        <v>1</v>
      </c>
      <c r="K560" s="7" t="n">
        <v>0.7900029328</v>
      </c>
      <c r="L560" s="7" t="n">
        <v>0.1656541394</v>
      </c>
      <c r="M560" s="7" t="n">
        <v>0.1733574741</v>
      </c>
      <c r="N560" s="7" t="n">
        <v>12</v>
      </c>
      <c r="O560" s="7" t="n">
        <v>12</v>
      </c>
      <c r="P560" s="7" t="n">
        <v>0</v>
      </c>
      <c r="Q560" s="2"/>
      <c r="R560" s="7" t="n">
        <v>2.362111</v>
      </c>
      <c r="S560" s="5" t="s">
        <v>60</v>
      </c>
      <c r="T560" s="5" t="s">
        <v>61</v>
      </c>
    </row>
    <row r="561" customFormat="false" ht="15" hidden="false" customHeight="false" outlineLevel="0" collapsed="false">
      <c r="A561" s="5" t="s">
        <v>4</v>
      </c>
      <c r="B561" s="5" t="s">
        <v>55</v>
      </c>
      <c r="C561" s="2" t="s">
        <v>56</v>
      </c>
      <c r="D561" s="5" t="s">
        <v>77</v>
      </c>
      <c r="E561" s="5" t="s">
        <v>62</v>
      </c>
      <c r="F561" s="2" t="n">
        <v>15</v>
      </c>
      <c r="G561" s="5" t="s">
        <v>75</v>
      </c>
      <c r="H561" s="2" t="n">
        <v>1</v>
      </c>
      <c r="I561" s="2" t="n">
        <v>1</v>
      </c>
      <c r="J561" s="2" t="n">
        <v>1</v>
      </c>
      <c r="K561" s="7" t="n">
        <v>0.1437810642</v>
      </c>
      <c r="L561" s="7" t="n">
        <v>0.07464442783</v>
      </c>
      <c r="M561" s="7" t="n">
        <v>0.07562321219</v>
      </c>
      <c r="N561" s="7" t="n">
        <v>12</v>
      </c>
      <c r="O561" s="7" t="n">
        <v>12</v>
      </c>
      <c r="P561" s="7" t="n">
        <v>11</v>
      </c>
      <c r="Q561" s="2"/>
      <c r="R561" s="7" t="n">
        <v>3.019524</v>
      </c>
      <c r="S561" s="5" t="s">
        <v>60</v>
      </c>
      <c r="T561" s="5" t="s">
        <v>61</v>
      </c>
    </row>
    <row r="562" customFormat="false" ht="15" hidden="false" customHeight="false" outlineLevel="0" collapsed="false">
      <c r="A562" s="5" t="s">
        <v>4</v>
      </c>
      <c r="B562" s="5" t="s">
        <v>55</v>
      </c>
      <c r="C562" s="2" t="s">
        <v>56</v>
      </c>
      <c r="D562" s="5" t="s">
        <v>77</v>
      </c>
      <c r="E562" s="5" t="s">
        <v>58</v>
      </c>
      <c r="F562" s="2" t="n">
        <v>16</v>
      </c>
      <c r="G562" s="5" t="s">
        <v>74</v>
      </c>
      <c r="H562" s="2" t="n">
        <v>1</v>
      </c>
      <c r="I562" s="2" t="n">
        <v>1</v>
      </c>
      <c r="J562" s="2" t="n">
        <v>1</v>
      </c>
      <c r="K562" s="7" t="n">
        <v>0.2541523169</v>
      </c>
      <c r="L562" s="7" t="n">
        <v>0.09729615283</v>
      </c>
      <c r="M562" s="7" t="n">
        <v>0.09924221538</v>
      </c>
      <c r="N562" s="7" t="n">
        <v>9</v>
      </c>
      <c r="O562" s="7" t="n">
        <v>9</v>
      </c>
      <c r="P562" s="7" t="n">
        <v>0</v>
      </c>
      <c r="Q562" s="2"/>
      <c r="R562" s="7" t="n">
        <v>6.279234</v>
      </c>
      <c r="S562" s="5" t="s">
        <v>60</v>
      </c>
      <c r="T562" s="5" t="s">
        <v>61</v>
      </c>
    </row>
    <row r="563" customFormat="false" ht="15" hidden="false" customHeight="false" outlineLevel="0" collapsed="false">
      <c r="A563" s="5" t="s">
        <v>4</v>
      </c>
      <c r="B563" s="5" t="s">
        <v>55</v>
      </c>
      <c r="C563" s="2" t="s">
        <v>56</v>
      </c>
      <c r="D563" s="5" t="s">
        <v>77</v>
      </c>
      <c r="E563" s="5" t="s">
        <v>62</v>
      </c>
      <c r="F563" s="2" t="n">
        <v>16</v>
      </c>
      <c r="G563" s="5" t="s">
        <v>74</v>
      </c>
      <c r="H563" s="2" t="n">
        <v>1</v>
      </c>
      <c r="I563" s="2" t="n">
        <v>1</v>
      </c>
      <c r="J563" s="2" t="n">
        <v>1</v>
      </c>
      <c r="K563" s="7" t="n">
        <v>0.2541523169</v>
      </c>
      <c r="L563" s="7" t="n">
        <v>0.09729615283</v>
      </c>
      <c r="M563" s="7" t="n">
        <v>0.09924221538</v>
      </c>
      <c r="N563" s="7" t="n">
        <v>9</v>
      </c>
      <c r="O563" s="7" t="n">
        <v>9</v>
      </c>
      <c r="P563" s="7" t="n">
        <v>9</v>
      </c>
      <c r="Q563" s="2"/>
      <c r="R563" s="7" t="n">
        <v>6.83151</v>
      </c>
      <c r="S563" s="5" t="s">
        <v>60</v>
      </c>
      <c r="T563" s="5" t="s">
        <v>61</v>
      </c>
    </row>
    <row r="564" customFormat="false" ht="15" hidden="false" customHeight="false" outlineLevel="0" collapsed="false">
      <c r="A564" s="5" t="s">
        <v>4</v>
      </c>
      <c r="B564" s="5" t="s">
        <v>55</v>
      </c>
      <c r="C564" s="2" t="s">
        <v>56</v>
      </c>
      <c r="D564" s="5" t="s">
        <v>77</v>
      </c>
      <c r="E564" s="5" t="s">
        <v>58</v>
      </c>
      <c r="F564" s="2" t="n">
        <v>16</v>
      </c>
      <c r="G564" s="5" t="s">
        <v>75</v>
      </c>
      <c r="H564" s="2" t="n">
        <v>1</v>
      </c>
      <c r="I564" s="2" t="n">
        <v>1</v>
      </c>
      <c r="J564" s="2" t="n">
        <v>1</v>
      </c>
      <c r="K564" s="7" t="n">
        <v>0.7027706814</v>
      </c>
      <c r="L564" s="7" t="n">
        <v>0.1292319017</v>
      </c>
      <c r="M564" s="7" t="n">
        <v>0.1372437055</v>
      </c>
      <c r="N564" s="7" t="n">
        <v>15</v>
      </c>
      <c r="O564" s="7" t="n">
        <v>15</v>
      </c>
      <c r="P564" s="7" t="n">
        <v>0</v>
      </c>
      <c r="Q564" s="2"/>
      <c r="R564" s="7" t="n">
        <v>6.816427</v>
      </c>
      <c r="S564" s="5" t="s">
        <v>60</v>
      </c>
      <c r="T564" s="5" t="s">
        <v>61</v>
      </c>
    </row>
    <row r="565" customFormat="false" ht="15" hidden="false" customHeight="false" outlineLevel="0" collapsed="false">
      <c r="A565" s="5" t="s">
        <v>4</v>
      </c>
      <c r="B565" s="5" t="s">
        <v>55</v>
      </c>
      <c r="C565" s="2" t="s">
        <v>56</v>
      </c>
      <c r="D565" s="5" t="s">
        <v>77</v>
      </c>
      <c r="E565" s="5" t="s">
        <v>62</v>
      </c>
      <c r="F565" s="2" t="n">
        <v>16</v>
      </c>
      <c r="G565" s="5" t="s">
        <v>75</v>
      </c>
      <c r="H565" s="2" t="n">
        <v>1</v>
      </c>
      <c r="I565" s="2" t="n">
        <v>1</v>
      </c>
      <c r="J565" s="2" t="n">
        <v>1</v>
      </c>
      <c r="K565" s="7" t="n">
        <v>0.09344414088</v>
      </c>
      <c r="L565" s="7" t="n">
        <v>0.05826584627</v>
      </c>
      <c r="M565" s="7" t="n">
        <v>0.05840984098</v>
      </c>
      <c r="N565" s="7" t="n">
        <v>15</v>
      </c>
      <c r="O565" s="7" t="n">
        <v>15</v>
      </c>
      <c r="P565" s="7" t="n">
        <v>14</v>
      </c>
      <c r="Q565" s="2"/>
      <c r="R565" s="7" t="n">
        <v>7.503953</v>
      </c>
      <c r="S565" s="5" t="s">
        <v>60</v>
      </c>
      <c r="T565" s="5" t="s">
        <v>61</v>
      </c>
    </row>
    <row r="566" customFormat="false" ht="15" hidden="false" customHeight="false" outlineLevel="0" collapsed="false">
      <c r="A566" s="5" t="s">
        <v>4</v>
      </c>
      <c r="B566" s="5" t="s">
        <v>55</v>
      </c>
      <c r="C566" s="2" t="s">
        <v>56</v>
      </c>
      <c r="D566" s="5" t="s">
        <v>77</v>
      </c>
      <c r="E566" s="5" t="s">
        <v>58</v>
      </c>
      <c r="F566" s="2" t="n">
        <v>17</v>
      </c>
      <c r="G566" s="5" t="s">
        <v>74</v>
      </c>
      <c r="H566" s="2" t="n">
        <v>1</v>
      </c>
      <c r="I566" s="2" t="n">
        <v>1</v>
      </c>
      <c r="J566" s="2" t="n">
        <v>1</v>
      </c>
      <c r="K566" s="7" t="n">
        <v>0.2019305218</v>
      </c>
      <c r="L566" s="7" t="n">
        <v>0.05043054693</v>
      </c>
      <c r="M566" s="7" t="n">
        <v>0.05276028762</v>
      </c>
      <c r="N566" s="7" t="n">
        <v>12</v>
      </c>
      <c r="O566" s="7" t="n">
        <v>12</v>
      </c>
      <c r="P566" s="7" t="n">
        <v>0</v>
      </c>
      <c r="Q566" s="2"/>
      <c r="R566" s="7" t="n">
        <v>34.78151</v>
      </c>
      <c r="S566" s="5" t="s">
        <v>60</v>
      </c>
      <c r="T566" s="5" t="s">
        <v>61</v>
      </c>
    </row>
    <row r="567" customFormat="false" ht="15" hidden="false" customHeight="false" outlineLevel="0" collapsed="false">
      <c r="A567" s="5" t="s">
        <v>4</v>
      </c>
      <c r="B567" s="5" t="s">
        <v>55</v>
      </c>
      <c r="C567" s="2" t="s">
        <v>56</v>
      </c>
      <c r="D567" s="5" t="s">
        <v>77</v>
      </c>
      <c r="E567" s="5" t="s">
        <v>62</v>
      </c>
      <c r="F567" s="2" t="n">
        <v>17</v>
      </c>
      <c r="G567" s="5" t="s">
        <v>74</v>
      </c>
      <c r="H567" s="2" t="n">
        <v>1</v>
      </c>
      <c r="I567" s="2" t="n">
        <v>1</v>
      </c>
      <c r="J567" s="2" t="n">
        <v>1</v>
      </c>
      <c r="K567" s="7" t="n">
        <v>0.2019305218</v>
      </c>
      <c r="L567" s="7" t="n">
        <v>0.05043054693</v>
      </c>
      <c r="M567" s="7" t="n">
        <v>0.05276028762</v>
      </c>
      <c r="N567" s="7" t="n">
        <v>12</v>
      </c>
      <c r="O567" s="7" t="n">
        <v>12</v>
      </c>
      <c r="P567" s="7" t="n">
        <v>12</v>
      </c>
      <c r="Q567" s="2"/>
      <c r="R567" s="7" t="n">
        <v>35.418122</v>
      </c>
      <c r="S567" s="5" t="s">
        <v>60</v>
      </c>
      <c r="T567" s="5" t="s">
        <v>61</v>
      </c>
    </row>
    <row r="568" customFormat="false" ht="15" hidden="false" customHeight="false" outlineLevel="0" collapsed="false">
      <c r="A568" s="5" t="s">
        <v>4</v>
      </c>
      <c r="B568" s="5" t="s">
        <v>55</v>
      </c>
      <c r="C568" s="2" t="s">
        <v>56</v>
      </c>
      <c r="D568" s="5" t="s">
        <v>77</v>
      </c>
      <c r="E568" s="5" t="s">
        <v>58</v>
      </c>
      <c r="F568" s="2" t="n">
        <v>17</v>
      </c>
      <c r="G568" s="5" t="s">
        <v>75</v>
      </c>
      <c r="H568" s="2" t="n">
        <v>1</v>
      </c>
      <c r="I568" s="2" t="n">
        <v>1</v>
      </c>
      <c r="J568" s="2" t="n">
        <v>1</v>
      </c>
      <c r="K568" s="7" t="n">
        <v>0.2366909186</v>
      </c>
      <c r="L568" s="7" t="n">
        <v>0.06718764823</v>
      </c>
      <c r="M568" s="7" t="n">
        <v>0.06895689591</v>
      </c>
      <c r="N568" s="7" t="n">
        <v>10</v>
      </c>
      <c r="O568" s="7" t="n">
        <v>10</v>
      </c>
      <c r="P568" s="7" t="n">
        <v>0</v>
      </c>
      <c r="Q568" s="2"/>
      <c r="R568" s="7" t="n">
        <v>2.745499</v>
      </c>
      <c r="S568" s="5" t="s">
        <v>60</v>
      </c>
      <c r="T568" s="5" t="s">
        <v>61</v>
      </c>
    </row>
    <row r="569" customFormat="false" ht="15" hidden="false" customHeight="false" outlineLevel="0" collapsed="false">
      <c r="A569" s="5" t="s">
        <v>4</v>
      </c>
      <c r="B569" s="5" t="s">
        <v>55</v>
      </c>
      <c r="C569" s="2" t="s">
        <v>56</v>
      </c>
      <c r="D569" s="5" t="s">
        <v>77</v>
      </c>
      <c r="E569" s="5" t="s">
        <v>62</v>
      </c>
      <c r="F569" s="2" t="n">
        <v>17</v>
      </c>
      <c r="G569" s="5" t="s">
        <v>75</v>
      </c>
      <c r="H569" s="2" t="n">
        <v>1</v>
      </c>
      <c r="I569" s="2" t="n">
        <v>1</v>
      </c>
      <c r="J569" s="2" t="n">
        <v>1</v>
      </c>
      <c r="K569" s="7" t="n">
        <v>0.2366909186</v>
      </c>
      <c r="L569" s="7" t="n">
        <v>0.06718764823</v>
      </c>
      <c r="M569" s="7" t="n">
        <v>0.06895689591</v>
      </c>
      <c r="N569" s="7" t="n">
        <v>10</v>
      </c>
      <c r="O569" s="7" t="n">
        <v>10</v>
      </c>
      <c r="P569" s="7" t="n">
        <v>10</v>
      </c>
      <c r="Q569" s="2"/>
      <c r="R569" s="7" t="n">
        <v>7.445988</v>
      </c>
      <c r="S569" s="5" t="s">
        <v>60</v>
      </c>
      <c r="T569" s="5" t="s">
        <v>61</v>
      </c>
    </row>
    <row r="570" customFormat="false" ht="15" hidden="false" customHeight="false" outlineLevel="0" collapsed="false">
      <c r="A570" s="5" t="s">
        <v>4</v>
      </c>
      <c r="B570" s="5" t="s">
        <v>55</v>
      </c>
      <c r="C570" s="2" t="s">
        <v>56</v>
      </c>
      <c r="D570" s="5" t="s">
        <v>77</v>
      </c>
      <c r="E570" s="5" t="s">
        <v>58</v>
      </c>
      <c r="F570" s="2" t="n">
        <v>18</v>
      </c>
      <c r="G570" s="5" t="s">
        <v>74</v>
      </c>
      <c r="H570" s="2" t="n">
        <v>1</v>
      </c>
      <c r="I570" s="2" t="n">
        <v>1</v>
      </c>
      <c r="J570" s="2" t="n">
        <v>1</v>
      </c>
      <c r="K570" s="7" t="n">
        <v>0.1848640949</v>
      </c>
      <c r="L570" s="7" t="n">
        <v>0.07564146279</v>
      </c>
      <c r="M570" s="7" t="n">
        <v>0.07677665652</v>
      </c>
      <c r="N570" s="7" t="n">
        <v>10</v>
      </c>
      <c r="O570" s="7" t="n">
        <v>10</v>
      </c>
      <c r="P570" s="7" t="n">
        <v>0</v>
      </c>
      <c r="Q570" s="2"/>
      <c r="R570" s="7" t="n">
        <v>6.157813</v>
      </c>
      <c r="S570" s="5" t="s">
        <v>60</v>
      </c>
      <c r="T570" s="5" t="s">
        <v>61</v>
      </c>
    </row>
    <row r="571" customFormat="false" ht="15" hidden="false" customHeight="false" outlineLevel="0" collapsed="false">
      <c r="A571" s="5" t="s">
        <v>4</v>
      </c>
      <c r="B571" s="5" t="s">
        <v>55</v>
      </c>
      <c r="C571" s="2" t="s">
        <v>56</v>
      </c>
      <c r="D571" s="5" t="s">
        <v>77</v>
      </c>
      <c r="E571" s="5" t="s">
        <v>62</v>
      </c>
      <c r="F571" s="2" t="n">
        <v>18</v>
      </c>
      <c r="G571" s="5" t="s">
        <v>74</v>
      </c>
      <c r="H571" s="2" t="n">
        <v>1</v>
      </c>
      <c r="I571" s="2" t="n">
        <v>1</v>
      </c>
      <c r="J571" s="2" t="n">
        <v>1</v>
      </c>
      <c r="K571" s="7" t="n">
        <v>0.1848640949</v>
      </c>
      <c r="L571" s="7" t="n">
        <v>0.07564146279</v>
      </c>
      <c r="M571" s="7" t="n">
        <v>0.07677665652</v>
      </c>
      <c r="N571" s="7" t="n">
        <v>10</v>
      </c>
      <c r="O571" s="7" t="n">
        <v>10</v>
      </c>
      <c r="P571" s="7" t="n">
        <v>10</v>
      </c>
      <c r="Q571" s="2"/>
      <c r="R571" s="7" t="n">
        <v>6.731822</v>
      </c>
      <c r="S571" s="5" t="s">
        <v>60</v>
      </c>
      <c r="T571" s="5" t="s">
        <v>61</v>
      </c>
    </row>
    <row r="572" customFormat="false" ht="15" hidden="false" customHeight="false" outlineLevel="0" collapsed="false">
      <c r="A572" s="5" t="s">
        <v>4</v>
      </c>
      <c r="B572" s="5" t="s">
        <v>55</v>
      </c>
      <c r="C572" s="2" t="s">
        <v>56</v>
      </c>
      <c r="D572" s="5" t="s">
        <v>77</v>
      </c>
      <c r="E572" s="5" t="s">
        <v>58</v>
      </c>
      <c r="F572" s="2" t="n">
        <v>18</v>
      </c>
      <c r="G572" s="5" t="s">
        <v>75</v>
      </c>
      <c r="H572" s="2" t="n">
        <v>1</v>
      </c>
      <c r="I572" s="2" t="n">
        <v>1</v>
      </c>
      <c r="J572" s="2" t="n">
        <v>1</v>
      </c>
      <c r="K572" s="7" t="n">
        <v>0.06327259115</v>
      </c>
      <c r="L572" s="7" t="n">
        <v>0.09170164601</v>
      </c>
      <c r="M572" s="7" t="n">
        <v>0.09172910986</v>
      </c>
      <c r="N572" s="7" t="n">
        <v>14</v>
      </c>
      <c r="O572" s="7" t="n">
        <v>14</v>
      </c>
      <c r="P572" s="7" t="n">
        <v>0</v>
      </c>
      <c r="Q572" s="2"/>
      <c r="R572" s="7" t="n">
        <v>2.494037</v>
      </c>
      <c r="S572" s="5" t="s">
        <v>60</v>
      </c>
      <c r="T572" s="5" t="s">
        <v>61</v>
      </c>
    </row>
    <row r="573" customFormat="false" ht="15" hidden="false" customHeight="false" outlineLevel="0" collapsed="false">
      <c r="A573" s="5" t="s">
        <v>4</v>
      </c>
      <c r="B573" s="5" t="s">
        <v>55</v>
      </c>
      <c r="C573" s="2" t="s">
        <v>56</v>
      </c>
      <c r="D573" s="5" t="s">
        <v>77</v>
      </c>
      <c r="E573" s="5" t="s">
        <v>62</v>
      </c>
      <c r="F573" s="2" t="n">
        <v>18</v>
      </c>
      <c r="G573" s="5" t="s">
        <v>75</v>
      </c>
      <c r="H573" s="2" t="n">
        <v>1</v>
      </c>
      <c r="I573" s="2" t="n">
        <v>1</v>
      </c>
      <c r="J573" s="2" t="n">
        <v>1</v>
      </c>
      <c r="K573" s="7" t="n">
        <v>0.1178011315</v>
      </c>
      <c r="L573" s="7" t="n">
        <v>0.0463852187</v>
      </c>
      <c r="M573" s="7" t="n">
        <v>0.04721947646</v>
      </c>
      <c r="N573" s="7" t="n">
        <v>14</v>
      </c>
      <c r="O573" s="7" t="n">
        <v>14</v>
      </c>
      <c r="P573" s="7" t="n">
        <v>13</v>
      </c>
      <c r="Q573" s="2"/>
      <c r="R573" s="7" t="n">
        <v>3.109648</v>
      </c>
      <c r="S573" s="5" t="s">
        <v>60</v>
      </c>
      <c r="T573" s="5" t="s">
        <v>61</v>
      </c>
    </row>
    <row r="574" customFormat="false" ht="15" hidden="false" customHeight="false" outlineLevel="0" collapsed="false">
      <c r="A574" s="5" t="s">
        <v>4</v>
      </c>
      <c r="B574" s="5" t="s">
        <v>55</v>
      </c>
      <c r="C574" s="2" t="s">
        <v>56</v>
      </c>
      <c r="D574" s="5" t="s">
        <v>77</v>
      </c>
      <c r="E574" s="5" t="s">
        <v>58</v>
      </c>
      <c r="F574" s="2" t="n">
        <v>19</v>
      </c>
      <c r="G574" s="5" t="s">
        <v>74</v>
      </c>
      <c r="H574" s="2" t="n">
        <v>1</v>
      </c>
      <c r="I574" s="2" t="n">
        <v>1</v>
      </c>
      <c r="J574" s="2" t="n">
        <v>1</v>
      </c>
      <c r="K574" s="7" t="n">
        <v>0.1482395172</v>
      </c>
      <c r="L574" s="7" t="n">
        <v>0.06529732123</v>
      </c>
      <c r="M574" s="7" t="n">
        <v>0.06613485056</v>
      </c>
      <c r="N574" s="7" t="n">
        <v>12</v>
      </c>
      <c r="O574" s="7" t="n">
        <v>12</v>
      </c>
      <c r="P574" s="7" t="n">
        <v>0</v>
      </c>
      <c r="Q574" s="2"/>
      <c r="R574" s="7" t="n">
        <v>2.422832</v>
      </c>
      <c r="S574" s="5" t="s">
        <v>60</v>
      </c>
      <c r="T574" s="5" t="s">
        <v>61</v>
      </c>
    </row>
    <row r="575" customFormat="false" ht="15" hidden="false" customHeight="false" outlineLevel="0" collapsed="false">
      <c r="A575" s="5" t="s">
        <v>4</v>
      </c>
      <c r="B575" s="5" t="s">
        <v>55</v>
      </c>
      <c r="C575" s="2" t="s">
        <v>56</v>
      </c>
      <c r="D575" s="5" t="s">
        <v>77</v>
      </c>
      <c r="E575" s="5" t="s">
        <v>62</v>
      </c>
      <c r="F575" s="2" t="n">
        <v>19</v>
      </c>
      <c r="G575" s="5" t="s">
        <v>74</v>
      </c>
      <c r="H575" s="2" t="n">
        <v>1</v>
      </c>
      <c r="I575" s="2" t="n">
        <v>1</v>
      </c>
      <c r="J575" s="2" t="n">
        <v>1</v>
      </c>
      <c r="K575" s="7" t="n">
        <v>0.1482395172</v>
      </c>
      <c r="L575" s="7" t="n">
        <v>0.06529732123</v>
      </c>
      <c r="M575" s="7" t="n">
        <v>0.06613485056</v>
      </c>
      <c r="N575" s="7" t="n">
        <v>12</v>
      </c>
      <c r="O575" s="7" t="n">
        <v>12</v>
      </c>
      <c r="P575" s="7" t="n">
        <v>12</v>
      </c>
      <c r="Q575" s="2"/>
      <c r="R575" s="7" t="n">
        <v>3.046273</v>
      </c>
      <c r="S575" s="5" t="s">
        <v>60</v>
      </c>
      <c r="T575" s="5" t="s">
        <v>61</v>
      </c>
    </row>
    <row r="576" customFormat="false" ht="15" hidden="false" customHeight="false" outlineLevel="0" collapsed="false">
      <c r="A576" s="5" t="s">
        <v>4</v>
      </c>
      <c r="B576" s="5" t="s">
        <v>55</v>
      </c>
      <c r="C576" s="2" t="s">
        <v>56</v>
      </c>
      <c r="D576" s="5" t="s">
        <v>77</v>
      </c>
      <c r="E576" s="5" t="s">
        <v>58</v>
      </c>
      <c r="F576" s="2" t="n">
        <v>19</v>
      </c>
      <c r="G576" s="5" t="s">
        <v>75</v>
      </c>
      <c r="H576" s="2" t="n">
        <v>1</v>
      </c>
      <c r="I576" s="2" t="n">
        <v>1</v>
      </c>
      <c r="J576" s="2" t="n">
        <v>1</v>
      </c>
      <c r="K576" s="7" t="n">
        <v>0.1071214907</v>
      </c>
      <c r="L576" s="7" t="n">
        <v>0.06599443543</v>
      </c>
      <c r="M576" s="7" t="n">
        <v>0.0664448312</v>
      </c>
      <c r="N576" s="7" t="n">
        <v>12</v>
      </c>
      <c r="O576" s="7" t="n">
        <v>12</v>
      </c>
      <c r="P576" s="7" t="n">
        <v>0</v>
      </c>
      <c r="Q576" s="2"/>
      <c r="R576" s="7" t="n">
        <v>34.728873</v>
      </c>
      <c r="S576" s="5" t="s">
        <v>60</v>
      </c>
      <c r="T576" s="5" t="s">
        <v>61</v>
      </c>
    </row>
    <row r="577" customFormat="false" ht="15" hidden="false" customHeight="false" outlineLevel="0" collapsed="false">
      <c r="A577" s="5" t="s">
        <v>4</v>
      </c>
      <c r="B577" s="5" t="s">
        <v>55</v>
      </c>
      <c r="C577" s="2" t="s">
        <v>56</v>
      </c>
      <c r="D577" s="5" t="s">
        <v>77</v>
      </c>
      <c r="E577" s="5" t="s">
        <v>62</v>
      </c>
      <c r="F577" s="2" t="n">
        <v>19</v>
      </c>
      <c r="G577" s="5" t="s">
        <v>75</v>
      </c>
      <c r="H577" s="2" t="n">
        <v>1</v>
      </c>
      <c r="I577" s="2" t="n">
        <v>1</v>
      </c>
      <c r="J577" s="2" t="n">
        <v>1</v>
      </c>
      <c r="K577" s="7" t="n">
        <v>0.1071214907</v>
      </c>
      <c r="L577" s="7" t="n">
        <v>0.06599443543</v>
      </c>
      <c r="M577" s="7" t="n">
        <v>0.0664448312</v>
      </c>
      <c r="N577" s="7" t="n">
        <v>12</v>
      </c>
      <c r="O577" s="7" t="n">
        <v>12</v>
      </c>
      <c r="P577" s="7" t="n">
        <v>12</v>
      </c>
      <c r="Q577" s="2"/>
      <c r="R577" s="7" t="n">
        <v>39.320812</v>
      </c>
      <c r="S577" s="5" t="s">
        <v>60</v>
      </c>
      <c r="T577" s="5" t="s">
        <v>61</v>
      </c>
    </row>
    <row r="578" customFormat="false" ht="15" hidden="false" customHeight="false" outlineLevel="0" collapsed="false">
      <c r="A578" s="5" t="s">
        <v>4</v>
      </c>
      <c r="B578" s="5" t="s">
        <v>55</v>
      </c>
      <c r="C578" s="2" t="s">
        <v>56</v>
      </c>
      <c r="D578" s="5" t="s">
        <v>77</v>
      </c>
      <c r="E578" s="5" t="s">
        <v>58</v>
      </c>
      <c r="F578" s="2" t="n">
        <v>20</v>
      </c>
      <c r="G578" s="5" t="s">
        <v>74</v>
      </c>
      <c r="H578" s="2" t="n">
        <v>1</v>
      </c>
      <c r="I578" s="2" t="n">
        <v>1</v>
      </c>
      <c r="J578" s="2" t="n">
        <v>1</v>
      </c>
      <c r="K578" s="7" t="n">
        <v>0.1242893697</v>
      </c>
      <c r="L578" s="7" t="n">
        <v>0.05775277524</v>
      </c>
      <c r="M578" s="7" t="n">
        <v>0.05875852022</v>
      </c>
      <c r="N578" s="7" t="n">
        <v>10</v>
      </c>
      <c r="O578" s="7" t="n">
        <v>10</v>
      </c>
      <c r="P578" s="7" t="n">
        <v>0</v>
      </c>
      <c r="Q578" s="2"/>
      <c r="R578" s="7" t="n">
        <v>6.937066</v>
      </c>
      <c r="S578" s="5" t="s">
        <v>60</v>
      </c>
      <c r="T578" s="5" t="s">
        <v>61</v>
      </c>
    </row>
    <row r="579" customFormat="false" ht="15" hidden="false" customHeight="false" outlineLevel="0" collapsed="false">
      <c r="A579" s="5" t="s">
        <v>4</v>
      </c>
      <c r="B579" s="5" t="s">
        <v>55</v>
      </c>
      <c r="C579" s="2" t="s">
        <v>56</v>
      </c>
      <c r="D579" s="5" t="s">
        <v>77</v>
      </c>
      <c r="E579" s="5" t="s">
        <v>62</v>
      </c>
      <c r="F579" s="2" t="n">
        <v>20</v>
      </c>
      <c r="G579" s="5" t="s">
        <v>74</v>
      </c>
      <c r="H579" s="2" t="n">
        <v>1</v>
      </c>
      <c r="I579" s="2" t="n">
        <v>1</v>
      </c>
      <c r="J579" s="2" t="n">
        <v>1</v>
      </c>
      <c r="K579" s="7" t="n">
        <v>0.1242893697</v>
      </c>
      <c r="L579" s="7" t="n">
        <v>0.05775277524</v>
      </c>
      <c r="M579" s="7" t="n">
        <v>0.05875852022</v>
      </c>
      <c r="N579" s="7" t="n">
        <v>10</v>
      </c>
      <c r="O579" s="7" t="n">
        <v>10</v>
      </c>
      <c r="P579" s="7" t="n">
        <v>10</v>
      </c>
      <c r="Q579" s="2"/>
      <c r="R579" s="7" t="n">
        <v>7.538535</v>
      </c>
      <c r="S579" s="5" t="s">
        <v>60</v>
      </c>
      <c r="T579" s="5" t="s">
        <v>61</v>
      </c>
    </row>
    <row r="580" customFormat="false" ht="15" hidden="false" customHeight="false" outlineLevel="0" collapsed="false">
      <c r="A580" s="5" t="s">
        <v>4</v>
      </c>
      <c r="B580" s="5" t="s">
        <v>55</v>
      </c>
      <c r="C580" s="2" t="s">
        <v>56</v>
      </c>
      <c r="D580" s="5" t="s">
        <v>77</v>
      </c>
      <c r="E580" s="5" t="s">
        <v>58</v>
      </c>
      <c r="F580" s="2" t="n">
        <v>20</v>
      </c>
      <c r="G580" s="5" t="s">
        <v>75</v>
      </c>
      <c r="H580" s="2" t="n">
        <v>1</v>
      </c>
      <c r="I580" s="2" t="n">
        <v>1</v>
      </c>
      <c r="J580" s="2" t="n">
        <v>1</v>
      </c>
      <c r="K580" s="7" t="n">
        <v>1.831188786</v>
      </c>
      <c r="L580" s="7" t="n">
        <v>0.1342563871</v>
      </c>
      <c r="M580" s="7" t="n">
        <v>0.1861120321</v>
      </c>
      <c r="N580" s="7" t="n">
        <v>11</v>
      </c>
      <c r="O580" s="7" t="n">
        <v>11</v>
      </c>
      <c r="P580" s="7" t="n">
        <v>0</v>
      </c>
      <c r="Q580" s="2"/>
      <c r="R580" s="7" t="n">
        <v>2.531923</v>
      </c>
      <c r="S580" s="5" t="s">
        <v>60</v>
      </c>
      <c r="T580" s="5" t="s">
        <v>61</v>
      </c>
    </row>
    <row r="581" customFormat="false" ht="15" hidden="false" customHeight="false" outlineLevel="0" collapsed="false">
      <c r="A581" s="5" t="s">
        <v>4</v>
      </c>
      <c r="B581" s="5" t="s">
        <v>55</v>
      </c>
      <c r="C581" s="2" t="s">
        <v>56</v>
      </c>
      <c r="D581" s="5" t="s">
        <v>77</v>
      </c>
      <c r="E581" s="5" t="s">
        <v>62</v>
      </c>
      <c r="F581" s="2" t="n">
        <v>20</v>
      </c>
      <c r="G581" s="5" t="s">
        <v>75</v>
      </c>
      <c r="H581" s="2" t="n">
        <v>1</v>
      </c>
      <c r="I581" s="2" t="n">
        <v>1</v>
      </c>
      <c r="J581" s="2" t="n">
        <v>1</v>
      </c>
      <c r="K581" s="7" t="n">
        <v>0.1390947503</v>
      </c>
      <c r="L581" s="7" t="n">
        <v>0.08301078718</v>
      </c>
      <c r="M581" s="7" t="n">
        <v>0.08374603245</v>
      </c>
      <c r="N581" s="7" t="n">
        <v>11</v>
      </c>
      <c r="O581" s="7" t="n">
        <v>11</v>
      </c>
      <c r="P581" s="7" t="n">
        <v>10</v>
      </c>
      <c r="Q581" s="2"/>
      <c r="R581" s="7" t="n">
        <v>3.116958</v>
      </c>
      <c r="S581" s="5" t="s">
        <v>60</v>
      </c>
      <c r="T581" s="5" t="s">
        <v>61</v>
      </c>
    </row>
    <row r="582" customFormat="false" ht="15" hidden="false" customHeight="false" outlineLevel="0" collapsed="false">
      <c r="A582" s="5" t="s">
        <v>4</v>
      </c>
      <c r="B582" s="5" t="s">
        <v>55</v>
      </c>
      <c r="C582" s="2" t="s">
        <v>56</v>
      </c>
      <c r="D582" s="5" t="s">
        <v>77</v>
      </c>
      <c r="E582" s="5" t="s">
        <v>58</v>
      </c>
      <c r="F582" s="2" t="n">
        <v>11</v>
      </c>
      <c r="G582" s="5" t="s">
        <v>76</v>
      </c>
      <c r="H582" s="2" t="n">
        <v>1</v>
      </c>
      <c r="I582" s="2" t="n">
        <v>1</v>
      </c>
      <c r="J582" s="2" t="n">
        <v>1</v>
      </c>
      <c r="K582" s="7" t="n">
        <v>0.5088212827</v>
      </c>
      <c r="L582" s="7" t="n">
        <v>0.01931159676</v>
      </c>
      <c r="M582" s="7" t="n">
        <v>0.03705219692</v>
      </c>
      <c r="N582" s="7" t="n">
        <v>9</v>
      </c>
      <c r="O582" s="7" t="n">
        <v>9</v>
      </c>
      <c r="P582" s="7" t="n">
        <v>0</v>
      </c>
      <c r="Q582" s="2"/>
      <c r="R582" s="7" t="n">
        <v>3.356581</v>
      </c>
      <c r="S582" s="5" t="s">
        <v>60</v>
      </c>
      <c r="T582" s="5" t="s">
        <v>61</v>
      </c>
    </row>
    <row r="583" customFormat="false" ht="15" hidden="false" customHeight="false" outlineLevel="0" collapsed="false">
      <c r="A583" s="5" t="s">
        <v>4</v>
      </c>
      <c r="B583" s="5" t="s">
        <v>55</v>
      </c>
      <c r="C583" s="2" t="s">
        <v>56</v>
      </c>
      <c r="D583" s="5" t="s">
        <v>77</v>
      </c>
      <c r="E583" s="5" t="s">
        <v>62</v>
      </c>
      <c r="F583" s="2" t="n">
        <v>11</v>
      </c>
      <c r="G583" s="5" t="s">
        <v>76</v>
      </c>
      <c r="H583" s="2" t="n">
        <v>1</v>
      </c>
      <c r="I583" s="2" t="n">
        <v>1</v>
      </c>
      <c r="J583" s="2" t="n">
        <v>1</v>
      </c>
      <c r="K583" s="7" t="n">
        <v>0.5088212827</v>
      </c>
      <c r="L583" s="7" t="n">
        <v>0.01931159676</v>
      </c>
      <c r="M583" s="7" t="n">
        <v>0.03705219692</v>
      </c>
      <c r="N583" s="7" t="n">
        <v>9</v>
      </c>
      <c r="O583" s="7" t="n">
        <v>9</v>
      </c>
      <c r="P583" s="7" t="n">
        <v>9</v>
      </c>
      <c r="Q583" s="2"/>
      <c r="R583" s="7" t="n">
        <v>3.883601</v>
      </c>
      <c r="S583" s="5" t="s">
        <v>60</v>
      </c>
      <c r="T583" s="5" t="s">
        <v>61</v>
      </c>
    </row>
    <row r="584" customFormat="false" ht="15" hidden="false" customHeight="false" outlineLevel="0" collapsed="false">
      <c r="A584" s="5" t="s">
        <v>4</v>
      </c>
      <c r="B584" s="5" t="s">
        <v>55</v>
      </c>
      <c r="C584" s="2" t="s">
        <v>56</v>
      </c>
      <c r="D584" s="5" t="s">
        <v>77</v>
      </c>
      <c r="E584" s="5" t="s">
        <v>58</v>
      </c>
      <c r="F584" s="2" t="n">
        <v>12</v>
      </c>
      <c r="G584" s="5" t="s">
        <v>76</v>
      </c>
      <c r="H584" s="2" t="n">
        <v>1</v>
      </c>
      <c r="I584" s="2" t="n">
        <v>1</v>
      </c>
      <c r="J584" s="2" t="n">
        <v>1</v>
      </c>
      <c r="K584" s="7" t="n">
        <v>0.2093401552</v>
      </c>
      <c r="L584" s="7" t="n">
        <v>0.02548065387</v>
      </c>
      <c r="M584" s="7" t="n">
        <v>0.02782099529</v>
      </c>
      <c r="N584" s="7" t="n">
        <v>14</v>
      </c>
      <c r="O584" s="7" t="n">
        <v>14</v>
      </c>
      <c r="P584" s="7" t="n">
        <v>0</v>
      </c>
      <c r="Q584" s="2"/>
      <c r="R584" s="7" t="n">
        <v>7.525395</v>
      </c>
      <c r="S584" s="5" t="s">
        <v>60</v>
      </c>
      <c r="T584" s="5" t="s">
        <v>61</v>
      </c>
    </row>
    <row r="585" customFormat="false" ht="15" hidden="false" customHeight="false" outlineLevel="0" collapsed="false">
      <c r="A585" s="5" t="s">
        <v>4</v>
      </c>
      <c r="B585" s="5" t="s">
        <v>55</v>
      </c>
      <c r="C585" s="2" t="s">
        <v>56</v>
      </c>
      <c r="D585" s="5" t="s">
        <v>77</v>
      </c>
      <c r="E585" s="5" t="s">
        <v>62</v>
      </c>
      <c r="F585" s="2" t="n">
        <v>12</v>
      </c>
      <c r="G585" s="5" t="s">
        <v>76</v>
      </c>
      <c r="H585" s="2" t="n">
        <v>1</v>
      </c>
      <c r="I585" s="2" t="n">
        <v>1</v>
      </c>
      <c r="J585" s="2" t="n">
        <v>1</v>
      </c>
      <c r="K585" s="7" t="n">
        <v>0.2093401552</v>
      </c>
      <c r="L585" s="7" t="n">
        <v>0.02548065387</v>
      </c>
      <c r="M585" s="7" t="n">
        <v>0.02782099529</v>
      </c>
      <c r="N585" s="7" t="n">
        <v>14</v>
      </c>
      <c r="O585" s="7" t="n">
        <v>14</v>
      </c>
      <c r="P585" s="7" t="n">
        <v>14</v>
      </c>
      <c r="Q585" s="2"/>
      <c r="R585" s="7" t="n">
        <v>8.183689</v>
      </c>
      <c r="S585" s="5" t="s">
        <v>60</v>
      </c>
      <c r="T585" s="5" t="s">
        <v>61</v>
      </c>
    </row>
    <row r="586" customFormat="false" ht="15" hidden="false" customHeight="false" outlineLevel="0" collapsed="false">
      <c r="A586" s="5" t="s">
        <v>4</v>
      </c>
      <c r="B586" s="5" t="s">
        <v>55</v>
      </c>
      <c r="C586" s="2" t="s">
        <v>56</v>
      </c>
      <c r="D586" s="5" t="s">
        <v>77</v>
      </c>
      <c r="E586" s="5" t="s">
        <v>58</v>
      </c>
      <c r="F586" s="2" t="n">
        <v>13</v>
      </c>
      <c r="G586" s="5" t="s">
        <v>76</v>
      </c>
      <c r="H586" s="2" t="n">
        <v>1</v>
      </c>
      <c r="I586" s="2" t="n">
        <v>1</v>
      </c>
      <c r="J586" s="2" t="n">
        <v>1</v>
      </c>
      <c r="K586" s="7" t="n">
        <v>0.389964631</v>
      </c>
      <c r="L586" s="7" t="n">
        <v>0.006197404002</v>
      </c>
      <c r="M586" s="7" t="n">
        <v>0.02867989902</v>
      </c>
      <c r="N586" s="7" t="n">
        <v>13</v>
      </c>
      <c r="O586" s="7" t="n">
        <v>13</v>
      </c>
      <c r="P586" s="7" t="n">
        <v>0</v>
      </c>
      <c r="Q586" s="2"/>
      <c r="R586" s="7" t="n">
        <v>3.647942</v>
      </c>
      <c r="S586" s="5" t="s">
        <v>60</v>
      </c>
      <c r="T586" s="5" t="s">
        <v>61</v>
      </c>
    </row>
    <row r="587" customFormat="false" ht="15" hidden="false" customHeight="false" outlineLevel="0" collapsed="false">
      <c r="A587" s="5" t="s">
        <v>4</v>
      </c>
      <c r="B587" s="5" t="s">
        <v>55</v>
      </c>
      <c r="C587" s="2" t="s">
        <v>56</v>
      </c>
      <c r="D587" s="5" t="s">
        <v>77</v>
      </c>
      <c r="E587" s="5" t="s">
        <v>62</v>
      </c>
      <c r="F587" s="2" t="n">
        <v>13</v>
      </c>
      <c r="G587" s="5" t="s">
        <v>76</v>
      </c>
      <c r="H587" s="2" t="n">
        <v>1</v>
      </c>
      <c r="I587" s="2" t="n">
        <v>1</v>
      </c>
      <c r="J587" s="2" t="n">
        <v>1</v>
      </c>
      <c r="K587" s="7" t="n">
        <v>0.389964631</v>
      </c>
      <c r="L587" s="7" t="n">
        <v>0.006197404002</v>
      </c>
      <c r="M587" s="7" t="n">
        <v>0.02867989902</v>
      </c>
      <c r="N587" s="7" t="n">
        <v>13</v>
      </c>
      <c r="O587" s="7" t="n">
        <v>13</v>
      </c>
      <c r="P587" s="7" t="n">
        <v>13</v>
      </c>
      <c r="Q587" s="2"/>
      <c r="R587" s="7" t="n">
        <v>4.294578</v>
      </c>
      <c r="S587" s="5" t="s">
        <v>60</v>
      </c>
      <c r="T587" s="5" t="s">
        <v>61</v>
      </c>
    </row>
    <row r="588" customFormat="false" ht="15" hidden="false" customHeight="false" outlineLevel="0" collapsed="false">
      <c r="A588" s="5" t="s">
        <v>4</v>
      </c>
      <c r="B588" s="5" t="s">
        <v>55</v>
      </c>
      <c r="C588" s="2" t="s">
        <v>56</v>
      </c>
      <c r="D588" s="5" t="s">
        <v>77</v>
      </c>
      <c r="E588" s="5" t="s">
        <v>58</v>
      </c>
      <c r="F588" s="2" t="n">
        <v>14</v>
      </c>
      <c r="G588" s="5" t="s">
        <v>76</v>
      </c>
      <c r="H588" s="2" t="n">
        <v>1</v>
      </c>
      <c r="I588" s="2" t="n">
        <v>1</v>
      </c>
      <c r="J588" s="2" t="n">
        <v>1</v>
      </c>
      <c r="K588" s="7" t="n">
        <v>0.4305704339</v>
      </c>
      <c r="L588" s="7" t="n">
        <v>0.05107512668</v>
      </c>
      <c r="M588" s="7" t="n">
        <v>0.05878058034</v>
      </c>
      <c r="N588" s="7" t="n">
        <v>13</v>
      </c>
      <c r="O588" s="7" t="n">
        <v>13</v>
      </c>
      <c r="P588" s="7" t="n">
        <v>0</v>
      </c>
      <c r="Q588" s="2"/>
      <c r="R588" s="7" t="n">
        <v>26.057014</v>
      </c>
      <c r="S588" s="5" t="s">
        <v>60</v>
      </c>
      <c r="T588" s="5" t="s">
        <v>61</v>
      </c>
    </row>
    <row r="589" customFormat="false" ht="15" hidden="false" customHeight="false" outlineLevel="0" collapsed="false">
      <c r="A589" s="5" t="s">
        <v>4</v>
      </c>
      <c r="B589" s="5" t="s">
        <v>55</v>
      </c>
      <c r="C589" s="2" t="s">
        <v>56</v>
      </c>
      <c r="D589" s="5" t="s">
        <v>77</v>
      </c>
      <c r="E589" s="5" t="s">
        <v>62</v>
      </c>
      <c r="F589" s="2" t="n">
        <v>14</v>
      </c>
      <c r="G589" s="5" t="s">
        <v>76</v>
      </c>
      <c r="H589" s="2" t="n">
        <v>1</v>
      </c>
      <c r="I589" s="2" t="n">
        <v>1</v>
      </c>
      <c r="J589" s="2" t="n">
        <v>1</v>
      </c>
      <c r="K589" s="7" t="n">
        <v>0.4305704339</v>
      </c>
      <c r="L589" s="7" t="n">
        <v>0.05107512668</v>
      </c>
      <c r="M589" s="7" t="n">
        <v>0.05878058034</v>
      </c>
      <c r="N589" s="7" t="n">
        <v>13</v>
      </c>
      <c r="O589" s="7" t="n">
        <v>13</v>
      </c>
      <c r="P589" s="7" t="n">
        <v>13</v>
      </c>
      <c r="Q589" s="2"/>
      <c r="R589" s="7" t="n">
        <v>26.664702</v>
      </c>
      <c r="S589" s="5" t="s">
        <v>60</v>
      </c>
      <c r="T589" s="5" t="s">
        <v>61</v>
      </c>
    </row>
    <row r="590" customFormat="false" ht="15" hidden="false" customHeight="false" outlineLevel="0" collapsed="false">
      <c r="A590" s="5" t="s">
        <v>4</v>
      </c>
      <c r="B590" s="5" t="s">
        <v>55</v>
      </c>
      <c r="C590" s="2" t="s">
        <v>56</v>
      </c>
      <c r="D590" s="5" t="s">
        <v>77</v>
      </c>
      <c r="E590" s="5" t="s">
        <v>58</v>
      </c>
      <c r="F590" s="2" t="n">
        <v>15</v>
      </c>
      <c r="G590" s="5" t="s">
        <v>76</v>
      </c>
      <c r="H590" s="2" t="n">
        <v>1</v>
      </c>
      <c r="I590" s="2" t="n">
        <v>1</v>
      </c>
      <c r="J590" s="2" t="n">
        <v>1</v>
      </c>
      <c r="K590" s="7" t="n">
        <v>0.2284890225</v>
      </c>
      <c r="L590" s="7" t="n">
        <v>0.02846657116</v>
      </c>
      <c r="M590" s="7" t="n">
        <v>0.03194451558</v>
      </c>
      <c r="N590" s="7" t="n">
        <v>16</v>
      </c>
      <c r="O590" s="7" t="n">
        <v>16</v>
      </c>
      <c r="P590" s="7" t="n">
        <v>0</v>
      </c>
      <c r="Q590" s="2"/>
      <c r="R590" s="7" t="n">
        <v>7.483654</v>
      </c>
      <c r="S590" s="5" t="s">
        <v>60</v>
      </c>
      <c r="T590" s="5" t="s">
        <v>61</v>
      </c>
    </row>
    <row r="591" customFormat="false" ht="15" hidden="false" customHeight="false" outlineLevel="0" collapsed="false">
      <c r="A591" s="5" t="s">
        <v>4</v>
      </c>
      <c r="B591" s="5" t="s">
        <v>55</v>
      </c>
      <c r="C591" s="2" t="s">
        <v>56</v>
      </c>
      <c r="D591" s="5" t="s">
        <v>77</v>
      </c>
      <c r="E591" s="5" t="s">
        <v>62</v>
      </c>
      <c r="F591" s="2" t="n">
        <v>15</v>
      </c>
      <c r="G591" s="5" t="s">
        <v>76</v>
      </c>
      <c r="H591" s="2" t="n">
        <v>1</v>
      </c>
      <c r="I591" s="2" t="n">
        <v>1</v>
      </c>
      <c r="J591" s="2" t="n">
        <v>1</v>
      </c>
      <c r="K591" s="7" t="n">
        <v>0.2284890225</v>
      </c>
      <c r="L591" s="7" t="n">
        <v>0.02846657116</v>
      </c>
      <c r="M591" s="7" t="n">
        <v>0.03194451558</v>
      </c>
      <c r="N591" s="7" t="n">
        <v>16</v>
      </c>
      <c r="O591" s="7" t="n">
        <v>16</v>
      </c>
      <c r="P591" s="7" t="n">
        <v>16</v>
      </c>
      <c r="Q591" s="2"/>
      <c r="R591" s="7" t="n">
        <v>8.147015</v>
      </c>
      <c r="S591" s="5" t="s">
        <v>60</v>
      </c>
      <c r="T591" s="5" t="s">
        <v>61</v>
      </c>
    </row>
    <row r="592" customFormat="false" ht="15" hidden="false" customHeight="false" outlineLevel="0" collapsed="false">
      <c r="A592" s="5" t="s">
        <v>4</v>
      </c>
      <c r="B592" s="5" t="s">
        <v>55</v>
      </c>
      <c r="C592" s="2" t="s">
        <v>56</v>
      </c>
      <c r="D592" s="5" t="s">
        <v>77</v>
      </c>
      <c r="E592" s="5" t="s">
        <v>58</v>
      </c>
      <c r="F592" s="2" t="n">
        <v>16</v>
      </c>
      <c r="G592" s="5" t="s">
        <v>76</v>
      </c>
      <c r="H592" s="2" t="n">
        <v>1</v>
      </c>
      <c r="I592" s="2" t="n">
        <v>1</v>
      </c>
      <c r="J592" s="2" t="n">
        <v>1</v>
      </c>
      <c r="K592" s="7" t="n">
        <v>0.3816789159</v>
      </c>
      <c r="L592" s="7" t="n">
        <v>0.03215639555</v>
      </c>
      <c r="M592" s="7" t="n">
        <v>0.03821781113</v>
      </c>
      <c r="N592" s="7" t="n">
        <v>14</v>
      </c>
      <c r="O592" s="7" t="n">
        <v>14</v>
      </c>
      <c r="P592" s="7" t="n">
        <v>0</v>
      </c>
      <c r="Q592" s="2"/>
      <c r="R592" s="7" t="n">
        <v>7.314124</v>
      </c>
      <c r="S592" s="5" t="s">
        <v>60</v>
      </c>
      <c r="T592" s="5" t="s">
        <v>61</v>
      </c>
    </row>
    <row r="593" customFormat="false" ht="15" hidden="false" customHeight="false" outlineLevel="0" collapsed="false">
      <c r="A593" s="5" t="s">
        <v>4</v>
      </c>
      <c r="B593" s="5" t="s">
        <v>55</v>
      </c>
      <c r="C593" s="2" t="s">
        <v>56</v>
      </c>
      <c r="D593" s="5" t="s">
        <v>77</v>
      </c>
      <c r="E593" s="5" t="s">
        <v>62</v>
      </c>
      <c r="F593" s="2" t="n">
        <v>16</v>
      </c>
      <c r="G593" s="5" t="s">
        <v>76</v>
      </c>
      <c r="H593" s="2" t="n">
        <v>1</v>
      </c>
      <c r="I593" s="2" t="n">
        <v>1</v>
      </c>
      <c r="J593" s="2" t="n">
        <v>1</v>
      </c>
      <c r="K593" s="7" t="n">
        <v>0.3816789159</v>
      </c>
      <c r="L593" s="7" t="n">
        <v>0.03215639555</v>
      </c>
      <c r="M593" s="7" t="n">
        <v>0.03821781113</v>
      </c>
      <c r="N593" s="7" t="n">
        <v>14</v>
      </c>
      <c r="O593" s="7" t="n">
        <v>14</v>
      </c>
      <c r="P593" s="7" t="n">
        <v>14</v>
      </c>
      <c r="Q593" s="2"/>
      <c r="R593" s="7" t="n">
        <v>7.966968</v>
      </c>
      <c r="S593" s="5" t="s">
        <v>60</v>
      </c>
      <c r="T593" s="5" t="s">
        <v>61</v>
      </c>
    </row>
    <row r="594" customFormat="false" ht="15" hidden="false" customHeight="false" outlineLevel="0" collapsed="false">
      <c r="A594" s="5" t="s">
        <v>4</v>
      </c>
      <c r="B594" s="5" t="s">
        <v>55</v>
      </c>
      <c r="C594" s="2" t="s">
        <v>56</v>
      </c>
      <c r="D594" s="5" t="s">
        <v>77</v>
      </c>
      <c r="E594" s="5" t="s">
        <v>58</v>
      </c>
      <c r="F594" s="2" t="n">
        <v>17</v>
      </c>
      <c r="G594" s="5" t="s">
        <v>76</v>
      </c>
      <c r="H594" s="2" t="n">
        <v>1</v>
      </c>
      <c r="I594" s="2" t="n">
        <v>1</v>
      </c>
      <c r="J594" s="2" t="n">
        <v>1</v>
      </c>
      <c r="K594" s="7" t="n">
        <v>0.7422722865</v>
      </c>
      <c r="L594" s="7" t="n">
        <v>0.08847764226</v>
      </c>
      <c r="M594" s="7" t="n">
        <v>0.09787852907</v>
      </c>
      <c r="N594" s="7" t="n">
        <v>11</v>
      </c>
      <c r="O594" s="7" t="n">
        <v>11</v>
      </c>
      <c r="P594" s="7" t="n">
        <v>0</v>
      </c>
      <c r="Q594" s="2"/>
      <c r="R594" s="7" t="n">
        <v>7.808404</v>
      </c>
      <c r="S594" s="5" t="s">
        <v>60</v>
      </c>
      <c r="T594" s="5" t="s">
        <v>61</v>
      </c>
    </row>
    <row r="595" customFormat="false" ht="15" hidden="false" customHeight="false" outlineLevel="0" collapsed="false">
      <c r="A595" s="5" t="s">
        <v>4</v>
      </c>
      <c r="B595" s="5" t="s">
        <v>55</v>
      </c>
      <c r="C595" s="2" t="s">
        <v>56</v>
      </c>
      <c r="D595" s="5" t="s">
        <v>77</v>
      </c>
      <c r="E595" s="5" t="s">
        <v>62</v>
      </c>
      <c r="F595" s="2" t="n">
        <v>17</v>
      </c>
      <c r="G595" s="5" t="s">
        <v>76</v>
      </c>
      <c r="H595" s="2" t="n">
        <v>1</v>
      </c>
      <c r="I595" s="2" t="n">
        <v>1</v>
      </c>
      <c r="J595" s="2" t="n">
        <v>1</v>
      </c>
      <c r="K595" s="7" t="n">
        <v>0.7422722865</v>
      </c>
      <c r="L595" s="7" t="n">
        <v>0.08847764226</v>
      </c>
      <c r="M595" s="7" t="n">
        <v>0.09787852907</v>
      </c>
      <c r="N595" s="7" t="n">
        <v>11</v>
      </c>
      <c r="O595" s="7" t="n">
        <v>11</v>
      </c>
      <c r="P595" s="7" t="n">
        <v>11</v>
      </c>
      <c r="Q595" s="2"/>
      <c r="R595" s="7" t="n">
        <v>8.378667</v>
      </c>
      <c r="S595" s="5" t="s">
        <v>60</v>
      </c>
      <c r="T595" s="5" t="s">
        <v>61</v>
      </c>
    </row>
    <row r="596" customFormat="false" ht="15" hidden="false" customHeight="false" outlineLevel="0" collapsed="false">
      <c r="A596" s="5" t="s">
        <v>4</v>
      </c>
      <c r="B596" s="5" t="s">
        <v>55</v>
      </c>
      <c r="C596" s="2" t="s">
        <v>56</v>
      </c>
      <c r="D596" s="5" t="s">
        <v>77</v>
      </c>
      <c r="E596" s="5" t="s">
        <v>58</v>
      </c>
      <c r="F596" s="2" t="n">
        <v>18</v>
      </c>
      <c r="G596" s="5" t="s">
        <v>76</v>
      </c>
      <c r="H596" s="2" t="n">
        <v>1</v>
      </c>
      <c r="I596" s="2" t="n">
        <v>1</v>
      </c>
      <c r="J596" s="2" t="n">
        <v>1</v>
      </c>
      <c r="K596" s="7" t="n">
        <v>0.792595393</v>
      </c>
      <c r="L596" s="7" t="n">
        <v>0.04469469466</v>
      </c>
      <c r="M596" s="7" t="n">
        <v>0.07376260197</v>
      </c>
      <c r="N596" s="7" t="n">
        <v>12</v>
      </c>
      <c r="O596" s="7" t="n">
        <v>12</v>
      </c>
      <c r="P596" s="7" t="n">
        <v>0</v>
      </c>
      <c r="Q596" s="2"/>
      <c r="R596" s="7" t="n">
        <v>7.389805</v>
      </c>
      <c r="S596" s="5" t="s">
        <v>60</v>
      </c>
      <c r="T596" s="5" t="s">
        <v>61</v>
      </c>
    </row>
    <row r="597" customFormat="false" ht="15" hidden="false" customHeight="false" outlineLevel="0" collapsed="false">
      <c r="A597" s="5" t="s">
        <v>4</v>
      </c>
      <c r="B597" s="5" t="s">
        <v>55</v>
      </c>
      <c r="C597" s="2" t="s">
        <v>56</v>
      </c>
      <c r="D597" s="5" t="s">
        <v>77</v>
      </c>
      <c r="E597" s="5" t="s">
        <v>62</v>
      </c>
      <c r="F597" s="2" t="n">
        <v>18</v>
      </c>
      <c r="G597" s="5" t="s">
        <v>76</v>
      </c>
      <c r="H597" s="2" t="n">
        <v>1</v>
      </c>
      <c r="I597" s="2" t="n">
        <v>1</v>
      </c>
      <c r="J597" s="2" t="n">
        <v>1</v>
      </c>
      <c r="K597" s="7" t="n">
        <v>0.3360124045</v>
      </c>
      <c r="L597" s="7" t="n">
        <v>0.03650671172</v>
      </c>
      <c r="M597" s="7" t="n">
        <v>0.04292664152</v>
      </c>
      <c r="N597" s="7" t="n">
        <v>12</v>
      </c>
      <c r="O597" s="7" t="n">
        <v>12</v>
      </c>
      <c r="P597" s="7" t="n">
        <v>11</v>
      </c>
      <c r="Q597" s="2"/>
      <c r="R597" s="7" t="n">
        <v>8.002039</v>
      </c>
      <c r="S597" s="5" t="s">
        <v>60</v>
      </c>
      <c r="T597" s="5" t="s">
        <v>61</v>
      </c>
    </row>
    <row r="598" customFormat="false" ht="15" hidden="false" customHeight="false" outlineLevel="0" collapsed="false">
      <c r="A598" s="5" t="s">
        <v>4</v>
      </c>
      <c r="B598" s="5" t="s">
        <v>55</v>
      </c>
      <c r="C598" s="2" t="s">
        <v>56</v>
      </c>
      <c r="D598" s="5" t="s">
        <v>77</v>
      </c>
      <c r="E598" s="5" t="s">
        <v>58</v>
      </c>
      <c r="F598" s="2" t="n">
        <v>19</v>
      </c>
      <c r="G598" s="5" t="s">
        <v>76</v>
      </c>
      <c r="H598" s="2" t="n">
        <v>1</v>
      </c>
      <c r="I598" s="2" t="n">
        <v>1</v>
      </c>
      <c r="J598" s="2" t="n">
        <v>1</v>
      </c>
      <c r="K598" s="7" t="n">
        <v>0.4311494645</v>
      </c>
      <c r="L598" s="7" t="n">
        <v>0.01627191124</v>
      </c>
      <c r="M598" s="7" t="n">
        <v>0.03038406823</v>
      </c>
      <c r="N598" s="7" t="n">
        <v>18</v>
      </c>
      <c r="O598" s="7" t="n">
        <v>18</v>
      </c>
      <c r="P598" s="7" t="n">
        <v>0</v>
      </c>
      <c r="Q598" s="2"/>
      <c r="R598" s="7" t="n">
        <v>8.007148</v>
      </c>
      <c r="S598" s="5" t="s">
        <v>60</v>
      </c>
      <c r="T598" s="5" t="s">
        <v>61</v>
      </c>
    </row>
    <row r="599" customFormat="false" ht="15" hidden="false" customHeight="false" outlineLevel="0" collapsed="false">
      <c r="A599" s="5" t="s">
        <v>4</v>
      </c>
      <c r="B599" s="5" t="s">
        <v>55</v>
      </c>
      <c r="C599" s="2" t="s">
        <v>56</v>
      </c>
      <c r="D599" s="5" t="s">
        <v>77</v>
      </c>
      <c r="E599" s="5" t="s">
        <v>62</v>
      </c>
      <c r="F599" s="2" t="n">
        <v>19</v>
      </c>
      <c r="G599" s="5" t="s">
        <v>76</v>
      </c>
      <c r="H599" s="2" t="n">
        <v>1</v>
      </c>
      <c r="I599" s="2" t="n">
        <v>1</v>
      </c>
      <c r="J599" s="2" t="n">
        <v>1</v>
      </c>
      <c r="K599" s="7" t="n">
        <v>0.4311494645</v>
      </c>
      <c r="L599" s="7" t="n">
        <v>0.01627191124</v>
      </c>
      <c r="M599" s="7" t="n">
        <v>0.03038406823</v>
      </c>
      <c r="N599" s="7" t="n">
        <v>18</v>
      </c>
      <c r="O599" s="7" t="n">
        <v>18</v>
      </c>
      <c r="P599" s="7" t="n">
        <v>18</v>
      </c>
      <c r="Q599" s="2"/>
      <c r="R599" s="7" t="n">
        <v>8.906137</v>
      </c>
      <c r="S599" s="5" t="s">
        <v>60</v>
      </c>
      <c r="T599" s="5" t="s">
        <v>61</v>
      </c>
    </row>
    <row r="600" customFormat="false" ht="15" hidden="false" customHeight="false" outlineLevel="0" collapsed="false">
      <c r="A600" s="5" t="s">
        <v>4</v>
      </c>
      <c r="B600" s="5" t="s">
        <v>55</v>
      </c>
      <c r="C600" s="2" t="s">
        <v>56</v>
      </c>
      <c r="D600" s="5" t="s">
        <v>77</v>
      </c>
      <c r="E600" s="5" t="s">
        <v>58</v>
      </c>
      <c r="F600" s="2" t="n">
        <v>20</v>
      </c>
      <c r="G600" s="5" t="s">
        <v>76</v>
      </c>
      <c r="H600" s="2" t="n">
        <v>1</v>
      </c>
      <c r="I600" s="2" t="n">
        <v>1</v>
      </c>
      <c r="J600" s="2" t="n">
        <v>1</v>
      </c>
      <c r="K600" s="7" t="n">
        <v>0.3416486029</v>
      </c>
      <c r="L600" s="7" t="n">
        <v>0.01504396882</v>
      </c>
      <c r="M600" s="7" t="n">
        <v>0.02420653276</v>
      </c>
      <c r="N600" s="7" t="n">
        <v>12</v>
      </c>
      <c r="O600" s="7" t="n">
        <v>12</v>
      </c>
      <c r="P600" s="7" t="n">
        <v>0</v>
      </c>
      <c r="Q600" s="2"/>
      <c r="R600" s="7" t="n">
        <v>29.682572</v>
      </c>
      <c r="S600" s="5" t="s">
        <v>60</v>
      </c>
      <c r="T600" s="5" t="s">
        <v>61</v>
      </c>
    </row>
    <row r="601" customFormat="false" ht="15" hidden="false" customHeight="false" outlineLevel="0" collapsed="false">
      <c r="A601" s="5" t="s">
        <v>4</v>
      </c>
      <c r="B601" s="5" t="s">
        <v>55</v>
      </c>
      <c r="C601" s="2" t="s">
        <v>56</v>
      </c>
      <c r="D601" s="5" t="s">
        <v>77</v>
      </c>
      <c r="E601" s="5" t="s">
        <v>62</v>
      </c>
      <c r="F601" s="2" t="n">
        <v>20</v>
      </c>
      <c r="G601" s="5" t="s">
        <v>76</v>
      </c>
      <c r="H601" s="2" t="n">
        <v>1</v>
      </c>
      <c r="I601" s="2" t="n">
        <v>1</v>
      </c>
      <c r="J601" s="2" t="n">
        <v>1</v>
      </c>
      <c r="K601" s="7" t="n">
        <v>0.3416486029</v>
      </c>
      <c r="L601" s="7" t="n">
        <v>0.01504396882</v>
      </c>
      <c r="M601" s="7" t="n">
        <v>0.02420653276</v>
      </c>
      <c r="N601" s="7" t="n">
        <v>12</v>
      </c>
      <c r="O601" s="7" t="n">
        <v>12</v>
      </c>
      <c r="P601" s="7" t="n">
        <v>12</v>
      </c>
      <c r="Q601" s="2"/>
      <c r="R601" s="7" t="n">
        <v>30.37722</v>
      </c>
      <c r="S601" s="5" t="s">
        <v>60</v>
      </c>
      <c r="T601" s="5" t="s">
        <v>61</v>
      </c>
    </row>
    <row r="602" customFormat="false" ht="15" hidden="false" customHeight="false" outlineLevel="0" collapsed="false">
      <c r="A602" s="5" t="s">
        <v>4</v>
      </c>
      <c r="B602" s="5" t="s">
        <v>55</v>
      </c>
      <c r="C602" s="2" t="s">
        <v>56</v>
      </c>
      <c r="D602" s="5" t="s">
        <v>78</v>
      </c>
      <c r="E602" s="5" t="s">
        <v>58</v>
      </c>
      <c r="F602" s="2" t="n">
        <v>11</v>
      </c>
      <c r="G602" s="5" t="s">
        <v>59</v>
      </c>
      <c r="H602" s="2" t="n">
        <v>1</v>
      </c>
      <c r="I602" s="2" t="n">
        <v>1</v>
      </c>
      <c r="J602" s="2" t="n">
        <v>1</v>
      </c>
      <c r="K602" s="7" t="n">
        <v>0.5842520561</v>
      </c>
      <c r="L602" s="7" t="n">
        <v>0.08481325798</v>
      </c>
      <c r="M602" s="7" t="n">
        <v>0.09264288864</v>
      </c>
      <c r="N602" s="7" t="n">
        <v>9</v>
      </c>
      <c r="O602" s="7" t="n">
        <v>9</v>
      </c>
      <c r="P602" s="7" t="n">
        <v>0</v>
      </c>
      <c r="Q602" s="2"/>
      <c r="R602" s="7" t="n">
        <v>2.170577</v>
      </c>
      <c r="S602" s="5" t="s">
        <v>79</v>
      </c>
      <c r="T602" s="5" t="s">
        <v>61</v>
      </c>
    </row>
    <row r="603" customFormat="false" ht="15" hidden="false" customHeight="false" outlineLevel="0" collapsed="false">
      <c r="A603" s="5" t="s">
        <v>4</v>
      </c>
      <c r="B603" s="5" t="s">
        <v>55</v>
      </c>
      <c r="C603" s="2" t="s">
        <v>56</v>
      </c>
      <c r="D603" s="5" t="s">
        <v>78</v>
      </c>
      <c r="E603" s="5" t="s">
        <v>62</v>
      </c>
      <c r="F603" s="2" t="n">
        <v>11</v>
      </c>
      <c r="G603" s="5" t="s">
        <v>59</v>
      </c>
      <c r="H603" s="2" t="n">
        <v>1</v>
      </c>
      <c r="I603" s="2" t="n">
        <v>1</v>
      </c>
      <c r="J603" s="2" t="n">
        <v>1</v>
      </c>
      <c r="K603" s="7" t="n">
        <v>0.5842520561</v>
      </c>
      <c r="L603" s="7" t="n">
        <v>0.08481325798</v>
      </c>
      <c r="M603" s="7" t="n">
        <v>0.09264288864</v>
      </c>
      <c r="N603" s="7" t="n">
        <v>9</v>
      </c>
      <c r="O603" s="7" t="n">
        <v>9</v>
      </c>
      <c r="P603" s="7" t="n">
        <v>9</v>
      </c>
      <c r="Q603" s="2"/>
      <c r="R603" s="7" t="n">
        <v>2.697976</v>
      </c>
      <c r="S603" s="5" t="s">
        <v>79</v>
      </c>
      <c r="T603" s="5" t="s">
        <v>61</v>
      </c>
    </row>
    <row r="604" customFormat="false" ht="15" hidden="false" customHeight="false" outlineLevel="0" collapsed="false">
      <c r="A604" s="5" t="s">
        <v>4</v>
      </c>
      <c r="B604" s="5" t="s">
        <v>55</v>
      </c>
      <c r="C604" s="2" t="s">
        <v>56</v>
      </c>
      <c r="D604" s="5" t="s">
        <v>78</v>
      </c>
      <c r="E604" s="5" t="s">
        <v>58</v>
      </c>
      <c r="F604" s="2" t="n">
        <v>11</v>
      </c>
      <c r="G604" s="5" t="s">
        <v>63</v>
      </c>
      <c r="H604" s="2" t="n">
        <v>1</v>
      </c>
      <c r="I604" s="2" t="n">
        <v>1</v>
      </c>
      <c r="J604" s="2" t="n">
        <v>1</v>
      </c>
      <c r="K604" s="7" t="n">
        <v>0.6601326657</v>
      </c>
      <c r="L604" s="7" t="n">
        <v>0.03024256906</v>
      </c>
      <c r="M604" s="7" t="n">
        <v>0.04906834878</v>
      </c>
      <c r="N604" s="7" t="n">
        <v>12</v>
      </c>
      <c r="O604" s="7" t="n">
        <v>12</v>
      </c>
      <c r="P604" s="7" t="n">
        <v>0</v>
      </c>
      <c r="Q604" s="2"/>
      <c r="R604" s="7" t="n">
        <v>1.50936</v>
      </c>
      <c r="S604" s="5" t="s">
        <v>79</v>
      </c>
      <c r="T604" s="5" t="s">
        <v>61</v>
      </c>
    </row>
    <row r="605" customFormat="false" ht="15" hidden="false" customHeight="false" outlineLevel="0" collapsed="false">
      <c r="A605" s="5" t="s">
        <v>4</v>
      </c>
      <c r="B605" s="5" t="s">
        <v>55</v>
      </c>
      <c r="C605" s="2" t="s">
        <v>56</v>
      </c>
      <c r="D605" s="5" t="s">
        <v>78</v>
      </c>
      <c r="E605" s="5" t="s">
        <v>62</v>
      </c>
      <c r="F605" s="2" t="n">
        <v>11</v>
      </c>
      <c r="G605" s="5" t="s">
        <v>63</v>
      </c>
      <c r="H605" s="2" t="n">
        <v>1</v>
      </c>
      <c r="I605" s="2" t="n">
        <v>1</v>
      </c>
      <c r="J605" s="2" t="n">
        <v>1</v>
      </c>
      <c r="K605" s="7" t="n">
        <v>0.578604197</v>
      </c>
      <c r="L605" s="7" t="n">
        <v>0.03301008847</v>
      </c>
      <c r="M605" s="7" t="n">
        <v>0.04966388482</v>
      </c>
      <c r="N605" s="7" t="n">
        <v>12</v>
      </c>
      <c r="O605" s="7" t="n">
        <v>12</v>
      </c>
      <c r="P605" s="7" t="n">
        <v>11</v>
      </c>
      <c r="Q605" s="2"/>
      <c r="R605" s="7" t="n">
        <v>2.13191</v>
      </c>
      <c r="S605" s="5" t="s">
        <v>79</v>
      </c>
      <c r="T605" s="5" t="s">
        <v>61</v>
      </c>
    </row>
    <row r="606" customFormat="false" ht="15" hidden="false" customHeight="false" outlineLevel="0" collapsed="false">
      <c r="A606" s="5" t="s">
        <v>4</v>
      </c>
      <c r="B606" s="5" t="s">
        <v>55</v>
      </c>
      <c r="C606" s="2" t="s">
        <v>56</v>
      </c>
      <c r="D606" s="5" t="s">
        <v>78</v>
      </c>
      <c r="E606" s="5" t="s">
        <v>58</v>
      </c>
      <c r="F606" s="2" t="n">
        <v>11</v>
      </c>
      <c r="G606" s="5" t="s">
        <v>64</v>
      </c>
      <c r="H606" s="2" t="n">
        <v>0</v>
      </c>
      <c r="I606" s="2" t="n">
        <v>0</v>
      </c>
      <c r="J606" s="2" t="n">
        <v>0</v>
      </c>
      <c r="K606" s="2"/>
      <c r="L606" s="2"/>
      <c r="M606" s="2"/>
      <c r="N606" s="7" t="n">
        <v>2</v>
      </c>
      <c r="O606" s="7" t="n">
        <v>2</v>
      </c>
      <c r="P606" s="7" t="n">
        <v>0</v>
      </c>
      <c r="Q606" s="2"/>
      <c r="R606" s="7" t="n">
        <v>1.527877</v>
      </c>
      <c r="S606" s="5" t="s">
        <v>79</v>
      </c>
      <c r="T606" s="5" t="s">
        <v>61</v>
      </c>
    </row>
    <row r="607" customFormat="false" ht="15" hidden="false" customHeight="false" outlineLevel="0" collapsed="false">
      <c r="A607" s="5" t="s">
        <v>4</v>
      </c>
      <c r="B607" s="5" t="s">
        <v>55</v>
      </c>
      <c r="C607" s="2" t="s">
        <v>56</v>
      </c>
      <c r="D607" s="5" t="s">
        <v>78</v>
      </c>
      <c r="E607" s="5" t="s">
        <v>62</v>
      </c>
      <c r="F607" s="2" t="n">
        <v>11</v>
      </c>
      <c r="G607" s="5" t="s">
        <v>64</v>
      </c>
      <c r="H607" s="2" t="n">
        <v>0</v>
      </c>
      <c r="I607" s="2" t="n">
        <v>0</v>
      </c>
      <c r="J607" s="2" t="n">
        <v>0</v>
      </c>
      <c r="K607" s="2"/>
      <c r="L607" s="2"/>
      <c r="M607" s="2"/>
      <c r="N607" s="7" t="n">
        <v>2</v>
      </c>
      <c r="O607" s="7" t="n">
        <v>2</v>
      </c>
      <c r="P607" s="7" t="n">
        <v>0</v>
      </c>
      <c r="Q607" s="2"/>
      <c r="R607" s="7" t="n">
        <v>1.528158</v>
      </c>
      <c r="S607" s="5" t="s">
        <v>79</v>
      </c>
      <c r="T607" s="5" t="s">
        <v>61</v>
      </c>
    </row>
    <row r="608" customFormat="false" ht="15" hidden="false" customHeight="false" outlineLevel="0" collapsed="false">
      <c r="A608" s="5" t="s">
        <v>4</v>
      </c>
      <c r="B608" s="5" t="s">
        <v>55</v>
      </c>
      <c r="C608" s="2" t="s">
        <v>56</v>
      </c>
      <c r="D608" s="5" t="s">
        <v>78</v>
      </c>
      <c r="E608" s="5" t="s">
        <v>58</v>
      </c>
      <c r="F608" s="2" t="n">
        <v>11</v>
      </c>
      <c r="G608" s="5" t="s">
        <v>65</v>
      </c>
      <c r="H608" s="2" t="n">
        <v>0</v>
      </c>
      <c r="I608" s="2" t="n">
        <v>0</v>
      </c>
      <c r="J608" s="2" t="n">
        <v>0</v>
      </c>
      <c r="K608" s="2"/>
      <c r="L608" s="2"/>
      <c r="M608" s="2"/>
      <c r="N608" s="7" t="n">
        <v>2</v>
      </c>
      <c r="O608" s="7" t="n">
        <v>2</v>
      </c>
      <c r="P608" s="7" t="n">
        <v>0</v>
      </c>
      <c r="Q608" s="2"/>
      <c r="R608" s="7" t="n">
        <v>2.215593</v>
      </c>
      <c r="S608" s="5" t="s">
        <v>79</v>
      </c>
      <c r="T608" s="5" t="s">
        <v>61</v>
      </c>
    </row>
    <row r="609" customFormat="false" ht="15" hidden="false" customHeight="false" outlineLevel="0" collapsed="false">
      <c r="A609" s="5" t="s">
        <v>4</v>
      </c>
      <c r="B609" s="5" t="s">
        <v>55</v>
      </c>
      <c r="C609" s="2" t="s">
        <v>56</v>
      </c>
      <c r="D609" s="5" t="s">
        <v>78</v>
      </c>
      <c r="E609" s="5" t="s">
        <v>62</v>
      </c>
      <c r="F609" s="2" t="n">
        <v>11</v>
      </c>
      <c r="G609" s="5" t="s">
        <v>65</v>
      </c>
      <c r="H609" s="2" t="n">
        <v>0</v>
      </c>
      <c r="I609" s="2" t="n">
        <v>0</v>
      </c>
      <c r="J609" s="2" t="n">
        <v>0</v>
      </c>
      <c r="K609" s="2"/>
      <c r="L609" s="2"/>
      <c r="M609" s="2"/>
      <c r="N609" s="7" t="n">
        <v>2</v>
      </c>
      <c r="O609" s="7" t="n">
        <v>2</v>
      </c>
      <c r="P609" s="7" t="n">
        <v>0</v>
      </c>
      <c r="Q609" s="2"/>
      <c r="R609" s="7" t="n">
        <v>2.215453</v>
      </c>
      <c r="S609" s="5" t="s">
        <v>79</v>
      </c>
      <c r="T609" s="5" t="s">
        <v>61</v>
      </c>
    </row>
    <row r="610" customFormat="false" ht="15" hidden="false" customHeight="false" outlineLevel="0" collapsed="false">
      <c r="A610" s="5" t="s">
        <v>4</v>
      </c>
      <c r="B610" s="5" t="s">
        <v>55</v>
      </c>
      <c r="C610" s="2" t="s">
        <v>56</v>
      </c>
      <c r="D610" s="5" t="s">
        <v>78</v>
      </c>
      <c r="E610" s="5" t="s">
        <v>58</v>
      </c>
      <c r="F610" s="2" t="n">
        <v>11</v>
      </c>
      <c r="G610" s="5" t="s">
        <v>66</v>
      </c>
      <c r="H610" s="2" t="n">
        <v>0</v>
      </c>
      <c r="I610" s="2" t="n">
        <v>1</v>
      </c>
      <c r="J610" s="2" t="n">
        <v>1</v>
      </c>
      <c r="K610" s="7" t="n">
        <v>1.971718581</v>
      </c>
      <c r="L610" s="7" t="n">
        <v>0.2237875639</v>
      </c>
      <c r="M610" s="7" t="n">
        <v>0.2519986218</v>
      </c>
      <c r="N610" s="7" t="n">
        <v>6</v>
      </c>
      <c r="O610" s="7" t="n">
        <v>6</v>
      </c>
      <c r="P610" s="7" t="n">
        <v>0</v>
      </c>
      <c r="Q610" s="2"/>
      <c r="R610" s="7" t="n">
        <v>2.555616</v>
      </c>
      <c r="S610" s="5" t="s">
        <v>79</v>
      </c>
      <c r="T610" s="5" t="s">
        <v>61</v>
      </c>
    </row>
    <row r="611" customFormat="false" ht="15" hidden="false" customHeight="false" outlineLevel="0" collapsed="false">
      <c r="A611" s="5" t="s">
        <v>4</v>
      </c>
      <c r="B611" s="5" t="s">
        <v>55</v>
      </c>
      <c r="C611" s="2" t="s">
        <v>56</v>
      </c>
      <c r="D611" s="5" t="s">
        <v>78</v>
      </c>
      <c r="E611" s="5" t="s">
        <v>62</v>
      </c>
      <c r="F611" s="2" t="n">
        <v>11</v>
      </c>
      <c r="G611" s="5" t="s">
        <v>66</v>
      </c>
      <c r="H611" s="2" t="n">
        <v>0</v>
      </c>
      <c r="I611" s="2" t="n">
        <v>1</v>
      </c>
      <c r="J611" s="2" t="n">
        <v>0</v>
      </c>
      <c r="K611" s="7" t="n">
        <v>3.523568916</v>
      </c>
      <c r="L611" s="7" t="n">
        <v>1.275423978</v>
      </c>
      <c r="M611" s="7" t="n">
        <v>1.284157906</v>
      </c>
      <c r="N611" s="7" t="n">
        <v>6</v>
      </c>
      <c r="O611" s="7" t="n">
        <v>6</v>
      </c>
      <c r="P611" s="7" t="n">
        <v>5</v>
      </c>
      <c r="Q611" s="2"/>
      <c r="R611" s="7" t="n">
        <v>2.936319</v>
      </c>
      <c r="S611" s="5" t="s">
        <v>79</v>
      </c>
      <c r="T611" s="5" t="s">
        <v>61</v>
      </c>
    </row>
    <row r="612" customFormat="false" ht="15" hidden="false" customHeight="false" outlineLevel="0" collapsed="false">
      <c r="A612" s="5" t="s">
        <v>4</v>
      </c>
      <c r="B612" s="5" t="s">
        <v>55</v>
      </c>
      <c r="C612" s="2" t="s">
        <v>56</v>
      </c>
      <c r="D612" s="5" t="s">
        <v>78</v>
      </c>
      <c r="E612" s="5" t="s">
        <v>58</v>
      </c>
      <c r="F612" s="2" t="n">
        <v>12</v>
      </c>
      <c r="G612" s="5" t="s">
        <v>59</v>
      </c>
      <c r="H612" s="2" t="n">
        <v>1</v>
      </c>
      <c r="I612" s="2" t="n">
        <v>1</v>
      </c>
      <c r="J612" s="2" t="n">
        <v>1</v>
      </c>
      <c r="K612" s="7" t="n">
        <v>0.2169852244</v>
      </c>
      <c r="L612" s="7" t="n">
        <v>0.02958302638</v>
      </c>
      <c r="M612" s="7" t="n">
        <v>0.03249905072</v>
      </c>
      <c r="N612" s="7" t="n">
        <v>5</v>
      </c>
      <c r="O612" s="7" t="n">
        <v>5</v>
      </c>
      <c r="P612" s="7" t="n">
        <v>0</v>
      </c>
      <c r="Q612" s="2"/>
      <c r="R612" s="7" t="n">
        <v>1.659101</v>
      </c>
      <c r="S612" s="5" t="s">
        <v>79</v>
      </c>
      <c r="T612" s="5" t="s">
        <v>61</v>
      </c>
    </row>
    <row r="613" customFormat="false" ht="15" hidden="false" customHeight="false" outlineLevel="0" collapsed="false">
      <c r="A613" s="5" t="s">
        <v>4</v>
      </c>
      <c r="B613" s="5" t="s">
        <v>55</v>
      </c>
      <c r="C613" s="2" t="s">
        <v>56</v>
      </c>
      <c r="D613" s="5" t="s">
        <v>78</v>
      </c>
      <c r="E613" s="5" t="s">
        <v>62</v>
      </c>
      <c r="F613" s="2" t="n">
        <v>12</v>
      </c>
      <c r="G613" s="5" t="s">
        <v>59</v>
      </c>
      <c r="H613" s="2" t="n">
        <v>1</v>
      </c>
      <c r="I613" s="2" t="n">
        <v>1</v>
      </c>
      <c r="J613" s="2" t="n">
        <v>1</v>
      </c>
      <c r="K613" s="7" t="n">
        <v>0.2169852244</v>
      </c>
      <c r="L613" s="7" t="n">
        <v>0.02958302638</v>
      </c>
      <c r="M613" s="7" t="n">
        <v>0.03249905072</v>
      </c>
      <c r="N613" s="7" t="n">
        <v>5</v>
      </c>
      <c r="O613" s="7" t="n">
        <v>5</v>
      </c>
      <c r="P613" s="7" t="n">
        <v>5</v>
      </c>
      <c r="Q613" s="2"/>
      <c r="R613" s="7" t="n">
        <v>2.021337</v>
      </c>
      <c r="S613" s="5" t="s">
        <v>79</v>
      </c>
      <c r="T613" s="5" t="s">
        <v>61</v>
      </c>
    </row>
    <row r="614" customFormat="false" ht="15" hidden="false" customHeight="false" outlineLevel="0" collapsed="false">
      <c r="A614" s="5" t="s">
        <v>4</v>
      </c>
      <c r="B614" s="5" t="s">
        <v>55</v>
      </c>
      <c r="C614" s="2" t="s">
        <v>56</v>
      </c>
      <c r="D614" s="5" t="s">
        <v>78</v>
      </c>
      <c r="E614" s="5" t="s">
        <v>58</v>
      </c>
      <c r="F614" s="2" t="n">
        <v>12</v>
      </c>
      <c r="G614" s="5" t="s">
        <v>63</v>
      </c>
      <c r="H614" s="2" t="n">
        <v>1</v>
      </c>
      <c r="I614" s="2" t="n">
        <v>1</v>
      </c>
      <c r="J614" s="2" t="n">
        <v>1</v>
      </c>
      <c r="K614" s="7" t="n">
        <v>0.7226854347</v>
      </c>
      <c r="L614" s="7" t="n">
        <v>0.03543471696</v>
      </c>
      <c r="M614" s="7" t="n">
        <v>0.06319963857</v>
      </c>
      <c r="N614" s="7" t="n">
        <v>10</v>
      </c>
      <c r="O614" s="7" t="n">
        <v>10</v>
      </c>
      <c r="P614" s="7" t="n">
        <v>0</v>
      </c>
      <c r="Q614" s="2"/>
      <c r="R614" s="7" t="n">
        <v>1.346119</v>
      </c>
      <c r="S614" s="5" t="s">
        <v>79</v>
      </c>
      <c r="T614" s="5" t="s">
        <v>61</v>
      </c>
    </row>
    <row r="615" customFormat="false" ht="15" hidden="false" customHeight="false" outlineLevel="0" collapsed="false">
      <c r="A615" s="5" t="s">
        <v>4</v>
      </c>
      <c r="B615" s="5" t="s">
        <v>55</v>
      </c>
      <c r="C615" s="2" t="s">
        <v>56</v>
      </c>
      <c r="D615" s="5" t="s">
        <v>78</v>
      </c>
      <c r="E615" s="5" t="s">
        <v>62</v>
      </c>
      <c r="F615" s="2" t="n">
        <v>12</v>
      </c>
      <c r="G615" s="5" t="s">
        <v>63</v>
      </c>
      <c r="H615" s="2" t="n">
        <v>1</v>
      </c>
      <c r="I615" s="2" t="n">
        <v>1</v>
      </c>
      <c r="J615" s="2" t="n">
        <v>1</v>
      </c>
      <c r="K615" s="7" t="n">
        <v>0.7226854347</v>
      </c>
      <c r="L615" s="7" t="n">
        <v>0.03543471696</v>
      </c>
      <c r="M615" s="7" t="n">
        <v>0.06319963857</v>
      </c>
      <c r="N615" s="7" t="n">
        <v>10</v>
      </c>
      <c r="O615" s="7" t="n">
        <v>10</v>
      </c>
      <c r="P615" s="7" t="n">
        <v>10</v>
      </c>
      <c r="Q615" s="2"/>
      <c r="R615" s="7" t="n">
        <v>1.893107</v>
      </c>
      <c r="S615" s="5" t="s">
        <v>79</v>
      </c>
      <c r="T615" s="5" t="s">
        <v>61</v>
      </c>
    </row>
    <row r="616" customFormat="false" ht="15" hidden="false" customHeight="false" outlineLevel="0" collapsed="false">
      <c r="A616" s="5" t="s">
        <v>4</v>
      </c>
      <c r="B616" s="5" t="s">
        <v>55</v>
      </c>
      <c r="C616" s="2" t="s">
        <v>56</v>
      </c>
      <c r="D616" s="5" t="s">
        <v>78</v>
      </c>
      <c r="E616" s="5" t="s">
        <v>58</v>
      </c>
      <c r="F616" s="2" t="n">
        <v>12</v>
      </c>
      <c r="G616" s="5" t="s">
        <v>64</v>
      </c>
      <c r="H616" s="2" t="n">
        <v>0</v>
      </c>
      <c r="I616" s="2" t="n">
        <v>1</v>
      </c>
      <c r="J616" s="2" t="n">
        <v>0</v>
      </c>
      <c r="K616" s="7" t="n">
        <v>2.304474881</v>
      </c>
      <c r="L616" s="7" t="n">
        <v>0.6313644756</v>
      </c>
      <c r="M616" s="7" t="n">
        <v>0.6481536889</v>
      </c>
      <c r="N616" s="7" t="n">
        <v>4</v>
      </c>
      <c r="O616" s="7" t="n">
        <v>4</v>
      </c>
      <c r="P616" s="7" t="n">
        <v>0</v>
      </c>
      <c r="Q616" s="2"/>
      <c r="R616" s="7" t="n">
        <v>1.661856</v>
      </c>
      <c r="S616" s="5" t="s">
        <v>79</v>
      </c>
      <c r="T616" s="5" t="s">
        <v>61</v>
      </c>
    </row>
    <row r="617" customFormat="false" ht="15" hidden="false" customHeight="false" outlineLevel="0" collapsed="false">
      <c r="A617" s="5" t="s">
        <v>4</v>
      </c>
      <c r="B617" s="5" t="s">
        <v>55</v>
      </c>
      <c r="C617" s="2" t="s">
        <v>56</v>
      </c>
      <c r="D617" s="5" t="s">
        <v>78</v>
      </c>
      <c r="E617" s="5" t="s">
        <v>62</v>
      </c>
      <c r="F617" s="2" t="n">
        <v>12</v>
      </c>
      <c r="G617" s="5" t="s">
        <v>64</v>
      </c>
      <c r="H617" s="2" t="n">
        <v>0</v>
      </c>
      <c r="I617" s="2" t="n">
        <v>1</v>
      </c>
      <c r="J617" s="2" t="n">
        <v>0</v>
      </c>
      <c r="K617" s="7" t="n">
        <v>2.304474881</v>
      </c>
      <c r="L617" s="7" t="n">
        <v>0.6313644756</v>
      </c>
      <c r="M617" s="7" t="n">
        <v>0.6481536889</v>
      </c>
      <c r="N617" s="7" t="n">
        <v>4</v>
      </c>
      <c r="O617" s="7" t="n">
        <v>4</v>
      </c>
      <c r="P617" s="7" t="n">
        <v>4</v>
      </c>
      <c r="Q617" s="2"/>
      <c r="R617" s="7" t="n">
        <v>1.927248</v>
      </c>
      <c r="S617" s="5" t="s">
        <v>79</v>
      </c>
      <c r="T617" s="5" t="s">
        <v>61</v>
      </c>
    </row>
    <row r="618" customFormat="false" ht="15" hidden="false" customHeight="false" outlineLevel="0" collapsed="false">
      <c r="A618" s="5" t="s">
        <v>4</v>
      </c>
      <c r="B618" s="5" t="s">
        <v>55</v>
      </c>
      <c r="C618" s="2" t="s">
        <v>56</v>
      </c>
      <c r="D618" s="5" t="s">
        <v>78</v>
      </c>
      <c r="E618" s="5" t="s">
        <v>58</v>
      </c>
      <c r="F618" s="2" t="n">
        <v>12</v>
      </c>
      <c r="G618" s="5" t="s">
        <v>65</v>
      </c>
      <c r="H618" s="2" t="n">
        <v>0</v>
      </c>
      <c r="I618" s="2" t="n">
        <v>1</v>
      </c>
      <c r="J618" s="2" t="n">
        <v>1</v>
      </c>
      <c r="K618" s="7" t="n">
        <v>0.4226919734</v>
      </c>
      <c r="L618" s="7" t="n">
        <v>0.0784419702</v>
      </c>
      <c r="M618" s="7" t="n">
        <v>0.08147001736</v>
      </c>
      <c r="N618" s="7" t="n">
        <v>6</v>
      </c>
      <c r="O618" s="7" t="n">
        <v>6</v>
      </c>
      <c r="P618" s="7" t="n">
        <v>0</v>
      </c>
      <c r="Q618" s="2"/>
      <c r="R618" s="7" t="n">
        <v>2.364263</v>
      </c>
      <c r="S618" s="5" t="s">
        <v>79</v>
      </c>
      <c r="T618" s="5" t="s">
        <v>61</v>
      </c>
    </row>
    <row r="619" customFormat="false" ht="15" hidden="false" customHeight="false" outlineLevel="0" collapsed="false">
      <c r="A619" s="5" t="s">
        <v>4</v>
      </c>
      <c r="B619" s="5" t="s">
        <v>55</v>
      </c>
      <c r="C619" s="2" t="s">
        <v>56</v>
      </c>
      <c r="D619" s="5" t="s">
        <v>78</v>
      </c>
      <c r="E619" s="5" t="s">
        <v>62</v>
      </c>
      <c r="F619" s="2" t="n">
        <v>12</v>
      </c>
      <c r="G619" s="5" t="s">
        <v>65</v>
      </c>
      <c r="H619" s="2" t="n">
        <v>0</v>
      </c>
      <c r="I619" s="2" t="n">
        <v>1</v>
      </c>
      <c r="J619" s="2" t="n">
        <v>1</v>
      </c>
      <c r="K619" s="7" t="n">
        <v>0.4226919734</v>
      </c>
      <c r="L619" s="7" t="n">
        <v>0.0784419702</v>
      </c>
      <c r="M619" s="7" t="n">
        <v>0.08147001736</v>
      </c>
      <c r="N619" s="7" t="n">
        <v>6</v>
      </c>
      <c r="O619" s="7" t="n">
        <v>6</v>
      </c>
      <c r="P619" s="7" t="n">
        <v>6</v>
      </c>
      <c r="Q619" s="2"/>
      <c r="R619" s="7" t="n">
        <v>2.749873</v>
      </c>
      <c r="S619" s="5" t="s">
        <v>79</v>
      </c>
      <c r="T619" s="5" t="s">
        <v>61</v>
      </c>
    </row>
    <row r="620" customFormat="false" ht="15" hidden="false" customHeight="false" outlineLevel="0" collapsed="false">
      <c r="A620" s="5" t="s">
        <v>4</v>
      </c>
      <c r="B620" s="5" t="s">
        <v>55</v>
      </c>
      <c r="C620" s="2" t="s">
        <v>56</v>
      </c>
      <c r="D620" s="5" t="s">
        <v>78</v>
      </c>
      <c r="E620" s="5" t="s">
        <v>58</v>
      </c>
      <c r="F620" s="2" t="n">
        <v>12</v>
      </c>
      <c r="G620" s="5" t="s">
        <v>66</v>
      </c>
      <c r="H620" s="2" t="n">
        <v>0</v>
      </c>
      <c r="I620" s="2" t="n">
        <v>0</v>
      </c>
      <c r="J620" s="2" t="n">
        <v>0</v>
      </c>
      <c r="K620" s="2"/>
      <c r="L620" s="2"/>
      <c r="M620" s="2"/>
      <c r="N620" s="7" t="n">
        <v>1</v>
      </c>
      <c r="O620" s="7" t="n">
        <v>1</v>
      </c>
      <c r="P620" s="7" t="n">
        <v>0</v>
      </c>
      <c r="Q620" s="2"/>
      <c r="R620" s="7" t="n">
        <v>2.824053</v>
      </c>
      <c r="S620" s="5" t="s">
        <v>79</v>
      </c>
      <c r="T620" s="5" t="s">
        <v>61</v>
      </c>
    </row>
    <row r="621" customFormat="false" ht="15" hidden="false" customHeight="false" outlineLevel="0" collapsed="false">
      <c r="A621" s="5" t="s">
        <v>4</v>
      </c>
      <c r="B621" s="5" t="s">
        <v>55</v>
      </c>
      <c r="C621" s="2" t="s">
        <v>56</v>
      </c>
      <c r="D621" s="5" t="s">
        <v>78</v>
      </c>
      <c r="E621" s="5" t="s">
        <v>62</v>
      </c>
      <c r="F621" s="2" t="n">
        <v>12</v>
      </c>
      <c r="G621" s="5" t="s">
        <v>66</v>
      </c>
      <c r="H621" s="2" t="n">
        <v>0</v>
      </c>
      <c r="I621" s="2" t="n">
        <v>0</v>
      </c>
      <c r="J621" s="2" t="n">
        <v>0</v>
      </c>
      <c r="K621" s="2"/>
      <c r="L621" s="2"/>
      <c r="M621" s="2"/>
      <c r="N621" s="7" t="n">
        <v>1</v>
      </c>
      <c r="O621" s="7" t="n">
        <v>1</v>
      </c>
      <c r="P621" s="7" t="n">
        <v>0</v>
      </c>
      <c r="Q621" s="2"/>
      <c r="R621" s="7" t="n">
        <v>2.823502</v>
      </c>
      <c r="S621" s="5" t="s">
        <v>79</v>
      </c>
      <c r="T621" s="5" t="s">
        <v>61</v>
      </c>
    </row>
    <row r="622" customFormat="false" ht="15" hidden="false" customHeight="false" outlineLevel="0" collapsed="false">
      <c r="A622" s="5" t="s">
        <v>4</v>
      </c>
      <c r="B622" s="5" t="s">
        <v>55</v>
      </c>
      <c r="C622" s="2" t="s">
        <v>56</v>
      </c>
      <c r="D622" s="5" t="s">
        <v>78</v>
      </c>
      <c r="E622" s="5" t="s">
        <v>58</v>
      </c>
      <c r="F622" s="2" t="n">
        <v>13</v>
      </c>
      <c r="G622" s="5" t="s">
        <v>59</v>
      </c>
      <c r="H622" s="2" t="n">
        <v>1</v>
      </c>
      <c r="I622" s="2" t="n">
        <v>1</v>
      </c>
      <c r="J622" s="2" t="n">
        <v>1</v>
      </c>
      <c r="K622" s="7" t="n">
        <v>0.2129005856</v>
      </c>
      <c r="L622" s="7" t="n">
        <v>0.03573436214</v>
      </c>
      <c r="M622" s="7" t="n">
        <v>0.03941050509</v>
      </c>
      <c r="N622" s="7" t="n">
        <v>5</v>
      </c>
      <c r="O622" s="7" t="n">
        <v>5</v>
      </c>
      <c r="P622" s="7" t="n">
        <v>0</v>
      </c>
      <c r="Q622" s="2"/>
      <c r="R622" s="7" t="n">
        <v>1.773771</v>
      </c>
      <c r="S622" s="5" t="s">
        <v>79</v>
      </c>
      <c r="T622" s="5" t="s">
        <v>61</v>
      </c>
    </row>
    <row r="623" customFormat="false" ht="15" hidden="false" customHeight="false" outlineLevel="0" collapsed="false">
      <c r="A623" s="5" t="s">
        <v>4</v>
      </c>
      <c r="B623" s="5" t="s">
        <v>55</v>
      </c>
      <c r="C623" s="2" t="s">
        <v>56</v>
      </c>
      <c r="D623" s="5" t="s">
        <v>78</v>
      </c>
      <c r="E623" s="5" t="s">
        <v>62</v>
      </c>
      <c r="F623" s="2" t="n">
        <v>13</v>
      </c>
      <c r="G623" s="5" t="s">
        <v>59</v>
      </c>
      <c r="H623" s="2" t="n">
        <v>1</v>
      </c>
      <c r="I623" s="2" t="n">
        <v>1</v>
      </c>
      <c r="J623" s="2" t="n">
        <v>1</v>
      </c>
      <c r="K623" s="7" t="n">
        <v>0.2129005856</v>
      </c>
      <c r="L623" s="7" t="n">
        <v>0.03573436214</v>
      </c>
      <c r="M623" s="7" t="n">
        <v>0.03941050509</v>
      </c>
      <c r="N623" s="7" t="n">
        <v>5</v>
      </c>
      <c r="O623" s="7" t="n">
        <v>5</v>
      </c>
      <c r="P623" s="7" t="n">
        <v>5</v>
      </c>
      <c r="Q623" s="2"/>
      <c r="R623" s="7" t="n">
        <v>2.105041</v>
      </c>
      <c r="S623" s="5" t="s">
        <v>79</v>
      </c>
      <c r="T623" s="5" t="s">
        <v>61</v>
      </c>
    </row>
    <row r="624" customFormat="false" ht="15" hidden="false" customHeight="false" outlineLevel="0" collapsed="false">
      <c r="A624" s="5" t="s">
        <v>4</v>
      </c>
      <c r="B624" s="5" t="s">
        <v>55</v>
      </c>
      <c r="C624" s="2" t="s">
        <v>56</v>
      </c>
      <c r="D624" s="5" t="s">
        <v>78</v>
      </c>
      <c r="E624" s="5" t="s">
        <v>58</v>
      </c>
      <c r="F624" s="2" t="n">
        <v>13</v>
      </c>
      <c r="G624" s="5" t="s">
        <v>63</v>
      </c>
      <c r="H624" s="2" t="n">
        <v>1</v>
      </c>
      <c r="I624" s="2" t="n">
        <v>1</v>
      </c>
      <c r="J624" s="2" t="n">
        <v>1</v>
      </c>
      <c r="K624" s="7" t="n">
        <v>0.6968640993</v>
      </c>
      <c r="L624" s="7" t="n">
        <v>0.01653743592</v>
      </c>
      <c r="M624" s="7" t="n">
        <v>0.04606491477</v>
      </c>
      <c r="N624" s="7" t="n">
        <v>10</v>
      </c>
      <c r="O624" s="7" t="n">
        <v>10</v>
      </c>
      <c r="P624" s="7" t="n">
        <v>0</v>
      </c>
      <c r="Q624" s="2"/>
      <c r="R624" s="7" t="n">
        <v>1.550371</v>
      </c>
      <c r="S624" s="5" t="s">
        <v>79</v>
      </c>
      <c r="T624" s="5" t="s">
        <v>61</v>
      </c>
    </row>
    <row r="625" customFormat="false" ht="15" hidden="false" customHeight="false" outlineLevel="0" collapsed="false">
      <c r="A625" s="5" t="s">
        <v>4</v>
      </c>
      <c r="B625" s="5" t="s">
        <v>55</v>
      </c>
      <c r="C625" s="2" t="s">
        <v>56</v>
      </c>
      <c r="D625" s="5" t="s">
        <v>78</v>
      </c>
      <c r="E625" s="5" t="s">
        <v>62</v>
      </c>
      <c r="F625" s="2" t="n">
        <v>13</v>
      </c>
      <c r="G625" s="5" t="s">
        <v>63</v>
      </c>
      <c r="H625" s="2" t="n">
        <v>1</v>
      </c>
      <c r="I625" s="2" t="n">
        <v>1</v>
      </c>
      <c r="J625" s="2" t="n">
        <v>1</v>
      </c>
      <c r="K625" s="7" t="n">
        <v>0.6968640993</v>
      </c>
      <c r="L625" s="7" t="n">
        <v>0.01653743592</v>
      </c>
      <c r="M625" s="7" t="n">
        <v>0.04606491477</v>
      </c>
      <c r="N625" s="7" t="n">
        <v>10</v>
      </c>
      <c r="O625" s="7" t="n">
        <v>10</v>
      </c>
      <c r="P625" s="7" t="n">
        <v>10</v>
      </c>
      <c r="Q625" s="2"/>
      <c r="R625" s="7" t="n">
        <v>2.118691</v>
      </c>
      <c r="S625" s="5" t="s">
        <v>79</v>
      </c>
      <c r="T625" s="5" t="s">
        <v>61</v>
      </c>
    </row>
    <row r="626" customFormat="false" ht="15" hidden="false" customHeight="false" outlineLevel="0" collapsed="false">
      <c r="A626" s="5" t="s">
        <v>4</v>
      </c>
      <c r="B626" s="5" t="s">
        <v>55</v>
      </c>
      <c r="C626" s="2" t="s">
        <v>56</v>
      </c>
      <c r="D626" s="5" t="s">
        <v>78</v>
      </c>
      <c r="E626" s="5" t="s">
        <v>58</v>
      </c>
      <c r="F626" s="2" t="n">
        <v>13</v>
      </c>
      <c r="G626" s="5" t="s">
        <v>64</v>
      </c>
      <c r="H626" s="2" t="n">
        <v>0</v>
      </c>
      <c r="I626" s="2" t="n">
        <v>1</v>
      </c>
      <c r="J626" s="2" t="n">
        <v>1</v>
      </c>
      <c r="K626" s="7" t="n">
        <v>1.085153556</v>
      </c>
      <c r="L626" s="7" t="n">
        <v>0.2194156101</v>
      </c>
      <c r="M626" s="7" t="n">
        <v>0.2286659831</v>
      </c>
      <c r="N626" s="7" t="n">
        <v>4</v>
      </c>
      <c r="O626" s="7" t="n">
        <v>4</v>
      </c>
      <c r="P626" s="7" t="n">
        <v>0</v>
      </c>
      <c r="Q626" s="2"/>
      <c r="R626" s="7" t="n">
        <v>1.727312</v>
      </c>
      <c r="S626" s="5" t="s">
        <v>79</v>
      </c>
      <c r="T626" s="5" t="s">
        <v>61</v>
      </c>
    </row>
    <row r="627" customFormat="false" ht="15" hidden="false" customHeight="false" outlineLevel="0" collapsed="false">
      <c r="A627" s="5" t="s">
        <v>4</v>
      </c>
      <c r="B627" s="5" t="s">
        <v>55</v>
      </c>
      <c r="C627" s="2" t="s">
        <v>56</v>
      </c>
      <c r="D627" s="5" t="s">
        <v>78</v>
      </c>
      <c r="E627" s="5" t="s">
        <v>62</v>
      </c>
      <c r="F627" s="2" t="n">
        <v>13</v>
      </c>
      <c r="G627" s="5" t="s">
        <v>64</v>
      </c>
      <c r="H627" s="2" t="n">
        <v>0</v>
      </c>
      <c r="I627" s="2" t="n">
        <v>1</v>
      </c>
      <c r="J627" s="2" t="n">
        <v>1</v>
      </c>
      <c r="K627" s="7" t="n">
        <v>1.085153556</v>
      </c>
      <c r="L627" s="7" t="n">
        <v>0.2194156101</v>
      </c>
      <c r="M627" s="7" t="n">
        <v>0.2286659831</v>
      </c>
      <c r="N627" s="7" t="n">
        <v>4</v>
      </c>
      <c r="O627" s="7" t="n">
        <v>4</v>
      </c>
      <c r="P627" s="7" t="n">
        <v>4</v>
      </c>
      <c r="Q627" s="2"/>
      <c r="R627" s="7" t="n">
        <v>2.093693</v>
      </c>
      <c r="S627" s="5" t="s">
        <v>79</v>
      </c>
      <c r="T627" s="5" t="s">
        <v>61</v>
      </c>
    </row>
    <row r="628" customFormat="false" ht="15" hidden="false" customHeight="false" outlineLevel="0" collapsed="false">
      <c r="A628" s="5" t="s">
        <v>4</v>
      </c>
      <c r="B628" s="5" t="s">
        <v>55</v>
      </c>
      <c r="C628" s="2" t="s">
        <v>56</v>
      </c>
      <c r="D628" s="5" t="s">
        <v>78</v>
      </c>
      <c r="E628" s="5" t="s">
        <v>58</v>
      </c>
      <c r="F628" s="2" t="n">
        <v>13</v>
      </c>
      <c r="G628" s="5" t="s">
        <v>65</v>
      </c>
      <c r="H628" s="2" t="n">
        <v>0</v>
      </c>
      <c r="I628" s="2" t="n">
        <v>1</v>
      </c>
      <c r="J628" s="2" t="n">
        <v>0</v>
      </c>
      <c r="K628" s="7" t="n">
        <v>5.526375451</v>
      </c>
      <c r="L628" s="7" t="n">
        <v>2.183815705</v>
      </c>
      <c r="M628" s="7" t="n">
        <v>2.204166932</v>
      </c>
      <c r="N628" s="7" t="n">
        <v>4</v>
      </c>
      <c r="O628" s="7" t="n">
        <v>4</v>
      </c>
      <c r="P628" s="7" t="n">
        <v>0</v>
      </c>
      <c r="Q628" s="2"/>
      <c r="R628" s="7" t="n">
        <v>2.394868</v>
      </c>
      <c r="S628" s="5" t="s">
        <v>79</v>
      </c>
      <c r="T628" s="5" t="s">
        <v>61</v>
      </c>
    </row>
    <row r="629" customFormat="false" ht="15" hidden="false" customHeight="false" outlineLevel="0" collapsed="false">
      <c r="A629" s="5" t="s">
        <v>4</v>
      </c>
      <c r="B629" s="5" t="s">
        <v>55</v>
      </c>
      <c r="C629" s="2" t="s">
        <v>56</v>
      </c>
      <c r="D629" s="5" t="s">
        <v>78</v>
      </c>
      <c r="E629" s="5" t="s">
        <v>62</v>
      </c>
      <c r="F629" s="2" t="n">
        <v>13</v>
      </c>
      <c r="G629" s="5" t="s">
        <v>65</v>
      </c>
      <c r="H629" s="2" t="n">
        <v>0</v>
      </c>
      <c r="I629" s="2" t="n">
        <v>1</v>
      </c>
      <c r="J629" s="2" t="n">
        <v>0</v>
      </c>
      <c r="K629" s="7" t="n">
        <v>18.80248209</v>
      </c>
      <c r="L629" s="7" t="n">
        <v>6.744864375</v>
      </c>
      <c r="M629" s="7" t="n">
        <v>6.853945634</v>
      </c>
      <c r="N629" s="7" t="n">
        <v>4</v>
      </c>
      <c r="O629" s="7" t="n">
        <v>4</v>
      </c>
      <c r="P629" s="7" t="n">
        <v>3</v>
      </c>
      <c r="Q629" s="2"/>
      <c r="R629" s="7" t="n">
        <v>2.706108</v>
      </c>
      <c r="S629" s="5" t="s">
        <v>79</v>
      </c>
      <c r="T629" s="5" t="s">
        <v>61</v>
      </c>
    </row>
    <row r="630" customFormat="false" ht="15" hidden="false" customHeight="false" outlineLevel="0" collapsed="false">
      <c r="A630" s="5" t="s">
        <v>4</v>
      </c>
      <c r="B630" s="5" t="s">
        <v>55</v>
      </c>
      <c r="C630" s="2" t="s">
        <v>56</v>
      </c>
      <c r="D630" s="5" t="s">
        <v>78</v>
      </c>
      <c r="E630" s="5" t="s">
        <v>58</v>
      </c>
      <c r="F630" s="2" t="n">
        <v>13</v>
      </c>
      <c r="G630" s="5" t="s">
        <v>66</v>
      </c>
      <c r="H630" s="2" t="n">
        <v>0</v>
      </c>
      <c r="I630" s="2" t="n">
        <v>0</v>
      </c>
      <c r="J630" s="2" t="n">
        <v>0</v>
      </c>
      <c r="K630" s="2"/>
      <c r="L630" s="2"/>
      <c r="M630" s="2"/>
      <c r="N630" s="7" t="n">
        <v>2</v>
      </c>
      <c r="O630" s="7" t="n">
        <v>2</v>
      </c>
      <c r="P630" s="7" t="n">
        <v>0</v>
      </c>
      <c r="Q630" s="2"/>
      <c r="R630" s="7" t="n">
        <v>2.762661</v>
      </c>
      <c r="S630" s="5" t="s">
        <v>79</v>
      </c>
      <c r="T630" s="5" t="s">
        <v>61</v>
      </c>
    </row>
    <row r="631" customFormat="false" ht="15" hidden="false" customHeight="false" outlineLevel="0" collapsed="false">
      <c r="A631" s="5" t="s">
        <v>4</v>
      </c>
      <c r="B631" s="5" t="s">
        <v>55</v>
      </c>
      <c r="C631" s="2" t="s">
        <v>56</v>
      </c>
      <c r="D631" s="5" t="s">
        <v>78</v>
      </c>
      <c r="E631" s="5" t="s">
        <v>62</v>
      </c>
      <c r="F631" s="2" t="n">
        <v>13</v>
      </c>
      <c r="G631" s="5" t="s">
        <v>66</v>
      </c>
      <c r="H631" s="2" t="n">
        <v>0</v>
      </c>
      <c r="I631" s="2" t="n">
        <v>0</v>
      </c>
      <c r="J631" s="2" t="n">
        <v>0</v>
      </c>
      <c r="K631" s="2"/>
      <c r="L631" s="2"/>
      <c r="M631" s="2"/>
      <c r="N631" s="7" t="n">
        <v>2</v>
      </c>
      <c r="O631" s="7" t="n">
        <v>2</v>
      </c>
      <c r="P631" s="7" t="n">
        <v>0</v>
      </c>
      <c r="Q631" s="2"/>
      <c r="R631" s="7" t="n">
        <v>2.762541</v>
      </c>
      <c r="S631" s="5" t="s">
        <v>79</v>
      </c>
      <c r="T631" s="5" t="s">
        <v>61</v>
      </c>
    </row>
    <row r="632" customFormat="false" ht="15" hidden="false" customHeight="false" outlineLevel="0" collapsed="false">
      <c r="A632" s="5" t="s">
        <v>4</v>
      </c>
      <c r="B632" s="5" t="s">
        <v>55</v>
      </c>
      <c r="C632" s="2" t="s">
        <v>56</v>
      </c>
      <c r="D632" s="5" t="s">
        <v>78</v>
      </c>
      <c r="E632" s="5" t="s">
        <v>58</v>
      </c>
      <c r="F632" s="2" t="n">
        <v>14</v>
      </c>
      <c r="G632" s="5" t="s">
        <v>59</v>
      </c>
      <c r="H632" s="2" t="n">
        <v>1</v>
      </c>
      <c r="I632" s="2" t="n">
        <v>1</v>
      </c>
      <c r="J632" s="2" t="n">
        <v>1</v>
      </c>
      <c r="K632" s="7" t="n">
        <v>0.254506509</v>
      </c>
      <c r="L632" s="7" t="n">
        <v>0.03665053167</v>
      </c>
      <c r="M632" s="7" t="n">
        <v>0.03952989698</v>
      </c>
      <c r="N632" s="7" t="n">
        <v>8</v>
      </c>
      <c r="O632" s="7" t="n">
        <v>8</v>
      </c>
      <c r="P632" s="7" t="n">
        <v>0</v>
      </c>
      <c r="Q632" s="2"/>
      <c r="R632" s="7" t="n">
        <v>1.872567</v>
      </c>
      <c r="S632" s="5" t="s">
        <v>79</v>
      </c>
      <c r="T632" s="5" t="s">
        <v>61</v>
      </c>
    </row>
    <row r="633" customFormat="false" ht="15" hidden="false" customHeight="false" outlineLevel="0" collapsed="false">
      <c r="A633" s="5" t="s">
        <v>4</v>
      </c>
      <c r="B633" s="5" t="s">
        <v>55</v>
      </c>
      <c r="C633" s="2" t="s">
        <v>56</v>
      </c>
      <c r="D633" s="5" t="s">
        <v>78</v>
      </c>
      <c r="E633" s="5" t="s">
        <v>62</v>
      </c>
      <c r="F633" s="2" t="n">
        <v>14</v>
      </c>
      <c r="G633" s="5" t="s">
        <v>59</v>
      </c>
      <c r="H633" s="2" t="n">
        <v>1</v>
      </c>
      <c r="I633" s="2" t="n">
        <v>1</v>
      </c>
      <c r="J633" s="2" t="n">
        <v>1</v>
      </c>
      <c r="K633" s="7" t="n">
        <v>0.254506509</v>
      </c>
      <c r="L633" s="7" t="n">
        <v>0.03665053167</v>
      </c>
      <c r="M633" s="7" t="n">
        <v>0.03952989698</v>
      </c>
      <c r="N633" s="7" t="n">
        <v>8</v>
      </c>
      <c r="O633" s="7" t="n">
        <v>8</v>
      </c>
      <c r="P633" s="7" t="n">
        <v>8</v>
      </c>
      <c r="Q633" s="2"/>
      <c r="R633" s="7" t="n">
        <v>2.387518</v>
      </c>
      <c r="S633" s="5" t="s">
        <v>79</v>
      </c>
      <c r="T633" s="5" t="s">
        <v>61</v>
      </c>
    </row>
    <row r="634" customFormat="false" ht="15" hidden="false" customHeight="false" outlineLevel="0" collapsed="false">
      <c r="A634" s="5" t="s">
        <v>4</v>
      </c>
      <c r="B634" s="5" t="s">
        <v>55</v>
      </c>
      <c r="C634" s="2" t="s">
        <v>56</v>
      </c>
      <c r="D634" s="5" t="s">
        <v>78</v>
      </c>
      <c r="E634" s="5" t="s">
        <v>58</v>
      </c>
      <c r="F634" s="2" t="n">
        <v>14</v>
      </c>
      <c r="G634" s="5" t="s">
        <v>63</v>
      </c>
      <c r="H634" s="2" t="n">
        <v>1</v>
      </c>
      <c r="I634" s="2" t="n">
        <v>1</v>
      </c>
      <c r="J634" s="2" t="n">
        <v>1</v>
      </c>
      <c r="K634" s="7" t="n">
        <v>0.6263020903</v>
      </c>
      <c r="L634" s="7" t="n">
        <v>0.04664147344</v>
      </c>
      <c r="M634" s="7" t="n">
        <v>0.06323160823</v>
      </c>
      <c r="N634" s="7" t="n">
        <v>10</v>
      </c>
      <c r="O634" s="7" t="n">
        <v>10</v>
      </c>
      <c r="P634" s="7" t="n">
        <v>0</v>
      </c>
      <c r="Q634" s="2"/>
      <c r="R634" s="7" t="n">
        <v>1.528378</v>
      </c>
      <c r="S634" s="5" t="s">
        <v>79</v>
      </c>
      <c r="T634" s="5" t="s">
        <v>61</v>
      </c>
    </row>
    <row r="635" customFormat="false" ht="15" hidden="false" customHeight="false" outlineLevel="0" collapsed="false">
      <c r="A635" s="5" t="s">
        <v>4</v>
      </c>
      <c r="B635" s="5" t="s">
        <v>55</v>
      </c>
      <c r="C635" s="2" t="s">
        <v>56</v>
      </c>
      <c r="D635" s="5" t="s">
        <v>78</v>
      </c>
      <c r="E635" s="5" t="s">
        <v>62</v>
      </c>
      <c r="F635" s="2" t="n">
        <v>14</v>
      </c>
      <c r="G635" s="5" t="s">
        <v>63</v>
      </c>
      <c r="H635" s="2" t="n">
        <v>1</v>
      </c>
      <c r="I635" s="2" t="n">
        <v>1</v>
      </c>
      <c r="J635" s="2" t="n">
        <v>1</v>
      </c>
      <c r="K635" s="7" t="n">
        <v>0.7820533662</v>
      </c>
      <c r="L635" s="7" t="n">
        <v>0.03671468773</v>
      </c>
      <c r="M635" s="7" t="n">
        <v>0.0644956496</v>
      </c>
      <c r="N635" s="7" t="n">
        <v>10</v>
      </c>
      <c r="O635" s="7" t="n">
        <v>10</v>
      </c>
      <c r="P635" s="7" t="n">
        <v>9</v>
      </c>
      <c r="Q635" s="2"/>
      <c r="R635" s="7" t="n">
        <v>2.181874</v>
      </c>
      <c r="S635" s="5" t="s">
        <v>79</v>
      </c>
      <c r="T635" s="5" t="s">
        <v>61</v>
      </c>
    </row>
    <row r="636" customFormat="false" ht="15" hidden="false" customHeight="false" outlineLevel="0" collapsed="false">
      <c r="A636" s="5" t="s">
        <v>4</v>
      </c>
      <c r="B636" s="5" t="s">
        <v>55</v>
      </c>
      <c r="C636" s="2" t="s">
        <v>56</v>
      </c>
      <c r="D636" s="5" t="s">
        <v>78</v>
      </c>
      <c r="E636" s="5" t="s">
        <v>58</v>
      </c>
      <c r="F636" s="2" t="n">
        <v>14</v>
      </c>
      <c r="G636" s="5" t="s">
        <v>64</v>
      </c>
      <c r="H636" s="2" t="n">
        <v>0</v>
      </c>
      <c r="I636" s="2" t="n">
        <v>1</v>
      </c>
      <c r="J636" s="2" t="n">
        <v>1</v>
      </c>
      <c r="K636" s="7" t="n">
        <v>1.040276582</v>
      </c>
      <c r="L636" s="7" t="n">
        <v>0.2118956155</v>
      </c>
      <c r="M636" s="7" t="n">
        <v>0.2203353087</v>
      </c>
      <c r="N636" s="7" t="n">
        <v>5</v>
      </c>
      <c r="O636" s="7" t="n">
        <v>5</v>
      </c>
      <c r="P636" s="7" t="n">
        <v>0</v>
      </c>
      <c r="Q636" s="2"/>
      <c r="R636" s="7" t="n">
        <v>2.014216</v>
      </c>
      <c r="S636" s="5" t="s">
        <v>79</v>
      </c>
      <c r="T636" s="5" t="s">
        <v>61</v>
      </c>
    </row>
    <row r="637" customFormat="false" ht="15" hidden="false" customHeight="false" outlineLevel="0" collapsed="false">
      <c r="A637" s="5" t="s">
        <v>4</v>
      </c>
      <c r="B637" s="5" t="s">
        <v>55</v>
      </c>
      <c r="C637" s="2" t="s">
        <v>56</v>
      </c>
      <c r="D637" s="5" t="s">
        <v>78</v>
      </c>
      <c r="E637" s="5" t="s">
        <v>62</v>
      </c>
      <c r="F637" s="2" t="n">
        <v>14</v>
      </c>
      <c r="G637" s="5" t="s">
        <v>64</v>
      </c>
      <c r="H637" s="2" t="n">
        <v>0</v>
      </c>
      <c r="I637" s="2" t="n">
        <v>1</v>
      </c>
      <c r="J637" s="2" t="n">
        <v>1</v>
      </c>
      <c r="K637" s="7" t="n">
        <v>1.040276582</v>
      </c>
      <c r="L637" s="7" t="n">
        <v>0.2118956155</v>
      </c>
      <c r="M637" s="7" t="n">
        <v>0.2203353087</v>
      </c>
      <c r="N637" s="7" t="n">
        <v>5</v>
      </c>
      <c r="O637" s="7" t="n">
        <v>5</v>
      </c>
      <c r="P637" s="7" t="n">
        <v>5</v>
      </c>
      <c r="Q637" s="2"/>
      <c r="R637" s="7" t="n">
        <v>2.351245</v>
      </c>
      <c r="S637" s="5" t="s">
        <v>79</v>
      </c>
      <c r="T637" s="5" t="s">
        <v>61</v>
      </c>
    </row>
    <row r="638" customFormat="false" ht="15" hidden="false" customHeight="false" outlineLevel="0" collapsed="false">
      <c r="A638" s="5" t="s">
        <v>4</v>
      </c>
      <c r="B638" s="5" t="s">
        <v>55</v>
      </c>
      <c r="C638" s="2" t="s">
        <v>56</v>
      </c>
      <c r="D638" s="5" t="s">
        <v>78</v>
      </c>
      <c r="E638" s="5" t="s">
        <v>58</v>
      </c>
      <c r="F638" s="2" t="n">
        <v>14</v>
      </c>
      <c r="G638" s="5" t="s">
        <v>65</v>
      </c>
      <c r="H638" s="2" t="n">
        <v>0</v>
      </c>
      <c r="I638" s="2" t="n">
        <v>0</v>
      </c>
      <c r="J638" s="2" t="n">
        <v>0</v>
      </c>
      <c r="K638" s="2"/>
      <c r="L638" s="2"/>
      <c r="M638" s="2"/>
      <c r="N638" s="7" t="n">
        <v>2</v>
      </c>
      <c r="O638" s="7" t="n">
        <v>2</v>
      </c>
      <c r="P638" s="7" t="n">
        <v>0</v>
      </c>
      <c r="Q638" s="2"/>
      <c r="R638" s="7" t="n">
        <v>2.548617</v>
      </c>
      <c r="S638" s="5" t="s">
        <v>79</v>
      </c>
      <c r="T638" s="5" t="s">
        <v>61</v>
      </c>
    </row>
    <row r="639" customFormat="false" ht="15" hidden="false" customHeight="false" outlineLevel="0" collapsed="false">
      <c r="A639" s="5" t="s">
        <v>4</v>
      </c>
      <c r="B639" s="5" t="s">
        <v>55</v>
      </c>
      <c r="C639" s="2" t="s">
        <v>56</v>
      </c>
      <c r="D639" s="5" t="s">
        <v>78</v>
      </c>
      <c r="E639" s="5" t="s">
        <v>62</v>
      </c>
      <c r="F639" s="2" t="n">
        <v>14</v>
      </c>
      <c r="G639" s="5" t="s">
        <v>65</v>
      </c>
      <c r="H639" s="2" t="n">
        <v>0</v>
      </c>
      <c r="I639" s="2" t="n">
        <v>0</v>
      </c>
      <c r="J639" s="2" t="n">
        <v>0</v>
      </c>
      <c r="K639" s="2"/>
      <c r="L639" s="2"/>
      <c r="M639" s="2"/>
      <c r="N639" s="7" t="n">
        <v>2</v>
      </c>
      <c r="O639" s="7" t="n">
        <v>2</v>
      </c>
      <c r="P639" s="7" t="n">
        <v>0</v>
      </c>
      <c r="Q639" s="2"/>
      <c r="R639" s="7" t="n">
        <v>2.548347</v>
      </c>
      <c r="S639" s="5" t="s">
        <v>79</v>
      </c>
      <c r="T639" s="5" t="s">
        <v>61</v>
      </c>
    </row>
    <row r="640" customFormat="false" ht="15" hidden="false" customHeight="false" outlineLevel="0" collapsed="false">
      <c r="A640" s="5" t="s">
        <v>4</v>
      </c>
      <c r="B640" s="5" t="s">
        <v>55</v>
      </c>
      <c r="C640" s="2" t="s">
        <v>56</v>
      </c>
      <c r="D640" s="5" t="s">
        <v>78</v>
      </c>
      <c r="E640" s="5" t="s">
        <v>58</v>
      </c>
      <c r="F640" s="2" t="n">
        <v>14</v>
      </c>
      <c r="G640" s="5" t="s">
        <v>66</v>
      </c>
      <c r="H640" s="2" t="n">
        <v>0</v>
      </c>
      <c r="I640" s="2" t="n">
        <v>1</v>
      </c>
      <c r="J640" s="2" t="n">
        <v>0</v>
      </c>
      <c r="K640" s="7" t="n">
        <v>4.275512977</v>
      </c>
      <c r="L640" s="7" t="n">
        <v>0.2180386801</v>
      </c>
      <c r="M640" s="7" t="n">
        <v>0.3236113685</v>
      </c>
      <c r="N640" s="7" t="n">
        <v>4</v>
      </c>
      <c r="O640" s="7" t="n">
        <v>4</v>
      </c>
      <c r="P640" s="7" t="n">
        <v>0</v>
      </c>
      <c r="Q640" s="2"/>
      <c r="R640" s="7" t="n">
        <v>2.815031</v>
      </c>
      <c r="S640" s="5" t="s">
        <v>79</v>
      </c>
      <c r="T640" s="5" t="s">
        <v>61</v>
      </c>
    </row>
    <row r="641" customFormat="false" ht="15" hidden="false" customHeight="false" outlineLevel="0" collapsed="false">
      <c r="A641" s="5" t="s">
        <v>4</v>
      </c>
      <c r="B641" s="5" t="s">
        <v>55</v>
      </c>
      <c r="C641" s="2" t="s">
        <v>56</v>
      </c>
      <c r="D641" s="5" t="s">
        <v>78</v>
      </c>
      <c r="E641" s="5" t="s">
        <v>62</v>
      </c>
      <c r="F641" s="2" t="n">
        <v>14</v>
      </c>
      <c r="G641" s="5" t="s">
        <v>66</v>
      </c>
      <c r="H641" s="2" t="n">
        <v>0</v>
      </c>
      <c r="I641" s="2" t="n">
        <v>1</v>
      </c>
      <c r="J641" s="2" t="n">
        <v>1</v>
      </c>
      <c r="K641" s="7" t="n">
        <v>1.895039676</v>
      </c>
      <c r="L641" s="7" t="n">
        <v>0.1385425483</v>
      </c>
      <c r="M641" s="7" t="n">
        <v>0.1756673173</v>
      </c>
      <c r="N641" s="7" t="n">
        <v>4</v>
      </c>
      <c r="O641" s="7" t="n">
        <v>4</v>
      </c>
      <c r="P641" s="7" t="n">
        <v>3</v>
      </c>
      <c r="Q641" s="2"/>
      <c r="R641" s="7" t="n">
        <v>3.102936</v>
      </c>
      <c r="S641" s="5" t="s">
        <v>79</v>
      </c>
      <c r="T641" s="5" t="s">
        <v>61</v>
      </c>
    </row>
    <row r="642" customFormat="false" ht="15" hidden="false" customHeight="false" outlineLevel="0" collapsed="false">
      <c r="A642" s="5" t="s">
        <v>4</v>
      </c>
      <c r="B642" s="5" t="s">
        <v>55</v>
      </c>
      <c r="C642" s="2" t="s">
        <v>56</v>
      </c>
      <c r="D642" s="5" t="s">
        <v>78</v>
      </c>
      <c r="E642" s="5" t="s">
        <v>58</v>
      </c>
      <c r="F642" s="2" t="n">
        <v>15</v>
      </c>
      <c r="G642" s="5" t="s">
        <v>59</v>
      </c>
      <c r="H642" s="2" t="n">
        <v>1</v>
      </c>
      <c r="I642" s="2" t="n">
        <v>1</v>
      </c>
      <c r="J642" s="2" t="n">
        <v>1</v>
      </c>
      <c r="K642" s="7" t="n">
        <v>0.2206539042</v>
      </c>
      <c r="L642" s="7" t="n">
        <v>0.02965559408</v>
      </c>
      <c r="M642" s="7" t="n">
        <v>0.03683676086</v>
      </c>
      <c r="N642" s="7" t="n">
        <v>8</v>
      </c>
      <c r="O642" s="7" t="n">
        <v>8</v>
      </c>
      <c r="P642" s="7" t="n">
        <v>0</v>
      </c>
      <c r="Q642" s="2"/>
      <c r="R642" s="7" t="n">
        <v>2.031723</v>
      </c>
      <c r="S642" s="5" t="s">
        <v>79</v>
      </c>
      <c r="T642" s="5" t="s">
        <v>61</v>
      </c>
    </row>
    <row r="643" customFormat="false" ht="15" hidden="false" customHeight="false" outlineLevel="0" collapsed="false">
      <c r="A643" s="5" t="s">
        <v>4</v>
      </c>
      <c r="B643" s="5" t="s">
        <v>55</v>
      </c>
      <c r="C643" s="2" t="s">
        <v>56</v>
      </c>
      <c r="D643" s="5" t="s">
        <v>78</v>
      </c>
      <c r="E643" s="5" t="s">
        <v>62</v>
      </c>
      <c r="F643" s="2" t="n">
        <v>15</v>
      </c>
      <c r="G643" s="5" t="s">
        <v>59</v>
      </c>
      <c r="H643" s="2" t="n">
        <v>1</v>
      </c>
      <c r="I643" s="2" t="n">
        <v>1</v>
      </c>
      <c r="J643" s="2" t="n">
        <v>1</v>
      </c>
      <c r="K643" s="7" t="n">
        <v>0.2206539042</v>
      </c>
      <c r="L643" s="7" t="n">
        <v>0.02965559408</v>
      </c>
      <c r="M643" s="7" t="n">
        <v>0.03683676086</v>
      </c>
      <c r="N643" s="7" t="n">
        <v>8</v>
      </c>
      <c r="O643" s="7" t="n">
        <v>8</v>
      </c>
      <c r="P643" s="7" t="n">
        <v>8</v>
      </c>
      <c r="Q643" s="2"/>
      <c r="R643" s="7" t="n">
        <v>2.5573</v>
      </c>
      <c r="S643" s="5" t="s">
        <v>79</v>
      </c>
      <c r="T643" s="5" t="s">
        <v>61</v>
      </c>
    </row>
    <row r="644" customFormat="false" ht="15" hidden="false" customHeight="false" outlineLevel="0" collapsed="false">
      <c r="A644" s="5" t="s">
        <v>4</v>
      </c>
      <c r="B644" s="5" t="s">
        <v>55</v>
      </c>
      <c r="C644" s="2" t="s">
        <v>56</v>
      </c>
      <c r="D644" s="5" t="s">
        <v>78</v>
      </c>
      <c r="E644" s="5" t="s">
        <v>58</v>
      </c>
      <c r="F644" s="2" t="n">
        <v>15</v>
      </c>
      <c r="G644" s="5" t="s">
        <v>63</v>
      </c>
      <c r="H644" s="2" t="n">
        <v>1</v>
      </c>
      <c r="I644" s="2" t="n">
        <v>1</v>
      </c>
      <c r="J644" s="2" t="n">
        <v>1</v>
      </c>
      <c r="K644" s="7" t="n">
        <v>0.6522786028</v>
      </c>
      <c r="L644" s="7" t="n">
        <v>0.05726930041</v>
      </c>
      <c r="M644" s="7" t="n">
        <v>0.06758614299</v>
      </c>
      <c r="N644" s="7" t="n">
        <v>10</v>
      </c>
      <c r="O644" s="7" t="n">
        <v>10</v>
      </c>
      <c r="P644" s="7" t="n">
        <v>0</v>
      </c>
      <c r="Q644" s="2"/>
      <c r="R644" s="7" t="n">
        <v>1.406829</v>
      </c>
      <c r="S644" s="5" t="s">
        <v>79</v>
      </c>
      <c r="T644" s="5" t="s">
        <v>61</v>
      </c>
    </row>
    <row r="645" customFormat="false" ht="15" hidden="false" customHeight="false" outlineLevel="0" collapsed="false">
      <c r="A645" s="5" t="s">
        <v>4</v>
      </c>
      <c r="B645" s="5" t="s">
        <v>55</v>
      </c>
      <c r="C645" s="2" t="s">
        <v>56</v>
      </c>
      <c r="D645" s="5" t="s">
        <v>78</v>
      </c>
      <c r="E645" s="5" t="s">
        <v>62</v>
      </c>
      <c r="F645" s="2" t="n">
        <v>15</v>
      </c>
      <c r="G645" s="5" t="s">
        <v>63</v>
      </c>
      <c r="H645" s="2" t="n">
        <v>1</v>
      </c>
      <c r="I645" s="2" t="n">
        <v>1</v>
      </c>
      <c r="J645" s="2" t="n">
        <v>1</v>
      </c>
      <c r="K645" s="7" t="n">
        <v>0.6522786028</v>
      </c>
      <c r="L645" s="7" t="n">
        <v>0.05726930041</v>
      </c>
      <c r="M645" s="7" t="n">
        <v>0.06758614299</v>
      </c>
      <c r="N645" s="7" t="n">
        <v>10</v>
      </c>
      <c r="O645" s="7" t="n">
        <v>10</v>
      </c>
      <c r="P645" s="7" t="n">
        <v>9</v>
      </c>
      <c r="Q645" s="2"/>
      <c r="R645" s="7" t="n">
        <v>1.988349</v>
      </c>
      <c r="S645" s="5" t="s">
        <v>79</v>
      </c>
      <c r="T645" s="5" t="s">
        <v>61</v>
      </c>
    </row>
    <row r="646" customFormat="false" ht="15" hidden="false" customHeight="false" outlineLevel="0" collapsed="false">
      <c r="A646" s="5" t="s">
        <v>4</v>
      </c>
      <c r="B646" s="5" t="s">
        <v>55</v>
      </c>
      <c r="C646" s="2" t="s">
        <v>56</v>
      </c>
      <c r="D646" s="5" t="s">
        <v>78</v>
      </c>
      <c r="E646" s="5" t="s">
        <v>58</v>
      </c>
      <c r="F646" s="2" t="n">
        <v>15</v>
      </c>
      <c r="G646" s="5" t="s">
        <v>64</v>
      </c>
      <c r="H646" s="2" t="n">
        <v>0</v>
      </c>
      <c r="I646" s="2" t="n">
        <v>1</v>
      </c>
      <c r="J646" s="2" t="n">
        <v>1</v>
      </c>
      <c r="K646" s="7" t="n">
        <v>1.15956199</v>
      </c>
      <c r="L646" s="7" t="n">
        <v>0.2371183947</v>
      </c>
      <c r="M646" s="7" t="n">
        <v>0.2466294803</v>
      </c>
      <c r="N646" s="7" t="n">
        <v>5</v>
      </c>
      <c r="O646" s="7" t="n">
        <v>5</v>
      </c>
      <c r="P646" s="7" t="n">
        <v>0</v>
      </c>
      <c r="Q646" s="2"/>
      <c r="R646" s="7" t="n">
        <v>1.578803</v>
      </c>
      <c r="S646" s="5" t="s">
        <v>79</v>
      </c>
      <c r="T646" s="5" t="s">
        <v>61</v>
      </c>
    </row>
    <row r="647" customFormat="false" ht="15" hidden="false" customHeight="false" outlineLevel="0" collapsed="false">
      <c r="A647" s="5" t="s">
        <v>4</v>
      </c>
      <c r="B647" s="5" t="s">
        <v>55</v>
      </c>
      <c r="C647" s="2" t="s">
        <v>56</v>
      </c>
      <c r="D647" s="5" t="s">
        <v>78</v>
      </c>
      <c r="E647" s="5" t="s">
        <v>62</v>
      </c>
      <c r="F647" s="2" t="n">
        <v>15</v>
      </c>
      <c r="G647" s="5" t="s">
        <v>64</v>
      </c>
      <c r="H647" s="2" t="n">
        <v>0</v>
      </c>
      <c r="I647" s="2" t="n">
        <v>1</v>
      </c>
      <c r="J647" s="2" t="n">
        <v>1</v>
      </c>
      <c r="K647" s="7" t="n">
        <v>1.15956199</v>
      </c>
      <c r="L647" s="7" t="n">
        <v>0.2371183947</v>
      </c>
      <c r="M647" s="7" t="n">
        <v>0.2466294803</v>
      </c>
      <c r="N647" s="7" t="n">
        <v>5</v>
      </c>
      <c r="O647" s="7" t="n">
        <v>5</v>
      </c>
      <c r="P647" s="7" t="n">
        <v>5</v>
      </c>
      <c r="Q647" s="2"/>
      <c r="R647" s="7" t="n">
        <v>2.101867</v>
      </c>
      <c r="S647" s="5" t="s">
        <v>79</v>
      </c>
      <c r="T647" s="5" t="s">
        <v>61</v>
      </c>
    </row>
    <row r="648" customFormat="false" ht="15" hidden="false" customHeight="false" outlineLevel="0" collapsed="false">
      <c r="A648" s="5" t="s">
        <v>4</v>
      </c>
      <c r="B648" s="5" t="s">
        <v>55</v>
      </c>
      <c r="C648" s="2" t="s">
        <v>56</v>
      </c>
      <c r="D648" s="5" t="s">
        <v>78</v>
      </c>
      <c r="E648" s="5" t="s">
        <v>58</v>
      </c>
      <c r="F648" s="2" t="n">
        <v>15</v>
      </c>
      <c r="G648" s="5" t="s">
        <v>65</v>
      </c>
      <c r="H648" s="2" t="n">
        <v>0</v>
      </c>
      <c r="I648" s="2" t="n">
        <v>0</v>
      </c>
      <c r="J648" s="2" t="n">
        <v>0</v>
      </c>
      <c r="K648" s="2"/>
      <c r="L648" s="2"/>
      <c r="M648" s="2"/>
      <c r="N648" s="7" t="n">
        <v>1</v>
      </c>
      <c r="O648" s="7" t="n">
        <v>1</v>
      </c>
      <c r="P648" s="7" t="n">
        <v>0</v>
      </c>
      <c r="Q648" s="2"/>
      <c r="R648" s="7" t="n">
        <v>2.27339</v>
      </c>
      <c r="S648" s="5" t="s">
        <v>79</v>
      </c>
      <c r="T648" s="5" t="s">
        <v>61</v>
      </c>
    </row>
    <row r="649" customFormat="false" ht="15" hidden="false" customHeight="false" outlineLevel="0" collapsed="false">
      <c r="A649" s="5" t="s">
        <v>4</v>
      </c>
      <c r="B649" s="5" t="s">
        <v>55</v>
      </c>
      <c r="C649" s="2" t="s">
        <v>56</v>
      </c>
      <c r="D649" s="5" t="s">
        <v>78</v>
      </c>
      <c r="E649" s="5" t="s">
        <v>62</v>
      </c>
      <c r="F649" s="2" t="n">
        <v>15</v>
      </c>
      <c r="G649" s="5" t="s">
        <v>65</v>
      </c>
      <c r="H649" s="2" t="n">
        <v>0</v>
      </c>
      <c r="I649" s="2" t="n">
        <v>0</v>
      </c>
      <c r="J649" s="2" t="n">
        <v>0</v>
      </c>
      <c r="K649" s="2"/>
      <c r="L649" s="2"/>
      <c r="M649" s="2"/>
      <c r="N649" s="7" t="n">
        <v>1</v>
      </c>
      <c r="O649" s="7" t="n">
        <v>1</v>
      </c>
      <c r="P649" s="7" t="n">
        <v>0</v>
      </c>
      <c r="Q649" s="2"/>
      <c r="R649" s="7" t="n">
        <v>2.273611</v>
      </c>
      <c r="S649" s="5" t="s">
        <v>79</v>
      </c>
      <c r="T649" s="5" t="s">
        <v>61</v>
      </c>
    </row>
    <row r="650" customFormat="false" ht="15" hidden="false" customHeight="false" outlineLevel="0" collapsed="false">
      <c r="A650" s="5" t="s">
        <v>4</v>
      </c>
      <c r="B650" s="5" t="s">
        <v>55</v>
      </c>
      <c r="C650" s="2" t="s">
        <v>56</v>
      </c>
      <c r="D650" s="5" t="s">
        <v>78</v>
      </c>
      <c r="E650" s="5" t="s">
        <v>58</v>
      </c>
      <c r="F650" s="2" t="n">
        <v>15</v>
      </c>
      <c r="G650" s="5" t="s">
        <v>66</v>
      </c>
      <c r="H650" s="2" t="n">
        <v>0</v>
      </c>
      <c r="I650" s="2" t="n">
        <v>0</v>
      </c>
      <c r="J650" s="2" t="n">
        <v>0</v>
      </c>
      <c r="K650" s="2"/>
      <c r="L650" s="2"/>
      <c r="M650" s="2"/>
      <c r="N650" s="7" t="n">
        <v>0</v>
      </c>
      <c r="O650" s="7" t="n">
        <v>0</v>
      </c>
      <c r="P650" s="7" t="n">
        <v>0</v>
      </c>
      <c r="Q650" s="2"/>
      <c r="R650" s="7" t="n">
        <v>2.867308</v>
      </c>
      <c r="S650" s="5" t="s">
        <v>79</v>
      </c>
      <c r="T650" s="5" t="s">
        <v>61</v>
      </c>
    </row>
    <row r="651" customFormat="false" ht="15" hidden="false" customHeight="false" outlineLevel="0" collapsed="false">
      <c r="A651" s="5" t="s">
        <v>4</v>
      </c>
      <c r="B651" s="5" t="s">
        <v>55</v>
      </c>
      <c r="C651" s="2" t="s">
        <v>56</v>
      </c>
      <c r="D651" s="5" t="s">
        <v>78</v>
      </c>
      <c r="E651" s="5" t="s">
        <v>62</v>
      </c>
      <c r="F651" s="2" t="n">
        <v>15</v>
      </c>
      <c r="G651" s="5" t="s">
        <v>66</v>
      </c>
      <c r="H651" s="2" t="n">
        <v>0</v>
      </c>
      <c r="I651" s="2" t="n">
        <v>0</v>
      </c>
      <c r="J651" s="2" t="n">
        <v>0</v>
      </c>
      <c r="K651" s="2"/>
      <c r="L651" s="2"/>
      <c r="M651" s="2"/>
      <c r="N651" s="7" t="n">
        <v>0</v>
      </c>
      <c r="O651" s="7" t="n">
        <v>0</v>
      </c>
      <c r="P651" s="7" t="n">
        <v>0</v>
      </c>
      <c r="Q651" s="2"/>
      <c r="R651" s="7" t="n">
        <v>2.867238</v>
      </c>
      <c r="S651" s="5" t="s">
        <v>79</v>
      </c>
      <c r="T651" s="5" t="s">
        <v>61</v>
      </c>
    </row>
    <row r="652" customFormat="false" ht="15" hidden="false" customHeight="false" outlineLevel="0" collapsed="false">
      <c r="A652" s="5" t="s">
        <v>4</v>
      </c>
      <c r="B652" s="5" t="s">
        <v>55</v>
      </c>
      <c r="C652" s="2" t="s">
        <v>56</v>
      </c>
      <c r="D652" s="5" t="s">
        <v>78</v>
      </c>
      <c r="E652" s="5" t="s">
        <v>58</v>
      </c>
      <c r="F652" s="2" t="n">
        <v>16</v>
      </c>
      <c r="G652" s="5" t="s">
        <v>59</v>
      </c>
      <c r="H652" s="2" t="n">
        <v>1</v>
      </c>
      <c r="I652" s="2" t="n">
        <v>1</v>
      </c>
      <c r="J652" s="2" t="n">
        <v>1</v>
      </c>
      <c r="K652" s="7" t="n">
        <v>0.2069642968</v>
      </c>
      <c r="L652" s="7" t="n">
        <v>0.06126593928</v>
      </c>
      <c r="M652" s="7" t="n">
        <v>0.06258208259</v>
      </c>
      <c r="N652" s="7" t="n">
        <v>5</v>
      </c>
      <c r="O652" s="7" t="n">
        <v>5</v>
      </c>
      <c r="P652" s="7" t="n">
        <v>0</v>
      </c>
      <c r="Q652" s="2"/>
      <c r="R652" s="7" t="n">
        <v>1.603119</v>
      </c>
      <c r="S652" s="5" t="s">
        <v>79</v>
      </c>
      <c r="T652" s="5" t="s">
        <v>61</v>
      </c>
    </row>
    <row r="653" customFormat="false" ht="15" hidden="false" customHeight="false" outlineLevel="0" collapsed="false">
      <c r="A653" s="5" t="s">
        <v>4</v>
      </c>
      <c r="B653" s="5" t="s">
        <v>55</v>
      </c>
      <c r="C653" s="2" t="s">
        <v>56</v>
      </c>
      <c r="D653" s="5" t="s">
        <v>78</v>
      </c>
      <c r="E653" s="5" t="s">
        <v>62</v>
      </c>
      <c r="F653" s="2" t="n">
        <v>16</v>
      </c>
      <c r="G653" s="5" t="s">
        <v>59</v>
      </c>
      <c r="H653" s="2" t="n">
        <v>1</v>
      </c>
      <c r="I653" s="2" t="n">
        <v>1</v>
      </c>
      <c r="J653" s="2" t="n">
        <v>1</v>
      </c>
      <c r="K653" s="7" t="n">
        <v>0.2069642968</v>
      </c>
      <c r="L653" s="7" t="n">
        <v>0.06126593928</v>
      </c>
      <c r="M653" s="7" t="n">
        <v>0.06258208259</v>
      </c>
      <c r="N653" s="7" t="n">
        <v>5</v>
      </c>
      <c r="O653" s="7" t="n">
        <v>5</v>
      </c>
      <c r="P653" s="7" t="n">
        <v>5</v>
      </c>
      <c r="Q653" s="2"/>
      <c r="R653" s="7" t="n">
        <v>1.919366</v>
      </c>
      <c r="S653" s="5" t="s">
        <v>79</v>
      </c>
      <c r="T653" s="5" t="s">
        <v>61</v>
      </c>
    </row>
    <row r="654" customFormat="false" ht="15" hidden="false" customHeight="false" outlineLevel="0" collapsed="false">
      <c r="A654" s="5" t="s">
        <v>4</v>
      </c>
      <c r="B654" s="5" t="s">
        <v>55</v>
      </c>
      <c r="C654" s="2" t="s">
        <v>56</v>
      </c>
      <c r="D654" s="5" t="s">
        <v>78</v>
      </c>
      <c r="E654" s="5" t="s">
        <v>58</v>
      </c>
      <c r="F654" s="2" t="n">
        <v>16</v>
      </c>
      <c r="G654" s="5" t="s">
        <v>63</v>
      </c>
      <c r="H654" s="2" t="n">
        <v>1</v>
      </c>
      <c r="I654" s="2" t="n">
        <v>1</v>
      </c>
      <c r="J654" s="2" t="n">
        <v>1</v>
      </c>
      <c r="K654" s="7" t="n">
        <v>0.6427823724</v>
      </c>
      <c r="L654" s="7" t="n">
        <v>0.01750322667</v>
      </c>
      <c r="M654" s="7" t="n">
        <v>0.04672202466</v>
      </c>
      <c r="N654" s="7" t="n">
        <v>10</v>
      </c>
      <c r="O654" s="7" t="n">
        <v>10</v>
      </c>
      <c r="P654" s="7" t="n">
        <v>0</v>
      </c>
      <c r="Q654" s="2"/>
      <c r="R654" s="7" t="n">
        <v>1.512245</v>
      </c>
      <c r="S654" s="5" t="s">
        <v>79</v>
      </c>
      <c r="T654" s="5" t="s">
        <v>61</v>
      </c>
    </row>
    <row r="655" customFormat="false" ht="15" hidden="false" customHeight="false" outlineLevel="0" collapsed="false">
      <c r="A655" s="5" t="s">
        <v>4</v>
      </c>
      <c r="B655" s="5" t="s">
        <v>55</v>
      </c>
      <c r="C655" s="2" t="s">
        <v>56</v>
      </c>
      <c r="D655" s="5" t="s">
        <v>78</v>
      </c>
      <c r="E655" s="5" t="s">
        <v>62</v>
      </c>
      <c r="F655" s="2" t="n">
        <v>16</v>
      </c>
      <c r="G655" s="5" t="s">
        <v>63</v>
      </c>
      <c r="H655" s="2" t="n">
        <v>1</v>
      </c>
      <c r="I655" s="2" t="n">
        <v>1</v>
      </c>
      <c r="J655" s="2" t="n">
        <v>1</v>
      </c>
      <c r="K655" s="7" t="n">
        <v>0.6427823724</v>
      </c>
      <c r="L655" s="7" t="n">
        <v>0.01750322667</v>
      </c>
      <c r="M655" s="7" t="n">
        <v>0.04672202466</v>
      </c>
      <c r="N655" s="7" t="n">
        <v>10</v>
      </c>
      <c r="O655" s="7" t="n">
        <v>10</v>
      </c>
      <c r="P655" s="7" t="n">
        <v>10</v>
      </c>
      <c r="Q655" s="2"/>
      <c r="R655" s="7" t="n">
        <v>2.060105</v>
      </c>
      <c r="S655" s="5" t="s">
        <v>79</v>
      </c>
      <c r="T655" s="5" t="s">
        <v>61</v>
      </c>
    </row>
    <row r="656" customFormat="false" ht="15" hidden="false" customHeight="false" outlineLevel="0" collapsed="false">
      <c r="A656" s="5" t="s">
        <v>4</v>
      </c>
      <c r="B656" s="5" t="s">
        <v>55</v>
      </c>
      <c r="C656" s="2" t="s">
        <v>56</v>
      </c>
      <c r="D656" s="5" t="s">
        <v>78</v>
      </c>
      <c r="E656" s="5" t="s">
        <v>58</v>
      </c>
      <c r="F656" s="2" t="n">
        <v>16</v>
      </c>
      <c r="G656" s="5" t="s">
        <v>64</v>
      </c>
      <c r="H656" s="2" t="n">
        <v>0</v>
      </c>
      <c r="I656" s="2" t="n">
        <v>1</v>
      </c>
      <c r="J656" s="2" t="n">
        <v>1</v>
      </c>
      <c r="K656" s="7" t="n">
        <v>0.9405471012</v>
      </c>
      <c r="L656" s="7" t="n">
        <v>0.1227272533</v>
      </c>
      <c r="M656" s="7" t="n">
        <v>0.134267021</v>
      </c>
      <c r="N656" s="7" t="n">
        <v>10</v>
      </c>
      <c r="O656" s="7" t="n">
        <v>10</v>
      </c>
      <c r="P656" s="7" t="n">
        <v>0</v>
      </c>
      <c r="Q656" s="2"/>
      <c r="R656" s="7" t="n">
        <v>1.931013</v>
      </c>
      <c r="S656" s="5" t="s">
        <v>79</v>
      </c>
      <c r="T656" s="5" t="s">
        <v>61</v>
      </c>
    </row>
    <row r="657" customFormat="false" ht="15" hidden="false" customHeight="false" outlineLevel="0" collapsed="false">
      <c r="A657" s="5" t="s">
        <v>4</v>
      </c>
      <c r="B657" s="5" t="s">
        <v>55</v>
      </c>
      <c r="C657" s="2" t="s">
        <v>56</v>
      </c>
      <c r="D657" s="5" t="s">
        <v>78</v>
      </c>
      <c r="E657" s="5" t="s">
        <v>62</v>
      </c>
      <c r="F657" s="2" t="n">
        <v>16</v>
      </c>
      <c r="G657" s="5" t="s">
        <v>64</v>
      </c>
      <c r="H657" s="2" t="n">
        <v>0</v>
      </c>
      <c r="I657" s="2" t="n">
        <v>1</v>
      </c>
      <c r="J657" s="2" t="n">
        <v>1</v>
      </c>
      <c r="K657" s="7" t="n">
        <v>0.9405471012</v>
      </c>
      <c r="L657" s="7" t="n">
        <v>0.1227272533</v>
      </c>
      <c r="M657" s="7" t="n">
        <v>0.134267021</v>
      </c>
      <c r="N657" s="7" t="n">
        <v>10</v>
      </c>
      <c r="O657" s="7" t="n">
        <v>10</v>
      </c>
      <c r="P657" s="7" t="n">
        <v>10</v>
      </c>
      <c r="Q657" s="2"/>
      <c r="R657" s="7" t="n">
        <v>2.47688</v>
      </c>
      <c r="S657" s="5" t="s">
        <v>79</v>
      </c>
      <c r="T657" s="5" t="s">
        <v>61</v>
      </c>
    </row>
    <row r="658" customFormat="false" ht="15" hidden="false" customHeight="false" outlineLevel="0" collapsed="false">
      <c r="A658" s="5" t="s">
        <v>4</v>
      </c>
      <c r="B658" s="5" t="s">
        <v>55</v>
      </c>
      <c r="C658" s="2" t="s">
        <v>56</v>
      </c>
      <c r="D658" s="5" t="s">
        <v>78</v>
      </c>
      <c r="E658" s="5" t="s">
        <v>58</v>
      </c>
      <c r="F658" s="2" t="n">
        <v>16</v>
      </c>
      <c r="G658" s="5" t="s">
        <v>65</v>
      </c>
      <c r="H658" s="2" t="n">
        <v>0</v>
      </c>
      <c r="I658" s="2" t="n">
        <v>1</v>
      </c>
      <c r="J658" s="2" t="n">
        <v>1</v>
      </c>
      <c r="K658" s="7" t="n">
        <v>0.4582361331</v>
      </c>
      <c r="L658" s="7" t="n">
        <v>0.08859228829</v>
      </c>
      <c r="M658" s="7" t="n">
        <v>0.09212026762</v>
      </c>
      <c r="N658" s="7" t="n">
        <v>4</v>
      </c>
      <c r="O658" s="7" t="n">
        <v>4</v>
      </c>
      <c r="P658" s="7" t="n">
        <v>0</v>
      </c>
      <c r="Q658" s="2"/>
      <c r="R658" s="7" t="n">
        <v>2.573894</v>
      </c>
      <c r="S658" s="5" t="s">
        <v>79</v>
      </c>
      <c r="T658" s="5" t="s">
        <v>61</v>
      </c>
    </row>
    <row r="659" customFormat="false" ht="15" hidden="false" customHeight="false" outlineLevel="0" collapsed="false">
      <c r="A659" s="5" t="s">
        <v>4</v>
      </c>
      <c r="B659" s="5" t="s">
        <v>55</v>
      </c>
      <c r="C659" s="2" t="s">
        <v>56</v>
      </c>
      <c r="D659" s="5" t="s">
        <v>78</v>
      </c>
      <c r="E659" s="5" t="s">
        <v>62</v>
      </c>
      <c r="F659" s="2" t="n">
        <v>16</v>
      </c>
      <c r="G659" s="5" t="s">
        <v>65</v>
      </c>
      <c r="H659" s="2" t="n">
        <v>0</v>
      </c>
      <c r="I659" s="2" t="n">
        <v>1</v>
      </c>
      <c r="J659" s="2" t="n">
        <v>1</v>
      </c>
      <c r="K659" s="7" t="n">
        <v>0.4582361331</v>
      </c>
      <c r="L659" s="7" t="n">
        <v>0.08859228829</v>
      </c>
      <c r="M659" s="7" t="n">
        <v>0.09212026762</v>
      </c>
      <c r="N659" s="7" t="n">
        <v>4</v>
      </c>
      <c r="O659" s="7" t="n">
        <v>4</v>
      </c>
      <c r="P659" s="7" t="n">
        <v>4</v>
      </c>
      <c r="Q659" s="2"/>
      <c r="R659" s="7" t="n">
        <v>2.837874</v>
      </c>
      <c r="S659" s="5" t="s">
        <v>79</v>
      </c>
      <c r="T659" s="5" t="s">
        <v>61</v>
      </c>
    </row>
    <row r="660" customFormat="false" ht="15" hidden="false" customHeight="false" outlineLevel="0" collapsed="false">
      <c r="A660" s="5" t="s">
        <v>4</v>
      </c>
      <c r="B660" s="5" t="s">
        <v>55</v>
      </c>
      <c r="C660" s="2" t="s">
        <v>56</v>
      </c>
      <c r="D660" s="5" t="s">
        <v>78</v>
      </c>
      <c r="E660" s="5" t="s">
        <v>58</v>
      </c>
      <c r="F660" s="2" t="n">
        <v>16</v>
      </c>
      <c r="G660" s="5" t="s">
        <v>66</v>
      </c>
      <c r="H660" s="2" t="n">
        <v>0</v>
      </c>
      <c r="I660" s="2" t="n">
        <v>1</v>
      </c>
      <c r="J660" s="2" t="n">
        <v>0</v>
      </c>
      <c r="K660" s="7" t="n">
        <v>2.559298041</v>
      </c>
      <c r="L660" s="7" t="n">
        <v>0.3085141523</v>
      </c>
      <c r="M660" s="7" t="n">
        <v>0.342340438</v>
      </c>
      <c r="N660" s="7" t="n">
        <v>4</v>
      </c>
      <c r="O660" s="7" t="n">
        <v>4</v>
      </c>
      <c r="P660" s="7" t="n">
        <v>0</v>
      </c>
      <c r="Q660" s="2"/>
      <c r="R660" s="7" t="n">
        <v>2.579713</v>
      </c>
      <c r="S660" s="5" t="s">
        <v>79</v>
      </c>
      <c r="T660" s="5" t="s">
        <v>61</v>
      </c>
    </row>
    <row r="661" customFormat="false" ht="15" hidden="false" customHeight="false" outlineLevel="0" collapsed="false">
      <c r="A661" s="5" t="s">
        <v>4</v>
      </c>
      <c r="B661" s="5" t="s">
        <v>55</v>
      </c>
      <c r="C661" s="2" t="s">
        <v>56</v>
      </c>
      <c r="D661" s="5" t="s">
        <v>78</v>
      </c>
      <c r="E661" s="5" t="s">
        <v>62</v>
      </c>
      <c r="F661" s="2" t="n">
        <v>16</v>
      </c>
      <c r="G661" s="5" t="s">
        <v>66</v>
      </c>
      <c r="H661" s="2" t="n">
        <v>0</v>
      </c>
      <c r="I661" s="2" t="n">
        <v>1</v>
      </c>
      <c r="J661" s="2" t="n">
        <v>0</v>
      </c>
      <c r="K661" s="7" t="n">
        <v>2.559298041</v>
      </c>
      <c r="L661" s="7" t="n">
        <v>0.3085141523</v>
      </c>
      <c r="M661" s="7" t="n">
        <v>0.342340438</v>
      </c>
      <c r="N661" s="7" t="n">
        <v>4</v>
      </c>
      <c r="O661" s="7" t="n">
        <v>4</v>
      </c>
      <c r="P661" s="7" t="n">
        <v>4</v>
      </c>
      <c r="Q661" s="2"/>
      <c r="R661" s="7" t="n">
        <v>2.842051</v>
      </c>
      <c r="S661" s="5" t="s">
        <v>79</v>
      </c>
      <c r="T661" s="5" t="s">
        <v>61</v>
      </c>
    </row>
    <row r="662" customFormat="false" ht="15" hidden="false" customHeight="false" outlineLevel="0" collapsed="false">
      <c r="A662" s="5" t="s">
        <v>4</v>
      </c>
      <c r="B662" s="5" t="s">
        <v>55</v>
      </c>
      <c r="C662" s="2" t="s">
        <v>56</v>
      </c>
      <c r="D662" s="5" t="s">
        <v>78</v>
      </c>
      <c r="E662" s="5" t="s">
        <v>58</v>
      </c>
      <c r="F662" s="2" t="n">
        <v>17</v>
      </c>
      <c r="G662" s="5" t="s">
        <v>59</v>
      </c>
      <c r="H662" s="2" t="n">
        <v>1</v>
      </c>
      <c r="I662" s="2" t="n">
        <v>1</v>
      </c>
      <c r="J662" s="2" t="n">
        <v>1</v>
      </c>
      <c r="K662" s="7" t="n">
        <v>0.1732647364</v>
      </c>
      <c r="L662" s="7" t="n">
        <v>0.05747500592</v>
      </c>
      <c r="M662" s="7" t="n">
        <v>0.05803133672</v>
      </c>
      <c r="N662" s="7" t="n">
        <v>4</v>
      </c>
      <c r="O662" s="7" t="n">
        <v>4</v>
      </c>
      <c r="P662" s="7" t="n">
        <v>0</v>
      </c>
      <c r="Q662" s="2"/>
      <c r="R662" s="7" t="n">
        <v>1.560727</v>
      </c>
      <c r="S662" s="5" t="s">
        <v>79</v>
      </c>
      <c r="T662" s="5" t="s">
        <v>61</v>
      </c>
    </row>
    <row r="663" customFormat="false" ht="15" hidden="false" customHeight="false" outlineLevel="0" collapsed="false">
      <c r="A663" s="5" t="s">
        <v>4</v>
      </c>
      <c r="B663" s="5" t="s">
        <v>55</v>
      </c>
      <c r="C663" s="2" t="s">
        <v>56</v>
      </c>
      <c r="D663" s="5" t="s">
        <v>78</v>
      </c>
      <c r="E663" s="5" t="s">
        <v>62</v>
      </c>
      <c r="F663" s="2" t="n">
        <v>17</v>
      </c>
      <c r="G663" s="5" t="s">
        <v>59</v>
      </c>
      <c r="H663" s="2" t="n">
        <v>1</v>
      </c>
      <c r="I663" s="2" t="n">
        <v>1</v>
      </c>
      <c r="J663" s="2" t="n">
        <v>1</v>
      </c>
      <c r="K663" s="7" t="n">
        <v>0.1732647364</v>
      </c>
      <c r="L663" s="7" t="n">
        <v>0.05747500592</v>
      </c>
      <c r="M663" s="7" t="n">
        <v>0.05803133672</v>
      </c>
      <c r="N663" s="7" t="n">
        <v>4</v>
      </c>
      <c r="O663" s="7" t="n">
        <v>4</v>
      </c>
      <c r="P663" s="7" t="n">
        <v>4</v>
      </c>
      <c r="Q663" s="2"/>
      <c r="R663" s="7" t="n">
        <v>1.847561</v>
      </c>
      <c r="S663" s="5" t="s">
        <v>79</v>
      </c>
      <c r="T663" s="5" t="s">
        <v>61</v>
      </c>
    </row>
    <row r="664" customFormat="false" ht="15" hidden="false" customHeight="false" outlineLevel="0" collapsed="false">
      <c r="A664" s="5" t="s">
        <v>4</v>
      </c>
      <c r="B664" s="5" t="s">
        <v>55</v>
      </c>
      <c r="C664" s="2" t="s">
        <v>56</v>
      </c>
      <c r="D664" s="5" t="s">
        <v>78</v>
      </c>
      <c r="E664" s="5" t="s">
        <v>58</v>
      </c>
      <c r="F664" s="2" t="n">
        <v>17</v>
      </c>
      <c r="G664" s="5" t="s">
        <v>63</v>
      </c>
      <c r="H664" s="2" t="n">
        <v>1</v>
      </c>
      <c r="I664" s="2" t="n">
        <v>1</v>
      </c>
      <c r="J664" s="2" t="n">
        <v>1</v>
      </c>
      <c r="K664" s="7" t="n">
        <v>0.6064437076</v>
      </c>
      <c r="L664" s="7" t="n">
        <v>0.02241905308</v>
      </c>
      <c r="M664" s="7" t="n">
        <v>0.04641067702</v>
      </c>
      <c r="N664" s="7" t="n">
        <v>11</v>
      </c>
      <c r="O664" s="7" t="n">
        <v>11</v>
      </c>
      <c r="P664" s="7" t="n">
        <v>0</v>
      </c>
      <c r="Q664" s="2"/>
      <c r="R664" s="7" t="n">
        <v>1.353931</v>
      </c>
      <c r="S664" s="5" t="s">
        <v>79</v>
      </c>
      <c r="T664" s="5" t="s">
        <v>61</v>
      </c>
    </row>
    <row r="665" customFormat="false" ht="15" hidden="false" customHeight="false" outlineLevel="0" collapsed="false">
      <c r="A665" s="5" t="s">
        <v>4</v>
      </c>
      <c r="B665" s="5" t="s">
        <v>55</v>
      </c>
      <c r="C665" s="2" t="s">
        <v>56</v>
      </c>
      <c r="D665" s="5" t="s">
        <v>78</v>
      </c>
      <c r="E665" s="5" t="s">
        <v>62</v>
      </c>
      <c r="F665" s="2" t="n">
        <v>17</v>
      </c>
      <c r="G665" s="5" t="s">
        <v>63</v>
      </c>
      <c r="H665" s="2" t="n">
        <v>1</v>
      </c>
      <c r="I665" s="2" t="n">
        <v>1</v>
      </c>
      <c r="J665" s="2" t="n">
        <v>1</v>
      </c>
      <c r="K665" s="7" t="n">
        <v>0.6064437076</v>
      </c>
      <c r="L665" s="7" t="n">
        <v>0.02241905308</v>
      </c>
      <c r="M665" s="7" t="n">
        <v>0.04641067702</v>
      </c>
      <c r="N665" s="7" t="n">
        <v>11</v>
      </c>
      <c r="O665" s="7" t="n">
        <v>11</v>
      </c>
      <c r="P665" s="7" t="n">
        <v>11</v>
      </c>
      <c r="Q665" s="2"/>
      <c r="R665" s="7" t="n">
        <v>1.999735</v>
      </c>
      <c r="S665" s="5" t="s">
        <v>79</v>
      </c>
      <c r="T665" s="5" t="s">
        <v>61</v>
      </c>
    </row>
    <row r="666" customFormat="false" ht="15" hidden="false" customHeight="false" outlineLevel="0" collapsed="false">
      <c r="A666" s="5" t="s">
        <v>4</v>
      </c>
      <c r="B666" s="5" t="s">
        <v>55</v>
      </c>
      <c r="C666" s="2" t="s">
        <v>56</v>
      </c>
      <c r="D666" s="5" t="s">
        <v>78</v>
      </c>
      <c r="E666" s="5" t="s">
        <v>58</v>
      </c>
      <c r="F666" s="2" t="n">
        <v>17</v>
      </c>
      <c r="G666" s="5" t="s">
        <v>64</v>
      </c>
      <c r="H666" s="2" t="n">
        <v>0</v>
      </c>
      <c r="I666" s="2" t="n">
        <v>1</v>
      </c>
      <c r="J666" s="2" t="n">
        <v>1</v>
      </c>
      <c r="K666" s="7" t="n">
        <v>0.3736862869</v>
      </c>
      <c r="L666" s="7" t="n">
        <v>0.07192371182</v>
      </c>
      <c r="M666" s="7" t="n">
        <v>0.07957776401</v>
      </c>
      <c r="N666" s="7" t="n">
        <v>3</v>
      </c>
      <c r="O666" s="7" t="n">
        <v>3</v>
      </c>
      <c r="P666" s="7" t="n">
        <v>0</v>
      </c>
      <c r="Q666" s="2"/>
      <c r="R666" s="7" t="n">
        <v>1.505114</v>
      </c>
      <c r="S666" s="5" t="s">
        <v>79</v>
      </c>
      <c r="T666" s="5" t="s">
        <v>61</v>
      </c>
    </row>
    <row r="667" customFormat="false" ht="15" hidden="false" customHeight="false" outlineLevel="0" collapsed="false">
      <c r="A667" s="5" t="s">
        <v>4</v>
      </c>
      <c r="B667" s="5" t="s">
        <v>55</v>
      </c>
      <c r="C667" s="2" t="s">
        <v>56</v>
      </c>
      <c r="D667" s="5" t="s">
        <v>78</v>
      </c>
      <c r="E667" s="5" t="s">
        <v>62</v>
      </c>
      <c r="F667" s="2" t="n">
        <v>17</v>
      </c>
      <c r="G667" s="5" t="s">
        <v>64</v>
      </c>
      <c r="H667" s="2" t="n">
        <v>0</v>
      </c>
      <c r="I667" s="2" t="n">
        <v>1</v>
      </c>
      <c r="J667" s="2" t="n">
        <v>1</v>
      </c>
      <c r="K667" s="7" t="n">
        <v>0.3736862869</v>
      </c>
      <c r="L667" s="7" t="n">
        <v>0.07192371182</v>
      </c>
      <c r="M667" s="7" t="n">
        <v>0.07957776401</v>
      </c>
      <c r="N667" s="7" t="n">
        <v>3</v>
      </c>
      <c r="O667" s="7" t="n">
        <v>3</v>
      </c>
      <c r="P667" s="7" t="n">
        <v>3</v>
      </c>
      <c r="Q667" s="2"/>
      <c r="R667" s="7" t="n">
        <v>1.681775</v>
      </c>
      <c r="S667" s="5" t="s">
        <v>79</v>
      </c>
      <c r="T667" s="5" t="s">
        <v>61</v>
      </c>
    </row>
    <row r="668" customFormat="false" ht="15" hidden="false" customHeight="false" outlineLevel="0" collapsed="false">
      <c r="A668" s="5" t="s">
        <v>4</v>
      </c>
      <c r="B668" s="5" t="s">
        <v>55</v>
      </c>
      <c r="C668" s="2" t="s">
        <v>56</v>
      </c>
      <c r="D668" s="5" t="s">
        <v>78</v>
      </c>
      <c r="E668" s="5" t="s">
        <v>58</v>
      </c>
      <c r="F668" s="2" t="n">
        <v>17</v>
      </c>
      <c r="G668" s="5" t="s">
        <v>65</v>
      </c>
      <c r="H668" s="2" t="n">
        <v>0</v>
      </c>
      <c r="I668" s="2" t="n">
        <v>1</v>
      </c>
      <c r="J668" s="2" t="n">
        <v>1</v>
      </c>
      <c r="K668" s="7" t="n">
        <v>0.4079975178</v>
      </c>
      <c r="L668" s="7" t="n">
        <v>0.113765999</v>
      </c>
      <c r="M668" s="7" t="n">
        <v>0.11925588</v>
      </c>
      <c r="N668" s="7" t="n">
        <v>3</v>
      </c>
      <c r="O668" s="7" t="n">
        <v>3</v>
      </c>
      <c r="P668" s="7" t="n">
        <v>0</v>
      </c>
      <c r="Q668" s="2"/>
      <c r="R668" s="7" t="n">
        <v>2.148605</v>
      </c>
      <c r="S668" s="5" t="s">
        <v>79</v>
      </c>
      <c r="T668" s="5" t="s">
        <v>61</v>
      </c>
    </row>
    <row r="669" customFormat="false" ht="15" hidden="false" customHeight="false" outlineLevel="0" collapsed="false">
      <c r="A669" s="5" t="s">
        <v>4</v>
      </c>
      <c r="B669" s="5" t="s">
        <v>55</v>
      </c>
      <c r="C669" s="2" t="s">
        <v>56</v>
      </c>
      <c r="D669" s="5" t="s">
        <v>78</v>
      </c>
      <c r="E669" s="5" t="s">
        <v>62</v>
      </c>
      <c r="F669" s="2" t="n">
        <v>17</v>
      </c>
      <c r="G669" s="5" t="s">
        <v>65</v>
      </c>
      <c r="H669" s="2" t="n">
        <v>0</v>
      </c>
      <c r="I669" s="2" t="n">
        <v>1</v>
      </c>
      <c r="J669" s="2" t="n">
        <v>1</v>
      </c>
      <c r="K669" s="7" t="n">
        <v>0.4079975178</v>
      </c>
      <c r="L669" s="7" t="n">
        <v>0.113765999</v>
      </c>
      <c r="M669" s="7" t="n">
        <v>0.11925588</v>
      </c>
      <c r="N669" s="7" t="n">
        <v>3</v>
      </c>
      <c r="O669" s="7" t="n">
        <v>3</v>
      </c>
      <c r="P669" s="7" t="n">
        <v>3</v>
      </c>
      <c r="Q669" s="2"/>
      <c r="R669" s="7" t="n">
        <v>2.310675</v>
      </c>
      <c r="S669" s="5" t="s">
        <v>79</v>
      </c>
      <c r="T669" s="5" t="s">
        <v>61</v>
      </c>
    </row>
    <row r="670" customFormat="false" ht="15" hidden="false" customHeight="false" outlineLevel="0" collapsed="false">
      <c r="A670" s="5" t="s">
        <v>4</v>
      </c>
      <c r="B670" s="5" t="s">
        <v>55</v>
      </c>
      <c r="C670" s="2" t="s">
        <v>56</v>
      </c>
      <c r="D670" s="5" t="s">
        <v>78</v>
      </c>
      <c r="E670" s="5" t="s">
        <v>58</v>
      </c>
      <c r="F670" s="2" t="n">
        <v>17</v>
      </c>
      <c r="G670" s="5" t="s">
        <v>66</v>
      </c>
      <c r="H670" s="2" t="n">
        <v>0</v>
      </c>
      <c r="I670" s="2" t="n">
        <v>1</v>
      </c>
      <c r="J670" s="2" t="n">
        <v>1</v>
      </c>
      <c r="K670" s="7" t="n">
        <v>0.7670708783</v>
      </c>
      <c r="L670" s="7" t="n">
        <v>0.1170091643</v>
      </c>
      <c r="M670" s="7" t="n">
        <v>0.1285538289</v>
      </c>
      <c r="N670" s="7" t="n">
        <v>5</v>
      </c>
      <c r="O670" s="7" t="n">
        <v>5</v>
      </c>
      <c r="P670" s="7" t="n">
        <v>0</v>
      </c>
      <c r="Q670" s="2"/>
      <c r="R670" s="7" t="n">
        <v>2.654734</v>
      </c>
      <c r="S670" s="5" t="s">
        <v>79</v>
      </c>
      <c r="T670" s="5" t="s">
        <v>61</v>
      </c>
    </row>
    <row r="671" customFormat="false" ht="15" hidden="false" customHeight="false" outlineLevel="0" collapsed="false">
      <c r="A671" s="5" t="s">
        <v>4</v>
      </c>
      <c r="B671" s="5" t="s">
        <v>55</v>
      </c>
      <c r="C671" s="2" t="s">
        <v>56</v>
      </c>
      <c r="D671" s="5" t="s">
        <v>78</v>
      </c>
      <c r="E671" s="5" t="s">
        <v>62</v>
      </c>
      <c r="F671" s="2" t="n">
        <v>17</v>
      </c>
      <c r="G671" s="5" t="s">
        <v>66</v>
      </c>
      <c r="H671" s="2" t="n">
        <v>0</v>
      </c>
      <c r="I671" s="2" t="n">
        <v>1</v>
      </c>
      <c r="J671" s="2" t="n">
        <v>1</v>
      </c>
      <c r="K671" s="7" t="n">
        <v>0.7670708783</v>
      </c>
      <c r="L671" s="7" t="n">
        <v>0.1170091643</v>
      </c>
      <c r="M671" s="7" t="n">
        <v>0.1285538289</v>
      </c>
      <c r="N671" s="7" t="n">
        <v>5</v>
      </c>
      <c r="O671" s="7" t="n">
        <v>5</v>
      </c>
      <c r="P671" s="7" t="n">
        <v>5</v>
      </c>
      <c r="Q671" s="2"/>
      <c r="R671" s="7" t="n">
        <v>2.982708</v>
      </c>
      <c r="S671" s="5" t="s">
        <v>79</v>
      </c>
      <c r="T671" s="5" t="s">
        <v>61</v>
      </c>
    </row>
    <row r="672" customFormat="false" ht="15" hidden="false" customHeight="false" outlineLevel="0" collapsed="false">
      <c r="A672" s="5" t="s">
        <v>4</v>
      </c>
      <c r="B672" s="5" t="s">
        <v>55</v>
      </c>
      <c r="C672" s="2" t="s">
        <v>56</v>
      </c>
      <c r="D672" s="5" t="s">
        <v>78</v>
      </c>
      <c r="E672" s="5" t="s">
        <v>58</v>
      </c>
      <c r="F672" s="2" t="n">
        <v>18</v>
      </c>
      <c r="G672" s="5" t="s">
        <v>59</v>
      </c>
      <c r="H672" s="2" t="n">
        <v>1</v>
      </c>
      <c r="I672" s="2" t="n">
        <v>1</v>
      </c>
      <c r="J672" s="2" t="n">
        <v>1</v>
      </c>
      <c r="K672" s="7" t="n">
        <v>0.3081594623</v>
      </c>
      <c r="L672" s="7" t="n">
        <v>0.05510412446</v>
      </c>
      <c r="M672" s="7" t="n">
        <v>0.05753552778</v>
      </c>
      <c r="N672" s="7" t="n">
        <v>7</v>
      </c>
      <c r="O672" s="7" t="n">
        <v>7</v>
      </c>
      <c r="P672" s="7" t="n">
        <v>0</v>
      </c>
      <c r="Q672" s="2"/>
      <c r="R672" s="7" t="n">
        <v>1.655567</v>
      </c>
      <c r="S672" s="5" t="s">
        <v>79</v>
      </c>
      <c r="T672" s="5" t="s">
        <v>61</v>
      </c>
    </row>
    <row r="673" customFormat="false" ht="15" hidden="false" customHeight="false" outlineLevel="0" collapsed="false">
      <c r="A673" s="5" t="s">
        <v>4</v>
      </c>
      <c r="B673" s="5" t="s">
        <v>55</v>
      </c>
      <c r="C673" s="2" t="s">
        <v>56</v>
      </c>
      <c r="D673" s="5" t="s">
        <v>78</v>
      </c>
      <c r="E673" s="5" t="s">
        <v>62</v>
      </c>
      <c r="F673" s="2" t="n">
        <v>18</v>
      </c>
      <c r="G673" s="5" t="s">
        <v>59</v>
      </c>
      <c r="H673" s="2" t="n">
        <v>1</v>
      </c>
      <c r="I673" s="2" t="n">
        <v>1</v>
      </c>
      <c r="J673" s="2" t="n">
        <v>1</v>
      </c>
      <c r="K673" s="7" t="n">
        <v>0.3081594623</v>
      </c>
      <c r="L673" s="7" t="n">
        <v>0.05510412446</v>
      </c>
      <c r="M673" s="7" t="n">
        <v>0.05753552778</v>
      </c>
      <c r="N673" s="7" t="n">
        <v>7</v>
      </c>
      <c r="O673" s="7" t="n">
        <v>7</v>
      </c>
      <c r="P673" s="7" t="n">
        <v>7</v>
      </c>
      <c r="Q673" s="2"/>
      <c r="R673" s="7" t="n">
        <v>2.101276</v>
      </c>
      <c r="S673" s="5" t="s">
        <v>79</v>
      </c>
      <c r="T673" s="5" t="s">
        <v>61</v>
      </c>
    </row>
    <row r="674" customFormat="false" ht="15" hidden="false" customHeight="false" outlineLevel="0" collapsed="false">
      <c r="A674" s="5" t="s">
        <v>4</v>
      </c>
      <c r="B674" s="5" t="s">
        <v>55</v>
      </c>
      <c r="C674" s="2" t="s">
        <v>56</v>
      </c>
      <c r="D674" s="5" t="s">
        <v>78</v>
      </c>
      <c r="E674" s="5" t="s">
        <v>58</v>
      </c>
      <c r="F674" s="2" t="n">
        <v>18</v>
      </c>
      <c r="G674" s="5" t="s">
        <v>63</v>
      </c>
      <c r="H674" s="2" t="n">
        <v>1</v>
      </c>
      <c r="I674" s="2" t="n">
        <v>1</v>
      </c>
      <c r="J674" s="2" t="n">
        <v>1</v>
      </c>
      <c r="K674" s="7" t="n">
        <v>1.056077265</v>
      </c>
      <c r="L674" s="7" t="n">
        <v>0.06474659318</v>
      </c>
      <c r="M674" s="7" t="n">
        <v>0.09065115561</v>
      </c>
      <c r="N674" s="7" t="n">
        <v>7</v>
      </c>
      <c r="O674" s="7" t="n">
        <v>7</v>
      </c>
      <c r="P674" s="7" t="n">
        <v>0</v>
      </c>
      <c r="Q674" s="2"/>
      <c r="R674" s="7" t="n">
        <v>1.476982</v>
      </c>
      <c r="S674" s="5" t="s">
        <v>79</v>
      </c>
      <c r="T674" s="5" t="s">
        <v>61</v>
      </c>
    </row>
    <row r="675" customFormat="false" ht="15" hidden="false" customHeight="false" outlineLevel="0" collapsed="false">
      <c r="A675" s="5" t="s">
        <v>4</v>
      </c>
      <c r="B675" s="5" t="s">
        <v>55</v>
      </c>
      <c r="C675" s="2" t="s">
        <v>56</v>
      </c>
      <c r="D675" s="5" t="s">
        <v>78</v>
      </c>
      <c r="E675" s="5" t="s">
        <v>62</v>
      </c>
      <c r="F675" s="2" t="n">
        <v>18</v>
      </c>
      <c r="G675" s="5" t="s">
        <v>63</v>
      </c>
      <c r="H675" s="2" t="n">
        <v>1</v>
      </c>
      <c r="I675" s="2" t="n">
        <v>1</v>
      </c>
      <c r="J675" s="2" t="n">
        <v>1</v>
      </c>
      <c r="K675" s="7" t="n">
        <v>1.056077265</v>
      </c>
      <c r="L675" s="7" t="n">
        <v>0.06474659318</v>
      </c>
      <c r="M675" s="7" t="n">
        <v>0.09065115561</v>
      </c>
      <c r="N675" s="7" t="n">
        <v>7</v>
      </c>
      <c r="O675" s="7" t="n">
        <v>7</v>
      </c>
      <c r="P675" s="7" t="n">
        <v>7</v>
      </c>
      <c r="Q675" s="2"/>
      <c r="R675" s="7" t="n">
        <v>1.969431</v>
      </c>
      <c r="S675" s="5" t="s">
        <v>79</v>
      </c>
      <c r="T675" s="5" t="s">
        <v>61</v>
      </c>
    </row>
    <row r="676" customFormat="false" ht="15" hidden="false" customHeight="false" outlineLevel="0" collapsed="false">
      <c r="A676" s="5" t="s">
        <v>4</v>
      </c>
      <c r="B676" s="5" t="s">
        <v>55</v>
      </c>
      <c r="C676" s="2" t="s">
        <v>56</v>
      </c>
      <c r="D676" s="5" t="s">
        <v>78</v>
      </c>
      <c r="E676" s="5" t="s">
        <v>58</v>
      </c>
      <c r="F676" s="2" t="n">
        <v>18</v>
      </c>
      <c r="G676" s="5" t="s">
        <v>64</v>
      </c>
      <c r="H676" s="2" t="n">
        <v>0</v>
      </c>
      <c r="I676" s="2" t="n">
        <v>1</v>
      </c>
      <c r="J676" s="2" t="n">
        <v>1</v>
      </c>
      <c r="K676" s="7" t="n">
        <v>1.075750606</v>
      </c>
      <c r="L676" s="7" t="n">
        <v>0.2161161453</v>
      </c>
      <c r="M676" s="7" t="n">
        <v>0.2253667998</v>
      </c>
      <c r="N676" s="7" t="n">
        <v>4</v>
      </c>
      <c r="O676" s="7" t="n">
        <v>4</v>
      </c>
      <c r="P676" s="7" t="n">
        <v>0</v>
      </c>
      <c r="Q676" s="2"/>
      <c r="R676" s="7" t="n">
        <v>1.665081</v>
      </c>
      <c r="S676" s="5" t="s">
        <v>79</v>
      </c>
      <c r="T676" s="5" t="s">
        <v>61</v>
      </c>
    </row>
    <row r="677" customFormat="false" ht="15" hidden="false" customHeight="false" outlineLevel="0" collapsed="false">
      <c r="A677" s="5" t="s">
        <v>4</v>
      </c>
      <c r="B677" s="5" t="s">
        <v>55</v>
      </c>
      <c r="C677" s="2" t="s">
        <v>56</v>
      </c>
      <c r="D677" s="5" t="s">
        <v>78</v>
      </c>
      <c r="E677" s="5" t="s">
        <v>62</v>
      </c>
      <c r="F677" s="2" t="n">
        <v>18</v>
      </c>
      <c r="G677" s="5" t="s">
        <v>64</v>
      </c>
      <c r="H677" s="2" t="n">
        <v>0</v>
      </c>
      <c r="I677" s="2" t="n">
        <v>1</v>
      </c>
      <c r="J677" s="2" t="n">
        <v>1</v>
      </c>
      <c r="K677" s="7" t="n">
        <v>1.075750606</v>
      </c>
      <c r="L677" s="7" t="n">
        <v>0.2161161453</v>
      </c>
      <c r="M677" s="7" t="n">
        <v>0.2253667998</v>
      </c>
      <c r="N677" s="7" t="n">
        <v>4</v>
      </c>
      <c r="O677" s="7" t="n">
        <v>4</v>
      </c>
      <c r="P677" s="7" t="n">
        <v>4</v>
      </c>
      <c r="Q677" s="2"/>
      <c r="R677" s="7" t="n">
        <v>2.027827</v>
      </c>
      <c r="S677" s="5" t="s">
        <v>79</v>
      </c>
      <c r="T677" s="5" t="s">
        <v>61</v>
      </c>
    </row>
    <row r="678" customFormat="false" ht="15" hidden="false" customHeight="false" outlineLevel="0" collapsed="false">
      <c r="A678" s="5" t="s">
        <v>4</v>
      </c>
      <c r="B678" s="5" t="s">
        <v>55</v>
      </c>
      <c r="C678" s="2" t="s">
        <v>56</v>
      </c>
      <c r="D678" s="5" t="s">
        <v>78</v>
      </c>
      <c r="E678" s="5" t="s">
        <v>58</v>
      </c>
      <c r="F678" s="2" t="n">
        <v>18</v>
      </c>
      <c r="G678" s="5" t="s">
        <v>65</v>
      </c>
      <c r="H678" s="2" t="n">
        <v>0</v>
      </c>
      <c r="I678" s="2" t="n">
        <v>0</v>
      </c>
      <c r="J678" s="2" t="n">
        <v>0</v>
      </c>
      <c r="K678" s="2"/>
      <c r="L678" s="2"/>
      <c r="M678" s="2"/>
      <c r="N678" s="7" t="n">
        <v>1</v>
      </c>
      <c r="O678" s="7" t="n">
        <v>1</v>
      </c>
      <c r="P678" s="7" t="n">
        <v>0</v>
      </c>
      <c r="Q678" s="2"/>
      <c r="R678" s="7" t="n">
        <v>2.637869</v>
      </c>
      <c r="S678" s="5" t="s">
        <v>79</v>
      </c>
      <c r="T678" s="5" t="s">
        <v>61</v>
      </c>
    </row>
    <row r="679" customFormat="false" ht="15" hidden="false" customHeight="false" outlineLevel="0" collapsed="false">
      <c r="A679" s="5" t="s">
        <v>4</v>
      </c>
      <c r="B679" s="5" t="s">
        <v>55</v>
      </c>
      <c r="C679" s="2" t="s">
        <v>56</v>
      </c>
      <c r="D679" s="5" t="s">
        <v>78</v>
      </c>
      <c r="E679" s="5" t="s">
        <v>62</v>
      </c>
      <c r="F679" s="2" t="n">
        <v>18</v>
      </c>
      <c r="G679" s="5" t="s">
        <v>65</v>
      </c>
      <c r="H679" s="2" t="n">
        <v>0</v>
      </c>
      <c r="I679" s="2" t="n">
        <v>0</v>
      </c>
      <c r="J679" s="2" t="n">
        <v>0</v>
      </c>
      <c r="K679" s="2"/>
      <c r="L679" s="2"/>
      <c r="M679" s="2"/>
      <c r="N679" s="7" t="n">
        <v>1</v>
      </c>
      <c r="O679" s="7" t="n">
        <v>1</v>
      </c>
      <c r="P679" s="7" t="n">
        <v>0</v>
      </c>
      <c r="Q679" s="2"/>
      <c r="R679" s="7" t="n">
        <v>2.637598</v>
      </c>
      <c r="S679" s="5" t="s">
        <v>79</v>
      </c>
      <c r="T679" s="5" t="s">
        <v>61</v>
      </c>
    </row>
    <row r="680" customFormat="false" ht="15" hidden="false" customHeight="false" outlineLevel="0" collapsed="false">
      <c r="A680" s="5" t="s">
        <v>4</v>
      </c>
      <c r="B680" s="5" t="s">
        <v>55</v>
      </c>
      <c r="C680" s="2" t="s">
        <v>56</v>
      </c>
      <c r="D680" s="5" t="s">
        <v>78</v>
      </c>
      <c r="E680" s="5" t="s">
        <v>58</v>
      </c>
      <c r="F680" s="2" t="n">
        <v>18</v>
      </c>
      <c r="G680" s="5" t="s">
        <v>66</v>
      </c>
      <c r="H680" s="2" t="n">
        <v>0</v>
      </c>
      <c r="I680" s="2" t="n">
        <v>0</v>
      </c>
      <c r="J680" s="2" t="n">
        <v>0</v>
      </c>
      <c r="K680" s="2"/>
      <c r="L680" s="2"/>
      <c r="M680" s="2"/>
      <c r="N680" s="7" t="n">
        <v>1</v>
      </c>
      <c r="O680" s="7" t="n">
        <v>1</v>
      </c>
      <c r="P680" s="7" t="n">
        <v>0</v>
      </c>
      <c r="Q680" s="2"/>
      <c r="R680" s="7" t="n">
        <v>2.918244</v>
      </c>
      <c r="S680" s="5" t="s">
        <v>79</v>
      </c>
      <c r="T680" s="5" t="s">
        <v>61</v>
      </c>
    </row>
    <row r="681" customFormat="false" ht="15" hidden="false" customHeight="false" outlineLevel="0" collapsed="false">
      <c r="A681" s="5" t="s">
        <v>4</v>
      </c>
      <c r="B681" s="5" t="s">
        <v>55</v>
      </c>
      <c r="C681" s="2" t="s">
        <v>56</v>
      </c>
      <c r="D681" s="5" t="s">
        <v>78</v>
      </c>
      <c r="E681" s="5" t="s">
        <v>62</v>
      </c>
      <c r="F681" s="2" t="n">
        <v>18</v>
      </c>
      <c r="G681" s="5" t="s">
        <v>66</v>
      </c>
      <c r="H681" s="2" t="n">
        <v>0</v>
      </c>
      <c r="I681" s="2" t="n">
        <v>0</v>
      </c>
      <c r="J681" s="2" t="n">
        <v>0</v>
      </c>
      <c r="K681" s="2"/>
      <c r="L681" s="2"/>
      <c r="M681" s="2"/>
      <c r="N681" s="7" t="n">
        <v>1</v>
      </c>
      <c r="O681" s="7" t="n">
        <v>1</v>
      </c>
      <c r="P681" s="7" t="n">
        <v>0</v>
      </c>
      <c r="Q681" s="2"/>
      <c r="R681" s="7" t="n">
        <v>2.917883</v>
      </c>
      <c r="S681" s="5" t="s">
        <v>79</v>
      </c>
      <c r="T681" s="5" t="s">
        <v>61</v>
      </c>
    </row>
    <row r="682" customFormat="false" ht="15" hidden="false" customHeight="false" outlineLevel="0" collapsed="false">
      <c r="A682" s="5" t="s">
        <v>4</v>
      </c>
      <c r="B682" s="5" t="s">
        <v>55</v>
      </c>
      <c r="C682" s="2" t="s">
        <v>56</v>
      </c>
      <c r="D682" s="5" t="s">
        <v>78</v>
      </c>
      <c r="E682" s="5" t="s">
        <v>58</v>
      </c>
      <c r="F682" s="2" t="n">
        <v>19</v>
      </c>
      <c r="G682" s="5" t="s">
        <v>59</v>
      </c>
      <c r="H682" s="2" t="n">
        <v>1</v>
      </c>
      <c r="I682" s="2" t="n">
        <v>1</v>
      </c>
      <c r="J682" s="2" t="n">
        <v>1</v>
      </c>
      <c r="K682" s="7" t="n">
        <v>0.8068838969</v>
      </c>
      <c r="L682" s="7" t="n">
        <v>0.1076424153</v>
      </c>
      <c r="M682" s="7" t="n">
        <v>0.11718637</v>
      </c>
      <c r="N682" s="7" t="n">
        <v>10</v>
      </c>
      <c r="O682" s="7" t="n">
        <v>10</v>
      </c>
      <c r="P682" s="7" t="n">
        <v>0</v>
      </c>
      <c r="Q682" s="2"/>
      <c r="R682" s="7" t="n">
        <v>1.809314</v>
      </c>
      <c r="S682" s="5" t="s">
        <v>79</v>
      </c>
      <c r="T682" s="5" t="s">
        <v>61</v>
      </c>
    </row>
    <row r="683" customFormat="false" ht="15" hidden="false" customHeight="false" outlineLevel="0" collapsed="false">
      <c r="A683" s="5" t="s">
        <v>4</v>
      </c>
      <c r="B683" s="5" t="s">
        <v>55</v>
      </c>
      <c r="C683" s="2" t="s">
        <v>56</v>
      </c>
      <c r="D683" s="5" t="s">
        <v>78</v>
      </c>
      <c r="E683" s="5" t="s">
        <v>62</v>
      </c>
      <c r="F683" s="2" t="n">
        <v>19</v>
      </c>
      <c r="G683" s="5" t="s">
        <v>59</v>
      </c>
      <c r="H683" s="2" t="n">
        <v>1</v>
      </c>
      <c r="I683" s="2" t="n">
        <v>1</v>
      </c>
      <c r="J683" s="2" t="n">
        <v>1</v>
      </c>
      <c r="K683" s="7" t="n">
        <v>0.8068838969</v>
      </c>
      <c r="L683" s="7" t="n">
        <v>0.1076424153</v>
      </c>
      <c r="M683" s="7" t="n">
        <v>0.11718637</v>
      </c>
      <c r="N683" s="7" t="n">
        <v>10</v>
      </c>
      <c r="O683" s="7" t="n">
        <v>10</v>
      </c>
      <c r="P683" s="7" t="n">
        <v>10</v>
      </c>
      <c r="Q683" s="2"/>
      <c r="R683" s="7" t="n">
        <v>2.381479</v>
      </c>
      <c r="S683" s="5" t="s">
        <v>79</v>
      </c>
      <c r="T683" s="5" t="s">
        <v>61</v>
      </c>
    </row>
    <row r="684" customFormat="false" ht="15" hidden="false" customHeight="false" outlineLevel="0" collapsed="false">
      <c r="A684" s="5" t="s">
        <v>4</v>
      </c>
      <c r="B684" s="5" t="s">
        <v>55</v>
      </c>
      <c r="C684" s="2" t="s">
        <v>56</v>
      </c>
      <c r="D684" s="5" t="s">
        <v>78</v>
      </c>
      <c r="E684" s="5" t="s">
        <v>58</v>
      </c>
      <c r="F684" s="2" t="n">
        <v>19</v>
      </c>
      <c r="G684" s="5" t="s">
        <v>63</v>
      </c>
      <c r="H684" s="2" t="n">
        <v>1</v>
      </c>
      <c r="I684" s="2" t="n">
        <v>1</v>
      </c>
      <c r="J684" s="2" t="n">
        <v>1</v>
      </c>
      <c r="K684" s="7" t="n">
        <v>0.9615565396</v>
      </c>
      <c r="L684" s="7" t="n">
        <v>0.1453565477</v>
      </c>
      <c r="M684" s="7" t="n">
        <v>0.1545505713</v>
      </c>
      <c r="N684" s="7" t="n">
        <v>9</v>
      </c>
      <c r="O684" s="7" t="n">
        <v>9</v>
      </c>
      <c r="P684" s="7" t="n">
        <v>0</v>
      </c>
      <c r="Q684" s="2"/>
      <c r="R684" s="7" t="n">
        <v>1.527958</v>
      </c>
      <c r="S684" s="5" t="s">
        <v>79</v>
      </c>
      <c r="T684" s="5" t="s">
        <v>61</v>
      </c>
    </row>
    <row r="685" customFormat="false" ht="15" hidden="false" customHeight="false" outlineLevel="0" collapsed="false">
      <c r="A685" s="5" t="s">
        <v>4</v>
      </c>
      <c r="B685" s="5" t="s">
        <v>55</v>
      </c>
      <c r="C685" s="2" t="s">
        <v>56</v>
      </c>
      <c r="D685" s="5" t="s">
        <v>78</v>
      </c>
      <c r="E685" s="5" t="s">
        <v>62</v>
      </c>
      <c r="F685" s="2" t="n">
        <v>19</v>
      </c>
      <c r="G685" s="5" t="s">
        <v>63</v>
      </c>
      <c r="H685" s="2" t="n">
        <v>1</v>
      </c>
      <c r="I685" s="2" t="n">
        <v>1</v>
      </c>
      <c r="J685" s="2" t="n">
        <v>1</v>
      </c>
      <c r="K685" s="7" t="n">
        <v>0.4763383186</v>
      </c>
      <c r="L685" s="7" t="n">
        <v>0.03897072761</v>
      </c>
      <c r="M685" s="7" t="n">
        <v>0.04706633946</v>
      </c>
      <c r="N685" s="7" t="n">
        <v>9</v>
      </c>
      <c r="O685" s="7" t="n">
        <v>9</v>
      </c>
      <c r="P685" s="7" t="n">
        <v>8</v>
      </c>
      <c r="Q685" s="2"/>
      <c r="R685" s="7" t="n">
        <v>2.087004</v>
      </c>
      <c r="S685" s="5" t="s">
        <v>79</v>
      </c>
      <c r="T685" s="5" t="s">
        <v>61</v>
      </c>
    </row>
    <row r="686" customFormat="false" ht="15" hidden="false" customHeight="false" outlineLevel="0" collapsed="false">
      <c r="A686" s="5" t="s">
        <v>4</v>
      </c>
      <c r="B686" s="5" t="s">
        <v>55</v>
      </c>
      <c r="C686" s="2" t="s">
        <v>56</v>
      </c>
      <c r="D686" s="5" t="s">
        <v>78</v>
      </c>
      <c r="E686" s="5" t="s">
        <v>58</v>
      </c>
      <c r="F686" s="2" t="n">
        <v>19</v>
      </c>
      <c r="G686" s="5" t="s">
        <v>64</v>
      </c>
      <c r="H686" s="2" t="n">
        <v>0</v>
      </c>
      <c r="I686" s="2" t="n">
        <v>1</v>
      </c>
      <c r="J686" s="2" t="n">
        <v>1</v>
      </c>
      <c r="K686" s="7" t="n">
        <v>0.736379166</v>
      </c>
      <c r="L686" s="7" t="n">
        <v>0.08122907319</v>
      </c>
      <c r="M686" s="7" t="n">
        <v>0.094358482</v>
      </c>
      <c r="N686" s="7" t="n">
        <v>7</v>
      </c>
      <c r="O686" s="7" t="n">
        <v>7</v>
      </c>
      <c r="P686" s="7" t="n">
        <v>0</v>
      </c>
      <c r="Q686" s="2"/>
      <c r="R686" s="7" t="n">
        <v>1.707995</v>
      </c>
      <c r="S686" s="5" t="s">
        <v>79</v>
      </c>
      <c r="T686" s="5" t="s">
        <v>61</v>
      </c>
    </row>
    <row r="687" customFormat="false" ht="15" hidden="false" customHeight="false" outlineLevel="0" collapsed="false">
      <c r="A687" s="5" t="s">
        <v>4</v>
      </c>
      <c r="B687" s="5" t="s">
        <v>55</v>
      </c>
      <c r="C687" s="2" t="s">
        <v>56</v>
      </c>
      <c r="D687" s="5" t="s">
        <v>78</v>
      </c>
      <c r="E687" s="5" t="s">
        <v>62</v>
      </c>
      <c r="F687" s="2" t="n">
        <v>19</v>
      </c>
      <c r="G687" s="5" t="s">
        <v>64</v>
      </c>
      <c r="H687" s="2" t="n">
        <v>0</v>
      </c>
      <c r="I687" s="2" t="n">
        <v>1</v>
      </c>
      <c r="J687" s="2" t="n">
        <v>1</v>
      </c>
      <c r="K687" s="7" t="n">
        <v>0.736379166</v>
      </c>
      <c r="L687" s="7" t="n">
        <v>0.08122907319</v>
      </c>
      <c r="M687" s="7" t="n">
        <v>0.094358482</v>
      </c>
      <c r="N687" s="7" t="n">
        <v>7</v>
      </c>
      <c r="O687" s="7" t="n">
        <v>7</v>
      </c>
      <c r="P687" s="7" t="n">
        <v>7</v>
      </c>
      <c r="Q687" s="2"/>
      <c r="R687" s="7" t="n">
        <v>2.160504</v>
      </c>
      <c r="S687" s="5" t="s">
        <v>79</v>
      </c>
      <c r="T687" s="5" t="s">
        <v>61</v>
      </c>
    </row>
    <row r="688" customFormat="false" ht="15" hidden="false" customHeight="false" outlineLevel="0" collapsed="false">
      <c r="A688" s="5" t="s">
        <v>4</v>
      </c>
      <c r="B688" s="5" t="s">
        <v>55</v>
      </c>
      <c r="C688" s="2" t="s">
        <v>56</v>
      </c>
      <c r="D688" s="5" t="s">
        <v>78</v>
      </c>
      <c r="E688" s="5" t="s">
        <v>58</v>
      </c>
      <c r="F688" s="2" t="n">
        <v>19</v>
      </c>
      <c r="G688" s="5" t="s">
        <v>65</v>
      </c>
      <c r="H688" s="2" t="n">
        <v>0</v>
      </c>
      <c r="I688" s="2" t="n">
        <v>1</v>
      </c>
      <c r="J688" s="2" t="n">
        <v>1</v>
      </c>
      <c r="K688" s="7" t="n">
        <v>0.9895884473</v>
      </c>
      <c r="L688" s="7" t="n">
        <v>0.1842930265</v>
      </c>
      <c r="M688" s="7" t="n">
        <v>0.1917503643</v>
      </c>
      <c r="N688" s="7" t="n">
        <v>7</v>
      </c>
      <c r="O688" s="7" t="n">
        <v>7</v>
      </c>
      <c r="P688" s="7" t="n">
        <v>0</v>
      </c>
      <c r="Q688" s="2"/>
      <c r="R688" s="7" t="n">
        <v>2.216014</v>
      </c>
      <c r="S688" s="5" t="s">
        <v>79</v>
      </c>
      <c r="T688" s="5" t="s">
        <v>61</v>
      </c>
    </row>
    <row r="689" customFormat="false" ht="15" hidden="false" customHeight="false" outlineLevel="0" collapsed="false">
      <c r="A689" s="5" t="s">
        <v>4</v>
      </c>
      <c r="B689" s="5" t="s">
        <v>55</v>
      </c>
      <c r="C689" s="2" t="s">
        <v>56</v>
      </c>
      <c r="D689" s="5" t="s">
        <v>78</v>
      </c>
      <c r="E689" s="5" t="s">
        <v>62</v>
      </c>
      <c r="F689" s="2" t="n">
        <v>19</v>
      </c>
      <c r="G689" s="5" t="s">
        <v>65</v>
      </c>
      <c r="H689" s="2" t="n">
        <v>0</v>
      </c>
      <c r="I689" s="2" t="n">
        <v>1</v>
      </c>
      <c r="J689" s="2" t="n">
        <v>1</v>
      </c>
      <c r="K689" s="7" t="n">
        <v>0.6159012749</v>
      </c>
      <c r="L689" s="7" t="n">
        <v>0.1324503241</v>
      </c>
      <c r="M689" s="7" t="n">
        <v>0.1358992809</v>
      </c>
      <c r="N689" s="7" t="n">
        <v>7</v>
      </c>
      <c r="O689" s="7" t="n">
        <v>7</v>
      </c>
      <c r="P689" s="7" t="n">
        <v>6</v>
      </c>
      <c r="Q689" s="2"/>
      <c r="R689" s="7" t="n">
        <v>2.682043</v>
      </c>
      <c r="S689" s="5" t="s">
        <v>79</v>
      </c>
      <c r="T689" s="5" t="s">
        <v>61</v>
      </c>
    </row>
    <row r="690" customFormat="false" ht="15" hidden="false" customHeight="false" outlineLevel="0" collapsed="false">
      <c r="A690" s="5" t="s">
        <v>4</v>
      </c>
      <c r="B690" s="5" t="s">
        <v>55</v>
      </c>
      <c r="C690" s="2" t="s">
        <v>56</v>
      </c>
      <c r="D690" s="5" t="s">
        <v>78</v>
      </c>
      <c r="E690" s="5" t="s">
        <v>58</v>
      </c>
      <c r="F690" s="2" t="n">
        <v>19</v>
      </c>
      <c r="G690" s="5" t="s">
        <v>66</v>
      </c>
      <c r="H690" s="2" t="n">
        <v>0</v>
      </c>
      <c r="I690" s="2" t="n">
        <v>1</v>
      </c>
      <c r="J690" s="2" t="n">
        <v>1</v>
      </c>
      <c r="K690" s="7" t="n">
        <v>1.25902913</v>
      </c>
      <c r="L690" s="7" t="n">
        <v>0.1659772327</v>
      </c>
      <c r="M690" s="7" t="n">
        <v>0.1807866434</v>
      </c>
      <c r="N690" s="7" t="n">
        <v>10</v>
      </c>
      <c r="O690" s="7" t="n">
        <v>10</v>
      </c>
      <c r="P690" s="7" t="n">
        <v>0</v>
      </c>
      <c r="Q690" s="2"/>
      <c r="R690" s="7" t="n">
        <v>3.102566</v>
      </c>
      <c r="S690" s="5" t="s">
        <v>79</v>
      </c>
      <c r="T690" s="5" t="s">
        <v>61</v>
      </c>
    </row>
    <row r="691" customFormat="false" ht="15" hidden="false" customHeight="false" outlineLevel="0" collapsed="false">
      <c r="A691" s="5" t="s">
        <v>4</v>
      </c>
      <c r="B691" s="5" t="s">
        <v>55</v>
      </c>
      <c r="C691" s="2" t="s">
        <v>56</v>
      </c>
      <c r="D691" s="5" t="s">
        <v>78</v>
      </c>
      <c r="E691" s="5" t="s">
        <v>62</v>
      </c>
      <c r="F691" s="2" t="n">
        <v>19</v>
      </c>
      <c r="G691" s="5" t="s">
        <v>66</v>
      </c>
      <c r="H691" s="2" t="n">
        <v>0</v>
      </c>
      <c r="I691" s="2" t="n">
        <v>1</v>
      </c>
      <c r="J691" s="2" t="n">
        <v>1</v>
      </c>
      <c r="K691" s="7" t="n">
        <v>0.8668578579</v>
      </c>
      <c r="L691" s="7" t="n">
        <v>0.1396503386</v>
      </c>
      <c r="M691" s="7" t="n">
        <v>0.147740219</v>
      </c>
      <c r="N691" s="7" t="n">
        <v>10</v>
      </c>
      <c r="O691" s="7" t="n">
        <v>10</v>
      </c>
      <c r="P691" s="7" t="n">
        <v>9</v>
      </c>
      <c r="Q691" s="2"/>
      <c r="R691" s="7" t="n">
        <v>3.663605</v>
      </c>
      <c r="S691" s="5" t="s">
        <v>79</v>
      </c>
      <c r="T691" s="5" t="s">
        <v>61</v>
      </c>
    </row>
    <row r="692" customFormat="false" ht="15" hidden="false" customHeight="false" outlineLevel="0" collapsed="false">
      <c r="A692" s="5" t="s">
        <v>4</v>
      </c>
      <c r="B692" s="5" t="s">
        <v>55</v>
      </c>
      <c r="C692" s="2" t="s">
        <v>56</v>
      </c>
      <c r="D692" s="5" t="s">
        <v>78</v>
      </c>
      <c r="E692" s="5" t="s">
        <v>58</v>
      </c>
      <c r="F692" s="2" t="n">
        <v>20</v>
      </c>
      <c r="G692" s="5" t="s">
        <v>59</v>
      </c>
      <c r="H692" s="2" t="n">
        <v>1</v>
      </c>
      <c r="I692" s="2" t="n">
        <v>0</v>
      </c>
      <c r="J692" s="2" t="n">
        <v>0</v>
      </c>
      <c r="K692" s="2"/>
      <c r="L692" s="2"/>
      <c r="M692" s="2"/>
      <c r="N692" s="7" t="n">
        <v>1</v>
      </c>
      <c r="O692" s="7" t="n">
        <v>1</v>
      </c>
      <c r="P692" s="7" t="n">
        <v>0</v>
      </c>
      <c r="Q692" s="2"/>
      <c r="R692" s="7" t="n">
        <v>1.811288</v>
      </c>
      <c r="S692" s="5" t="s">
        <v>79</v>
      </c>
      <c r="T692" s="5" t="s">
        <v>61</v>
      </c>
    </row>
    <row r="693" customFormat="false" ht="15" hidden="false" customHeight="false" outlineLevel="0" collapsed="false">
      <c r="A693" s="5" t="s">
        <v>4</v>
      </c>
      <c r="B693" s="5" t="s">
        <v>55</v>
      </c>
      <c r="C693" s="2" t="s">
        <v>56</v>
      </c>
      <c r="D693" s="5" t="s">
        <v>78</v>
      </c>
      <c r="E693" s="5" t="s">
        <v>62</v>
      </c>
      <c r="F693" s="2" t="n">
        <v>20</v>
      </c>
      <c r="G693" s="5" t="s">
        <v>59</v>
      </c>
      <c r="H693" s="2" t="n">
        <v>1</v>
      </c>
      <c r="I693" s="2" t="n">
        <v>0</v>
      </c>
      <c r="J693" s="2" t="n">
        <v>0</v>
      </c>
      <c r="K693" s="2"/>
      <c r="L693" s="2"/>
      <c r="M693" s="2"/>
      <c r="N693" s="7" t="n">
        <v>1</v>
      </c>
      <c r="O693" s="7" t="n">
        <v>1</v>
      </c>
      <c r="P693" s="7" t="n">
        <v>0</v>
      </c>
      <c r="Q693" s="2"/>
      <c r="R693" s="7" t="n">
        <v>1.811457</v>
      </c>
      <c r="S693" s="5" t="s">
        <v>79</v>
      </c>
      <c r="T693" s="5" t="s">
        <v>61</v>
      </c>
    </row>
    <row r="694" customFormat="false" ht="15" hidden="false" customHeight="false" outlineLevel="0" collapsed="false">
      <c r="A694" s="5" t="s">
        <v>4</v>
      </c>
      <c r="B694" s="5" t="s">
        <v>55</v>
      </c>
      <c r="C694" s="2" t="s">
        <v>56</v>
      </c>
      <c r="D694" s="5" t="s">
        <v>78</v>
      </c>
      <c r="E694" s="5" t="s">
        <v>58</v>
      </c>
      <c r="F694" s="2" t="n">
        <v>20</v>
      </c>
      <c r="G694" s="5" t="s">
        <v>63</v>
      </c>
      <c r="H694" s="2" t="n">
        <v>1</v>
      </c>
      <c r="I694" s="2" t="n">
        <v>1</v>
      </c>
      <c r="J694" s="2" t="n">
        <v>1</v>
      </c>
      <c r="K694" s="7" t="n">
        <v>0.5493039152</v>
      </c>
      <c r="L694" s="7" t="n">
        <v>0.02699129742</v>
      </c>
      <c r="M694" s="7" t="n">
        <v>0.04274718063</v>
      </c>
      <c r="N694" s="7" t="n">
        <v>14</v>
      </c>
      <c r="O694" s="7" t="n">
        <v>14</v>
      </c>
      <c r="P694" s="7" t="n">
        <v>0</v>
      </c>
      <c r="Q694" s="2"/>
      <c r="R694" s="7" t="n">
        <v>1.472756</v>
      </c>
      <c r="S694" s="5" t="s">
        <v>79</v>
      </c>
      <c r="T694" s="5" t="s">
        <v>61</v>
      </c>
    </row>
    <row r="695" customFormat="false" ht="15" hidden="false" customHeight="false" outlineLevel="0" collapsed="false">
      <c r="A695" s="5" t="s">
        <v>4</v>
      </c>
      <c r="B695" s="5" t="s">
        <v>55</v>
      </c>
      <c r="C695" s="2" t="s">
        <v>56</v>
      </c>
      <c r="D695" s="5" t="s">
        <v>78</v>
      </c>
      <c r="E695" s="5" t="s">
        <v>62</v>
      </c>
      <c r="F695" s="2" t="n">
        <v>20</v>
      </c>
      <c r="G695" s="5" t="s">
        <v>63</v>
      </c>
      <c r="H695" s="2" t="n">
        <v>1</v>
      </c>
      <c r="I695" s="2" t="n">
        <v>1</v>
      </c>
      <c r="J695" s="2" t="n">
        <v>1</v>
      </c>
      <c r="K695" s="7" t="n">
        <v>0.5493039152</v>
      </c>
      <c r="L695" s="7" t="n">
        <v>0.02699129742</v>
      </c>
      <c r="M695" s="7" t="n">
        <v>0.04274718063</v>
      </c>
      <c r="N695" s="7" t="n">
        <v>14</v>
      </c>
      <c r="O695" s="7" t="n">
        <v>14</v>
      </c>
      <c r="P695" s="7" t="n">
        <v>13</v>
      </c>
      <c r="Q695" s="2"/>
      <c r="R695" s="7" t="n">
        <v>2.139653</v>
      </c>
      <c r="S695" s="5" t="s">
        <v>79</v>
      </c>
      <c r="T695" s="5" t="s">
        <v>61</v>
      </c>
    </row>
    <row r="696" customFormat="false" ht="15" hidden="false" customHeight="false" outlineLevel="0" collapsed="false">
      <c r="A696" s="5" t="s">
        <v>4</v>
      </c>
      <c r="B696" s="5" t="s">
        <v>55</v>
      </c>
      <c r="C696" s="2" t="s">
        <v>56</v>
      </c>
      <c r="D696" s="5" t="s">
        <v>78</v>
      </c>
      <c r="E696" s="5" t="s">
        <v>58</v>
      </c>
      <c r="F696" s="2" t="n">
        <v>20</v>
      </c>
      <c r="G696" s="5" t="s">
        <v>64</v>
      </c>
      <c r="H696" s="2" t="n">
        <v>0</v>
      </c>
      <c r="I696" s="2" t="n">
        <v>1</v>
      </c>
      <c r="J696" s="2" t="n">
        <v>1</v>
      </c>
      <c r="K696" s="7" t="n">
        <v>0.6671745167</v>
      </c>
      <c r="L696" s="7" t="n">
        <v>0.1241758306</v>
      </c>
      <c r="M696" s="7" t="n">
        <v>0.1300565524</v>
      </c>
      <c r="N696" s="7" t="n">
        <v>8</v>
      </c>
      <c r="O696" s="7" t="n">
        <v>8</v>
      </c>
      <c r="P696" s="7" t="n">
        <v>0</v>
      </c>
      <c r="Q696" s="2"/>
      <c r="R696" s="7" t="n">
        <v>1.902472</v>
      </c>
      <c r="S696" s="5" t="s">
        <v>79</v>
      </c>
      <c r="T696" s="5" t="s">
        <v>61</v>
      </c>
    </row>
    <row r="697" customFormat="false" ht="15" hidden="false" customHeight="false" outlineLevel="0" collapsed="false">
      <c r="A697" s="5" t="s">
        <v>4</v>
      </c>
      <c r="B697" s="5" t="s">
        <v>55</v>
      </c>
      <c r="C697" s="2" t="s">
        <v>56</v>
      </c>
      <c r="D697" s="5" t="s">
        <v>78</v>
      </c>
      <c r="E697" s="5" t="s">
        <v>62</v>
      </c>
      <c r="F697" s="2" t="n">
        <v>20</v>
      </c>
      <c r="G697" s="5" t="s">
        <v>64</v>
      </c>
      <c r="H697" s="2" t="n">
        <v>0</v>
      </c>
      <c r="I697" s="2" t="n">
        <v>1</v>
      </c>
      <c r="J697" s="2" t="n">
        <v>1</v>
      </c>
      <c r="K697" s="7" t="n">
        <v>0.6671745167</v>
      </c>
      <c r="L697" s="7" t="n">
        <v>0.1241758306</v>
      </c>
      <c r="M697" s="7" t="n">
        <v>0.1300565524</v>
      </c>
      <c r="N697" s="7" t="n">
        <v>8</v>
      </c>
      <c r="O697" s="7" t="n">
        <v>8</v>
      </c>
      <c r="P697" s="7" t="n">
        <v>8</v>
      </c>
      <c r="Q697" s="2"/>
      <c r="R697" s="7" t="n">
        <v>2.424424</v>
      </c>
      <c r="S697" s="5" t="s">
        <v>79</v>
      </c>
      <c r="T697" s="5" t="s">
        <v>61</v>
      </c>
    </row>
    <row r="698" customFormat="false" ht="15" hidden="false" customHeight="false" outlineLevel="0" collapsed="false">
      <c r="A698" s="5" t="s">
        <v>4</v>
      </c>
      <c r="B698" s="5" t="s">
        <v>55</v>
      </c>
      <c r="C698" s="2" t="s">
        <v>56</v>
      </c>
      <c r="D698" s="5" t="s">
        <v>78</v>
      </c>
      <c r="E698" s="5" t="s">
        <v>58</v>
      </c>
      <c r="F698" s="2" t="n">
        <v>20</v>
      </c>
      <c r="G698" s="5" t="s">
        <v>65</v>
      </c>
      <c r="H698" s="2" t="n">
        <v>0</v>
      </c>
      <c r="I698" s="2" t="n">
        <v>0</v>
      </c>
      <c r="J698" s="2" t="n">
        <v>0</v>
      </c>
      <c r="K698" s="2"/>
      <c r="L698" s="2"/>
      <c r="M698" s="2"/>
      <c r="N698" s="7" t="n">
        <v>2</v>
      </c>
      <c r="O698" s="7" t="n">
        <v>2</v>
      </c>
      <c r="P698" s="7" t="n">
        <v>0</v>
      </c>
      <c r="Q698" s="2"/>
      <c r="R698" s="7" t="n">
        <v>2.558671</v>
      </c>
      <c r="S698" s="5" t="s">
        <v>79</v>
      </c>
      <c r="T698" s="5" t="s">
        <v>61</v>
      </c>
    </row>
    <row r="699" customFormat="false" ht="15" hidden="false" customHeight="false" outlineLevel="0" collapsed="false">
      <c r="A699" s="5" t="s">
        <v>4</v>
      </c>
      <c r="B699" s="5" t="s">
        <v>55</v>
      </c>
      <c r="C699" s="2" t="s">
        <v>56</v>
      </c>
      <c r="D699" s="5" t="s">
        <v>78</v>
      </c>
      <c r="E699" s="5" t="s">
        <v>62</v>
      </c>
      <c r="F699" s="2" t="n">
        <v>20</v>
      </c>
      <c r="G699" s="5" t="s">
        <v>65</v>
      </c>
      <c r="H699" s="2" t="n">
        <v>0</v>
      </c>
      <c r="I699" s="2" t="n">
        <v>0</v>
      </c>
      <c r="J699" s="2" t="n">
        <v>0</v>
      </c>
      <c r="K699" s="2"/>
      <c r="L699" s="2"/>
      <c r="M699" s="2"/>
      <c r="N699" s="7" t="n">
        <v>2</v>
      </c>
      <c r="O699" s="7" t="n">
        <v>2</v>
      </c>
      <c r="P699" s="7" t="n">
        <v>0</v>
      </c>
      <c r="Q699" s="2"/>
      <c r="R699" s="7" t="n">
        <v>2.558701</v>
      </c>
      <c r="S699" s="5" t="s">
        <v>79</v>
      </c>
      <c r="T699" s="5" t="s">
        <v>61</v>
      </c>
    </row>
    <row r="700" customFormat="false" ht="15" hidden="false" customHeight="false" outlineLevel="0" collapsed="false">
      <c r="A700" s="5" t="s">
        <v>4</v>
      </c>
      <c r="B700" s="5" t="s">
        <v>55</v>
      </c>
      <c r="C700" s="2" t="s">
        <v>56</v>
      </c>
      <c r="D700" s="5" t="s">
        <v>78</v>
      </c>
      <c r="E700" s="5" t="s">
        <v>58</v>
      </c>
      <c r="F700" s="2" t="n">
        <v>20</v>
      </c>
      <c r="G700" s="5" t="s">
        <v>66</v>
      </c>
      <c r="H700" s="2" t="n">
        <v>0</v>
      </c>
      <c r="I700" s="2" t="n">
        <v>0</v>
      </c>
      <c r="J700" s="2" t="n">
        <v>0</v>
      </c>
      <c r="K700" s="2"/>
      <c r="L700" s="2"/>
      <c r="M700" s="2"/>
      <c r="N700" s="7" t="n">
        <v>0</v>
      </c>
      <c r="O700" s="7" t="n">
        <v>0</v>
      </c>
      <c r="P700" s="7" t="n">
        <v>0</v>
      </c>
      <c r="Q700" s="2"/>
      <c r="R700" s="7" t="n">
        <v>2.869</v>
      </c>
      <c r="S700" s="5" t="s">
        <v>79</v>
      </c>
      <c r="T700" s="5" t="s">
        <v>61</v>
      </c>
    </row>
    <row r="701" customFormat="false" ht="15" hidden="false" customHeight="false" outlineLevel="0" collapsed="false">
      <c r="A701" s="5" t="s">
        <v>4</v>
      </c>
      <c r="B701" s="5" t="s">
        <v>55</v>
      </c>
      <c r="C701" s="2" t="s">
        <v>56</v>
      </c>
      <c r="D701" s="5" t="s">
        <v>78</v>
      </c>
      <c r="E701" s="5" t="s">
        <v>62</v>
      </c>
      <c r="F701" s="2" t="n">
        <v>20</v>
      </c>
      <c r="G701" s="5" t="s">
        <v>66</v>
      </c>
      <c r="H701" s="2" t="n">
        <v>0</v>
      </c>
      <c r="I701" s="2" t="n">
        <v>0</v>
      </c>
      <c r="J701" s="2" t="n">
        <v>0</v>
      </c>
      <c r="K701" s="2"/>
      <c r="L701" s="2"/>
      <c r="M701" s="2"/>
      <c r="N701" s="7" t="n">
        <v>0</v>
      </c>
      <c r="O701" s="7" t="n">
        <v>0</v>
      </c>
      <c r="P701" s="7" t="n">
        <v>0</v>
      </c>
      <c r="Q701" s="2"/>
      <c r="R701" s="7" t="n">
        <v>2.86895</v>
      </c>
      <c r="S701" s="5" t="s">
        <v>79</v>
      </c>
      <c r="T701" s="5" t="s">
        <v>61</v>
      </c>
    </row>
    <row r="702" customFormat="false" ht="15" hidden="false" customHeight="false" outlineLevel="0" collapsed="false">
      <c r="A702" s="5" t="s">
        <v>4</v>
      </c>
      <c r="B702" s="5" t="s">
        <v>55</v>
      </c>
      <c r="C702" s="2" t="s">
        <v>56</v>
      </c>
      <c r="D702" s="5" t="s">
        <v>78</v>
      </c>
      <c r="E702" s="5" t="s">
        <v>58</v>
      </c>
      <c r="F702" s="2" t="n">
        <v>11</v>
      </c>
      <c r="G702" s="5" t="s">
        <v>67</v>
      </c>
      <c r="H702" s="2" t="n">
        <v>1</v>
      </c>
      <c r="I702" s="2" t="n">
        <v>0</v>
      </c>
      <c r="J702" s="2" t="n">
        <v>0</v>
      </c>
      <c r="K702" s="2"/>
      <c r="L702" s="2"/>
      <c r="M702" s="2"/>
      <c r="N702" s="7" t="n">
        <v>1</v>
      </c>
      <c r="O702" s="7" t="n">
        <v>1</v>
      </c>
      <c r="P702" s="7" t="n">
        <v>0</v>
      </c>
      <c r="Q702" s="2"/>
      <c r="R702" s="7" t="n">
        <v>1.993987</v>
      </c>
      <c r="S702" s="5" t="s">
        <v>79</v>
      </c>
      <c r="T702" s="5" t="s">
        <v>61</v>
      </c>
    </row>
    <row r="703" customFormat="false" ht="15" hidden="false" customHeight="false" outlineLevel="0" collapsed="false">
      <c r="A703" s="5" t="s">
        <v>4</v>
      </c>
      <c r="B703" s="5" t="s">
        <v>55</v>
      </c>
      <c r="C703" s="2" t="s">
        <v>56</v>
      </c>
      <c r="D703" s="5" t="s">
        <v>78</v>
      </c>
      <c r="E703" s="5" t="s">
        <v>62</v>
      </c>
      <c r="F703" s="2" t="n">
        <v>11</v>
      </c>
      <c r="G703" s="5" t="s">
        <v>67</v>
      </c>
      <c r="H703" s="2" t="n">
        <v>1</v>
      </c>
      <c r="I703" s="2" t="n">
        <v>0</v>
      </c>
      <c r="J703" s="2" t="n">
        <v>0</v>
      </c>
      <c r="K703" s="2"/>
      <c r="L703" s="2"/>
      <c r="M703" s="2"/>
      <c r="N703" s="7" t="n">
        <v>1</v>
      </c>
      <c r="O703" s="7" t="n">
        <v>1</v>
      </c>
      <c r="P703" s="7" t="n">
        <v>0</v>
      </c>
      <c r="Q703" s="2"/>
      <c r="R703" s="7" t="n">
        <v>1.994637</v>
      </c>
      <c r="S703" s="5" t="s">
        <v>79</v>
      </c>
      <c r="T703" s="5" t="s">
        <v>61</v>
      </c>
    </row>
    <row r="704" customFormat="false" ht="15" hidden="false" customHeight="false" outlineLevel="0" collapsed="false">
      <c r="A704" s="5" t="s">
        <v>4</v>
      </c>
      <c r="B704" s="5" t="s">
        <v>55</v>
      </c>
      <c r="C704" s="2" t="s">
        <v>56</v>
      </c>
      <c r="D704" s="5" t="s">
        <v>78</v>
      </c>
      <c r="E704" s="5" t="s">
        <v>58</v>
      </c>
      <c r="F704" s="2" t="n">
        <v>11</v>
      </c>
      <c r="G704" s="5" t="s">
        <v>68</v>
      </c>
      <c r="H704" s="2" t="n">
        <v>1</v>
      </c>
      <c r="I704" s="2" t="n">
        <v>1</v>
      </c>
      <c r="J704" s="2" t="n">
        <v>1</v>
      </c>
      <c r="K704" s="7" t="n">
        <v>1.172780311</v>
      </c>
      <c r="L704" s="7" t="n">
        <v>0.06212736303</v>
      </c>
      <c r="M704" s="7" t="n">
        <v>0.1039695518</v>
      </c>
      <c r="N704" s="7" t="n">
        <v>4</v>
      </c>
      <c r="O704" s="7" t="n">
        <v>4</v>
      </c>
      <c r="P704" s="7" t="n">
        <v>0</v>
      </c>
      <c r="Q704" s="2"/>
      <c r="R704" s="7" t="n">
        <v>1.8203</v>
      </c>
      <c r="S704" s="5" t="s">
        <v>79</v>
      </c>
      <c r="T704" s="5" t="s">
        <v>61</v>
      </c>
    </row>
    <row r="705" customFormat="false" ht="15" hidden="false" customHeight="false" outlineLevel="0" collapsed="false">
      <c r="A705" s="5" t="s">
        <v>4</v>
      </c>
      <c r="B705" s="5" t="s">
        <v>55</v>
      </c>
      <c r="C705" s="2" t="s">
        <v>56</v>
      </c>
      <c r="D705" s="5" t="s">
        <v>78</v>
      </c>
      <c r="E705" s="5" t="s">
        <v>62</v>
      </c>
      <c r="F705" s="2" t="n">
        <v>11</v>
      </c>
      <c r="G705" s="5" t="s">
        <v>68</v>
      </c>
      <c r="H705" s="2" t="n">
        <v>1</v>
      </c>
      <c r="I705" s="2" t="n">
        <v>1</v>
      </c>
      <c r="J705" s="2" t="n">
        <v>1</v>
      </c>
      <c r="K705" s="7" t="n">
        <v>1.172780311</v>
      </c>
      <c r="L705" s="7" t="n">
        <v>0.06212736303</v>
      </c>
      <c r="M705" s="7" t="n">
        <v>0.1039695518</v>
      </c>
      <c r="N705" s="7" t="n">
        <v>4</v>
      </c>
      <c r="O705" s="7" t="n">
        <v>4</v>
      </c>
      <c r="P705" s="7" t="n">
        <v>4</v>
      </c>
      <c r="Q705" s="2"/>
      <c r="R705" s="7" t="n">
        <v>2.093243</v>
      </c>
      <c r="S705" s="5" t="s">
        <v>79</v>
      </c>
      <c r="T705" s="5" t="s">
        <v>61</v>
      </c>
    </row>
    <row r="706" customFormat="false" ht="15" hidden="false" customHeight="false" outlineLevel="0" collapsed="false">
      <c r="A706" s="5" t="s">
        <v>4</v>
      </c>
      <c r="B706" s="5" t="s">
        <v>55</v>
      </c>
      <c r="C706" s="2" t="s">
        <v>56</v>
      </c>
      <c r="D706" s="5" t="s">
        <v>78</v>
      </c>
      <c r="E706" s="5" t="s">
        <v>58</v>
      </c>
      <c r="F706" s="2" t="n">
        <v>11</v>
      </c>
      <c r="G706" s="5" t="s">
        <v>69</v>
      </c>
      <c r="H706" s="2" t="n">
        <v>1</v>
      </c>
      <c r="I706" s="2" t="n">
        <v>1</v>
      </c>
      <c r="J706" s="2" t="n">
        <v>1</v>
      </c>
      <c r="K706" s="7" t="n">
        <v>0.2467944533</v>
      </c>
      <c r="L706" s="7" t="n">
        <v>0.03502816333</v>
      </c>
      <c r="M706" s="7" t="n">
        <v>0.03871576742</v>
      </c>
      <c r="N706" s="7" t="n">
        <v>5</v>
      </c>
      <c r="O706" s="7" t="n">
        <v>5</v>
      </c>
      <c r="P706" s="7" t="n">
        <v>0</v>
      </c>
      <c r="Q706" s="2"/>
      <c r="R706" s="7" t="n">
        <v>2.983348</v>
      </c>
      <c r="S706" s="5" t="s">
        <v>79</v>
      </c>
      <c r="T706" s="5" t="s">
        <v>61</v>
      </c>
    </row>
    <row r="707" customFormat="false" ht="15" hidden="false" customHeight="false" outlineLevel="0" collapsed="false">
      <c r="A707" s="5" t="s">
        <v>4</v>
      </c>
      <c r="B707" s="5" t="s">
        <v>55</v>
      </c>
      <c r="C707" s="2" t="s">
        <v>56</v>
      </c>
      <c r="D707" s="5" t="s">
        <v>78</v>
      </c>
      <c r="E707" s="5" t="s">
        <v>62</v>
      </c>
      <c r="F707" s="2" t="n">
        <v>11</v>
      </c>
      <c r="G707" s="5" t="s">
        <v>69</v>
      </c>
      <c r="H707" s="2" t="n">
        <v>1</v>
      </c>
      <c r="I707" s="2" t="n">
        <v>1</v>
      </c>
      <c r="J707" s="2" t="n">
        <v>1</v>
      </c>
      <c r="K707" s="7" t="n">
        <v>0.2467944533</v>
      </c>
      <c r="L707" s="7" t="n">
        <v>0.03502816333</v>
      </c>
      <c r="M707" s="7" t="n">
        <v>0.03871576742</v>
      </c>
      <c r="N707" s="7" t="n">
        <v>5</v>
      </c>
      <c r="O707" s="7" t="n">
        <v>5</v>
      </c>
      <c r="P707" s="7" t="n">
        <v>5</v>
      </c>
      <c r="Q707" s="2"/>
      <c r="R707" s="7" t="n">
        <v>3.35041</v>
      </c>
      <c r="S707" s="5" t="s">
        <v>79</v>
      </c>
      <c r="T707" s="5" t="s">
        <v>61</v>
      </c>
    </row>
    <row r="708" customFormat="false" ht="15" hidden="false" customHeight="false" outlineLevel="0" collapsed="false">
      <c r="A708" s="5" t="s">
        <v>4</v>
      </c>
      <c r="B708" s="5" t="s">
        <v>55</v>
      </c>
      <c r="C708" s="2" t="s">
        <v>56</v>
      </c>
      <c r="D708" s="5" t="s">
        <v>78</v>
      </c>
      <c r="E708" s="5" t="s">
        <v>58</v>
      </c>
      <c r="F708" s="2" t="n">
        <v>11</v>
      </c>
      <c r="G708" s="5" t="s">
        <v>70</v>
      </c>
      <c r="H708" s="2" t="n">
        <v>0</v>
      </c>
      <c r="I708" s="2" t="n">
        <v>1</v>
      </c>
      <c r="J708" s="2" t="n">
        <v>0</v>
      </c>
      <c r="K708" s="7" t="n">
        <v>2.619185052</v>
      </c>
      <c r="L708" s="7" t="n">
        <v>1.247585791</v>
      </c>
      <c r="M708" s="7" t="n">
        <v>1.248301133</v>
      </c>
      <c r="N708" s="7" t="n">
        <v>3</v>
      </c>
      <c r="O708" s="7" t="n">
        <v>3</v>
      </c>
      <c r="P708" s="7" t="n">
        <v>0</v>
      </c>
      <c r="Q708" s="2"/>
      <c r="R708" s="7" t="n">
        <v>3.039811</v>
      </c>
      <c r="S708" s="5" t="s">
        <v>79</v>
      </c>
      <c r="T708" s="5" t="s">
        <v>61</v>
      </c>
    </row>
    <row r="709" customFormat="false" ht="15" hidden="false" customHeight="false" outlineLevel="0" collapsed="false">
      <c r="A709" s="5" t="s">
        <v>4</v>
      </c>
      <c r="B709" s="5" t="s">
        <v>55</v>
      </c>
      <c r="C709" s="2" t="s">
        <v>56</v>
      </c>
      <c r="D709" s="5" t="s">
        <v>78</v>
      </c>
      <c r="E709" s="5" t="s">
        <v>62</v>
      </c>
      <c r="F709" s="2" t="n">
        <v>11</v>
      </c>
      <c r="G709" s="5" t="s">
        <v>70</v>
      </c>
      <c r="H709" s="2" t="n">
        <v>0</v>
      </c>
      <c r="I709" s="2" t="n">
        <v>1</v>
      </c>
      <c r="J709" s="2" t="n">
        <v>0</v>
      </c>
      <c r="K709" s="7" t="n">
        <v>2.619185052</v>
      </c>
      <c r="L709" s="7" t="n">
        <v>1.247585791</v>
      </c>
      <c r="M709" s="7" t="n">
        <v>1.248301133</v>
      </c>
      <c r="N709" s="7" t="n">
        <v>3</v>
      </c>
      <c r="O709" s="7" t="n">
        <v>3</v>
      </c>
      <c r="P709" s="7" t="n">
        <v>3</v>
      </c>
      <c r="Q709" s="2"/>
      <c r="R709" s="7" t="n">
        <v>3.22878</v>
      </c>
      <c r="S709" s="5" t="s">
        <v>79</v>
      </c>
      <c r="T709" s="5" t="s">
        <v>61</v>
      </c>
    </row>
    <row r="710" customFormat="false" ht="15" hidden="false" customHeight="false" outlineLevel="0" collapsed="false">
      <c r="A710" s="5" t="s">
        <v>4</v>
      </c>
      <c r="B710" s="5" t="s">
        <v>55</v>
      </c>
      <c r="C710" s="2" t="s">
        <v>56</v>
      </c>
      <c r="D710" s="5" t="s">
        <v>78</v>
      </c>
      <c r="E710" s="5" t="s">
        <v>58</v>
      </c>
      <c r="F710" s="2" t="n">
        <v>12</v>
      </c>
      <c r="G710" s="5" t="s">
        <v>67</v>
      </c>
      <c r="H710" s="2" t="n">
        <v>1</v>
      </c>
      <c r="I710" s="2" t="n">
        <v>1</v>
      </c>
      <c r="J710" s="2" t="n">
        <v>0</v>
      </c>
      <c r="K710" s="7" t="n">
        <v>3.303559349</v>
      </c>
      <c r="L710" s="7" t="n">
        <v>0.3697696237</v>
      </c>
      <c r="M710" s="7" t="n">
        <v>0.4101670422</v>
      </c>
      <c r="N710" s="7" t="n">
        <v>5</v>
      </c>
      <c r="O710" s="7" t="n">
        <v>5</v>
      </c>
      <c r="P710" s="7" t="n">
        <v>0</v>
      </c>
      <c r="Q710" s="2"/>
      <c r="R710" s="7" t="n">
        <v>1.60388</v>
      </c>
      <c r="S710" s="5" t="s">
        <v>79</v>
      </c>
      <c r="T710" s="5" t="s">
        <v>61</v>
      </c>
    </row>
    <row r="711" customFormat="false" ht="15" hidden="false" customHeight="false" outlineLevel="0" collapsed="false">
      <c r="A711" s="5" t="s">
        <v>4</v>
      </c>
      <c r="B711" s="5" t="s">
        <v>55</v>
      </c>
      <c r="C711" s="2" t="s">
        <v>56</v>
      </c>
      <c r="D711" s="5" t="s">
        <v>78</v>
      </c>
      <c r="E711" s="5" t="s">
        <v>62</v>
      </c>
      <c r="F711" s="2" t="n">
        <v>12</v>
      </c>
      <c r="G711" s="5" t="s">
        <v>67</v>
      </c>
      <c r="H711" s="2" t="n">
        <v>1</v>
      </c>
      <c r="I711" s="2" t="n">
        <v>1</v>
      </c>
      <c r="J711" s="2" t="n">
        <v>0</v>
      </c>
      <c r="K711" s="7" t="n">
        <v>3.303559349</v>
      </c>
      <c r="L711" s="7" t="n">
        <v>0.3697696237</v>
      </c>
      <c r="M711" s="7" t="n">
        <v>0.4101670422</v>
      </c>
      <c r="N711" s="7" t="n">
        <v>5</v>
      </c>
      <c r="O711" s="7" t="n">
        <v>5</v>
      </c>
      <c r="P711" s="7" t="n">
        <v>5</v>
      </c>
      <c r="Q711" s="2"/>
      <c r="R711" s="7" t="n">
        <v>1.941228</v>
      </c>
      <c r="S711" s="5" t="s">
        <v>79</v>
      </c>
      <c r="T711" s="5" t="s">
        <v>61</v>
      </c>
    </row>
    <row r="712" customFormat="false" ht="15" hidden="false" customHeight="false" outlineLevel="0" collapsed="false">
      <c r="A712" s="5" t="s">
        <v>4</v>
      </c>
      <c r="B712" s="5" t="s">
        <v>55</v>
      </c>
      <c r="C712" s="2" t="s">
        <v>56</v>
      </c>
      <c r="D712" s="5" t="s">
        <v>78</v>
      </c>
      <c r="E712" s="5" t="s">
        <v>58</v>
      </c>
      <c r="F712" s="2" t="n">
        <v>12</v>
      </c>
      <c r="G712" s="5" t="s">
        <v>68</v>
      </c>
      <c r="H712" s="2" t="n">
        <v>1</v>
      </c>
      <c r="I712" s="2" t="n">
        <v>1</v>
      </c>
      <c r="J712" s="2" t="n">
        <v>1</v>
      </c>
      <c r="K712" s="7" t="n">
        <v>0.9862588957</v>
      </c>
      <c r="L712" s="7" t="n">
        <v>0.03175437822</v>
      </c>
      <c r="M712" s="7" t="n">
        <v>0.0713780673</v>
      </c>
      <c r="N712" s="7" t="n">
        <v>5</v>
      </c>
      <c r="O712" s="7" t="n">
        <v>5</v>
      </c>
      <c r="P712" s="7" t="n">
        <v>0</v>
      </c>
      <c r="Q712" s="2"/>
      <c r="R712" s="7" t="n">
        <v>1.824015</v>
      </c>
      <c r="S712" s="5" t="s">
        <v>79</v>
      </c>
      <c r="T712" s="5" t="s">
        <v>61</v>
      </c>
    </row>
    <row r="713" customFormat="false" ht="15" hidden="false" customHeight="false" outlineLevel="0" collapsed="false">
      <c r="A713" s="5" t="s">
        <v>4</v>
      </c>
      <c r="B713" s="5" t="s">
        <v>55</v>
      </c>
      <c r="C713" s="2" t="s">
        <v>56</v>
      </c>
      <c r="D713" s="5" t="s">
        <v>78</v>
      </c>
      <c r="E713" s="5" t="s">
        <v>62</v>
      </c>
      <c r="F713" s="2" t="n">
        <v>12</v>
      </c>
      <c r="G713" s="5" t="s">
        <v>68</v>
      </c>
      <c r="H713" s="2" t="n">
        <v>1</v>
      </c>
      <c r="I713" s="2" t="n">
        <v>1</v>
      </c>
      <c r="J713" s="2" t="n">
        <v>1</v>
      </c>
      <c r="K713" s="7" t="n">
        <v>0.9862588957</v>
      </c>
      <c r="L713" s="7" t="n">
        <v>0.03175437822</v>
      </c>
      <c r="M713" s="7" t="n">
        <v>0.0713780673</v>
      </c>
      <c r="N713" s="7" t="n">
        <v>5</v>
      </c>
      <c r="O713" s="7" t="n">
        <v>5</v>
      </c>
      <c r="P713" s="7" t="n">
        <v>5</v>
      </c>
      <c r="Q713" s="2"/>
      <c r="R713" s="7" t="n">
        <v>2.16634</v>
      </c>
      <c r="S713" s="5" t="s">
        <v>79</v>
      </c>
      <c r="T713" s="5" t="s">
        <v>61</v>
      </c>
    </row>
    <row r="714" customFormat="false" ht="15" hidden="false" customHeight="false" outlineLevel="0" collapsed="false">
      <c r="A714" s="5" t="s">
        <v>4</v>
      </c>
      <c r="B714" s="5" t="s">
        <v>55</v>
      </c>
      <c r="C714" s="2" t="s">
        <v>56</v>
      </c>
      <c r="D714" s="5" t="s">
        <v>78</v>
      </c>
      <c r="E714" s="5" t="s">
        <v>58</v>
      </c>
      <c r="F714" s="2" t="n">
        <v>12</v>
      </c>
      <c r="G714" s="5" t="s">
        <v>69</v>
      </c>
      <c r="H714" s="2" t="n">
        <v>1</v>
      </c>
      <c r="I714" s="2" t="n">
        <v>1</v>
      </c>
      <c r="J714" s="2" t="n">
        <v>1</v>
      </c>
      <c r="K714" s="7" t="n">
        <v>0.05103113835</v>
      </c>
      <c r="L714" s="7" t="n">
        <v>0.01293076178</v>
      </c>
      <c r="M714" s="7" t="n">
        <v>0.01333564321</v>
      </c>
      <c r="N714" s="7" t="n">
        <v>13</v>
      </c>
      <c r="O714" s="7" t="n">
        <v>13</v>
      </c>
      <c r="P714" s="7" t="n">
        <v>0</v>
      </c>
      <c r="Q714" s="2"/>
      <c r="R714" s="7" t="n">
        <v>5.18354</v>
      </c>
      <c r="S714" s="5" t="s">
        <v>79</v>
      </c>
      <c r="T714" s="5" t="s">
        <v>61</v>
      </c>
    </row>
    <row r="715" customFormat="false" ht="15" hidden="false" customHeight="false" outlineLevel="0" collapsed="false">
      <c r="A715" s="5" t="s">
        <v>4</v>
      </c>
      <c r="B715" s="5" t="s">
        <v>55</v>
      </c>
      <c r="C715" s="2" t="s">
        <v>56</v>
      </c>
      <c r="D715" s="5" t="s">
        <v>78</v>
      </c>
      <c r="E715" s="5" t="s">
        <v>62</v>
      </c>
      <c r="F715" s="2" t="n">
        <v>12</v>
      </c>
      <c r="G715" s="5" t="s">
        <v>69</v>
      </c>
      <c r="H715" s="2" t="n">
        <v>1</v>
      </c>
      <c r="I715" s="2" t="n">
        <v>1</v>
      </c>
      <c r="J715" s="2" t="n">
        <v>1</v>
      </c>
      <c r="K715" s="7" t="n">
        <v>0.05103113835</v>
      </c>
      <c r="L715" s="7" t="n">
        <v>0.01293076178</v>
      </c>
      <c r="M715" s="7" t="n">
        <v>0.01333564321</v>
      </c>
      <c r="N715" s="7" t="n">
        <v>13</v>
      </c>
      <c r="O715" s="7" t="n">
        <v>13</v>
      </c>
      <c r="P715" s="7" t="n">
        <v>13</v>
      </c>
      <c r="Q715" s="2"/>
      <c r="R715" s="7" t="n">
        <v>5.889604</v>
      </c>
      <c r="S715" s="5" t="s">
        <v>79</v>
      </c>
      <c r="T715" s="5" t="s">
        <v>61</v>
      </c>
    </row>
    <row r="716" customFormat="false" ht="15" hidden="false" customHeight="false" outlineLevel="0" collapsed="false">
      <c r="A716" s="5" t="s">
        <v>4</v>
      </c>
      <c r="B716" s="5" t="s">
        <v>55</v>
      </c>
      <c r="C716" s="2" t="s">
        <v>56</v>
      </c>
      <c r="D716" s="5" t="s">
        <v>78</v>
      </c>
      <c r="E716" s="5" t="s">
        <v>58</v>
      </c>
      <c r="F716" s="2" t="n">
        <v>12</v>
      </c>
      <c r="G716" s="5" t="s">
        <v>70</v>
      </c>
      <c r="H716" s="2" t="n">
        <v>0</v>
      </c>
      <c r="I716" s="2" t="n">
        <v>1</v>
      </c>
      <c r="J716" s="2" t="n">
        <v>1</v>
      </c>
      <c r="K716" s="7" t="n">
        <v>0.3369280193</v>
      </c>
      <c r="L716" s="7" t="n">
        <v>0.02195815715</v>
      </c>
      <c r="M716" s="7" t="n">
        <v>0.03558304721</v>
      </c>
      <c r="N716" s="7" t="n">
        <v>8</v>
      </c>
      <c r="O716" s="7" t="n">
        <v>8</v>
      </c>
      <c r="P716" s="7" t="n">
        <v>0</v>
      </c>
      <c r="Q716" s="2"/>
      <c r="R716" s="7" t="n">
        <v>2.995798</v>
      </c>
      <c r="S716" s="5" t="s">
        <v>79</v>
      </c>
      <c r="T716" s="5" t="s">
        <v>61</v>
      </c>
    </row>
    <row r="717" customFormat="false" ht="15" hidden="false" customHeight="false" outlineLevel="0" collapsed="false">
      <c r="A717" s="5" t="s">
        <v>4</v>
      </c>
      <c r="B717" s="5" t="s">
        <v>55</v>
      </c>
      <c r="C717" s="2" t="s">
        <v>56</v>
      </c>
      <c r="D717" s="5" t="s">
        <v>78</v>
      </c>
      <c r="E717" s="5" t="s">
        <v>62</v>
      </c>
      <c r="F717" s="2" t="n">
        <v>12</v>
      </c>
      <c r="G717" s="5" t="s">
        <v>70</v>
      </c>
      <c r="H717" s="2" t="n">
        <v>0</v>
      </c>
      <c r="I717" s="2" t="n">
        <v>1</v>
      </c>
      <c r="J717" s="2" t="n">
        <v>1</v>
      </c>
      <c r="K717" s="7" t="n">
        <v>0.6814950882</v>
      </c>
      <c r="L717" s="7" t="n">
        <v>0.05841606772</v>
      </c>
      <c r="M717" s="7" t="n">
        <v>0.07741410109</v>
      </c>
      <c r="N717" s="7" t="n">
        <v>8</v>
      </c>
      <c r="O717" s="7" t="n">
        <v>8</v>
      </c>
      <c r="P717" s="7" t="n">
        <v>7</v>
      </c>
      <c r="Q717" s="2"/>
      <c r="R717" s="7" t="n">
        <v>3.536266</v>
      </c>
      <c r="S717" s="5" t="s">
        <v>79</v>
      </c>
      <c r="T717" s="5" t="s">
        <v>61</v>
      </c>
    </row>
    <row r="718" customFormat="false" ht="15" hidden="false" customHeight="false" outlineLevel="0" collapsed="false">
      <c r="A718" s="5" t="s">
        <v>4</v>
      </c>
      <c r="B718" s="5" t="s">
        <v>55</v>
      </c>
      <c r="C718" s="2" t="s">
        <v>56</v>
      </c>
      <c r="D718" s="5" t="s">
        <v>78</v>
      </c>
      <c r="E718" s="5" t="s">
        <v>58</v>
      </c>
      <c r="F718" s="2" t="n">
        <v>13</v>
      </c>
      <c r="G718" s="5" t="s">
        <v>67</v>
      </c>
      <c r="H718" s="2" t="n">
        <v>1</v>
      </c>
      <c r="I718" s="2" t="n">
        <v>1</v>
      </c>
      <c r="J718" s="2" t="n">
        <v>0</v>
      </c>
      <c r="K718" s="7" t="n">
        <v>2.786963187</v>
      </c>
      <c r="L718" s="7" t="n">
        <v>0.1044065488</v>
      </c>
      <c r="M718" s="7" t="n">
        <v>0.1923788881</v>
      </c>
      <c r="N718" s="7" t="n">
        <v>10</v>
      </c>
      <c r="O718" s="7" t="n">
        <v>10</v>
      </c>
      <c r="P718" s="7" t="n">
        <v>0</v>
      </c>
      <c r="Q718" s="2"/>
      <c r="R718" s="7" t="n">
        <v>1.512615</v>
      </c>
      <c r="S718" s="5" t="s">
        <v>79</v>
      </c>
      <c r="T718" s="5" t="s">
        <v>61</v>
      </c>
    </row>
    <row r="719" customFormat="false" ht="15" hidden="false" customHeight="false" outlineLevel="0" collapsed="false">
      <c r="A719" s="5" t="s">
        <v>4</v>
      </c>
      <c r="B719" s="5" t="s">
        <v>55</v>
      </c>
      <c r="C719" s="2" t="s">
        <v>56</v>
      </c>
      <c r="D719" s="5" t="s">
        <v>78</v>
      </c>
      <c r="E719" s="5" t="s">
        <v>62</v>
      </c>
      <c r="F719" s="2" t="n">
        <v>13</v>
      </c>
      <c r="G719" s="5" t="s">
        <v>67</v>
      </c>
      <c r="H719" s="2" t="n">
        <v>1</v>
      </c>
      <c r="I719" s="2" t="n">
        <v>1</v>
      </c>
      <c r="J719" s="2" t="n">
        <v>1</v>
      </c>
      <c r="K719" s="7" t="n">
        <v>0.1342000015</v>
      </c>
      <c r="L719" s="7" t="n">
        <v>0.01957066388</v>
      </c>
      <c r="M719" s="7" t="n">
        <v>0.02138262733</v>
      </c>
      <c r="N719" s="7" t="n">
        <v>10</v>
      </c>
      <c r="O719" s="7" t="n">
        <v>10</v>
      </c>
      <c r="P719" s="7" t="n">
        <v>9</v>
      </c>
      <c r="Q719" s="2"/>
      <c r="R719" s="7" t="n">
        <v>2.100494</v>
      </c>
      <c r="S719" s="5" t="s">
        <v>79</v>
      </c>
      <c r="T719" s="5" t="s">
        <v>61</v>
      </c>
    </row>
    <row r="720" customFormat="false" ht="15" hidden="false" customHeight="false" outlineLevel="0" collapsed="false">
      <c r="A720" s="5" t="s">
        <v>4</v>
      </c>
      <c r="B720" s="5" t="s">
        <v>55</v>
      </c>
      <c r="C720" s="2" t="s">
        <v>56</v>
      </c>
      <c r="D720" s="5" t="s">
        <v>78</v>
      </c>
      <c r="E720" s="5" t="s">
        <v>58</v>
      </c>
      <c r="F720" s="2" t="n">
        <v>13</v>
      </c>
      <c r="G720" s="5" t="s">
        <v>68</v>
      </c>
      <c r="H720" s="2" t="n">
        <v>1</v>
      </c>
      <c r="I720" s="2" t="n">
        <v>0</v>
      </c>
      <c r="J720" s="2" t="n">
        <v>0</v>
      </c>
      <c r="K720" s="2"/>
      <c r="L720" s="2"/>
      <c r="M720" s="2"/>
      <c r="N720" s="7" t="n">
        <v>1</v>
      </c>
      <c r="O720" s="7" t="n">
        <v>1</v>
      </c>
      <c r="P720" s="7" t="n">
        <v>0</v>
      </c>
      <c r="Q720" s="2"/>
      <c r="R720" s="7" t="n">
        <v>1.675926</v>
      </c>
      <c r="S720" s="5" t="s">
        <v>79</v>
      </c>
      <c r="T720" s="5" t="s">
        <v>61</v>
      </c>
    </row>
    <row r="721" customFormat="false" ht="15" hidden="false" customHeight="false" outlineLevel="0" collapsed="false">
      <c r="A721" s="5" t="s">
        <v>4</v>
      </c>
      <c r="B721" s="5" t="s">
        <v>55</v>
      </c>
      <c r="C721" s="2" t="s">
        <v>56</v>
      </c>
      <c r="D721" s="5" t="s">
        <v>78</v>
      </c>
      <c r="E721" s="5" t="s">
        <v>62</v>
      </c>
      <c r="F721" s="2" t="n">
        <v>13</v>
      </c>
      <c r="G721" s="5" t="s">
        <v>68</v>
      </c>
      <c r="H721" s="2" t="n">
        <v>1</v>
      </c>
      <c r="I721" s="2" t="n">
        <v>0</v>
      </c>
      <c r="J721" s="2" t="n">
        <v>0</v>
      </c>
      <c r="K721" s="2"/>
      <c r="L721" s="2"/>
      <c r="M721" s="2"/>
      <c r="N721" s="7" t="n">
        <v>1</v>
      </c>
      <c r="O721" s="7" t="n">
        <v>1</v>
      </c>
      <c r="P721" s="7" t="n">
        <v>0</v>
      </c>
      <c r="Q721" s="2"/>
      <c r="R721" s="7" t="n">
        <v>1.676087</v>
      </c>
      <c r="S721" s="5" t="s">
        <v>79</v>
      </c>
      <c r="T721" s="5" t="s">
        <v>61</v>
      </c>
    </row>
    <row r="722" customFormat="false" ht="15" hidden="false" customHeight="false" outlineLevel="0" collapsed="false">
      <c r="A722" s="5" t="s">
        <v>4</v>
      </c>
      <c r="B722" s="5" t="s">
        <v>55</v>
      </c>
      <c r="C722" s="2" t="s">
        <v>56</v>
      </c>
      <c r="D722" s="5" t="s">
        <v>78</v>
      </c>
      <c r="E722" s="5" t="s">
        <v>58</v>
      </c>
      <c r="F722" s="2" t="n">
        <v>13</v>
      </c>
      <c r="G722" s="5" t="s">
        <v>69</v>
      </c>
      <c r="H722" s="2" t="n">
        <v>1</v>
      </c>
      <c r="I722" s="2" t="n">
        <v>1</v>
      </c>
      <c r="J722" s="2" t="n">
        <v>1</v>
      </c>
      <c r="K722" s="7" t="n">
        <v>0.5322367699</v>
      </c>
      <c r="L722" s="7" t="n">
        <v>0.09852815331</v>
      </c>
      <c r="M722" s="7" t="n">
        <v>0.1070526439</v>
      </c>
      <c r="N722" s="7" t="n">
        <v>3</v>
      </c>
      <c r="O722" s="7" t="n">
        <v>3</v>
      </c>
      <c r="P722" s="7" t="n">
        <v>0</v>
      </c>
      <c r="Q722" s="2"/>
      <c r="R722" s="7" t="n">
        <v>2.409912</v>
      </c>
      <c r="S722" s="5" t="s">
        <v>79</v>
      </c>
      <c r="T722" s="5" t="s">
        <v>61</v>
      </c>
    </row>
    <row r="723" customFormat="false" ht="15" hidden="false" customHeight="false" outlineLevel="0" collapsed="false">
      <c r="A723" s="5" t="s">
        <v>4</v>
      </c>
      <c r="B723" s="5" t="s">
        <v>55</v>
      </c>
      <c r="C723" s="2" t="s">
        <v>56</v>
      </c>
      <c r="D723" s="5" t="s">
        <v>78</v>
      </c>
      <c r="E723" s="5" t="s">
        <v>62</v>
      </c>
      <c r="F723" s="2" t="n">
        <v>13</v>
      </c>
      <c r="G723" s="5" t="s">
        <v>69</v>
      </c>
      <c r="H723" s="2" t="n">
        <v>1</v>
      </c>
      <c r="I723" s="2" t="n">
        <v>1</v>
      </c>
      <c r="J723" s="2" t="n">
        <v>1</v>
      </c>
      <c r="K723" s="7" t="n">
        <v>0.5322367699</v>
      </c>
      <c r="L723" s="7" t="n">
        <v>0.09852815331</v>
      </c>
      <c r="M723" s="7" t="n">
        <v>0.1070526439</v>
      </c>
      <c r="N723" s="7" t="n">
        <v>3</v>
      </c>
      <c r="O723" s="7" t="n">
        <v>3</v>
      </c>
      <c r="P723" s="7" t="n">
        <v>3</v>
      </c>
      <c r="Q723" s="2"/>
      <c r="R723" s="7" t="n">
        <v>2.579152</v>
      </c>
      <c r="S723" s="5" t="s">
        <v>79</v>
      </c>
      <c r="T723" s="5" t="s">
        <v>61</v>
      </c>
    </row>
    <row r="724" customFormat="false" ht="15" hidden="false" customHeight="false" outlineLevel="0" collapsed="false">
      <c r="A724" s="5" t="s">
        <v>4</v>
      </c>
      <c r="B724" s="5" t="s">
        <v>55</v>
      </c>
      <c r="C724" s="2" t="s">
        <v>56</v>
      </c>
      <c r="D724" s="5" t="s">
        <v>78</v>
      </c>
      <c r="E724" s="5" t="s">
        <v>58</v>
      </c>
      <c r="F724" s="2" t="n">
        <v>13</v>
      </c>
      <c r="G724" s="5" t="s">
        <v>70</v>
      </c>
      <c r="H724" s="2" t="n">
        <v>0</v>
      </c>
      <c r="I724" s="2" t="n">
        <v>1</v>
      </c>
      <c r="J724" s="2" t="n">
        <v>1</v>
      </c>
      <c r="K724" s="7" t="n">
        <v>0.5241628223</v>
      </c>
      <c r="L724" s="7" t="n">
        <v>0.0313362568</v>
      </c>
      <c r="M724" s="7" t="n">
        <v>0.04504206187</v>
      </c>
      <c r="N724" s="7" t="n">
        <v>3</v>
      </c>
      <c r="O724" s="7" t="n">
        <v>3</v>
      </c>
      <c r="P724" s="7" t="n">
        <v>0</v>
      </c>
      <c r="Q724" s="2"/>
      <c r="R724" s="7" t="n">
        <v>2.789591</v>
      </c>
      <c r="S724" s="5" t="s">
        <v>79</v>
      </c>
      <c r="T724" s="5" t="s">
        <v>61</v>
      </c>
    </row>
    <row r="725" customFormat="false" ht="15" hidden="false" customHeight="false" outlineLevel="0" collapsed="false">
      <c r="A725" s="5" t="s">
        <v>4</v>
      </c>
      <c r="B725" s="5" t="s">
        <v>55</v>
      </c>
      <c r="C725" s="2" t="s">
        <v>56</v>
      </c>
      <c r="D725" s="5" t="s">
        <v>78</v>
      </c>
      <c r="E725" s="5" t="s">
        <v>62</v>
      </c>
      <c r="F725" s="2" t="n">
        <v>13</v>
      </c>
      <c r="G725" s="5" t="s">
        <v>70</v>
      </c>
      <c r="H725" s="2" t="n">
        <v>0</v>
      </c>
      <c r="I725" s="2" t="n">
        <v>1</v>
      </c>
      <c r="J725" s="2" t="n">
        <v>1</v>
      </c>
      <c r="K725" s="7" t="n">
        <v>0.5241628223</v>
      </c>
      <c r="L725" s="7" t="n">
        <v>0.0313362568</v>
      </c>
      <c r="M725" s="7" t="n">
        <v>0.04504206187</v>
      </c>
      <c r="N725" s="7" t="n">
        <v>3</v>
      </c>
      <c r="O725" s="7" t="n">
        <v>3</v>
      </c>
      <c r="P725" s="7" t="n">
        <v>3</v>
      </c>
      <c r="Q725" s="2"/>
      <c r="R725" s="7" t="n">
        <v>2.983348</v>
      </c>
      <c r="S725" s="5" t="s">
        <v>79</v>
      </c>
      <c r="T725" s="5" t="s">
        <v>61</v>
      </c>
    </row>
    <row r="726" customFormat="false" ht="15" hidden="false" customHeight="false" outlineLevel="0" collapsed="false">
      <c r="A726" s="5" t="s">
        <v>4</v>
      </c>
      <c r="B726" s="5" t="s">
        <v>55</v>
      </c>
      <c r="C726" s="2" t="s">
        <v>56</v>
      </c>
      <c r="D726" s="5" t="s">
        <v>78</v>
      </c>
      <c r="E726" s="5" t="s">
        <v>58</v>
      </c>
      <c r="F726" s="2" t="n">
        <v>14</v>
      </c>
      <c r="G726" s="5" t="s">
        <v>67</v>
      </c>
      <c r="H726" s="2" t="n">
        <v>1</v>
      </c>
      <c r="I726" s="2" t="n">
        <v>1</v>
      </c>
      <c r="J726" s="2" t="n">
        <v>1</v>
      </c>
      <c r="K726" s="7" t="n">
        <v>0.8353282104</v>
      </c>
      <c r="L726" s="7" t="n">
        <v>0.05568984984</v>
      </c>
      <c r="M726" s="7" t="n">
        <v>0.07183444982</v>
      </c>
      <c r="N726" s="7" t="n">
        <v>9</v>
      </c>
      <c r="O726" s="7" t="n">
        <v>9</v>
      </c>
      <c r="P726" s="7" t="n">
        <v>0</v>
      </c>
      <c r="Q726" s="2"/>
      <c r="R726" s="7" t="n">
        <v>1.6109</v>
      </c>
      <c r="S726" s="5" t="s">
        <v>79</v>
      </c>
      <c r="T726" s="5" t="s">
        <v>61</v>
      </c>
    </row>
    <row r="727" customFormat="false" ht="15" hidden="false" customHeight="false" outlineLevel="0" collapsed="false">
      <c r="A727" s="5" t="s">
        <v>4</v>
      </c>
      <c r="B727" s="5" t="s">
        <v>55</v>
      </c>
      <c r="C727" s="2" t="s">
        <v>56</v>
      </c>
      <c r="D727" s="5" t="s">
        <v>78</v>
      </c>
      <c r="E727" s="5" t="s">
        <v>62</v>
      </c>
      <c r="F727" s="2" t="n">
        <v>14</v>
      </c>
      <c r="G727" s="5" t="s">
        <v>67</v>
      </c>
      <c r="H727" s="2" t="n">
        <v>1</v>
      </c>
      <c r="I727" s="2" t="n">
        <v>1</v>
      </c>
      <c r="J727" s="2" t="n">
        <v>1</v>
      </c>
      <c r="K727" s="7" t="n">
        <v>0.7226310713</v>
      </c>
      <c r="L727" s="7" t="n">
        <v>0.0945582654</v>
      </c>
      <c r="M727" s="7" t="n">
        <v>0.103049783</v>
      </c>
      <c r="N727" s="7" t="n">
        <v>9</v>
      </c>
      <c r="O727" s="7" t="n">
        <v>9</v>
      </c>
      <c r="P727" s="7" t="n">
        <v>8</v>
      </c>
      <c r="Q727" s="2"/>
      <c r="R727" s="7" t="n">
        <v>2.157928</v>
      </c>
      <c r="S727" s="5" t="s">
        <v>79</v>
      </c>
      <c r="T727" s="5" t="s">
        <v>61</v>
      </c>
    </row>
    <row r="728" customFormat="false" ht="15" hidden="false" customHeight="false" outlineLevel="0" collapsed="false">
      <c r="A728" s="5" t="s">
        <v>4</v>
      </c>
      <c r="B728" s="5" t="s">
        <v>55</v>
      </c>
      <c r="C728" s="2" t="s">
        <v>56</v>
      </c>
      <c r="D728" s="5" t="s">
        <v>78</v>
      </c>
      <c r="E728" s="5" t="s">
        <v>58</v>
      </c>
      <c r="F728" s="2" t="n">
        <v>14</v>
      </c>
      <c r="G728" s="5" t="s">
        <v>68</v>
      </c>
      <c r="H728" s="2" t="n">
        <v>1</v>
      </c>
      <c r="I728" s="2" t="n">
        <v>1</v>
      </c>
      <c r="J728" s="2" t="n">
        <v>1</v>
      </c>
      <c r="K728" s="7" t="n">
        <v>0.7268718618</v>
      </c>
      <c r="L728" s="7" t="n">
        <v>0.05181660192</v>
      </c>
      <c r="M728" s="7" t="n">
        <v>0.06893780015</v>
      </c>
      <c r="N728" s="7" t="n">
        <v>5</v>
      </c>
      <c r="O728" s="7" t="n">
        <v>5</v>
      </c>
      <c r="P728" s="7" t="n">
        <v>0</v>
      </c>
      <c r="Q728" s="2"/>
      <c r="R728" s="7" t="n">
        <v>1.687153</v>
      </c>
      <c r="S728" s="5" t="s">
        <v>79</v>
      </c>
      <c r="T728" s="5" t="s">
        <v>61</v>
      </c>
    </row>
    <row r="729" customFormat="false" ht="15" hidden="false" customHeight="false" outlineLevel="0" collapsed="false">
      <c r="A729" s="5" t="s">
        <v>4</v>
      </c>
      <c r="B729" s="5" t="s">
        <v>55</v>
      </c>
      <c r="C729" s="2" t="s">
        <v>56</v>
      </c>
      <c r="D729" s="5" t="s">
        <v>78</v>
      </c>
      <c r="E729" s="5" t="s">
        <v>62</v>
      </c>
      <c r="F729" s="2" t="n">
        <v>14</v>
      </c>
      <c r="G729" s="5" t="s">
        <v>68</v>
      </c>
      <c r="H729" s="2" t="n">
        <v>1</v>
      </c>
      <c r="I729" s="2" t="n">
        <v>1</v>
      </c>
      <c r="J729" s="2" t="n">
        <v>1</v>
      </c>
      <c r="K729" s="7" t="n">
        <v>0.7268718618</v>
      </c>
      <c r="L729" s="7" t="n">
        <v>0.05181660192</v>
      </c>
      <c r="M729" s="7" t="n">
        <v>0.06893780015</v>
      </c>
      <c r="N729" s="7" t="n">
        <v>5</v>
      </c>
      <c r="O729" s="7" t="n">
        <v>5</v>
      </c>
      <c r="P729" s="7" t="n">
        <v>5</v>
      </c>
      <c r="Q729" s="2"/>
      <c r="R729" s="7" t="n">
        <v>2.042138</v>
      </c>
      <c r="S729" s="5" t="s">
        <v>79</v>
      </c>
      <c r="T729" s="5" t="s">
        <v>61</v>
      </c>
    </row>
    <row r="730" customFormat="false" ht="15" hidden="false" customHeight="false" outlineLevel="0" collapsed="false">
      <c r="A730" s="5" t="s">
        <v>4</v>
      </c>
      <c r="B730" s="5" t="s">
        <v>55</v>
      </c>
      <c r="C730" s="2" t="s">
        <v>56</v>
      </c>
      <c r="D730" s="5" t="s">
        <v>78</v>
      </c>
      <c r="E730" s="5" t="s">
        <v>58</v>
      </c>
      <c r="F730" s="2" t="n">
        <v>14</v>
      </c>
      <c r="G730" s="5" t="s">
        <v>69</v>
      </c>
      <c r="H730" s="2" t="n">
        <v>1</v>
      </c>
      <c r="I730" s="2" t="n">
        <v>1</v>
      </c>
      <c r="J730" s="2" t="n">
        <v>1</v>
      </c>
      <c r="K730" s="7" t="n">
        <v>1.349115086</v>
      </c>
      <c r="L730" s="7" t="n">
        <v>0.2549290941</v>
      </c>
      <c r="M730" s="7" t="n">
        <v>0.2735699607</v>
      </c>
      <c r="N730" s="7" t="n">
        <v>3</v>
      </c>
      <c r="O730" s="7" t="n">
        <v>3</v>
      </c>
      <c r="P730" s="7" t="n">
        <v>0</v>
      </c>
      <c r="Q730" s="2"/>
      <c r="R730" s="7" t="n">
        <v>2.657658</v>
      </c>
      <c r="S730" s="5" t="s">
        <v>79</v>
      </c>
      <c r="T730" s="5" t="s">
        <v>61</v>
      </c>
    </row>
    <row r="731" customFormat="false" ht="15" hidden="false" customHeight="false" outlineLevel="0" collapsed="false">
      <c r="A731" s="5" t="s">
        <v>4</v>
      </c>
      <c r="B731" s="5" t="s">
        <v>55</v>
      </c>
      <c r="C731" s="2" t="s">
        <v>56</v>
      </c>
      <c r="D731" s="5" t="s">
        <v>78</v>
      </c>
      <c r="E731" s="5" t="s">
        <v>62</v>
      </c>
      <c r="F731" s="2" t="n">
        <v>14</v>
      </c>
      <c r="G731" s="5" t="s">
        <v>69</v>
      </c>
      <c r="H731" s="2" t="n">
        <v>1</v>
      </c>
      <c r="I731" s="2" t="n">
        <v>1</v>
      </c>
      <c r="J731" s="2" t="n">
        <v>1</v>
      </c>
      <c r="K731" s="7" t="n">
        <v>1.349115086</v>
      </c>
      <c r="L731" s="7" t="n">
        <v>0.2549290941</v>
      </c>
      <c r="M731" s="7" t="n">
        <v>0.2735699607</v>
      </c>
      <c r="N731" s="7" t="n">
        <v>3</v>
      </c>
      <c r="O731" s="7" t="n">
        <v>3</v>
      </c>
      <c r="P731" s="7" t="n">
        <v>3</v>
      </c>
      <c r="Q731" s="2"/>
      <c r="R731" s="7" t="n">
        <v>2.861429</v>
      </c>
      <c r="S731" s="5" t="s">
        <v>79</v>
      </c>
      <c r="T731" s="5" t="s">
        <v>61</v>
      </c>
    </row>
    <row r="732" customFormat="false" ht="15" hidden="false" customHeight="false" outlineLevel="0" collapsed="false">
      <c r="A732" s="5" t="s">
        <v>4</v>
      </c>
      <c r="B732" s="5" t="s">
        <v>55</v>
      </c>
      <c r="C732" s="2" t="s">
        <v>56</v>
      </c>
      <c r="D732" s="5" t="s">
        <v>78</v>
      </c>
      <c r="E732" s="5" t="s">
        <v>58</v>
      </c>
      <c r="F732" s="2" t="n">
        <v>14</v>
      </c>
      <c r="G732" s="5" t="s">
        <v>70</v>
      </c>
      <c r="H732" s="2" t="n">
        <v>0</v>
      </c>
      <c r="I732" s="2" t="n">
        <v>0</v>
      </c>
      <c r="J732" s="2" t="n">
        <v>0</v>
      </c>
      <c r="K732" s="2"/>
      <c r="L732" s="2"/>
      <c r="M732" s="2"/>
      <c r="N732" s="7" t="n">
        <v>0</v>
      </c>
      <c r="O732" s="7" t="n">
        <v>0</v>
      </c>
      <c r="P732" s="7" t="n">
        <v>0</v>
      </c>
      <c r="Q732" s="2"/>
      <c r="R732" s="7" t="n">
        <v>2.898724</v>
      </c>
      <c r="S732" s="5" t="s">
        <v>79</v>
      </c>
      <c r="T732" s="5" t="s">
        <v>61</v>
      </c>
    </row>
    <row r="733" customFormat="false" ht="15" hidden="false" customHeight="false" outlineLevel="0" collapsed="false">
      <c r="A733" s="5" t="s">
        <v>4</v>
      </c>
      <c r="B733" s="5" t="s">
        <v>55</v>
      </c>
      <c r="C733" s="2" t="s">
        <v>56</v>
      </c>
      <c r="D733" s="5" t="s">
        <v>78</v>
      </c>
      <c r="E733" s="5" t="s">
        <v>62</v>
      </c>
      <c r="F733" s="2" t="n">
        <v>14</v>
      </c>
      <c r="G733" s="5" t="s">
        <v>70</v>
      </c>
      <c r="H733" s="2" t="n">
        <v>0</v>
      </c>
      <c r="I733" s="2" t="n">
        <v>0</v>
      </c>
      <c r="J733" s="2" t="n">
        <v>0</v>
      </c>
      <c r="K733" s="2"/>
      <c r="L733" s="2"/>
      <c r="M733" s="2"/>
      <c r="N733" s="7" t="n">
        <v>0</v>
      </c>
      <c r="O733" s="7" t="n">
        <v>0</v>
      </c>
      <c r="P733" s="7" t="n">
        <v>0</v>
      </c>
      <c r="Q733" s="2"/>
      <c r="R733" s="7" t="n">
        <v>2.898854</v>
      </c>
      <c r="S733" s="5" t="s">
        <v>79</v>
      </c>
      <c r="T733" s="5" t="s">
        <v>61</v>
      </c>
    </row>
    <row r="734" customFormat="false" ht="15" hidden="false" customHeight="false" outlineLevel="0" collapsed="false">
      <c r="A734" s="5" t="s">
        <v>4</v>
      </c>
      <c r="B734" s="5" t="s">
        <v>55</v>
      </c>
      <c r="C734" s="2" t="s">
        <v>56</v>
      </c>
      <c r="D734" s="5" t="s">
        <v>78</v>
      </c>
      <c r="E734" s="5" t="s">
        <v>58</v>
      </c>
      <c r="F734" s="2" t="n">
        <v>15</v>
      </c>
      <c r="G734" s="5" t="s">
        <v>67</v>
      </c>
      <c r="H734" s="2" t="n">
        <v>1</v>
      </c>
      <c r="I734" s="2" t="n">
        <v>1</v>
      </c>
      <c r="J734" s="2" t="n">
        <v>1</v>
      </c>
      <c r="K734" s="7" t="n">
        <v>0.8267885719</v>
      </c>
      <c r="L734" s="7" t="n">
        <v>0.1904232573</v>
      </c>
      <c r="M734" s="7" t="n">
        <v>0.1987845204</v>
      </c>
      <c r="N734" s="7" t="n">
        <v>11</v>
      </c>
      <c r="O734" s="7" t="n">
        <v>11</v>
      </c>
      <c r="P734" s="7" t="n">
        <v>0</v>
      </c>
      <c r="Q734" s="2"/>
      <c r="R734" s="7" t="n">
        <v>1.527568</v>
      </c>
      <c r="S734" s="5" t="s">
        <v>79</v>
      </c>
      <c r="T734" s="5" t="s">
        <v>61</v>
      </c>
    </row>
    <row r="735" customFormat="false" ht="15" hidden="false" customHeight="false" outlineLevel="0" collapsed="false">
      <c r="A735" s="5" t="s">
        <v>4</v>
      </c>
      <c r="B735" s="5" t="s">
        <v>55</v>
      </c>
      <c r="C735" s="2" t="s">
        <v>56</v>
      </c>
      <c r="D735" s="5" t="s">
        <v>78</v>
      </c>
      <c r="E735" s="5" t="s">
        <v>62</v>
      </c>
      <c r="F735" s="2" t="n">
        <v>15</v>
      </c>
      <c r="G735" s="5" t="s">
        <v>67</v>
      </c>
      <c r="H735" s="2" t="n">
        <v>1</v>
      </c>
      <c r="I735" s="2" t="n">
        <v>1</v>
      </c>
      <c r="J735" s="2" t="n">
        <v>1</v>
      </c>
      <c r="K735" s="7" t="n">
        <v>0.4320795788</v>
      </c>
      <c r="L735" s="7" t="n">
        <v>0.03962158655</v>
      </c>
      <c r="M735" s="7" t="n">
        <v>0.04880679153</v>
      </c>
      <c r="N735" s="7" t="n">
        <v>11</v>
      </c>
      <c r="O735" s="7" t="n">
        <v>11</v>
      </c>
      <c r="P735" s="7" t="n">
        <v>10</v>
      </c>
      <c r="Q735" s="2"/>
      <c r="R735" s="7" t="n">
        <v>2.209346</v>
      </c>
      <c r="S735" s="5" t="s">
        <v>79</v>
      </c>
      <c r="T735" s="5" t="s">
        <v>61</v>
      </c>
    </row>
    <row r="736" customFormat="false" ht="15" hidden="false" customHeight="false" outlineLevel="0" collapsed="false">
      <c r="A736" s="5" t="s">
        <v>4</v>
      </c>
      <c r="B736" s="5" t="s">
        <v>55</v>
      </c>
      <c r="C736" s="2" t="s">
        <v>56</v>
      </c>
      <c r="D736" s="5" t="s">
        <v>78</v>
      </c>
      <c r="E736" s="5" t="s">
        <v>58</v>
      </c>
      <c r="F736" s="2" t="n">
        <v>15</v>
      </c>
      <c r="G736" s="5" t="s">
        <v>68</v>
      </c>
      <c r="H736" s="2" t="n">
        <v>1</v>
      </c>
      <c r="I736" s="2" t="n">
        <v>1</v>
      </c>
      <c r="J736" s="2" t="n">
        <v>1</v>
      </c>
      <c r="K736" s="7" t="n">
        <v>0.8134998384</v>
      </c>
      <c r="L736" s="7" t="n">
        <v>0.04689048085</v>
      </c>
      <c r="M736" s="7" t="n">
        <v>0.07200939159</v>
      </c>
      <c r="N736" s="7" t="n">
        <v>6</v>
      </c>
      <c r="O736" s="7" t="n">
        <v>6</v>
      </c>
      <c r="P736" s="7" t="n">
        <v>0</v>
      </c>
      <c r="Q736" s="2"/>
      <c r="R736" s="7" t="n">
        <v>1.710338</v>
      </c>
      <c r="S736" s="5" t="s">
        <v>79</v>
      </c>
      <c r="T736" s="5" t="s">
        <v>61</v>
      </c>
    </row>
    <row r="737" customFormat="false" ht="15" hidden="false" customHeight="false" outlineLevel="0" collapsed="false">
      <c r="A737" s="5" t="s">
        <v>4</v>
      </c>
      <c r="B737" s="5" t="s">
        <v>55</v>
      </c>
      <c r="C737" s="2" t="s">
        <v>56</v>
      </c>
      <c r="D737" s="5" t="s">
        <v>78</v>
      </c>
      <c r="E737" s="5" t="s">
        <v>62</v>
      </c>
      <c r="F737" s="2" t="n">
        <v>15</v>
      </c>
      <c r="G737" s="5" t="s">
        <v>68</v>
      </c>
      <c r="H737" s="2" t="n">
        <v>1</v>
      </c>
      <c r="I737" s="2" t="n">
        <v>1</v>
      </c>
      <c r="J737" s="2" t="n">
        <v>1</v>
      </c>
      <c r="K737" s="7" t="n">
        <v>0.8134998384</v>
      </c>
      <c r="L737" s="7" t="n">
        <v>0.04689048085</v>
      </c>
      <c r="M737" s="7" t="n">
        <v>0.07200939159</v>
      </c>
      <c r="N737" s="7" t="n">
        <v>6</v>
      </c>
      <c r="O737" s="7" t="n">
        <v>6</v>
      </c>
      <c r="P737" s="7" t="n">
        <v>6</v>
      </c>
      <c r="Q737" s="2"/>
      <c r="R737" s="7" t="n">
        <v>2.103268</v>
      </c>
      <c r="S737" s="5" t="s">
        <v>79</v>
      </c>
      <c r="T737" s="5" t="s">
        <v>61</v>
      </c>
    </row>
    <row r="738" customFormat="false" ht="15" hidden="false" customHeight="false" outlineLevel="0" collapsed="false">
      <c r="A738" s="5" t="s">
        <v>4</v>
      </c>
      <c r="B738" s="5" t="s">
        <v>55</v>
      </c>
      <c r="C738" s="2" t="s">
        <v>56</v>
      </c>
      <c r="D738" s="5" t="s">
        <v>78</v>
      </c>
      <c r="E738" s="5" t="s">
        <v>58</v>
      </c>
      <c r="F738" s="2" t="n">
        <v>15</v>
      </c>
      <c r="G738" s="5" t="s">
        <v>69</v>
      </c>
      <c r="H738" s="2" t="n">
        <v>1</v>
      </c>
      <c r="I738" s="2" t="n">
        <v>0</v>
      </c>
      <c r="J738" s="2" t="n">
        <v>0</v>
      </c>
      <c r="K738" s="2"/>
      <c r="L738" s="2"/>
      <c r="M738" s="2"/>
      <c r="N738" s="7" t="n">
        <v>1</v>
      </c>
      <c r="O738" s="7" t="n">
        <v>1</v>
      </c>
      <c r="P738" s="7" t="n">
        <v>0</v>
      </c>
      <c r="Q738" s="2"/>
      <c r="R738" s="7" t="n">
        <v>2.506634</v>
      </c>
      <c r="S738" s="5" t="s">
        <v>79</v>
      </c>
      <c r="T738" s="5" t="s">
        <v>61</v>
      </c>
    </row>
    <row r="739" customFormat="false" ht="15" hidden="false" customHeight="false" outlineLevel="0" collapsed="false">
      <c r="A739" s="5" t="s">
        <v>4</v>
      </c>
      <c r="B739" s="5" t="s">
        <v>55</v>
      </c>
      <c r="C739" s="2" t="s">
        <v>56</v>
      </c>
      <c r="D739" s="5" t="s">
        <v>78</v>
      </c>
      <c r="E739" s="5" t="s">
        <v>62</v>
      </c>
      <c r="F739" s="2" t="n">
        <v>15</v>
      </c>
      <c r="G739" s="5" t="s">
        <v>69</v>
      </c>
      <c r="H739" s="2" t="n">
        <v>1</v>
      </c>
      <c r="I739" s="2" t="n">
        <v>0</v>
      </c>
      <c r="J739" s="2" t="n">
        <v>0</v>
      </c>
      <c r="K739" s="2"/>
      <c r="L739" s="2"/>
      <c r="M739" s="2"/>
      <c r="N739" s="7" t="n">
        <v>1</v>
      </c>
      <c r="O739" s="7" t="n">
        <v>1</v>
      </c>
      <c r="P739" s="7" t="n">
        <v>0</v>
      </c>
      <c r="Q739" s="2"/>
      <c r="R739" s="7" t="n">
        <v>2.506765</v>
      </c>
      <c r="S739" s="5" t="s">
        <v>79</v>
      </c>
      <c r="T739" s="5" t="s">
        <v>61</v>
      </c>
    </row>
    <row r="740" customFormat="false" ht="15" hidden="false" customHeight="false" outlineLevel="0" collapsed="false">
      <c r="A740" s="5" t="s">
        <v>4</v>
      </c>
      <c r="B740" s="5" t="s">
        <v>55</v>
      </c>
      <c r="C740" s="2" t="s">
        <v>56</v>
      </c>
      <c r="D740" s="5" t="s">
        <v>78</v>
      </c>
      <c r="E740" s="5" t="s">
        <v>58</v>
      </c>
      <c r="F740" s="2" t="n">
        <v>15</v>
      </c>
      <c r="G740" s="5" t="s">
        <v>70</v>
      </c>
      <c r="H740" s="2" t="n">
        <v>0</v>
      </c>
      <c r="I740" s="2" t="n">
        <v>1</v>
      </c>
      <c r="J740" s="2" t="n">
        <v>1</v>
      </c>
      <c r="K740" s="7" t="n">
        <v>0.6616673089</v>
      </c>
      <c r="L740" s="7" t="n">
        <v>0.06237713312</v>
      </c>
      <c r="M740" s="7" t="n">
        <v>0.07641540666</v>
      </c>
      <c r="N740" s="7" t="n">
        <v>6</v>
      </c>
      <c r="O740" s="7" t="n">
        <v>6</v>
      </c>
      <c r="P740" s="7" t="n">
        <v>0</v>
      </c>
      <c r="Q740" s="2"/>
      <c r="R740" s="7" t="n">
        <v>3.173851</v>
      </c>
      <c r="S740" s="5" t="s">
        <v>79</v>
      </c>
      <c r="T740" s="5" t="s">
        <v>61</v>
      </c>
    </row>
    <row r="741" customFormat="false" ht="15" hidden="false" customHeight="false" outlineLevel="0" collapsed="false">
      <c r="A741" s="5" t="s">
        <v>4</v>
      </c>
      <c r="B741" s="5" t="s">
        <v>55</v>
      </c>
      <c r="C741" s="2" t="s">
        <v>56</v>
      </c>
      <c r="D741" s="5" t="s">
        <v>78</v>
      </c>
      <c r="E741" s="5" t="s">
        <v>62</v>
      </c>
      <c r="F741" s="2" t="n">
        <v>15</v>
      </c>
      <c r="G741" s="5" t="s">
        <v>70</v>
      </c>
      <c r="H741" s="2" t="n">
        <v>0</v>
      </c>
      <c r="I741" s="2" t="n">
        <v>1</v>
      </c>
      <c r="J741" s="2" t="n">
        <v>1</v>
      </c>
      <c r="K741" s="7" t="n">
        <v>0.6616673089</v>
      </c>
      <c r="L741" s="7" t="n">
        <v>0.06237713312</v>
      </c>
      <c r="M741" s="7" t="n">
        <v>0.07641540666</v>
      </c>
      <c r="N741" s="7" t="n">
        <v>6</v>
      </c>
      <c r="O741" s="7" t="n">
        <v>6</v>
      </c>
      <c r="P741" s="7" t="n">
        <v>6</v>
      </c>
      <c r="Q741" s="2"/>
      <c r="R741" s="7" t="n">
        <v>3.578249</v>
      </c>
      <c r="S741" s="5" t="s">
        <v>79</v>
      </c>
      <c r="T741" s="5" t="s">
        <v>61</v>
      </c>
    </row>
    <row r="742" customFormat="false" ht="15" hidden="false" customHeight="false" outlineLevel="0" collapsed="false">
      <c r="A742" s="5" t="s">
        <v>4</v>
      </c>
      <c r="B742" s="5" t="s">
        <v>55</v>
      </c>
      <c r="C742" s="2" t="s">
        <v>56</v>
      </c>
      <c r="D742" s="5" t="s">
        <v>78</v>
      </c>
      <c r="E742" s="5" t="s">
        <v>58</v>
      </c>
      <c r="F742" s="2" t="n">
        <v>16</v>
      </c>
      <c r="G742" s="5" t="s">
        <v>67</v>
      </c>
      <c r="H742" s="2" t="n">
        <v>1</v>
      </c>
      <c r="I742" s="2" t="n">
        <v>1</v>
      </c>
      <c r="J742" s="2" t="n">
        <v>0</v>
      </c>
      <c r="K742" s="7" t="n">
        <v>8.030471048</v>
      </c>
      <c r="L742" s="7" t="n">
        <v>1.132575466</v>
      </c>
      <c r="M742" s="7" t="n">
        <v>1.20732299</v>
      </c>
      <c r="N742" s="7" t="n">
        <v>7</v>
      </c>
      <c r="O742" s="7" t="n">
        <v>7</v>
      </c>
      <c r="P742" s="7" t="n">
        <v>0</v>
      </c>
      <c r="Q742" s="2"/>
      <c r="R742" s="7" t="n">
        <v>1.551284</v>
      </c>
      <c r="S742" s="5" t="s">
        <v>79</v>
      </c>
      <c r="T742" s="5" t="s">
        <v>61</v>
      </c>
    </row>
    <row r="743" customFormat="false" ht="15" hidden="false" customHeight="false" outlineLevel="0" collapsed="false">
      <c r="A743" s="5" t="s">
        <v>4</v>
      </c>
      <c r="B743" s="5" t="s">
        <v>55</v>
      </c>
      <c r="C743" s="2" t="s">
        <v>56</v>
      </c>
      <c r="D743" s="5" t="s">
        <v>78</v>
      </c>
      <c r="E743" s="5" t="s">
        <v>62</v>
      </c>
      <c r="F743" s="2" t="n">
        <v>16</v>
      </c>
      <c r="G743" s="5" t="s">
        <v>67</v>
      </c>
      <c r="H743" s="2" t="n">
        <v>1</v>
      </c>
      <c r="I743" s="2" t="n">
        <v>1</v>
      </c>
      <c r="J743" s="2" t="n">
        <v>1</v>
      </c>
      <c r="K743" s="7" t="n">
        <v>0.6918941134</v>
      </c>
      <c r="L743" s="7" t="n">
        <v>0.1051237111</v>
      </c>
      <c r="M743" s="7" t="n">
        <v>0.1119597457</v>
      </c>
      <c r="N743" s="7" t="n">
        <v>7</v>
      </c>
      <c r="O743" s="7" t="n">
        <v>7</v>
      </c>
      <c r="P743" s="7" t="n">
        <v>6</v>
      </c>
      <c r="Q743" s="2"/>
      <c r="R743" s="7" t="n">
        <v>2.015009</v>
      </c>
      <c r="S743" s="5" t="s">
        <v>79</v>
      </c>
      <c r="T743" s="5" t="s">
        <v>61</v>
      </c>
    </row>
    <row r="744" customFormat="false" ht="15" hidden="false" customHeight="false" outlineLevel="0" collapsed="false">
      <c r="A744" s="5" t="s">
        <v>4</v>
      </c>
      <c r="B744" s="5" t="s">
        <v>55</v>
      </c>
      <c r="C744" s="2" t="s">
        <v>56</v>
      </c>
      <c r="D744" s="5" t="s">
        <v>78</v>
      </c>
      <c r="E744" s="5" t="s">
        <v>58</v>
      </c>
      <c r="F744" s="2" t="n">
        <v>16</v>
      </c>
      <c r="G744" s="5" t="s">
        <v>68</v>
      </c>
      <c r="H744" s="2" t="n">
        <v>1</v>
      </c>
      <c r="I744" s="2" t="n">
        <v>1</v>
      </c>
      <c r="J744" s="2" t="n">
        <v>1</v>
      </c>
      <c r="K744" s="7" t="n">
        <v>0.4201985783</v>
      </c>
      <c r="L744" s="7" t="n">
        <v>0.01621859941</v>
      </c>
      <c r="M744" s="7" t="n">
        <v>0.03268009705</v>
      </c>
      <c r="N744" s="7" t="n">
        <v>7</v>
      </c>
      <c r="O744" s="7" t="n">
        <v>7</v>
      </c>
      <c r="P744" s="7" t="n">
        <v>0</v>
      </c>
      <c r="Q744" s="2"/>
      <c r="R744" s="7" t="n">
        <v>1.648828</v>
      </c>
      <c r="S744" s="5" t="s">
        <v>79</v>
      </c>
      <c r="T744" s="5" t="s">
        <v>61</v>
      </c>
    </row>
    <row r="745" customFormat="false" ht="15" hidden="false" customHeight="false" outlineLevel="0" collapsed="false">
      <c r="A745" s="5" t="s">
        <v>4</v>
      </c>
      <c r="B745" s="5" t="s">
        <v>55</v>
      </c>
      <c r="C745" s="2" t="s">
        <v>56</v>
      </c>
      <c r="D745" s="5" t="s">
        <v>78</v>
      </c>
      <c r="E745" s="5" t="s">
        <v>62</v>
      </c>
      <c r="F745" s="2" t="n">
        <v>16</v>
      </c>
      <c r="G745" s="5" t="s">
        <v>68</v>
      </c>
      <c r="H745" s="2" t="n">
        <v>1</v>
      </c>
      <c r="I745" s="2" t="n">
        <v>1</v>
      </c>
      <c r="J745" s="2" t="n">
        <v>1</v>
      </c>
      <c r="K745" s="7" t="n">
        <v>0.4201985783</v>
      </c>
      <c r="L745" s="7" t="n">
        <v>0.01621859941</v>
      </c>
      <c r="M745" s="7" t="n">
        <v>0.03268009705</v>
      </c>
      <c r="N745" s="7" t="n">
        <v>7</v>
      </c>
      <c r="O745" s="7" t="n">
        <v>7</v>
      </c>
      <c r="P745" s="7" t="n">
        <v>7</v>
      </c>
      <c r="Q745" s="2"/>
      <c r="R745" s="7" t="n">
        <v>2.118011</v>
      </c>
      <c r="S745" s="5" t="s">
        <v>79</v>
      </c>
      <c r="T745" s="5" t="s">
        <v>61</v>
      </c>
    </row>
    <row r="746" customFormat="false" ht="15" hidden="false" customHeight="false" outlineLevel="0" collapsed="false">
      <c r="A746" s="5" t="s">
        <v>4</v>
      </c>
      <c r="B746" s="5" t="s">
        <v>55</v>
      </c>
      <c r="C746" s="2" t="s">
        <v>56</v>
      </c>
      <c r="D746" s="5" t="s">
        <v>78</v>
      </c>
      <c r="E746" s="5" t="s">
        <v>58</v>
      </c>
      <c r="F746" s="2" t="n">
        <v>16</v>
      </c>
      <c r="G746" s="5" t="s">
        <v>69</v>
      </c>
      <c r="H746" s="2" t="n">
        <v>1</v>
      </c>
      <c r="I746" s="2" t="n">
        <v>1</v>
      </c>
      <c r="J746" s="2" t="n">
        <v>1</v>
      </c>
      <c r="K746" s="7" t="n">
        <v>0.6367660741</v>
      </c>
      <c r="L746" s="7" t="n">
        <v>0.07816511772</v>
      </c>
      <c r="M746" s="7" t="n">
        <v>0.08877770323</v>
      </c>
      <c r="N746" s="7" t="n">
        <v>3</v>
      </c>
      <c r="O746" s="7" t="n">
        <v>3</v>
      </c>
      <c r="P746" s="7" t="n">
        <v>0</v>
      </c>
      <c r="Q746" s="2"/>
      <c r="R746" s="7" t="n">
        <v>2.570178</v>
      </c>
      <c r="S746" s="5" t="s">
        <v>79</v>
      </c>
      <c r="T746" s="5" t="s">
        <v>61</v>
      </c>
    </row>
    <row r="747" customFormat="false" ht="15" hidden="false" customHeight="false" outlineLevel="0" collapsed="false">
      <c r="A747" s="5" t="s">
        <v>4</v>
      </c>
      <c r="B747" s="5" t="s">
        <v>55</v>
      </c>
      <c r="C747" s="2" t="s">
        <v>56</v>
      </c>
      <c r="D747" s="5" t="s">
        <v>78</v>
      </c>
      <c r="E747" s="5" t="s">
        <v>62</v>
      </c>
      <c r="F747" s="2" t="n">
        <v>16</v>
      </c>
      <c r="G747" s="5" t="s">
        <v>69</v>
      </c>
      <c r="H747" s="2" t="n">
        <v>1</v>
      </c>
      <c r="I747" s="2" t="n">
        <v>1</v>
      </c>
      <c r="J747" s="2" t="n">
        <v>1</v>
      </c>
      <c r="K747" s="7" t="n">
        <v>0.6367660741</v>
      </c>
      <c r="L747" s="7" t="n">
        <v>0.07816511772</v>
      </c>
      <c r="M747" s="7" t="n">
        <v>0.08877770323</v>
      </c>
      <c r="N747" s="7" t="n">
        <v>3</v>
      </c>
      <c r="O747" s="7" t="n">
        <v>3</v>
      </c>
      <c r="P747" s="7" t="n">
        <v>3</v>
      </c>
      <c r="Q747" s="2"/>
      <c r="R747" s="7" t="n">
        <v>2.726118</v>
      </c>
      <c r="S747" s="5" t="s">
        <v>79</v>
      </c>
      <c r="T747" s="5" t="s">
        <v>61</v>
      </c>
    </row>
    <row r="748" customFormat="false" ht="15" hidden="false" customHeight="false" outlineLevel="0" collapsed="false">
      <c r="A748" s="5" t="s">
        <v>4</v>
      </c>
      <c r="B748" s="5" t="s">
        <v>55</v>
      </c>
      <c r="C748" s="2" t="s">
        <v>56</v>
      </c>
      <c r="D748" s="5" t="s">
        <v>78</v>
      </c>
      <c r="E748" s="5" t="s">
        <v>58</v>
      </c>
      <c r="F748" s="2" t="n">
        <v>16</v>
      </c>
      <c r="G748" s="5" t="s">
        <v>70</v>
      </c>
      <c r="H748" s="2" t="n">
        <v>0</v>
      </c>
      <c r="I748" s="2" t="n">
        <v>0</v>
      </c>
      <c r="J748" s="2" t="n">
        <v>0</v>
      </c>
      <c r="K748" s="2"/>
      <c r="L748" s="2"/>
      <c r="M748" s="2"/>
      <c r="N748" s="7" t="n">
        <v>2</v>
      </c>
      <c r="O748" s="7" t="n">
        <v>2</v>
      </c>
      <c r="P748" s="7" t="n">
        <v>0</v>
      </c>
      <c r="Q748" s="2"/>
      <c r="R748" s="7" t="n">
        <v>2.887188</v>
      </c>
      <c r="S748" s="5" t="s">
        <v>79</v>
      </c>
      <c r="T748" s="5" t="s">
        <v>61</v>
      </c>
    </row>
    <row r="749" customFormat="false" ht="15" hidden="false" customHeight="false" outlineLevel="0" collapsed="false">
      <c r="A749" s="5" t="s">
        <v>4</v>
      </c>
      <c r="B749" s="5" t="s">
        <v>55</v>
      </c>
      <c r="C749" s="2" t="s">
        <v>56</v>
      </c>
      <c r="D749" s="5" t="s">
        <v>78</v>
      </c>
      <c r="E749" s="5" t="s">
        <v>62</v>
      </c>
      <c r="F749" s="2" t="n">
        <v>16</v>
      </c>
      <c r="G749" s="5" t="s">
        <v>70</v>
      </c>
      <c r="H749" s="2" t="n">
        <v>0</v>
      </c>
      <c r="I749" s="2" t="n">
        <v>0</v>
      </c>
      <c r="J749" s="2" t="n">
        <v>0</v>
      </c>
      <c r="K749" s="2"/>
      <c r="L749" s="2"/>
      <c r="M749" s="2"/>
      <c r="N749" s="7" t="n">
        <v>2</v>
      </c>
      <c r="O749" s="7" t="n">
        <v>2</v>
      </c>
      <c r="P749" s="7" t="n">
        <v>0</v>
      </c>
      <c r="Q749" s="2"/>
      <c r="R749" s="7" t="n">
        <v>2.887277</v>
      </c>
      <c r="S749" s="5" t="s">
        <v>79</v>
      </c>
      <c r="T749" s="5" t="s">
        <v>61</v>
      </c>
    </row>
    <row r="750" customFormat="false" ht="15" hidden="false" customHeight="false" outlineLevel="0" collapsed="false">
      <c r="A750" s="5" t="s">
        <v>4</v>
      </c>
      <c r="B750" s="5" t="s">
        <v>55</v>
      </c>
      <c r="C750" s="2" t="s">
        <v>56</v>
      </c>
      <c r="D750" s="5" t="s">
        <v>78</v>
      </c>
      <c r="E750" s="5" t="s">
        <v>58</v>
      </c>
      <c r="F750" s="2" t="n">
        <v>17</v>
      </c>
      <c r="G750" s="5" t="s">
        <v>67</v>
      </c>
      <c r="H750" s="2" t="n">
        <v>1</v>
      </c>
      <c r="I750" s="2" t="n">
        <v>1</v>
      </c>
      <c r="J750" s="2" t="n">
        <v>1</v>
      </c>
      <c r="K750" s="7" t="n">
        <v>0.2866928728</v>
      </c>
      <c r="L750" s="7" t="n">
        <v>0.04079640935</v>
      </c>
      <c r="M750" s="7" t="n">
        <v>0.04570809738</v>
      </c>
      <c r="N750" s="7" t="n">
        <v>6</v>
      </c>
      <c r="O750" s="7" t="n">
        <v>6</v>
      </c>
      <c r="P750" s="7" t="n">
        <v>0</v>
      </c>
      <c r="Q750" s="2"/>
      <c r="R750" s="7" t="n">
        <v>1.376245</v>
      </c>
      <c r="S750" s="5" t="s">
        <v>79</v>
      </c>
      <c r="T750" s="5" t="s">
        <v>61</v>
      </c>
    </row>
    <row r="751" customFormat="false" ht="15" hidden="false" customHeight="false" outlineLevel="0" collapsed="false">
      <c r="A751" s="5" t="s">
        <v>4</v>
      </c>
      <c r="B751" s="5" t="s">
        <v>55</v>
      </c>
      <c r="C751" s="2" t="s">
        <v>56</v>
      </c>
      <c r="D751" s="5" t="s">
        <v>78</v>
      </c>
      <c r="E751" s="5" t="s">
        <v>62</v>
      </c>
      <c r="F751" s="2" t="n">
        <v>17</v>
      </c>
      <c r="G751" s="5" t="s">
        <v>67</v>
      </c>
      <c r="H751" s="2" t="n">
        <v>1</v>
      </c>
      <c r="I751" s="2" t="n">
        <v>1</v>
      </c>
      <c r="J751" s="2" t="n">
        <v>1</v>
      </c>
      <c r="K751" s="7" t="n">
        <v>0.2866928728</v>
      </c>
      <c r="L751" s="7" t="n">
        <v>0.04079640935</v>
      </c>
      <c r="M751" s="7" t="n">
        <v>0.04570809738</v>
      </c>
      <c r="N751" s="7" t="n">
        <v>6</v>
      </c>
      <c r="O751" s="7" t="n">
        <v>6</v>
      </c>
      <c r="P751" s="7" t="n">
        <v>6</v>
      </c>
      <c r="Q751" s="2"/>
      <c r="R751" s="7" t="n">
        <v>1.825889</v>
      </c>
      <c r="S751" s="5" t="s">
        <v>79</v>
      </c>
      <c r="T751" s="5" t="s">
        <v>61</v>
      </c>
    </row>
    <row r="752" customFormat="false" ht="15" hidden="false" customHeight="false" outlineLevel="0" collapsed="false">
      <c r="A752" s="5" t="s">
        <v>4</v>
      </c>
      <c r="B752" s="5" t="s">
        <v>55</v>
      </c>
      <c r="C752" s="2" t="s">
        <v>56</v>
      </c>
      <c r="D752" s="5" t="s">
        <v>78</v>
      </c>
      <c r="E752" s="5" t="s">
        <v>58</v>
      </c>
      <c r="F752" s="2" t="n">
        <v>17</v>
      </c>
      <c r="G752" s="5" t="s">
        <v>68</v>
      </c>
      <c r="H752" s="2" t="n">
        <v>1</v>
      </c>
      <c r="I752" s="2" t="n">
        <v>1</v>
      </c>
      <c r="J752" s="2" t="n">
        <v>1</v>
      </c>
      <c r="K752" s="7" t="n">
        <v>1.05830529</v>
      </c>
      <c r="L752" s="7" t="n">
        <v>0.06592535994</v>
      </c>
      <c r="M752" s="7" t="n">
        <v>0.08728470629</v>
      </c>
      <c r="N752" s="7" t="n">
        <v>7</v>
      </c>
      <c r="O752" s="7" t="n">
        <v>7</v>
      </c>
      <c r="P752" s="7" t="n">
        <v>0</v>
      </c>
      <c r="Q752" s="2"/>
      <c r="R752" s="7" t="n">
        <v>1.762635</v>
      </c>
      <c r="S752" s="5" t="s">
        <v>79</v>
      </c>
      <c r="T752" s="5" t="s">
        <v>61</v>
      </c>
    </row>
    <row r="753" customFormat="false" ht="15" hidden="false" customHeight="false" outlineLevel="0" collapsed="false">
      <c r="A753" s="5" t="s">
        <v>4</v>
      </c>
      <c r="B753" s="5" t="s">
        <v>55</v>
      </c>
      <c r="C753" s="2" t="s">
        <v>56</v>
      </c>
      <c r="D753" s="5" t="s">
        <v>78</v>
      </c>
      <c r="E753" s="5" t="s">
        <v>62</v>
      </c>
      <c r="F753" s="2" t="n">
        <v>17</v>
      </c>
      <c r="G753" s="5" t="s">
        <v>68</v>
      </c>
      <c r="H753" s="2" t="n">
        <v>1</v>
      </c>
      <c r="I753" s="2" t="n">
        <v>1</v>
      </c>
      <c r="J753" s="2" t="n">
        <v>1</v>
      </c>
      <c r="K753" s="7" t="n">
        <v>0.974883599</v>
      </c>
      <c r="L753" s="7" t="n">
        <v>0.1020088846</v>
      </c>
      <c r="M753" s="7" t="n">
        <v>0.1174495716</v>
      </c>
      <c r="N753" s="7" t="n">
        <v>7</v>
      </c>
      <c r="O753" s="7" t="n">
        <v>7</v>
      </c>
      <c r="P753" s="7" t="n">
        <v>6</v>
      </c>
      <c r="Q753" s="2"/>
      <c r="R753" s="7" t="n">
        <v>2.264126</v>
      </c>
      <c r="S753" s="5" t="s">
        <v>79</v>
      </c>
      <c r="T753" s="5" t="s">
        <v>61</v>
      </c>
    </row>
    <row r="754" customFormat="false" ht="15" hidden="false" customHeight="false" outlineLevel="0" collapsed="false">
      <c r="A754" s="5" t="s">
        <v>4</v>
      </c>
      <c r="B754" s="5" t="s">
        <v>55</v>
      </c>
      <c r="C754" s="2" t="s">
        <v>56</v>
      </c>
      <c r="D754" s="5" t="s">
        <v>78</v>
      </c>
      <c r="E754" s="5" t="s">
        <v>58</v>
      </c>
      <c r="F754" s="2" t="n">
        <v>17</v>
      </c>
      <c r="G754" s="5" t="s">
        <v>69</v>
      </c>
      <c r="H754" s="2" t="n">
        <v>1</v>
      </c>
      <c r="I754" s="2" t="n">
        <v>1</v>
      </c>
      <c r="J754" s="2" t="n">
        <v>1</v>
      </c>
      <c r="K754" s="7" t="n">
        <v>0.05676213036</v>
      </c>
      <c r="L754" s="7" t="n">
        <v>0.01456851321</v>
      </c>
      <c r="M754" s="7" t="n">
        <v>0.01499419308</v>
      </c>
      <c r="N754" s="7" t="n">
        <v>18</v>
      </c>
      <c r="O754" s="7" t="n">
        <v>18</v>
      </c>
      <c r="P754" s="7" t="n">
        <v>0</v>
      </c>
      <c r="Q754" s="2"/>
      <c r="R754" s="7" t="n">
        <v>18.268829</v>
      </c>
      <c r="S754" s="5" t="s">
        <v>79</v>
      </c>
      <c r="T754" s="5" t="s">
        <v>61</v>
      </c>
    </row>
    <row r="755" customFormat="false" ht="15" hidden="false" customHeight="false" outlineLevel="0" collapsed="false">
      <c r="A755" s="5" t="s">
        <v>4</v>
      </c>
      <c r="B755" s="5" t="s">
        <v>55</v>
      </c>
      <c r="C755" s="2" t="s">
        <v>56</v>
      </c>
      <c r="D755" s="5" t="s">
        <v>78</v>
      </c>
      <c r="E755" s="5" t="s">
        <v>62</v>
      </c>
      <c r="F755" s="2" t="n">
        <v>17</v>
      </c>
      <c r="G755" s="5" t="s">
        <v>69</v>
      </c>
      <c r="H755" s="2" t="n">
        <v>1</v>
      </c>
      <c r="I755" s="2" t="n">
        <v>1</v>
      </c>
      <c r="J755" s="2" t="n">
        <v>1</v>
      </c>
      <c r="K755" s="7" t="n">
        <v>0.05676213036</v>
      </c>
      <c r="L755" s="7" t="n">
        <v>0.01456851321</v>
      </c>
      <c r="M755" s="7" t="n">
        <v>0.01499419308</v>
      </c>
      <c r="N755" s="7" t="n">
        <v>18</v>
      </c>
      <c r="O755" s="7" t="n">
        <v>18</v>
      </c>
      <c r="P755" s="7" t="n">
        <v>18</v>
      </c>
      <c r="Q755" s="2"/>
      <c r="R755" s="7" t="n">
        <v>19.01321</v>
      </c>
      <c r="S755" s="5" t="s">
        <v>79</v>
      </c>
      <c r="T755" s="5" t="s">
        <v>61</v>
      </c>
    </row>
    <row r="756" customFormat="false" ht="15" hidden="false" customHeight="false" outlineLevel="0" collapsed="false">
      <c r="A756" s="5" t="s">
        <v>4</v>
      </c>
      <c r="B756" s="5" t="s">
        <v>55</v>
      </c>
      <c r="C756" s="2" t="s">
        <v>56</v>
      </c>
      <c r="D756" s="5" t="s">
        <v>78</v>
      </c>
      <c r="E756" s="5" t="s">
        <v>58</v>
      </c>
      <c r="F756" s="2" t="n">
        <v>17</v>
      </c>
      <c r="G756" s="5" t="s">
        <v>70</v>
      </c>
      <c r="H756" s="2" t="n">
        <v>0</v>
      </c>
      <c r="I756" s="2" t="n">
        <v>1</v>
      </c>
      <c r="J756" s="2" t="n">
        <v>1</v>
      </c>
      <c r="K756" s="7" t="n">
        <v>1.260080846</v>
      </c>
      <c r="L756" s="7" t="n">
        <v>0.08374013847</v>
      </c>
      <c r="M756" s="7" t="n">
        <v>0.1181733775</v>
      </c>
      <c r="N756" s="7" t="n">
        <v>3</v>
      </c>
      <c r="O756" s="7" t="n">
        <v>3</v>
      </c>
      <c r="P756" s="7" t="n">
        <v>0</v>
      </c>
      <c r="Q756" s="2"/>
      <c r="R756" s="7" t="n">
        <v>2.742483</v>
      </c>
      <c r="S756" s="5" t="s">
        <v>79</v>
      </c>
      <c r="T756" s="5" t="s">
        <v>61</v>
      </c>
    </row>
    <row r="757" customFormat="false" ht="15" hidden="false" customHeight="false" outlineLevel="0" collapsed="false">
      <c r="A757" s="5" t="s">
        <v>4</v>
      </c>
      <c r="B757" s="5" t="s">
        <v>55</v>
      </c>
      <c r="C757" s="2" t="s">
        <v>56</v>
      </c>
      <c r="D757" s="5" t="s">
        <v>78</v>
      </c>
      <c r="E757" s="5" t="s">
        <v>62</v>
      </c>
      <c r="F757" s="2" t="n">
        <v>17</v>
      </c>
      <c r="G757" s="5" t="s">
        <v>70</v>
      </c>
      <c r="H757" s="2" t="n">
        <v>0</v>
      </c>
      <c r="I757" s="2" t="n">
        <v>1</v>
      </c>
      <c r="J757" s="2" t="n">
        <v>1</v>
      </c>
      <c r="K757" s="7" t="n">
        <v>1.260080846</v>
      </c>
      <c r="L757" s="7" t="n">
        <v>0.08374013847</v>
      </c>
      <c r="M757" s="7" t="n">
        <v>0.1181733775</v>
      </c>
      <c r="N757" s="7" t="n">
        <v>3</v>
      </c>
      <c r="O757" s="7" t="n">
        <v>3</v>
      </c>
      <c r="P757" s="7" t="n">
        <v>3</v>
      </c>
      <c r="Q757" s="2"/>
      <c r="R757" s="7" t="n">
        <v>2.905354</v>
      </c>
      <c r="S757" s="5" t="s">
        <v>79</v>
      </c>
      <c r="T757" s="5" t="s">
        <v>61</v>
      </c>
    </row>
    <row r="758" customFormat="false" ht="15" hidden="false" customHeight="false" outlineLevel="0" collapsed="false">
      <c r="A758" s="5" t="s">
        <v>4</v>
      </c>
      <c r="B758" s="5" t="s">
        <v>55</v>
      </c>
      <c r="C758" s="2" t="s">
        <v>56</v>
      </c>
      <c r="D758" s="5" t="s">
        <v>78</v>
      </c>
      <c r="E758" s="5" t="s">
        <v>58</v>
      </c>
      <c r="F758" s="2" t="n">
        <v>18</v>
      </c>
      <c r="G758" s="5" t="s">
        <v>67</v>
      </c>
      <c r="H758" s="2" t="n">
        <v>1</v>
      </c>
      <c r="I758" s="2" t="n">
        <v>1</v>
      </c>
      <c r="J758" s="2" t="n">
        <v>1</v>
      </c>
      <c r="K758" s="7" t="n">
        <v>0.4064898786</v>
      </c>
      <c r="L758" s="7" t="n">
        <v>0.03255334842</v>
      </c>
      <c r="M758" s="7" t="n">
        <v>0.04416289334</v>
      </c>
      <c r="N758" s="7" t="n">
        <v>8</v>
      </c>
      <c r="O758" s="7" t="n">
        <v>8</v>
      </c>
      <c r="P758" s="7" t="n">
        <v>0</v>
      </c>
      <c r="Q758" s="2"/>
      <c r="R758" s="7" t="n">
        <v>1.639783</v>
      </c>
      <c r="S758" s="5" t="s">
        <v>79</v>
      </c>
      <c r="T758" s="5" t="s">
        <v>61</v>
      </c>
    </row>
    <row r="759" customFormat="false" ht="15" hidden="false" customHeight="false" outlineLevel="0" collapsed="false">
      <c r="A759" s="5" t="s">
        <v>4</v>
      </c>
      <c r="B759" s="5" t="s">
        <v>55</v>
      </c>
      <c r="C759" s="2" t="s">
        <v>56</v>
      </c>
      <c r="D759" s="5" t="s">
        <v>78</v>
      </c>
      <c r="E759" s="5" t="s">
        <v>62</v>
      </c>
      <c r="F759" s="2" t="n">
        <v>18</v>
      </c>
      <c r="G759" s="5" t="s">
        <v>67</v>
      </c>
      <c r="H759" s="2" t="n">
        <v>1</v>
      </c>
      <c r="I759" s="2" t="n">
        <v>1</v>
      </c>
      <c r="J759" s="2" t="n">
        <v>1</v>
      </c>
      <c r="K759" s="7" t="n">
        <v>0.4064898786</v>
      </c>
      <c r="L759" s="7" t="n">
        <v>0.03255334842</v>
      </c>
      <c r="M759" s="7" t="n">
        <v>0.04416289334</v>
      </c>
      <c r="N759" s="7" t="n">
        <v>8</v>
      </c>
      <c r="O759" s="7" t="n">
        <v>8</v>
      </c>
      <c r="P759" s="7" t="n">
        <v>8</v>
      </c>
      <c r="Q759" s="2"/>
      <c r="R759" s="7" t="n">
        <v>2.25386</v>
      </c>
      <c r="S759" s="5" t="s">
        <v>79</v>
      </c>
      <c r="T759" s="5" t="s">
        <v>61</v>
      </c>
    </row>
    <row r="760" customFormat="false" ht="15" hidden="false" customHeight="false" outlineLevel="0" collapsed="false">
      <c r="A760" s="5" t="s">
        <v>4</v>
      </c>
      <c r="B760" s="5" t="s">
        <v>55</v>
      </c>
      <c r="C760" s="2" t="s">
        <v>56</v>
      </c>
      <c r="D760" s="5" t="s">
        <v>78</v>
      </c>
      <c r="E760" s="5" t="s">
        <v>58</v>
      </c>
      <c r="F760" s="2" t="n">
        <v>18</v>
      </c>
      <c r="G760" s="5" t="s">
        <v>68</v>
      </c>
      <c r="H760" s="2" t="n">
        <v>1</v>
      </c>
      <c r="I760" s="2" t="n">
        <v>0</v>
      </c>
      <c r="J760" s="2" t="n">
        <v>0</v>
      </c>
      <c r="K760" s="2"/>
      <c r="L760" s="2"/>
      <c r="M760" s="2"/>
      <c r="N760" s="7" t="n">
        <v>1</v>
      </c>
      <c r="O760" s="7" t="n">
        <v>1</v>
      </c>
      <c r="P760" s="7" t="n">
        <v>0</v>
      </c>
      <c r="Q760" s="2"/>
      <c r="R760" s="7" t="n">
        <v>1.688085</v>
      </c>
      <c r="S760" s="5" t="s">
        <v>79</v>
      </c>
      <c r="T760" s="5" t="s">
        <v>61</v>
      </c>
    </row>
    <row r="761" customFormat="false" ht="15" hidden="false" customHeight="false" outlineLevel="0" collapsed="false">
      <c r="A761" s="5" t="s">
        <v>4</v>
      </c>
      <c r="B761" s="5" t="s">
        <v>55</v>
      </c>
      <c r="C761" s="2" t="s">
        <v>56</v>
      </c>
      <c r="D761" s="5" t="s">
        <v>78</v>
      </c>
      <c r="E761" s="5" t="s">
        <v>62</v>
      </c>
      <c r="F761" s="2" t="n">
        <v>18</v>
      </c>
      <c r="G761" s="5" t="s">
        <v>68</v>
      </c>
      <c r="H761" s="2" t="n">
        <v>1</v>
      </c>
      <c r="I761" s="2" t="n">
        <v>0</v>
      </c>
      <c r="J761" s="2" t="n">
        <v>0</v>
      </c>
      <c r="K761" s="2"/>
      <c r="L761" s="2"/>
      <c r="M761" s="2"/>
      <c r="N761" s="7" t="n">
        <v>1</v>
      </c>
      <c r="O761" s="7" t="n">
        <v>1</v>
      </c>
      <c r="P761" s="7" t="n">
        <v>0</v>
      </c>
      <c r="Q761" s="2"/>
      <c r="R761" s="7" t="n">
        <v>1.688195</v>
      </c>
      <c r="S761" s="5" t="s">
        <v>79</v>
      </c>
      <c r="T761" s="5" t="s">
        <v>61</v>
      </c>
    </row>
    <row r="762" customFormat="false" ht="15" hidden="false" customHeight="false" outlineLevel="0" collapsed="false">
      <c r="A762" s="5" t="s">
        <v>4</v>
      </c>
      <c r="B762" s="5" t="s">
        <v>55</v>
      </c>
      <c r="C762" s="2" t="s">
        <v>56</v>
      </c>
      <c r="D762" s="5" t="s">
        <v>78</v>
      </c>
      <c r="E762" s="5" t="s">
        <v>58</v>
      </c>
      <c r="F762" s="2" t="n">
        <v>18</v>
      </c>
      <c r="G762" s="5" t="s">
        <v>69</v>
      </c>
      <c r="H762" s="2" t="n">
        <v>1</v>
      </c>
      <c r="I762" s="2" t="n">
        <v>0</v>
      </c>
      <c r="J762" s="2" t="n">
        <v>0</v>
      </c>
      <c r="K762" s="2"/>
      <c r="L762" s="2"/>
      <c r="M762" s="2"/>
      <c r="N762" s="7" t="n">
        <v>1</v>
      </c>
      <c r="O762" s="7" t="n">
        <v>1</v>
      </c>
      <c r="P762" s="7" t="n">
        <v>0</v>
      </c>
      <c r="Q762" s="2"/>
      <c r="R762" s="7" t="n">
        <v>2.521808</v>
      </c>
      <c r="S762" s="5" t="s">
        <v>79</v>
      </c>
      <c r="T762" s="5" t="s">
        <v>61</v>
      </c>
    </row>
    <row r="763" customFormat="false" ht="15" hidden="false" customHeight="false" outlineLevel="0" collapsed="false">
      <c r="A763" s="5" t="s">
        <v>4</v>
      </c>
      <c r="B763" s="5" t="s">
        <v>55</v>
      </c>
      <c r="C763" s="2" t="s">
        <v>56</v>
      </c>
      <c r="D763" s="5" t="s">
        <v>78</v>
      </c>
      <c r="E763" s="5" t="s">
        <v>62</v>
      </c>
      <c r="F763" s="2" t="n">
        <v>18</v>
      </c>
      <c r="G763" s="5" t="s">
        <v>69</v>
      </c>
      <c r="H763" s="2" t="n">
        <v>1</v>
      </c>
      <c r="I763" s="2" t="n">
        <v>0</v>
      </c>
      <c r="J763" s="2" t="n">
        <v>0</v>
      </c>
      <c r="K763" s="2"/>
      <c r="L763" s="2"/>
      <c r="M763" s="2"/>
      <c r="N763" s="7" t="n">
        <v>1</v>
      </c>
      <c r="O763" s="7" t="n">
        <v>1</v>
      </c>
      <c r="P763" s="7" t="n">
        <v>0</v>
      </c>
      <c r="Q763" s="2"/>
      <c r="R763" s="7" t="n">
        <v>2.521647</v>
      </c>
      <c r="S763" s="5" t="s">
        <v>79</v>
      </c>
      <c r="T763" s="5" t="s">
        <v>61</v>
      </c>
    </row>
    <row r="764" customFormat="false" ht="15" hidden="false" customHeight="false" outlineLevel="0" collapsed="false">
      <c r="A764" s="5" t="s">
        <v>4</v>
      </c>
      <c r="B764" s="5" t="s">
        <v>55</v>
      </c>
      <c r="C764" s="2" t="s">
        <v>56</v>
      </c>
      <c r="D764" s="5" t="s">
        <v>78</v>
      </c>
      <c r="E764" s="5" t="s">
        <v>58</v>
      </c>
      <c r="F764" s="2" t="n">
        <v>18</v>
      </c>
      <c r="G764" s="5" t="s">
        <v>70</v>
      </c>
      <c r="H764" s="2" t="n">
        <v>0</v>
      </c>
      <c r="I764" s="2" t="n">
        <v>0</v>
      </c>
      <c r="J764" s="2" t="n">
        <v>0</v>
      </c>
      <c r="K764" s="2"/>
      <c r="L764" s="2"/>
      <c r="M764" s="2"/>
      <c r="N764" s="7" t="n">
        <v>2</v>
      </c>
      <c r="O764" s="7" t="n">
        <v>2</v>
      </c>
      <c r="P764" s="7" t="n">
        <v>0</v>
      </c>
      <c r="Q764" s="2"/>
      <c r="R764" s="7" t="n">
        <v>2.929099</v>
      </c>
      <c r="S764" s="5" t="s">
        <v>79</v>
      </c>
      <c r="T764" s="5" t="s">
        <v>61</v>
      </c>
    </row>
    <row r="765" customFormat="false" ht="15" hidden="false" customHeight="false" outlineLevel="0" collapsed="false">
      <c r="A765" s="5" t="s">
        <v>4</v>
      </c>
      <c r="B765" s="5" t="s">
        <v>55</v>
      </c>
      <c r="C765" s="2" t="s">
        <v>56</v>
      </c>
      <c r="D765" s="5" t="s">
        <v>78</v>
      </c>
      <c r="E765" s="5" t="s">
        <v>62</v>
      </c>
      <c r="F765" s="2" t="n">
        <v>18</v>
      </c>
      <c r="G765" s="5" t="s">
        <v>70</v>
      </c>
      <c r="H765" s="2" t="n">
        <v>0</v>
      </c>
      <c r="I765" s="2" t="n">
        <v>0</v>
      </c>
      <c r="J765" s="2" t="n">
        <v>0</v>
      </c>
      <c r="K765" s="2"/>
      <c r="L765" s="2"/>
      <c r="M765" s="2"/>
      <c r="N765" s="7" t="n">
        <v>2</v>
      </c>
      <c r="O765" s="7" t="n">
        <v>2</v>
      </c>
      <c r="P765" s="7" t="n">
        <v>0</v>
      </c>
      <c r="Q765" s="2"/>
      <c r="R765" s="7" t="n">
        <v>2.929099</v>
      </c>
      <c r="S765" s="5" t="s">
        <v>79</v>
      </c>
      <c r="T765" s="5" t="s">
        <v>61</v>
      </c>
    </row>
    <row r="766" customFormat="false" ht="15" hidden="false" customHeight="false" outlineLevel="0" collapsed="false">
      <c r="A766" s="5" t="s">
        <v>4</v>
      </c>
      <c r="B766" s="5" t="s">
        <v>55</v>
      </c>
      <c r="C766" s="2" t="s">
        <v>56</v>
      </c>
      <c r="D766" s="5" t="s">
        <v>78</v>
      </c>
      <c r="E766" s="5" t="s">
        <v>58</v>
      </c>
      <c r="F766" s="2" t="n">
        <v>19</v>
      </c>
      <c r="G766" s="5" t="s">
        <v>67</v>
      </c>
      <c r="H766" s="2" t="n">
        <v>1</v>
      </c>
      <c r="I766" s="2" t="n">
        <v>1</v>
      </c>
      <c r="J766" s="2" t="n">
        <v>1</v>
      </c>
      <c r="K766" s="7" t="n">
        <v>0.0720216208</v>
      </c>
      <c r="L766" s="7" t="n">
        <v>0.02572163988</v>
      </c>
      <c r="M766" s="7" t="n">
        <v>0.02674656994</v>
      </c>
      <c r="N766" s="7" t="n">
        <v>8</v>
      </c>
      <c r="O766" s="7" t="n">
        <v>8</v>
      </c>
      <c r="P766" s="7" t="n">
        <v>0</v>
      </c>
      <c r="Q766" s="2"/>
      <c r="R766" s="7" t="n">
        <v>1.655046</v>
      </c>
      <c r="S766" s="5" t="s">
        <v>79</v>
      </c>
      <c r="T766" s="5" t="s">
        <v>61</v>
      </c>
    </row>
    <row r="767" customFormat="false" ht="15" hidden="false" customHeight="false" outlineLevel="0" collapsed="false">
      <c r="A767" s="5" t="s">
        <v>4</v>
      </c>
      <c r="B767" s="5" t="s">
        <v>55</v>
      </c>
      <c r="C767" s="2" t="s">
        <v>56</v>
      </c>
      <c r="D767" s="5" t="s">
        <v>78</v>
      </c>
      <c r="E767" s="5" t="s">
        <v>62</v>
      </c>
      <c r="F767" s="2" t="n">
        <v>19</v>
      </c>
      <c r="G767" s="5" t="s">
        <v>67</v>
      </c>
      <c r="H767" s="2" t="n">
        <v>1</v>
      </c>
      <c r="I767" s="2" t="n">
        <v>1</v>
      </c>
      <c r="J767" s="2" t="n">
        <v>1</v>
      </c>
      <c r="K767" s="7" t="n">
        <v>0.0720216208</v>
      </c>
      <c r="L767" s="7" t="n">
        <v>0.02572163988</v>
      </c>
      <c r="M767" s="7" t="n">
        <v>0.02674656994</v>
      </c>
      <c r="N767" s="7" t="n">
        <v>8</v>
      </c>
      <c r="O767" s="7" t="n">
        <v>8</v>
      </c>
      <c r="P767" s="7" t="n">
        <v>8</v>
      </c>
      <c r="Q767" s="2"/>
      <c r="R767" s="7" t="n">
        <v>2.175004</v>
      </c>
      <c r="S767" s="5" t="s">
        <v>79</v>
      </c>
      <c r="T767" s="5" t="s">
        <v>61</v>
      </c>
    </row>
    <row r="768" customFormat="false" ht="15" hidden="false" customHeight="false" outlineLevel="0" collapsed="false">
      <c r="A768" s="5" t="s">
        <v>4</v>
      </c>
      <c r="B768" s="5" t="s">
        <v>55</v>
      </c>
      <c r="C768" s="2" t="s">
        <v>56</v>
      </c>
      <c r="D768" s="5" t="s">
        <v>78</v>
      </c>
      <c r="E768" s="5" t="s">
        <v>58</v>
      </c>
      <c r="F768" s="2" t="n">
        <v>19</v>
      </c>
      <c r="G768" s="5" t="s">
        <v>68</v>
      </c>
      <c r="H768" s="2" t="n">
        <v>1</v>
      </c>
      <c r="I768" s="2" t="n">
        <v>1</v>
      </c>
      <c r="J768" s="2" t="n">
        <v>1</v>
      </c>
      <c r="K768" s="7" t="n">
        <v>0.9552748368</v>
      </c>
      <c r="L768" s="7" t="n">
        <v>0.06260600476</v>
      </c>
      <c r="M768" s="7" t="n">
        <v>0.08955020017</v>
      </c>
      <c r="N768" s="7" t="n">
        <v>6</v>
      </c>
      <c r="O768" s="7" t="n">
        <v>6</v>
      </c>
      <c r="P768" s="7" t="n">
        <v>0</v>
      </c>
      <c r="Q768" s="2"/>
      <c r="R768" s="7" t="n">
        <v>1.770137</v>
      </c>
      <c r="S768" s="5" t="s">
        <v>79</v>
      </c>
      <c r="T768" s="5" t="s">
        <v>61</v>
      </c>
    </row>
    <row r="769" customFormat="false" ht="15" hidden="false" customHeight="false" outlineLevel="0" collapsed="false">
      <c r="A769" s="5" t="s">
        <v>4</v>
      </c>
      <c r="B769" s="5" t="s">
        <v>55</v>
      </c>
      <c r="C769" s="2" t="s">
        <v>56</v>
      </c>
      <c r="D769" s="5" t="s">
        <v>78</v>
      </c>
      <c r="E769" s="5" t="s">
        <v>62</v>
      </c>
      <c r="F769" s="2" t="n">
        <v>19</v>
      </c>
      <c r="G769" s="5" t="s">
        <v>68</v>
      </c>
      <c r="H769" s="2" t="n">
        <v>1</v>
      </c>
      <c r="I769" s="2" t="n">
        <v>1</v>
      </c>
      <c r="J769" s="2" t="n">
        <v>1</v>
      </c>
      <c r="K769" s="7" t="n">
        <v>0.9552748368</v>
      </c>
      <c r="L769" s="7" t="n">
        <v>0.06260600476</v>
      </c>
      <c r="M769" s="7" t="n">
        <v>0.08955020017</v>
      </c>
      <c r="N769" s="7" t="n">
        <v>6</v>
      </c>
      <c r="O769" s="7" t="n">
        <v>6</v>
      </c>
      <c r="P769" s="7" t="n">
        <v>6</v>
      </c>
      <c r="Q769" s="2"/>
      <c r="R769" s="7" t="n">
        <v>2.248794</v>
      </c>
      <c r="S769" s="5" t="s">
        <v>79</v>
      </c>
      <c r="T769" s="5" t="s">
        <v>61</v>
      </c>
    </row>
    <row r="770" customFormat="false" ht="15" hidden="false" customHeight="false" outlineLevel="0" collapsed="false">
      <c r="A770" s="5" t="s">
        <v>4</v>
      </c>
      <c r="B770" s="5" t="s">
        <v>55</v>
      </c>
      <c r="C770" s="2" t="s">
        <v>56</v>
      </c>
      <c r="D770" s="5" t="s">
        <v>78</v>
      </c>
      <c r="E770" s="5" t="s">
        <v>58</v>
      </c>
      <c r="F770" s="2" t="n">
        <v>19</v>
      </c>
      <c r="G770" s="5" t="s">
        <v>69</v>
      </c>
      <c r="H770" s="2" t="n">
        <v>1</v>
      </c>
      <c r="I770" s="2" t="n">
        <v>1</v>
      </c>
      <c r="J770" s="2" t="n">
        <v>1</v>
      </c>
      <c r="K770" s="7" t="n">
        <v>0.6449150604</v>
      </c>
      <c r="L770" s="7" t="n">
        <v>0.07785452344</v>
      </c>
      <c r="M770" s="7" t="n">
        <v>0.08933409001</v>
      </c>
      <c r="N770" s="7" t="n">
        <v>3</v>
      </c>
      <c r="O770" s="7" t="n">
        <v>3</v>
      </c>
      <c r="P770" s="7" t="n">
        <v>0</v>
      </c>
      <c r="Q770" s="2"/>
      <c r="R770" s="7" t="n">
        <v>2.401038</v>
      </c>
      <c r="S770" s="5" t="s">
        <v>79</v>
      </c>
      <c r="T770" s="5" t="s">
        <v>61</v>
      </c>
    </row>
    <row r="771" customFormat="false" ht="15" hidden="false" customHeight="false" outlineLevel="0" collapsed="false">
      <c r="A771" s="5" t="s">
        <v>4</v>
      </c>
      <c r="B771" s="5" t="s">
        <v>55</v>
      </c>
      <c r="C771" s="2" t="s">
        <v>56</v>
      </c>
      <c r="D771" s="5" t="s">
        <v>78</v>
      </c>
      <c r="E771" s="5" t="s">
        <v>62</v>
      </c>
      <c r="F771" s="2" t="n">
        <v>19</v>
      </c>
      <c r="G771" s="5" t="s">
        <v>69</v>
      </c>
      <c r="H771" s="2" t="n">
        <v>1</v>
      </c>
      <c r="I771" s="2" t="n">
        <v>1</v>
      </c>
      <c r="J771" s="2" t="n">
        <v>1</v>
      </c>
      <c r="K771" s="7" t="n">
        <v>0.6449150604</v>
      </c>
      <c r="L771" s="7" t="n">
        <v>0.07785452344</v>
      </c>
      <c r="M771" s="7" t="n">
        <v>0.08933409001</v>
      </c>
      <c r="N771" s="7" t="n">
        <v>3</v>
      </c>
      <c r="O771" s="7" t="n">
        <v>3</v>
      </c>
      <c r="P771" s="7" t="n">
        <v>3</v>
      </c>
      <c r="Q771" s="2"/>
      <c r="R771" s="7" t="n">
        <v>2.556128</v>
      </c>
      <c r="S771" s="5" t="s">
        <v>79</v>
      </c>
      <c r="T771" s="5" t="s">
        <v>61</v>
      </c>
    </row>
    <row r="772" customFormat="false" ht="15" hidden="false" customHeight="false" outlineLevel="0" collapsed="false">
      <c r="A772" s="5" t="s">
        <v>4</v>
      </c>
      <c r="B772" s="5" t="s">
        <v>55</v>
      </c>
      <c r="C772" s="2" t="s">
        <v>56</v>
      </c>
      <c r="D772" s="5" t="s">
        <v>78</v>
      </c>
      <c r="E772" s="5" t="s">
        <v>58</v>
      </c>
      <c r="F772" s="2" t="n">
        <v>19</v>
      </c>
      <c r="G772" s="5" t="s">
        <v>70</v>
      </c>
      <c r="H772" s="2" t="n">
        <v>0</v>
      </c>
      <c r="I772" s="2" t="n">
        <v>1</v>
      </c>
      <c r="J772" s="2" t="n">
        <v>1</v>
      </c>
      <c r="K772" s="7" t="n">
        <v>1.093211638</v>
      </c>
      <c r="L772" s="7" t="n">
        <v>0.124530235</v>
      </c>
      <c r="M772" s="7" t="n">
        <v>0.1477854819</v>
      </c>
      <c r="N772" s="7" t="n">
        <v>3</v>
      </c>
      <c r="O772" s="7" t="n">
        <v>3</v>
      </c>
      <c r="P772" s="7" t="n">
        <v>0</v>
      </c>
      <c r="Q772" s="2"/>
      <c r="R772" s="7" t="n">
        <v>3.146591</v>
      </c>
      <c r="S772" s="5" t="s">
        <v>79</v>
      </c>
      <c r="T772" s="5" t="s">
        <v>61</v>
      </c>
    </row>
    <row r="773" customFormat="false" ht="15" hidden="false" customHeight="false" outlineLevel="0" collapsed="false">
      <c r="A773" s="5" t="s">
        <v>4</v>
      </c>
      <c r="B773" s="5" t="s">
        <v>55</v>
      </c>
      <c r="C773" s="2" t="s">
        <v>56</v>
      </c>
      <c r="D773" s="5" t="s">
        <v>78</v>
      </c>
      <c r="E773" s="5" t="s">
        <v>62</v>
      </c>
      <c r="F773" s="2" t="n">
        <v>19</v>
      </c>
      <c r="G773" s="5" t="s">
        <v>70</v>
      </c>
      <c r="H773" s="2" t="n">
        <v>0</v>
      </c>
      <c r="I773" s="2" t="n">
        <v>1</v>
      </c>
      <c r="J773" s="2" t="n">
        <v>1</v>
      </c>
      <c r="K773" s="7" t="n">
        <v>1.093211638</v>
      </c>
      <c r="L773" s="7" t="n">
        <v>0.124530235</v>
      </c>
      <c r="M773" s="7" t="n">
        <v>0.1477854819</v>
      </c>
      <c r="N773" s="7" t="n">
        <v>3</v>
      </c>
      <c r="O773" s="7" t="n">
        <v>3</v>
      </c>
      <c r="P773" s="7" t="n">
        <v>3</v>
      </c>
      <c r="Q773" s="2"/>
      <c r="R773" s="7" t="n">
        <v>3.3223</v>
      </c>
      <c r="S773" s="5" t="s">
        <v>79</v>
      </c>
      <c r="T773" s="5" t="s">
        <v>61</v>
      </c>
    </row>
    <row r="774" customFormat="false" ht="15" hidden="false" customHeight="false" outlineLevel="0" collapsed="false">
      <c r="A774" s="5" t="s">
        <v>4</v>
      </c>
      <c r="B774" s="5" t="s">
        <v>55</v>
      </c>
      <c r="C774" s="2" t="s">
        <v>56</v>
      </c>
      <c r="D774" s="5" t="s">
        <v>78</v>
      </c>
      <c r="E774" s="5" t="s">
        <v>58</v>
      </c>
      <c r="F774" s="2" t="n">
        <v>20</v>
      </c>
      <c r="G774" s="5" t="s">
        <v>67</v>
      </c>
      <c r="H774" s="2" t="n">
        <v>1</v>
      </c>
      <c r="I774" s="2" t="n">
        <v>1</v>
      </c>
      <c r="J774" s="2" t="n">
        <v>1</v>
      </c>
      <c r="K774" s="7" t="n">
        <v>0.6488175997</v>
      </c>
      <c r="L774" s="7" t="n">
        <v>0.06272535963</v>
      </c>
      <c r="M774" s="7" t="n">
        <v>0.07362408486</v>
      </c>
      <c r="N774" s="7" t="n">
        <v>7</v>
      </c>
      <c r="O774" s="7" t="n">
        <v>7</v>
      </c>
      <c r="P774" s="7" t="n">
        <v>0</v>
      </c>
      <c r="Q774" s="2"/>
      <c r="R774" s="7" t="n">
        <v>1.647936</v>
      </c>
      <c r="S774" s="5" t="s">
        <v>79</v>
      </c>
      <c r="T774" s="5" t="s">
        <v>61</v>
      </c>
    </row>
    <row r="775" customFormat="false" ht="15" hidden="false" customHeight="false" outlineLevel="0" collapsed="false">
      <c r="A775" s="5" t="s">
        <v>4</v>
      </c>
      <c r="B775" s="5" t="s">
        <v>55</v>
      </c>
      <c r="C775" s="2" t="s">
        <v>56</v>
      </c>
      <c r="D775" s="5" t="s">
        <v>78</v>
      </c>
      <c r="E775" s="5" t="s">
        <v>62</v>
      </c>
      <c r="F775" s="2" t="n">
        <v>20</v>
      </c>
      <c r="G775" s="5" t="s">
        <v>67</v>
      </c>
      <c r="H775" s="2" t="n">
        <v>1</v>
      </c>
      <c r="I775" s="2" t="n">
        <v>1</v>
      </c>
      <c r="J775" s="2" t="n">
        <v>1</v>
      </c>
      <c r="K775" s="7" t="n">
        <v>0.6488175997</v>
      </c>
      <c r="L775" s="7" t="n">
        <v>0.06272535963</v>
      </c>
      <c r="M775" s="7" t="n">
        <v>0.07362408486</v>
      </c>
      <c r="N775" s="7" t="n">
        <v>7</v>
      </c>
      <c r="O775" s="7" t="n">
        <v>7</v>
      </c>
      <c r="P775" s="7" t="n">
        <v>7</v>
      </c>
      <c r="Q775" s="2"/>
      <c r="R775" s="7" t="n">
        <v>2.127525</v>
      </c>
      <c r="S775" s="5" t="s">
        <v>79</v>
      </c>
      <c r="T775" s="5" t="s">
        <v>61</v>
      </c>
    </row>
    <row r="776" customFormat="false" ht="15" hidden="false" customHeight="false" outlineLevel="0" collapsed="false">
      <c r="A776" s="5" t="s">
        <v>4</v>
      </c>
      <c r="B776" s="5" t="s">
        <v>55</v>
      </c>
      <c r="C776" s="2" t="s">
        <v>56</v>
      </c>
      <c r="D776" s="5" t="s">
        <v>78</v>
      </c>
      <c r="E776" s="5" t="s">
        <v>58</v>
      </c>
      <c r="F776" s="2" t="n">
        <v>20</v>
      </c>
      <c r="G776" s="5" t="s">
        <v>68</v>
      </c>
      <c r="H776" s="2" t="n">
        <v>1</v>
      </c>
      <c r="I776" s="2" t="n">
        <v>1</v>
      </c>
      <c r="J776" s="2" t="n">
        <v>0</v>
      </c>
      <c r="K776" s="7" t="n">
        <v>6.433832297</v>
      </c>
      <c r="L776" s="7" t="n">
        <v>0.5297315508</v>
      </c>
      <c r="M776" s="7" t="n">
        <v>0.634470249</v>
      </c>
      <c r="N776" s="7" t="n">
        <v>3</v>
      </c>
      <c r="O776" s="7" t="n">
        <v>3</v>
      </c>
      <c r="P776" s="7" t="n">
        <v>0</v>
      </c>
      <c r="Q776" s="2"/>
      <c r="R776" s="7" t="n">
        <v>1.954179</v>
      </c>
      <c r="S776" s="5" t="s">
        <v>79</v>
      </c>
      <c r="T776" s="5" t="s">
        <v>61</v>
      </c>
    </row>
    <row r="777" customFormat="false" ht="15" hidden="false" customHeight="false" outlineLevel="0" collapsed="false">
      <c r="A777" s="5" t="s">
        <v>4</v>
      </c>
      <c r="B777" s="5" t="s">
        <v>55</v>
      </c>
      <c r="C777" s="2" t="s">
        <v>56</v>
      </c>
      <c r="D777" s="5" t="s">
        <v>78</v>
      </c>
      <c r="E777" s="5" t="s">
        <v>62</v>
      </c>
      <c r="F777" s="2" t="n">
        <v>20</v>
      </c>
      <c r="G777" s="5" t="s">
        <v>68</v>
      </c>
      <c r="H777" s="2" t="n">
        <v>1</v>
      </c>
      <c r="I777" s="2" t="n">
        <v>1</v>
      </c>
      <c r="J777" s="2" t="n">
        <v>0</v>
      </c>
      <c r="K777" s="7" t="n">
        <v>6.433832297</v>
      </c>
      <c r="L777" s="7" t="n">
        <v>0.5297315508</v>
      </c>
      <c r="M777" s="7" t="n">
        <v>0.634470249</v>
      </c>
      <c r="N777" s="7" t="n">
        <v>3</v>
      </c>
      <c r="O777" s="7" t="n">
        <v>3</v>
      </c>
      <c r="P777" s="7" t="n">
        <v>3</v>
      </c>
      <c r="Q777" s="2"/>
      <c r="R777" s="7" t="n">
        <v>2.109869</v>
      </c>
      <c r="S777" s="5" t="s">
        <v>79</v>
      </c>
      <c r="T777" s="5" t="s">
        <v>61</v>
      </c>
    </row>
    <row r="778" customFormat="false" ht="15" hidden="false" customHeight="false" outlineLevel="0" collapsed="false">
      <c r="A778" s="5" t="s">
        <v>4</v>
      </c>
      <c r="B778" s="5" t="s">
        <v>55</v>
      </c>
      <c r="C778" s="2" t="s">
        <v>56</v>
      </c>
      <c r="D778" s="5" t="s">
        <v>78</v>
      </c>
      <c r="E778" s="5" t="s">
        <v>58</v>
      </c>
      <c r="F778" s="2" t="n">
        <v>20</v>
      </c>
      <c r="G778" s="5" t="s">
        <v>69</v>
      </c>
      <c r="H778" s="2" t="n">
        <v>1</v>
      </c>
      <c r="I778" s="2" t="n">
        <v>0</v>
      </c>
      <c r="J778" s="2" t="n">
        <v>0</v>
      </c>
      <c r="K778" s="2"/>
      <c r="L778" s="2"/>
      <c r="M778" s="2"/>
      <c r="N778" s="7" t="n">
        <v>1</v>
      </c>
      <c r="O778" s="7" t="n">
        <v>1</v>
      </c>
      <c r="P778" s="7" t="n">
        <v>0</v>
      </c>
      <c r="Q778" s="2"/>
      <c r="R778" s="7" t="n">
        <v>2.871083</v>
      </c>
      <c r="S778" s="5" t="s">
        <v>79</v>
      </c>
      <c r="T778" s="5" t="s">
        <v>61</v>
      </c>
    </row>
    <row r="779" customFormat="false" ht="15" hidden="false" customHeight="false" outlineLevel="0" collapsed="false">
      <c r="A779" s="5" t="s">
        <v>4</v>
      </c>
      <c r="B779" s="5" t="s">
        <v>55</v>
      </c>
      <c r="C779" s="2" t="s">
        <v>56</v>
      </c>
      <c r="D779" s="5" t="s">
        <v>78</v>
      </c>
      <c r="E779" s="5" t="s">
        <v>62</v>
      </c>
      <c r="F779" s="2" t="n">
        <v>20</v>
      </c>
      <c r="G779" s="5" t="s">
        <v>69</v>
      </c>
      <c r="H779" s="2" t="n">
        <v>1</v>
      </c>
      <c r="I779" s="2" t="n">
        <v>0</v>
      </c>
      <c r="J779" s="2" t="n">
        <v>0</v>
      </c>
      <c r="K779" s="2"/>
      <c r="L779" s="2"/>
      <c r="M779" s="2"/>
      <c r="N779" s="7" t="n">
        <v>1</v>
      </c>
      <c r="O779" s="7" t="n">
        <v>1</v>
      </c>
      <c r="P779" s="7" t="n">
        <v>0</v>
      </c>
      <c r="Q779" s="2"/>
      <c r="R779" s="7" t="n">
        <v>2.870913</v>
      </c>
      <c r="S779" s="5" t="s">
        <v>79</v>
      </c>
      <c r="T779" s="5" t="s">
        <v>61</v>
      </c>
    </row>
    <row r="780" customFormat="false" ht="15" hidden="false" customHeight="false" outlineLevel="0" collapsed="false">
      <c r="A780" s="5" t="s">
        <v>4</v>
      </c>
      <c r="B780" s="5" t="s">
        <v>55</v>
      </c>
      <c r="C780" s="2" t="s">
        <v>56</v>
      </c>
      <c r="D780" s="5" t="s">
        <v>78</v>
      </c>
      <c r="E780" s="5" t="s">
        <v>58</v>
      </c>
      <c r="F780" s="2" t="n">
        <v>20</v>
      </c>
      <c r="G780" s="5" t="s">
        <v>70</v>
      </c>
      <c r="H780" s="2" t="n">
        <v>0</v>
      </c>
      <c r="I780" s="2" t="n">
        <v>1</v>
      </c>
      <c r="J780" s="2" t="n">
        <v>1</v>
      </c>
      <c r="K780" s="7" t="n">
        <v>1.062188783</v>
      </c>
      <c r="L780" s="7" t="n">
        <v>0.09617814452</v>
      </c>
      <c r="M780" s="7" t="n">
        <v>0.1246228595</v>
      </c>
      <c r="N780" s="7" t="n">
        <v>3</v>
      </c>
      <c r="O780" s="7" t="n">
        <v>3</v>
      </c>
      <c r="P780" s="7" t="n">
        <v>0</v>
      </c>
      <c r="Q780" s="2"/>
      <c r="R780" s="7" t="n">
        <v>3.084599</v>
      </c>
      <c r="S780" s="5" t="s">
        <v>79</v>
      </c>
      <c r="T780" s="5" t="s">
        <v>61</v>
      </c>
    </row>
    <row r="781" customFormat="false" ht="15" hidden="false" customHeight="false" outlineLevel="0" collapsed="false">
      <c r="A781" s="5" t="s">
        <v>4</v>
      </c>
      <c r="B781" s="5" t="s">
        <v>55</v>
      </c>
      <c r="C781" s="2" t="s">
        <v>56</v>
      </c>
      <c r="D781" s="5" t="s">
        <v>78</v>
      </c>
      <c r="E781" s="5" t="s">
        <v>62</v>
      </c>
      <c r="F781" s="2" t="n">
        <v>20</v>
      </c>
      <c r="G781" s="5" t="s">
        <v>70</v>
      </c>
      <c r="H781" s="2" t="n">
        <v>0</v>
      </c>
      <c r="I781" s="2" t="n">
        <v>1</v>
      </c>
      <c r="J781" s="2" t="n">
        <v>1</v>
      </c>
      <c r="K781" s="7" t="n">
        <v>1.062188783</v>
      </c>
      <c r="L781" s="7" t="n">
        <v>0.09617814452</v>
      </c>
      <c r="M781" s="7" t="n">
        <v>0.1246228595</v>
      </c>
      <c r="N781" s="7" t="n">
        <v>3</v>
      </c>
      <c r="O781" s="7" t="n">
        <v>3</v>
      </c>
      <c r="P781" s="7" t="n">
        <v>3</v>
      </c>
      <c r="Q781" s="2"/>
      <c r="R781" s="7" t="n">
        <v>3.260158</v>
      </c>
      <c r="S781" s="5" t="s">
        <v>79</v>
      </c>
      <c r="T781" s="5" t="s">
        <v>61</v>
      </c>
    </row>
    <row r="782" customFormat="false" ht="15" hidden="false" customHeight="false" outlineLevel="0" collapsed="false">
      <c r="A782" s="5" t="s">
        <v>4</v>
      </c>
      <c r="B782" s="5" t="s">
        <v>55</v>
      </c>
      <c r="C782" s="2" t="s">
        <v>56</v>
      </c>
      <c r="D782" s="5" t="s">
        <v>78</v>
      </c>
      <c r="E782" s="5" t="s">
        <v>58</v>
      </c>
      <c r="F782" s="2" t="n">
        <v>11</v>
      </c>
      <c r="G782" s="5" t="s">
        <v>71</v>
      </c>
      <c r="H782" s="2" t="n">
        <v>1</v>
      </c>
      <c r="I782" s="2" t="n">
        <v>1</v>
      </c>
      <c r="J782" s="2" t="n">
        <v>1</v>
      </c>
      <c r="K782" s="7" t="n">
        <v>0.6408818451</v>
      </c>
      <c r="L782" s="7" t="n">
        <v>0.01907407785</v>
      </c>
      <c r="M782" s="7" t="n">
        <v>0.04407478004</v>
      </c>
      <c r="N782" s="7" t="n">
        <v>8</v>
      </c>
      <c r="O782" s="7" t="n">
        <v>8</v>
      </c>
      <c r="P782" s="7" t="n">
        <v>0</v>
      </c>
      <c r="Q782" s="2"/>
      <c r="R782" s="7" t="n">
        <v>1.493376</v>
      </c>
      <c r="S782" s="5" t="s">
        <v>79</v>
      </c>
      <c r="T782" s="5" t="s">
        <v>61</v>
      </c>
    </row>
    <row r="783" customFormat="false" ht="15" hidden="false" customHeight="false" outlineLevel="0" collapsed="false">
      <c r="A783" s="5" t="s">
        <v>4</v>
      </c>
      <c r="B783" s="5" t="s">
        <v>55</v>
      </c>
      <c r="C783" s="2" t="s">
        <v>56</v>
      </c>
      <c r="D783" s="5" t="s">
        <v>78</v>
      </c>
      <c r="E783" s="5" t="s">
        <v>62</v>
      </c>
      <c r="F783" s="2" t="n">
        <v>11</v>
      </c>
      <c r="G783" s="5" t="s">
        <v>71</v>
      </c>
      <c r="H783" s="2" t="n">
        <v>1</v>
      </c>
      <c r="I783" s="2" t="n">
        <v>1</v>
      </c>
      <c r="J783" s="2" t="n">
        <v>1</v>
      </c>
      <c r="K783" s="7" t="n">
        <v>0.6408818451</v>
      </c>
      <c r="L783" s="7" t="n">
        <v>0.01907407785</v>
      </c>
      <c r="M783" s="7" t="n">
        <v>0.04407478004</v>
      </c>
      <c r="N783" s="7" t="n">
        <v>8</v>
      </c>
      <c r="O783" s="7" t="n">
        <v>8</v>
      </c>
      <c r="P783" s="7" t="n">
        <v>8</v>
      </c>
      <c r="Q783" s="2"/>
      <c r="R783" s="7" t="n">
        <v>1.96241</v>
      </c>
      <c r="S783" s="5" t="s">
        <v>79</v>
      </c>
      <c r="T783" s="5" t="s">
        <v>61</v>
      </c>
    </row>
    <row r="784" customFormat="false" ht="15" hidden="false" customHeight="false" outlineLevel="0" collapsed="false">
      <c r="A784" s="5" t="s">
        <v>4</v>
      </c>
      <c r="B784" s="5" t="s">
        <v>55</v>
      </c>
      <c r="C784" s="2" t="s">
        <v>56</v>
      </c>
      <c r="D784" s="5" t="s">
        <v>78</v>
      </c>
      <c r="E784" s="5" t="s">
        <v>58</v>
      </c>
      <c r="F784" s="2" t="n">
        <v>11</v>
      </c>
      <c r="G784" s="5" t="s">
        <v>72</v>
      </c>
      <c r="H784" s="2" t="n">
        <v>1</v>
      </c>
      <c r="I784" s="2" t="n">
        <v>1</v>
      </c>
      <c r="J784" s="2" t="n">
        <v>1</v>
      </c>
      <c r="K784" s="7" t="n">
        <v>0.8853369522</v>
      </c>
      <c r="L784" s="7" t="n">
        <v>0.1931060372</v>
      </c>
      <c r="M784" s="7" t="n">
        <v>0.1991038884</v>
      </c>
      <c r="N784" s="7" t="n">
        <v>5</v>
      </c>
      <c r="O784" s="7" t="n">
        <v>5</v>
      </c>
      <c r="P784" s="7" t="n">
        <v>0</v>
      </c>
      <c r="Q784" s="2"/>
      <c r="R784" s="7" t="n">
        <v>2.177357</v>
      </c>
      <c r="S784" s="5" t="s">
        <v>79</v>
      </c>
      <c r="T784" s="5" t="s">
        <v>61</v>
      </c>
    </row>
    <row r="785" customFormat="false" ht="15" hidden="false" customHeight="false" outlineLevel="0" collapsed="false">
      <c r="A785" s="5" t="s">
        <v>4</v>
      </c>
      <c r="B785" s="5" t="s">
        <v>55</v>
      </c>
      <c r="C785" s="2" t="s">
        <v>56</v>
      </c>
      <c r="D785" s="5" t="s">
        <v>78</v>
      </c>
      <c r="E785" s="5" t="s">
        <v>62</v>
      </c>
      <c r="F785" s="2" t="n">
        <v>11</v>
      </c>
      <c r="G785" s="5" t="s">
        <v>72</v>
      </c>
      <c r="H785" s="2" t="n">
        <v>1</v>
      </c>
      <c r="I785" s="2" t="n">
        <v>1</v>
      </c>
      <c r="J785" s="2" t="n">
        <v>1</v>
      </c>
      <c r="K785" s="7" t="n">
        <v>0.8853369522</v>
      </c>
      <c r="L785" s="7" t="n">
        <v>0.1931060372</v>
      </c>
      <c r="M785" s="7" t="n">
        <v>0.1991038884</v>
      </c>
      <c r="N785" s="7" t="n">
        <v>5</v>
      </c>
      <c r="O785" s="7" t="n">
        <v>5</v>
      </c>
      <c r="P785" s="7" t="n">
        <v>5</v>
      </c>
      <c r="Q785" s="2"/>
      <c r="R785" s="7" t="n">
        <v>2.518181</v>
      </c>
      <c r="S785" s="5" t="s">
        <v>79</v>
      </c>
      <c r="T785" s="5" t="s">
        <v>61</v>
      </c>
    </row>
    <row r="786" customFormat="false" ht="15" hidden="false" customHeight="false" outlineLevel="0" collapsed="false">
      <c r="A786" s="5" t="s">
        <v>4</v>
      </c>
      <c r="B786" s="5" t="s">
        <v>55</v>
      </c>
      <c r="C786" s="2" t="s">
        <v>56</v>
      </c>
      <c r="D786" s="5" t="s">
        <v>78</v>
      </c>
      <c r="E786" s="5" t="s">
        <v>58</v>
      </c>
      <c r="F786" s="2" t="n">
        <v>11</v>
      </c>
      <c r="G786" s="5" t="s">
        <v>73</v>
      </c>
      <c r="H786" s="2" t="n">
        <v>0</v>
      </c>
      <c r="I786" s="2" t="n">
        <v>1</v>
      </c>
      <c r="J786" s="2" t="n">
        <v>1</v>
      </c>
      <c r="K786" s="7" t="n">
        <v>0.286850015</v>
      </c>
      <c r="L786" s="7" t="n">
        <v>0.05633783897</v>
      </c>
      <c r="M786" s="7" t="n">
        <v>0.05867626298</v>
      </c>
      <c r="N786" s="7" t="n">
        <v>7</v>
      </c>
      <c r="O786" s="7" t="n">
        <v>7</v>
      </c>
      <c r="P786" s="7" t="n">
        <v>0</v>
      </c>
      <c r="Q786" s="2"/>
      <c r="R786" s="7" t="n">
        <v>2.459214</v>
      </c>
      <c r="S786" s="5" t="s">
        <v>79</v>
      </c>
      <c r="T786" s="5" t="s">
        <v>61</v>
      </c>
    </row>
    <row r="787" customFormat="false" ht="15" hidden="false" customHeight="false" outlineLevel="0" collapsed="false">
      <c r="A787" s="5" t="s">
        <v>4</v>
      </c>
      <c r="B787" s="5" t="s">
        <v>55</v>
      </c>
      <c r="C787" s="2" t="s">
        <v>56</v>
      </c>
      <c r="D787" s="5" t="s">
        <v>78</v>
      </c>
      <c r="E787" s="5" t="s">
        <v>62</v>
      </c>
      <c r="F787" s="2" t="n">
        <v>11</v>
      </c>
      <c r="G787" s="5" t="s">
        <v>73</v>
      </c>
      <c r="H787" s="2" t="n">
        <v>0</v>
      </c>
      <c r="I787" s="2" t="n">
        <v>1</v>
      </c>
      <c r="J787" s="2" t="n">
        <v>1</v>
      </c>
      <c r="K787" s="7" t="n">
        <v>0.286850015</v>
      </c>
      <c r="L787" s="7" t="n">
        <v>0.05633783897</v>
      </c>
      <c r="M787" s="7" t="n">
        <v>0.05867626298</v>
      </c>
      <c r="N787" s="7" t="n">
        <v>7</v>
      </c>
      <c r="O787" s="7" t="n">
        <v>7</v>
      </c>
      <c r="P787" s="7" t="n">
        <v>7</v>
      </c>
      <c r="Q787" s="2"/>
      <c r="R787" s="7" t="n">
        <v>2.931391</v>
      </c>
      <c r="S787" s="5" t="s">
        <v>79</v>
      </c>
      <c r="T787" s="5" t="s">
        <v>61</v>
      </c>
    </row>
    <row r="788" customFormat="false" ht="15" hidden="false" customHeight="false" outlineLevel="0" collapsed="false">
      <c r="A788" s="5" t="s">
        <v>4</v>
      </c>
      <c r="B788" s="5" t="s">
        <v>55</v>
      </c>
      <c r="C788" s="2" t="s">
        <v>56</v>
      </c>
      <c r="D788" s="5" t="s">
        <v>78</v>
      </c>
      <c r="E788" s="5" t="s">
        <v>58</v>
      </c>
      <c r="F788" s="2" t="n">
        <v>12</v>
      </c>
      <c r="G788" s="5" t="s">
        <v>71</v>
      </c>
      <c r="H788" s="2" t="n">
        <v>1</v>
      </c>
      <c r="I788" s="2" t="n">
        <v>1</v>
      </c>
      <c r="J788" s="2" t="n">
        <v>1</v>
      </c>
      <c r="K788" s="7" t="n">
        <v>1.718801957</v>
      </c>
      <c r="L788" s="7" t="n">
        <v>0.0657359441</v>
      </c>
      <c r="M788" s="7" t="n">
        <v>0.1167652651</v>
      </c>
      <c r="N788" s="7" t="n">
        <v>3</v>
      </c>
      <c r="O788" s="7" t="n">
        <v>3</v>
      </c>
      <c r="P788" s="7" t="n">
        <v>0</v>
      </c>
      <c r="Q788" s="2"/>
      <c r="R788" s="7" t="n">
        <v>1.491865</v>
      </c>
      <c r="S788" s="5" t="s">
        <v>79</v>
      </c>
      <c r="T788" s="5" t="s">
        <v>61</v>
      </c>
    </row>
    <row r="789" customFormat="false" ht="15" hidden="false" customHeight="false" outlineLevel="0" collapsed="false">
      <c r="A789" s="5" t="s">
        <v>4</v>
      </c>
      <c r="B789" s="5" t="s">
        <v>55</v>
      </c>
      <c r="C789" s="2" t="s">
        <v>56</v>
      </c>
      <c r="D789" s="5" t="s">
        <v>78</v>
      </c>
      <c r="E789" s="5" t="s">
        <v>62</v>
      </c>
      <c r="F789" s="2" t="n">
        <v>12</v>
      </c>
      <c r="G789" s="5" t="s">
        <v>71</v>
      </c>
      <c r="H789" s="2" t="n">
        <v>1</v>
      </c>
      <c r="I789" s="2" t="n">
        <v>1</v>
      </c>
      <c r="J789" s="2" t="n">
        <v>1</v>
      </c>
      <c r="K789" s="7" t="n">
        <v>1.718801957</v>
      </c>
      <c r="L789" s="7" t="n">
        <v>0.0657359441</v>
      </c>
      <c r="M789" s="7" t="n">
        <v>0.1167652651</v>
      </c>
      <c r="N789" s="7" t="n">
        <v>3</v>
      </c>
      <c r="O789" s="7" t="n">
        <v>3</v>
      </c>
      <c r="P789" s="7" t="n">
        <v>3</v>
      </c>
      <c r="Q789" s="2"/>
      <c r="R789" s="7" t="n">
        <v>1.646613</v>
      </c>
      <c r="S789" s="5" t="s">
        <v>79</v>
      </c>
      <c r="T789" s="5" t="s">
        <v>61</v>
      </c>
    </row>
    <row r="790" customFormat="false" ht="15" hidden="false" customHeight="false" outlineLevel="0" collapsed="false">
      <c r="A790" s="5" t="s">
        <v>4</v>
      </c>
      <c r="B790" s="5" t="s">
        <v>55</v>
      </c>
      <c r="C790" s="2" t="s">
        <v>56</v>
      </c>
      <c r="D790" s="5" t="s">
        <v>78</v>
      </c>
      <c r="E790" s="5" t="s">
        <v>58</v>
      </c>
      <c r="F790" s="2" t="n">
        <v>12</v>
      </c>
      <c r="G790" s="5" t="s">
        <v>72</v>
      </c>
      <c r="H790" s="2" t="n">
        <v>1</v>
      </c>
      <c r="I790" s="2" t="n">
        <v>1</v>
      </c>
      <c r="J790" s="2" t="n">
        <v>1</v>
      </c>
      <c r="K790" s="7" t="n">
        <v>0.4188715919</v>
      </c>
      <c r="L790" s="7" t="n">
        <v>0.06137693022</v>
      </c>
      <c r="M790" s="7" t="n">
        <v>0.06675080367</v>
      </c>
      <c r="N790" s="7" t="n">
        <v>3</v>
      </c>
      <c r="O790" s="7" t="n">
        <v>3</v>
      </c>
      <c r="P790" s="7" t="n">
        <v>0</v>
      </c>
      <c r="Q790" s="2"/>
      <c r="R790" s="7" t="n">
        <v>2.261591</v>
      </c>
      <c r="S790" s="5" t="s">
        <v>79</v>
      </c>
      <c r="T790" s="5" t="s">
        <v>61</v>
      </c>
    </row>
    <row r="791" customFormat="false" ht="15" hidden="false" customHeight="false" outlineLevel="0" collapsed="false">
      <c r="A791" s="5" t="s">
        <v>4</v>
      </c>
      <c r="B791" s="5" t="s">
        <v>55</v>
      </c>
      <c r="C791" s="2" t="s">
        <v>56</v>
      </c>
      <c r="D791" s="5" t="s">
        <v>78</v>
      </c>
      <c r="E791" s="5" t="s">
        <v>62</v>
      </c>
      <c r="F791" s="2" t="n">
        <v>12</v>
      </c>
      <c r="G791" s="5" t="s">
        <v>72</v>
      </c>
      <c r="H791" s="2" t="n">
        <v>1</v>
      </c>
      <c r="I791" s="2" t="n">
        <v>1</v>
      </c>
      <c r="J791" s="2" t="n">
        <v>1</v>
      </c>
      <c r="K791" s="7" t="n">
        <v>0.4188715919</v>
      </c>
      <c r="L791" s="7" t="n">
        <v>0.06137693022</v>
      </c>
      <c r="M791" s="7" t="n">
        <v>0.06675080367</v>
      </c>
      <c r="N791" s="7" t="n">
        <v>3</v>
      </c>
      <c r="O791" s="7" t="n">
        <v>3</v>
      </c>
      <c r="P791" s="7" t="n">
        <v>3</v>
      </c>
      <c r="Q791" s="2"/>
      <c r="R791" s="7" t="n">
        <v>2.438192</v>
      </c>
      <c r="S791" s="5" t="s">
        <v>79</v>
      </c>
      <c r="T791" s="5" t="s">
        <v>61</v>
      </c>
    </row>
    <row r="792" customFormat="false" ht="15" hidden="false" customHeight="false" outlineLevel="0" collapsed="false">
      <c r="A792" s="5" t="s">
        <v>4</v>
      </c>
      <c r="B792" s="5" t="s">
        <v>55</v>
      </c>
      <c r="C792" s="2" t="s">
        <v>56</v>
      </c>
      <c r="D792" s="5" t="s">
        <v>78</v>
      </c>
      <c r="E792" s="5" t="s">
        <v>58</v>
      </c>
      <c r="F792" s="2" t="n">
        <v>12</v>
      </c>
      <c r="G792" s="5" t="s">
        <v>73</v>
      </c>
      <c r="H792" s="2" t="n">
        <v>0</v>
      </c>
      <c r="I792" s="2" t="n">
        <v>1</v>
      </c>
      <c r="J792" s="2" t="n">
        <v>0</v>
      </c>
      <c r="K792" s="7" t="n">
        <v>5.555298821</v>
      </c>
      <c r="L792" s="7" t="n">
        <v>1.840922447</v>
      </c>
      <c r="M792" s="7" t="n">
        <v>1.843639786</v>
      </c>
      <c r="N792" s="7" t="n">
        <v>3</v>
      </c>
      <c r="O792" s="7" t="n">
        <v>3</v>
      </c>
      <c r="P792" s="7" t="n">
        <v>0</v>
      </c>
      <c r="Q792" s="2"/>
      <c r="R792" s="7" t="n">
        <v>2.610117</v>
      </c>
      <c r="S792" s="5" t="s">
        <v>79</v>
      </c>
      <c r="T792" s="5" t="s">
        <v>61</v>
      </c>
    </row>
    <row r="793" customFormat="false" ht="15" hidden="false" customHeight="false" outlineLevel="0" collapsed="false">
      <c r="A793" s="5" t="s">
        <v>4</v>
      </c>
      <c r="B793" s="5" t="s">
        <v>55</v>
      </c>
      <c r="C793" s="2" t="s">
        <v>56</v>
      </c>
      <c r="D793" s="5" t="s">
        <v>78</v>
      </c>
      <c r="E793" s="5" t="s">
        <v>62</v>
      </c>
      <c r="F793" s="2" t="n">
        <v>12</v>
      </c>
      <c r="G793" s="5" t="s">
        <v>73</v>
      </c>
      <c r="H793" s="2" t="n">
        <v>0</v>
      </c>
      <c r="I793" s="2" t="n">
        <v>1</v>
      </c>
      <c r="J793" s="2" t="n">
        <v>0</v>
      </c>
      <c r="K793" s="7" t="n">
        <v>5.555298821</v>
      </c>
      <c r="L793" s="7" t="n">
        <v>1.840922447</v>
      </c>
      <c r="M793" s="7" t="n">
        <v>1.843639786</v>
      </c>
      <c r="N793" s="7" t="n">
        <v>3</v>
      </c>
      <c r="O793" s="7" t="n">
        <v>3</v>
      </c>
      <c r="P793" s="7" t="n">
        <v>3</v>
      </c>
      <c r="Q793" s="2"/>
      <c r="R793" s="7" t="n">
        <v>2.799747</v>
      </c>
      <c r="S793" s="5" t="s">
        <v>79</v>
      </c>
      <c r="T793" s="5" t="s">
        <v>61</v>
      </c>
    </row>
    <row r="794" customFormat="false" ht="15" hidden="false" customHeight="false" outlineLevel="0" collapsed="false">
      <c r="A794" s="5" t="s">
        <v>4</v>
      </c>
      <c r="B794" s="5" t="s">
        <v>55</v>
      </c>
      <c r="C794" s="2" t="s">
        <v>56</v>
      </c>
      <c r="D794" s="5" t="s">
        <v>78</v>
      </c>
      <c r="E794" s="5" t="s">
        <v>58</v>
      </c>
      <c r="F794" s="2" t="n">
        <v>13</v>
      </c>
      <c r="G794" s="5" t="s">
        <v>71</v>
      </c>
      <c r="H794" s="2" t="n">
        <v>1</v>
      </c>
      <c r="I794" s="2" t="n">
        <v>0</v>
      </c>
      <c r="J794" s="2" t="n">
        <v>0</v>
      </c>
      <c r="K794" s="2"/>
      <c r="L794" s="2"/>
      <c r="M794" s="2"/>
      <c r="N794" s="7" t="n">
        <v>0</v>
      </c>
      <c r="O794" s="7" t="n">
        <v>0</v>
      </c>
      <c r="P794" s="7" t="n">
        <v>0</v>
      </c>
      <c r="Q794" s="2"/>
      <c r="R794" s="7" t="n">
        <v>1.355784</v>
      </c>
      <c r="S794" s="5" t="s">
        <v>79</v>
      </c>
      <c r="T794" s="5" t="s">
        <v>61</v>
      </c>
    </row>
    <row r="795" customFormat="false" ht="15" hidden="false" customHeight="false" outlineLevel="0" collapsed="false">
      <c r="A795" s="5" t="s">
        <v>4</v>
      </c>
      <c r="B795" s="5" t="s">
        <v>55</v>
      </c>
      <c r="C795" s="2" t="s">
        <v>56</v>
      </c>
      <c r="D795" s="5" t="s">
        <v>78</v>
      </c>
      <c r="E795" s="5" t="s">
        <v>62</v>
      </c>
      <c r="F795" s="2" t="n">
        <v>13</v>
      </c>
      <c r="G795" s="5" t="s">
        <v>71</v>
      </c>
      <c r="H795" s="2" t="n">
        <v>1</v>
      </c>
      <c r="I795" s="2" t="n">
        <v>0</v>
      </c>
      <c r="J795" s="2" t="n">
        <v>0</v>
      </c>
      <c r="K795" s="2"/>
      <c r="L795" s="2"/>
      <c r="M795" s="2"/>
      <c r="N795" s="7" t="n">
        <v>0</v>
      </c>
      <c r="O795" s="7" t="n">
        <v>0</v>
      </c>
      <c r="P795" s="7" t="n">
        <v>0</v>
      </c>
      <c r="Q795" s="2"/>
      <c r="R795" s="7" t="n">
        <v>1.355954</v>
      </c>
      <c r="S795" s="5" t="s">
        <v>79</v>
      </c>
      <c r="T795" s="5" t="s">
        <v>61</v>
      </c>
    </row>
    <row r="796" customFormat="false" ht="15" hidden="false" customHeight="false" outlineLevel="0" collapsed="false">
      <c r="A796" s="5" t="s">
        <v>4</v>
      </c>
      <c r="B796" s="5" t="s">
        <v>55</v>
      </c>
      <c r="C796" s="2" t="s">
        <v>56</v>
      </c>
      <c r="D796" s="5" t="s">
        <v>78</v>
      </c>
      <c r="E796" s="5" t="s">
        <v>58</v>
      </c>
      <c r="F796" s="2" t="n">
        <v>13</v>
      </c>
      <c r="G796" s="5" t="s">
        <v>72</v>
      </c>
      <c r="H796" s="2" t="n">
        <v>1</v>
      </c>
      <c r="I796" s="2" t="n">
        <v>1</v>
      </c>
      <c r="J796" s="2" t="n">
        <v>1</v>
      </c>
      <c r="K796" s="7" t="n">
        <v>0.5213315903</v>
      </c>
      <c r="L796" s="7" t="n">
        <v>0.07365111033</v>
      </c>
      <c r="M796" s="7" t="n">
        <v>0.08024153683</v>
      </c>
      <c r="N796" s="7" t="n">
        <v>8</v>
      </c>
      <c r="O796" s="7" t="n">
        <v>8</v>
      </c>
      <c r="P796" s="7" t="n">
        <v>0</v>
      </c>
      <c r="Q796" s="2"/>
      <c r="R796" s="7" t="n">
        <v>2.177568</v>
      </c>
      <c r="S796" s="5" t="s">
        <v>79</v>
      </c>
      <c r="T796" s="5" t="s">
        <v>61</v>
      </c>
    </row>
    <row r="797" customFormat="false" ht="15" hidden="false" customHeight="false" outlineLevel="0" collapsed="false">
      <c r="A797" s="5" t="s">
        <v>4</v>
      </c>
      <c r="B797" s="5" t="s">
        <v>55</v>
      </c>
      <c r="C797" s="2" t="s">
        <v>56</v>
      </c>
      <c r="D797" s="5" t="s">
        <v>78</v>
      </c>
      <c r="E797" s="5" t="s">
        <v>62</v>
      </c>
      <c r="F797" s="2" t="n">
        <v>13</v>
      </c>
      <c r="G797" s="5" t="s">
        <v>72</v>
      </c>
      <c r="H797" s="2" t="n">
        <v>1</v>
      </c>
      <c r="I797" s="2" t="n">
        <v>1</v>
      </c>
      <c r="J797" s="2" t="n">
        <v>1</v>
      </c>
      <c r="K797" s="7" t="n">
        <v>0.5213315903</v>
      </c>
      <c r="L797" s="7" t="n">
        <v>0.07365111033</v>
      </c>
      <c r="M797" s="7" t="n">
        <v>0.08024153683</v>
      </c>
      <c r="N797" s="7" t="n">
        <v>8</v>
      </c>
      <c r="O797" s="7" t="n">
        <v>8</v>
      </c>
      <c r="P797" s="7" t="n">
        <v>8</v>
      </c>
      <c r="Q797" s="2"/>
      <c r="R797" s="7" t="n">
        <v>2.709043</v>
      </c>
      <c r="S797" s="5" t="s">
        <v>79</v>
      </c>
      <c r="T797" s="5" t="s">
        <v>61</v>
      </c>
    </row>
    <row r="798" customFormat="false" ht="15" hidden="false" customHeight="false" outlineLevel="0" collapsed="false">
      <c r="A798" s="5" t="s">
        <v>4</v>
      </c>
      <c r="B798" s="5" t="s">
        <v>55</v>
      </c>
      <c r="C798" s="2" t="s">
        <v>56</v>
      </c>
      <c r="D798" s="5" t="s">
        <v>78</v>
      </c>
      <c r="E798" s="5" t="s">
        <v>58</v>
      </c>
      <c r="F798" s="2" t="n">
        <v>13</v>
      </c>
      <c r="G798" s="5" t="s">
        <v>73</v>
      </c>
      <c r="H798" s="2" t="n">
        <v>0</v>
      </c>
      <c r="I798" s="2" t="n">
        <v>1</v>
      </c>
      <c r="J798" s="2" t="n">
        <v>1</v>
      </c>
      <c r="K798" s="7" t="n">
        <v>0.7228308704</v>
      </c>
      <c r="L798" s="7" t="n">
        <v>0.1393726395</v>
      </c>
      <c r="M798" s="7" t="n">
        <v>0.1472689566</v>
      </c>
      <c r="N798" s="7" t="n">
        <v>4</v>
      </c>
      <c r="O798" s="7" t="n">
        <v>4</v>
      </c>
      <c r="P798" s="7" t="n">
        <v>0</v>
      </c>
      <c r="Q798" s="2"/>
      <c r="R798" s="7" t="n">
        <v>2.491651</v>
      </c>
      <c r="S798" s="5" t="s">
        <v>79</v>
      </c>
      <c r="T798" s="5" t="s">
        <v>61</v>
      </c>
    </row>
    <row r="799" customFormat="false" ht="15" hidden="false" customHeight="false" outlineLevel="0" collapsed="false">
      <c r="A799" s="5" t="s">
        <v>4</v>
      </c>
      <c r="B799" s="5" t="s">
        <v>55</v>
      </c>
      <c r="C799" s="2" t="s">
        <v>56</v>
      </c>
      <c r="D799" s="5" t="s">
        <v>78</v>
      </c>
      <c r="E799" s="5" t="s">
        <v>62</v>
      </c>
      <c r="F799" s="2" t="n">
        <v>13</v>
      </c>
      <c r="G799" s="5" t="s">
        <v>73</v>
      </c>
      <c r="H799" s="2" t="n">
        <v>0</v>
      </c>
      <c r="I799" s="2" t="n">
        <v>1</v>
      </c>
      <c r="J799" s="2" t="n">
        <v>1</v>
      </c>
      <c r="K799" s="7" t="n">
        <v>0.7228308704</v>
      </c>
      <c r="L799" s="7" t="n">
        <v>0.1393726395</v>
      </c>
      <c r="M799" s="7" t="n">
        <v>0.1472689566</v>
      </c>
      <c r="N799" s="7" t="n">
        <v>4</v>
      </c>
      <c r="O799" s="7" t="n">
        <v>4</v>
      </c>
      <c r="P799" s="7" t="n">
        <v>4</v>
      </c>
      <c r="Q799" s="2"/>
      <c r="R799" s="7" t="n">
        <v>2.764925</v>
      </c>
      <c r="S799" s="5" t="s">
        <v>79</v>
      </c>
      <c r="T799" s="5" t="s">
        <v>61</v>
      </c>
    </row>
    <row r="800" customFormat="false" ht="15" hidden="false" customHeight="false" outlineLevel="0" collapsed="false">
      <c r="A800" s="5" t="s">
        <v>4</v>
      </c>
      <c r="B800" s="5" t="s">
        <v>55</v>
      </c>
      <c r="C800" s="2" t="s">
        <v>56</v>
      </c>
      <c r="D800" s="5" t="s">
        <v>78</v>
      </c>
      <c r="E800" s="5" t="s">
        <v>58</v>
      </c>
      <c r="F800" s="2" t="n">
        <v>14</v>
      </c>
      <c r="G800" s="5" t="s">
        <v>71</v>
      </c>
      <c r="H800" s="2" t="n">
        <v>1</v>
      </c>
      <c r="I800" s="2" t="n">
        <v>1</v>
      </c>
      <c r="J800" s="2" t="n">
        <v>1</v>
      </c>
      <c r="K800" s="7" t="n">
        <v>1.105729192</v>
      </c>
      <c r="L800" s="7" t="n">
        <v>0.1357427092</v>
      </c>
      <c r="M800" s="7" t="n">
        <v>0.1539948245</v>
      </c>
      <c r="N800" s="7" t="n">
        <v>4</v>
      </c>
      <c r="O800" s="7" t="n">
        <v>4</v>
      </c>
      <c r="P800" s="7" t="n">
        <v>0</v>
      </c>
      <c r="Q800" s="2"/>
      <c r="R800" s="7" t="n">
        <v>1.385077</v>
      </c>
      <c r="S800" s="5" t="s">
        <v>79</v>
      </c>
      <c r="T800" s="5" t="s">
        <v>61</v>
      </c>
    </row>
    <row r="801" customFormat="false" ht="15" hidden="false" customHeight="false" outlineLevel="0" collapsed="false">
      <c r="A801" s="5" t="s">
        <v>4</v>
      </c>
      <c r="B801" s="5" t="s">
        <v>55</v>
      </c>
      <c r="C801" s="2" t="s">
        <v>56</v>
      </c>
      <c r="D801" s="5" t="s">
        <v>78</v>
      </c>
      <c r="E801" s="5" t="s">
        <v>62</v>
      </c>
      <c r="F801" s="2" t="n">
        <v>14</v>
      </c>
      <c r="G801" s="5" t="s">
        <v>71</v>
      </c>
      <c r="H801" s="2" t="n">
        <v>1</v>
      </c>
      <c r="I801" s="2" t="n">
        <v>1</v>
      </c>
      <c r="J801" s="2" t="n">
        <v>1</v>
      </c>
      <c r="K801" s="7" t="n">
        <v>1.105729192</v>
      </c>
      <c r="L801" s="7" t="n">
        <v>0.1357427092</v>
      </c>
      <c r="M801" s="7" t="n">
        <v>0.1539948245</v>
      </c>
      <c r="N801" s="7" t="n">
        <v>4</v>
      </c>
      <c r="O801" s="7" t="n">
        <v>4</v>
      </c>
      <c r="P801" s="7" t="n">
        <v>4</v>
      </c>
      <c r="Q801" s="2"/>
      <c r="R801" s="7" t="n">
        <v>1.672791</v>
      </c>
      <c r="S801" s="5" t="s">
        <v>79</v>
      </c>
      <c r="T801" s="5" t="s">
        <v>61</v>
      </c>
    </row>
    <row r="802" customFormat="false" ht="15" hidden="false" customHeight="false" outlineLevel="0" collapsed="false">
      <c r="A802" s="5" t="s">
        <v>4</v>
      </c>
      <c r="B802" s="5" t="s">
        <v>55</v>
      </c>
      <c r="C802" s="2" t="s">
        <v>56</v>
      </c>
      <c r="D802" s="5" t="s">
        <v>78</v>
      </c>
      <c r="E802" s="5" t="s">
        <v>58</v>
      </c>
      <c r="F802" s="2" t="n">
        <v>14</v>
      </c>
      <c r="G802" s="5" t="s">
        <v>72</v>
      </c>
      <c r="H802" s="2" t="n">
        <v>1</v>
      </c>
      <c r="I802" s="2" t="n">
        <v>0</v>
      </c>
      <c r="J802" s="2" t="n">
        <v>0</v>
      </c>
      <c r="K802" s="2"/>
      <c r="L802" s="2"/>
      <c r="M802" s="2"/>
      <c r="N802" s="7" t="n">
        <v>2</v>
      </c>
      <c r="O802" s="7" t="n">
        <v>2</v>
      </c>
      <c r="P802" s="7" t="n">
        <v>0</v>
      </c>
      <c r="Q802" s="2"/>
      <c r="R802" s="7" t="n">
        <v>2.325275</v>
      </c>
      <c r="S802" s="5" t="s">
        <v>79</v>
      </c>
      <c r="T802" s="5" t="s">
        <v>61</v>
      </c>
    </row>
    <row r="803" customFormat="false" ht="15" hidden="false" customHeight="false" outlineLevel="0" collapsed="false">
      <c r="A803" s="5" t="s">
        <v>4</v>
      </c>
      <c r="B803" s="5" t="s">
        <v>55</v>
      </c>
      <c r="C803" s="2" t="s">
        <v>56</v>
      </c>
      <c r="D803" s="5" t="s">
        <v>78</v>
      </c>
      <c r="E803" s="5" t="s">
        <v>62</v>
      </c>
      <c r="F803" s="2" t="n">
        <v>14</v>
      </c>
      <c r="G803" s="5" t="s">
        <v>72</v>
      </c>
      <c r="H803" s="2" t="n">
        <v>1</v>
      </c>
      <c r="I803" s="2" t="n">
        <v>0</v>
      </c>
      <c r="J803" s="2" t="n">
        <v>0</v>
      </c>
      <c r="K803" s="2"/>
      <c r="L803" s="2"/>
      <c r="M803" s="2"/>
      <c r="N803" s="7" t="n">
        <v>2</v>
      </c>
      <c r="O803" s="7" t="n">
        <v>2</v>
      </c>
      <c r="P803" s="7" t="n">
        <v>0</v>
      </c>
      <c r="Q803" s="2"/>
      <c r="R803" s="7" t="n">
        <v>2.325315</v>
      </c>
      <c r="S803" s="5" t="s">
        <v>79</v>
      </c>
      <c r="T803" s="5" t="s">
        <v>61</v>
      </c>
    </row>
    <row r="804" customFormat="false" ht="15" hidden="false" customHeight="false" outlineLevel="0" collapsed="false">
      <c r="A804" s="5" t="s">
        <v>4</v>
      </c>
      <c r="B804" s="5" t="s">
        <v>55</v>
      </c>
      <c r="C804" s="2" t="s">
        <v>56</v>
      </c>
      <c r="D804" s="5" t="s">
        <v>78</v>
      </c>
      <c r="E804" s="5" t="s">
        <v>58</v>
      </c>
      <c r="F804" s="2" t="n">
        <v>14</v>
      </c>
      <c r="G804" s="5" t="s">
        <v>73</v>
      </c>
      <c r="H804" s="2" t="n">
        <v>0</v>
      </c>
      <c r="I804" s="2" t="n">
        <v>1</v>
      </c>
      <c r="J804" s="2" t="n">
        <v>1</v>
      </c>
      <c r="K804" s="7" t="n">
        <v>0.3602943381</v>
      </c>
      <c r="L804" s="7" t="n">
        <v>0.1205684035</v>
      </c>
      <c r="M804" s="7" t="n">
        <v>0.1206563964</v>
      </c>
      <c r="N804" s="7" t="n">
        <v>5</v>
      </c>
      <c r="O804" s="7" t="n">
        <v>5</v>
      </c>
      <c r="P804" s="7" t="n">
        <v>0</v>
      </c>
      <c r="Q804" s="2"/>
      <c r="R804" s="7" t="n">
        <v>2.580773</v>
      </c>
      <c r="S804" s="5" t="s">
        <v>79</v>
      </c>
      <c r="T804" s="5" t="s">
        <v>61</v>
      </c>
    </row>
    <row r="805" customFormat="false" ht="15" hidden="false" customHeight="false" outlineLevel="0" collapsed="false">
      <c r="A805" s="5" t="s">
        <v>4</v>
      </c>
      <c r="B805" s="5" t="s">
        <v>55</v>
      </c>
      <c r="C805" s="2" t="s">
        <v>56</v>
      </c>
      <c r="D805" s="5" t="s">
        <v>78</v>
      </c>
      <c r="E805" s="5" t="s">
        <v>62</v>
      </c>
      <c r="F805" s="2" t="n">
        <v>14</v>
      </c>
      <c r="G805" s="5" t="s">
        <v>73</v>
      </c>
      <c r="H805" s="2" t="n">
        <v>0</v>
      </c>
      <c r="I805" s="2" t="n">
        <v>1</v>
      </c>
      <c r="J805" s="2" t="n">
        <v>1</v>
      </c>
      <c r="K805" s="7" t="n">
        <v>0.3602943381</v>
      </c>
      <c r="L805" s="7" t="n">
        <v>0.1205684035</v>
      </c>
      <c r="M805" s="7" t="n">
        <v>0.1206563964</v>
      </c>
      <c r="N805" s="7" t="n">
        <v>5</v>
      </c>
      <c r="O805" s="7" t="n">
        <v>5</v>
      </c>
      <c r="P805" s="7" t="n">
        <v>5</v>
      </c>
      <c r="Q805" s="2"/>
      <c r="R805" s="7" t="n">
        <v>2.902399</v>
      </c>
      <c r="S805" s="5" t="s">
        <v>79</v>
      </c>
      <c r="T805" s="5" t="s">
        <v>61</v>
      </c>
    </row>
    <row r="806" customFormat="false" ht="15" hidden="false" customHeight="false" outlineLevel="0" collapsed="false">
      <c r="A806" s="5" t="s">
        <v>4</v>
      </c>
      <c r="B806" s="5" t="s">
        <v>55</v>
      </c>
      <c r="C806" s="2" t="s">
        <v>56</v>
      </c>
      <c r="D806" s="5" t="s">
        <v>78</v>
      </c>
      <c r="E806" s="5" t="s">
        <v>58</v>
      </c>
      <c r="F806" s="2" t="n">
        <v>15</v>
      </c>
      <c r="G806" s="5" t="s">
        <v>71</v>
      </c>
      <c r="H806" s="2" t="n">
        <v>1</v>
      </c>
      <c r="I806" s="2" t="n">
        <v>1</v>
      </c>
      <c r="J806" s="2" t="n">
        <v>1</v>
      </c>
      <c r="K806" s="7" t="n">
        <v>0.4200151846</v>
      </c>
      <c r="L806" s="7" t="n">
        <v>0.07767993394</v>
      </c>
      <c r="M806" s="7" t="n">
        <v>0.08186315065</v>
      </c>
      <c r="N806" s="7" t="n">
        <v>10</v>
      </c>
      <c r="O806" s="7" t="n">
        <v>10</v>
      </c>
      <c r="P806" s="7" t="n">
        <v>0</v>
      </c>
      <c r="Q806" s="2"/>
      <c r="R806" s="7" t="n">
        <v>2.013095</v>
      </c>
      <c r="S806" s="5" t="s">
        <v>79</v>
      </c>
      <c r="T806" s="5" t="s">
        <v>61</v>
      </c>
    </row>
    <row r="807" customFormat="false" ht="15" hidden="false" customHeight="false" outlineLevel="0" collapsed="false">
      <c r="A807" s="5" t="s">
        <v>4</v>
      </c>
      <c r="B807" s="5" t="s">
        <v>55</v>
      </c>
      <c r="C807" s="2" t="s">
        <v>56</v>
      </c>
      <c r="D807" s="5" t="s">
        <v>78</v>
      </c>
      <c r="E807" s="5" t="s">
        <v>62</v>
      </c>
      <c r="F807" s="2" t="n">
        <v>15</v>
      </c>
      <c r="G807" s="5" t="s">
        <v>71</v>
      </c>
      <c r="H807" s="2" t="n">
        <v>1</v>
      </c>
      <c r="I807" s="2" t="n">
        <v>1</v>
      </c>
      <c r="J807" s="2" t="n">
        <v>1</v>
      </c>
      <c r="K807" s="7" t="n">
        <v>0.4200151846</v>
      </c>
      <c r="L807" s="7" t="n">
        <v>0.07767993394</v>
      </c>
      <c r="M807" s="7" t="n">
        <v>0.08186315065</v>
      </c>
      <c r="N807" s="7" t="n">
        <v>10</v>
      </c>
      <c r="O807" s="7" t="n">
        <v>10</v>
      </c>
      <c r="P807" s="7" t="n">
        <v>10</v>
      </c>
      <c r="Q807" s="2"/>
      <c r="R807" s="7" t="n">
        <v>2.560554</v>
      </c>
      <c r="S807" s="5" t="s">
        <v>79</v>
      </c>
      <c r="T807" s="5" t="s">
        <v>61</v>
      </c>
    </row>
    <row r="808" customFormat="false" ht="15" hidden="false" customHeight="false" outlineLevel="0" collapsed="false">
      <c r="A808" s="5" t="s">
        <v>4</v>
      </c>
      <c r="B808" s="5" t="s">
        <v>55</v>
      </c>
      <c r="C808" s="2" t="s">
        <v>56</v>
      </c>
      <c r="D808" s="5" t="s">
        <v>78</v>
      </c>
      <c r="E808" s="5" t="s">
        <v>58</v>
      </c>
      <c r="F808" s="2" t="n">
        <v>15</v>
      </c>
      <c r="G808" s="5" t="s">
        <v>72</v>
      </c>
      <c r="H808" s="2" t="n">
        <v>1</v>
      </c>
      <c r="I808" s="2" t="n">
        <v>1</v>
      </c>
      <c r="J808" s="2" t="n">
        <v>1</v>
      </c>
      <c r="K808" s="7" t="n">
        <v>0.1450242274</v>
      </c>
      <c r="L808" s="7" t="n">
        <v>0.01491921537</v>
      </c>
      <c r="M808" s="7" t="n">
        <v>0.01950636737</v>
      </c>
      <c r="N808" s="7" t="n">
        <v>4</v>
      </c>
      <c r="O808" s="7" t="n">
        <v>4</v>
      </c>
      <c r="P808" s="7" t="n">
        <v>0</v>
      </c>
      <c r="Q808" s="2"/>
      <c r="R808" s="7" t="n">
        <v>2.042528</v>
      </c>
      <c r="S808" s="5" t="s">
        <v>79</v>
      </c>
      <c r="T808" s="5" t="s">
        <v>61</v>
      </c>
    </row>
    <row r="809" customFormat="false" ht="15" hidden="false" customHeight="false" outlineLevel="0" collapsed="false">
      <c r="A809" s="5" t="s">
        <v>4</v>
      </c>
      <c r="B809" s="5" t="s">
        <v>55</v>
      </c>
      <c r="C809" s="2" t="s">
        <v>56</v>
      </c>
      <c r="D809" s="5" t="s">
        <v>78</v>
      </c>
      <c r="E809" s="5" t="s">
        <v>62</v>
      </c>
      <c r="F809" s="2" t="n">
        <v>15</v>
      </c>
      <c r="G809" s="5" t="s">
        <v>72</v>
      </c>
      <c r="H809" s="2" t="n">
        <v>1</v>
      </c>
      <c r="I809" s="2" t="n">
        <v>1</v>
      </c>
      <c r="J809" s="2" t="n">
        <v>1</v>
      </c>
      <c r="K809" s="7" t="n">
        <v>0.1450242274</v>
      </c>
      <c r="L809" s="7" t="n">
        <v>0.01491921537</v>
      </c>
      <c r="M809" s="7" t="n">
        <v>0.01950636737</v>
      </c>
      <c r="N809" s="7" t="n">
        <v>4</v>
      </c>
      <c r="O809" s="7" t="n">
        <v>4</v>
      </c>
      <c r="P809" s="7" t="n">
        <v>4</v>
      </c>
      <c r="Q809" s="2"/>
      <c r="R809" s="7" t="n">
        <v>2.357283</v>
      </c>
      <c r="S809" s="5" t="s">
        <v>79</v>
      </c>
      <c r="T809" s="5" t="s">
        <v>61</v>
      </c>
    </row>
    <row r="810" customFormat="false" ht="15" hidden="false" customHeight="false" outlineLevel="0" collapsed="false">
      <c r="A810" s="5" t="s">
        <v>4</v>
      </c>
      <c r="B810" s="5" t="s">
        <v>55</v>
      </c>
      <c r="C810" s="2" t="s">
        <v>56</v>
      </c>
      <c r="D810" s="5" t="s">
        <v>78</v>
      </c>
      <c r="E810" s="5" t="s">
        <v>58</v>
      </c>
      <c r="F810" s="2" t="n">
        <v>15</v>
      </c>
      <c r="G810" s="5" t="s">
        <v>73</v>
      </c>
      <c r="H810" s="2" t="n">
        <v>0</v>
      </c>
      <c r="I810" s="2" t="n">
        <v>0</v>
      </c>
      <c r="J810" s="2" t="n">
        <v>0</v>
      </c>
      <c r="K810" s="2"/>
      <c r="L810" s="2"/>
      <c r="M810" s="2"/>
      <c r="N810" s="7" t="n">
        <v>0</v>
      </c>
      <c r="O810" s="7" t="n">
        <v>0</v>
      </c>
      <c r="P810" s="7" t="n">
        <v>0</v>
      </c>
      <c r="Q810" s="2"/>
      <c r="R810" s="7" t="n">
        <v>2.772737</v>
      </c>
      <c r="S810" s="5" t="s">
        <v>79</v>
      </c>
      <c r="T810" s="5" t="s">
        <v>61</v>
      </c>
    </row>
    <row r="811" customFormat="false" ht="15" hidden="false" customHeight="false" outlineLevel="0" collapsed="false">
      <c r="A811" s="5" t="s">
        <v>4</v>
      </c>
      <c r="B811" s="5" t="s">
        <v>55</v>
      </c>
      <c r="C811" s="2" t="s">
        <v>56</v>
      </c>
      <c r="D811" s="5" t="s">
        <v>78</v>
      </c>
      <c r="E811" s="5" t="s">
        <v>62</v>
      </c>
      <c r="F811" s="2" t="n">
        <v>15</v>
      </c>
      <c r="G811" s="5" t="s">
        <v>73</v>
      </c>
      <c r="H811" s="2" t="n">
        <v>0</v>
      </c>
      <c r="I811" s="2" t="n">
        <v>0</v>
      </c>
      <c r="J811" s="2" t="n">
        <v>0</v>
      </c>
      <c r="K811" s="2"/>
      <c r="L811" s="2"/>
      <c r="M811" s="2"/>
      <c r="N811" s="7" t="n">
        <v>0</v>
      </c>
      <c r="O811" s="7" t="n">
        <v>0</v>
      </c>
      <c r="P811" s="7" t="n">
        <v>0</v>
      </c>
      <c r="Q811" s="2"/>
      <c r="R811" s="7" t="n">
        <v>2.772477</v>
      </c>
      <c r="S811" s="5" t="s">
        <v>79</v>
      </c>
      <c r="T811" s="5" t="s">
        <v>61</v>
      </c>
    </row>
    <row r="812" customFormat="false" ht="15" hidden="false" customHeight="false" outlineLevel="0" collapsed="false">
      <c r="A812" s="5" t="s">
        <v>4</v>
      </c>
      <c r="B812" s="5" t="s">
        <v>55</v>
      </c>
      <c r="C812" s="2" t="s">
        <v>56</v>
      </c>
      <c r="D812" s="5" t="s">
        <v>78</v>
      </c>
      <c r="E812" s="5" t="s">
        <v>58</v>
      </c>
      <c r="F812" s="2" t="n">
        <v>16</v>
      </c>
      <c r="G812" s="5" t="s">
        <v>71</v>
      </c>
      <c r="H812" s="2" t="n">
        <v>1</v>
      </c>
      <c r="I812" s="2" t="n">
        <v>1</v>
      </c>
      <c r="J812" s="2" t="n">
        <v>1</v>
      </c>
      <c r="K812" s="7" t="n">
        <v>0.7427163232</v>
      </c>
      <c r="L812" s="7" t="n">
        <v>0.03657303952</v>
      </c>
      <c r="M812" s="7" t="n">
        <v>0.06037458614</v>
      </c>
      <c r="N812" s="7" t="n">
        <v>4</v>
      </c>
      <c r="O812" s="7" t="n">
        <v>4</v>
      </c>
      <c r="P812" s="7" t="n">
        <v>0</v>
      </c>
      <c r="Q812" s="2"/>
      <c r="R812" s="7" t="n">
        <v>1.450134</v>
      </c>
      <c r="S812" s="5" t="s">
        <v>79</v>
      </c>
      <c r="T812" s="5" t="s">
        <v>61</v>
      </c>
    </row>
    <row r="813" customFormat="false" ht="15" hidden="false" customHeight="false" outlineLevel="0" collapsed="false">
      <c r="A813" s="5" t="s">
        <v>4</v>
      </c>
      <c r="B813" s="5" t="s">
        <v>55</v>
      </c>
      <c r="C813" s="2" t="s">
        <v>56</v>
      </c>
      <c r="D813" s="5" t="s">
        <v>78</v>
      </c>
      <c r="E813" s="5" t="s">
        <v>62</v>
      </c>
      <c r="F813" s="2" t="n">
        <v>16</v>
      </c>
      <c r="G813" s="5" t="s">
        <v>71</v>
      </c>
      <c r="H813" s="2" t="n">
        <v>1</v>
      </c>
      <c r="I813" s="2" t="n">
        <v>1</v>
      </c>
      <c r="J813" s="2" t="n">
        <v>1</v>
      </c>
      <c r="K813" s="7" t="n">
        <v>0.7427163232</v>
      </c>
      <c r="L813" s="7" t="n">
        <v>0.03657303952</v>
      </c>
      <c r="M813" s="7" t="n">
        <v>0.06037458614</v>
      </c>
      <c r="N813" s="7" t="n">
        <v>4</v>
      </c>
      <c r="O813" s="7" t="n">
        <v>4</v>
      </c>
      <c r="P813" s="7" t="n">
        <v>4</v>
      </c>
      <c r="Q813" s="2"/>
      <c r="R813" s="7" t="n">
        <v>1.736817</v>
      </c>
      <c r="S813" s="5" t="s">
        <v>79</v>
      </c>
      <c r="T813" s="5" t="s">
        <v>61</v>
      </c>
    </row>
    <row r="814" customFormat="false" ht="15" hidden="false" customHeight="false" outlineLevel="0" collapsed="false">
      <c r="A814" s="5" t="s">
        <v>4</v>
      </c>
      <c r="B814" s="5" t="s">
        <v>55</v>
      </c>
      <c r="C814" s="2" t="s">
        <v>56</v>
      </c>
      <c r="D814" s="5" t="s">
        <v>78</v>
      </c>
      <c r="E814" s="5" t="s">
        <v>58</v>
      </c>
      <c r="F814" s="2" t="n">
        <v>16</v>
      </c>
      <c r="G814" s="5" t="s">
        <v>72</v>
      </c>
      <c r="H814" s="2" t="n">
        <v>1</v>
      </c>
      <c r="I814" s="2" t="n">
        <v>1</v>
      </c>
      <c r="J814" s="2" t="n">
        <v>1</v>
      </c>
      <c r="K814" s="7" t="n">
        <v>0.206776385</v>
      </c>
      <c r="L814" s="7" t="n">
        <v>0.0226885842</v>
      </c>
      <c r="M814" s="7" t="n">
        <v>0.02715066838</v>
      </c>
      <c r="N814" s="7" t="n">
        <v>5</v>
      </c>
      <c r="O814" s="7" t="n">
        <v>5</v>
      </c>
      <c r="P814" s="7" t="n">
        <v>0</v>
      </c>
      <c r="Q814" s="2"/>
      <c r="R814" s="7" t="n">
        <v>2.297134</v>
      </c>
      <c r="S814" s="5" t="s">
        <v>79</v>
      </c>
      <c r="T814" s="5" t="s">
        <v>61</v>
      </c>
    </row>
    <row r="815" customFormat="false" ht="15" hidden="false" customHeight="false" outlineLevel="0" collapsed="false">
      <c r="A815" s="5" t="s">
        <v>4</v>
      </c>
      <c r="B815" s="5" t="s">
        <v>55</v>
      </c>
      <c r="C815" s="2" t="s">
        <v>56</v>
      </c>
      <c r="D815" s="5" t="s">
        <v>78</v>
      </c>
      <c r="E815" s="5" t="s">
        <v>62</v>
      </c>
      <c r="F815" s="2" t="n">
        <v>16</v>
      </c>
      <c r="G815" s="5" t="s">
        <v>72</v>
      </c>
      <c r="H815" s="2" t="n">
        <v>1</v>
      </c>
      <c r="I815" s="2" t="n">
        <v>1</v>
      </c>
      <c r="J815" s="2" t="n">
        <v>1</v>
      </c>
      <c r="K815" s="7" t="n">
        <v>0.206776385</v>
      </c>
      <c r="L815" s="7" t="n">
        <v>0.0226885842</v>
      </c>
      <c r="M815" s="7" t="n">
        <v>0.02715066838</v>
      </c>
      <c r="N815" s="7" t="n">
        <v>5</v>
      </c>
      <c r="O815" s="7" t="n">
        <v>5</v>
      </c>
      <c r="P815" s="7" t="n">
        <v>5</v>
      </c>
      <c r="Q815" s="2"/>
      <c r="R815" s="7" t="n">
        <v>2.634353</v>
      </c>
      <c r="S815" s="5" t="s">
        <v>79</v>
      </c>
      <c r="T815" s="5" t="s">
        <v>61</v>
      </c>
    </row>
    <row r="816" customFormat="false" ht="15" hidden="false" customHeight="false" outlineLevel="0" collapsed="false">
      <c r="A816" s="5" t="s">
        <v>4</v>
      </c>
      <c r="B816" s="5" t="s">
        <v>55</v>
      </c>
      <c r="C816" s="2" t="s">
        <v>56</v>
      </c>
      <c r="D816" s="5" t="s">
        <v>78</v>
      </c>
      <c r="E816" s="5" t="s">
        <v>58</v>
      </c>
      <c r="F816" s="2" t="n">
        <v>16</v>
      </c>
      <c r="G816" s="5" t="s">
        <v>73</v>
      </c>
      <c r="H816" s="2" t="n">
        <v>0</v>
      </c>
      <c r="I816" s="2" t="n">
        <v>1</v>
      </c>
      <c r="J816" s="2" t="n">
        <v>1</v>
      </c>
      <c r="K816" s="7" t="n">
        <v>1.017689859</v>
      </c>
      <c r="L816" s="7" t="n">
        <v>0.1216930072</v>
      </c>
      <c r="M816" s="7" t="n">
        <v>0.1349684672</v>
      </c>
      <c r="N816" s="7" t="n">
        <v>6</v>
      </c>
      <c r="O816" s="7" t="n">
        <v>6</v>
      </c>
      <c r="P816" s="7" t="n">
        <v>0</v>
      </c>
      <c r="Q816" s="2"/>
      <c r="R816" s="7" t="n">
        <v>2.528156</v>
      </c>
      <c r="S816" s="5" t="s">
        <v>79</v>
      </c>
      <c r="T816" s="5" t="s">
        <v>61</v>
      </c>
    </row>
    <row r="817" customFormat="false" ht="15" hidden="false" customHeight="false" outlineLevel="0" collapsed="false">
      <c r="A817" s="5" t="s">
        <v>4</v>
      </c>
      <c r="B817" s="5" t="s">
        <v>55</v>
      </c>
      <c r="C817" s="2" t="s">
        <v>56</v>
      </c>
      <c r="D817" s="5" t="s">
        <v>78</v>
      </c>
      <c r="E817" s="5" t="s">
        <v>62</v>
      </c>
      <c r="F817" s="2" t="n">
        <v>16</v>
      </c>
      <c r="G817" s="5" t="s">
        <v>73</v>
      </c>
      <c r="H817" s="2" t="n">
        <v>0</v>
      </c>
      <c r="I817" s="2" t="n">
        <v>1</v>
      </c>
      <c r="J817" s="2" t="n">
        <v>1</v>
      </c>
      <c r="K817" s="7" t="n">
        <v>1.017689859</v>
      </c>
      <c r="L817" s="7" t="n">
        <v>0.1216930072</v>
      </c>
      <c r="M817" s="7" t="n">
        <v>0.1349684672</v>
      </c>
      <c r="N817" s="7" t="n">
        <v>6</v>
      </c>
      <c r="O817" s="7" t="n">
        <v>6</v>
      </c>
      <c r="P817" s="7" t="n">
        <v>6</v>
      </c>
      <c r="Q817" s="2"/>
      <c r="R817" s="7" t="n">
        <v>2.946073</v>
      </c>
      <c r="S817" s="5" t="s">
        <v>79</v>
      </c>
      <c r="T817" s="5" t="s">
        <v>61</v>
      </c>
    </row>
    <row r="818" customFormat="false" ht="15" hidden="false" customHeight="false" outlineLevel="0" collapsed="false">
      <c r="A818" s="5" t="s">
        <v>4</v>
      </c>
      <c r="B818" s="5" t="s">
        <v>55</v>
      </c>
      <c r="C818" s="2" t="s">
        <v>56</v>
      </c>
      <c r="D818" s="5" t="s">
        <v>78</v>
      </c>
      <c r="E818" s="5" t="s">
        <v>58</v>
      </c>
      <c r="F818" s="2" t="n">
        <v>17</v>
      </c>
      <c r="G818" s="5" t="s">
        <v>71</v>
      </c>
      <c r="H818" s="2" t="n">
        <v>1</v>
      </c>
      <c r="I818" s="2" t="n">
        <v>1</v>
      </c>
      <c r="J818" s="2" t="n">
        <v>1</v>
      </c>
      <c r="K818" s="7" t="n">
        <v>0.6474861822</v>
      </c>
      <c r="L818" s="7" t="n">
        <v>0.07419537735</v>
      </c>
      <c r="M818" s="7" t="n">
        <v>0.08512645899</v>
      </c>
      <c r="N818" s="7" t="n">
        <v>6</v>
      </c>
      <c r="O818" s="7" t="n">
        <v>6</v>
      </c>
      <c r="P818" s="7" t="n">
        <v>0</v>
      </c>
      <c r="Q818" s="2"/>
      <c r="R818" s="7" t="n">
        <v>1.430134</v>
      </c>
      <c r="S818" s="5" t="s">
        <v>79</v>
      </c>
      <c r="T818" s="5" t="s">
        <v>61</v>
      </c>
    </row>
    <row r="819" customFormat="false" ht="15" hidden="false" customHeight="false" outlineLevel="0" collapsed="false">
      <c r="A819" s="5" t="s">
        <v>4</v>
      </c>
      <c r="B819" s="5" t="s">
        <v>55</v>
      </c>
      <c r="C819" s="2" t="s">
        <v>56</v>
      </c>
      <c r="D819" s="5" t="s">
        <v>78</v>
      </c>
      <c r="E819" s="5" t="s">
        <v>62</v>
      </c>
      <c r="F819" s="2" t="n">
        <v>17</v>
      </c>
      <c r="G819" s="5" t="s">
        <v>71</v>
      </c>
      <c r="H819" s="2" t="n">
        <v>1</v>
      </c>
      <c r="I819" s="2" t="n">
        <v>1</v>
      </c>
      <c r="J819" s="2" t="n">
        <v>1</v>
      </c>
      <c r="K819" s="7" t="n">
        <v>0.6474861822</v>
      </c>
      <c r="L819" s="7" t="n">
        <v>0.07419537735</v>
      </c>
      <c r="M819" s="7" t="n">
        <v>0.08512645899</v>
      </c>
      <c r="N819" s="7" t="n">
        <v>6</v>
      </c>
      <c r="O819" s="7" t="n">
        <v>6</v>
      </c>
      <c r="P819" s="7" t="n">
        <v>6</v>
      </c>
      <c r="Q819" s="2"/>
      <c r="R819" s="7" t="n">
        <v>1.837175</v>
      </c>
      <c r="S819" s="5" t="s">
        <v>79</v>
      </c>
      <c r="T819" s="5" t="s">
        <v>61</v>
      </c>
    </row>
    <row r="820" customFormat="false" ht="15" hidden="false" customHeight="false" outlineLevel="0" collapsed="false">
      <c r="A820" s="5" t="s">
        <v>4</v>
      </c>
      <c r="B820" s="5" t="s">
        <v>55</v>
      </c>
      <c r="C820" s="2" t="s">
        <v>56</v>
      </c>
      <c r="D820" s="5" t="s">
        <v>78</v>
      </c>
      <c r="E820" s="5" t="s">
        <v>58</v>
      </c>
      <c r="F820" s="2" t="n">
        <v>17</v>
      </c>
      <c r="G820" s="5" t="s">
        <v>72</v>
      </c>
      <c r="H820" s="2" t="n">
        <v>1</v>
      </c>
      <c r="I820" s="2" t="n">
        <v>1</v>
      </c>
      <c r="J820" s="2" t="n">
        <v>1</v>
      </c>
      <c r="K820" s="7" t="n">
        <v>0.3274671258</v>
      </c>
      <c r="L820" s="7" t="n">
        <v>0.02289060972</v>
      </c>
      <c r="M820" s="7" t="n">
        <v>0.02897766249</v>
      </c>
      <c r="N820" s="7" t="n">
        <v>4</v>
      </c>
      <c r="O820" s="7" t="n">
        <v>4</v>
      </c>
      <c r="P820" s="7" t="n">
        <v>0</v>
      </c>
      <c r="Q820" s="2"/>
      <c r="R820" s="7" t="n">
        <v>2.102046</v>
      </c>
      <c r="S820" s="5" t="s">
        <v>79</v>
      </c>
      <c r="T820" s="5" t="s">
        <v>61</v>
      </c>
    </row>
    <row r="821" customFormat="false" ht="15" hidden="false" customHeight="false" outlineLevel="0" collapsed="false">
      <c r="A821" s="5" t="s">
        <v>4</v>
      </c>
      <c r="B821" s="5" t="s">
        <v>55</v>
      </c>
      <c r="C821" s="2" t="s">
        <v>56</v>
      </c>
      <c r="D821" s="5" t="s">
        <v>78</v>
      </c>
      <c r="E821" s="5" t="s">
        <v>62</v>
      </c>
      <c r="F821" s="2" t="n">
        <v>17</v>
      </c>
      <c r="G821" s="5" t="s">
        <v>72</v>
      </c>
      <c r="H821" s="2" t="n">
        <v>1</v>
      </c>
      <c r="I821" s="2" t="n">
        <v>1</v>
      </c>
      <c r="J821" s="2" t="n">
        <v>1</v>
      </c>
      <c r="K821" s="7" t="n">
        <v>0.3274671258</v>
      </c>
      <c r="L821" s="7" t="n">
        <v>0.02289060972</v>
      </c>
      <c r="M821" s="7" t="n">
        <v>0.02897766249</v>
      </c>
      <c r="N821" s="7" t="n">
        <v>4</v>
      </c>
      <c r="O821" s="7" t="n">
        <v>4</v>
      </c>
      <c r="P821" s="7" t="n">
        <v>4</v>
      </c>
      <c r="Q821" s="2"/>
      <c r="R821" s="7" t="n">
        <v>2.434508</v>
      </c>
      <c r="S821" s="5" t="s">
        <v>79</v>
      </c>
      <c r="T821" s="5" t="s">
        <v>61</v>
      </c>
    </row>
    <row r="822" customFormat="false" ht="15" hidden="false" customHeight="false" outlineLevel="0" collapsed="false">
      <c r="A822" s="5" t="s">
        <v>4</v>
      </c>
      <c r="B822" s="5" t="s">
        <v>55</v>
      </c>
      <c r="C822" s="2" t="s">
        <v>56</v>
      </c>
      <c r="D822" s="5" t="s">
        <v>78</v>
      </c>
      <c r="E822" s="5" t="s">
        <v>58</v>
      </c>
      <c r="F822" s="2" t="n">
        <v>17</v>
      </c>
      <c r="G822" s="5" t="s">
        <v>73</v>
      </c>
      <c r="H822" s="2" t="n">
        <v>0</v>
      </c>
      <c r="I822" s="2" t="n">
        <v>1</v>
      </c>
      <c r="J822" s="2" t="n">
        <v>1</v>
      </c>
      <c r="K822" s="7" t="n">
        <v>0.3694125041</v>
      </c>
      <c r="L822" s="7" t="n">
        <v>0.07907823178</v>
      </c>
      <c r="M822" s="7" t="n">
        <v>0.08179517562</v>
      </c>
      <c r="N822" s="7" t="n">
        <v>13</v>
      </c>
      <c r="O822" s="7" t="n">
        <v>13</v>
      </c>
      <c r="P822" s="7" t="n">
        <v>0</v>
      </c>
      <c r="Q822" s="2"/>
      <c r="R822" s="7" t="n">
        <v>6.367652</v>
      </c>
      <c r="S822" s="5" t="s">
        <v>79</v>
      </c>
      <c r="T822" s="5" t="s">
        <v>61</v>
      </c>
    </row>
    <row r="823" customFormat="false" ht="15" hidden="false" customHeight="false" outlineLevel="0" collapsed="false">
      <c r="A823" s="5" t="s">
        <v>4</v>
      </c>
      <c r="B823" s="5" t="s">
        <v>55</v>
      </c>
      <c r="C823" s="2" t="s">
        <v>56</v>
      </c>
      <c r="D823" s="5" t="s">
        <v>78</v>
      </c>
      <c r="E823" s="5" t="s">
        <v>62</v>
      </c>
      <c r="F823" s="2" t="n">
        <v>17</v>
      </c>
      <c r="G823" s="5" t="s">
        <v>73</v>
      </c>
      <c r="H823" s="2" t="n">
        <v>0</v>
      </c>
      <c r="I823" s="2" t="n">
        <v>1</v>
      </c>
      <c r="J823" s="2" t="n">
        <v>1</v>
      </c>
      <c r="K823" s="7" t="n">
        <v>0.3694125041</v>
      </c>
      <c r="L823" s="7" t="n">
        <v>0.07907823178</v>
      </c>
      <c r="M823" s="7" t="n">
        <v>0.08179517562</v>
      </c>
      <c r="N823" s="7" t="n">
        <v>13</v>
      </c>
      <c r="O823" s="7" t="n">
        <v>13</v>
      </c>
      <c r="P823" s="7" t="n">
        <v>13</v>
      </c>
      <c r="Q823" s="2"/>
      <c r="R823" s="7" t="n">
        <v>6.988759</v>
      </c>
      <c r="S823" s="5" t="s">
        <v>79</v>
      </c>
      <c r="T823" s="5" t="s">
        <v>61</v>
      </c>
    </row>
    <row r="824" customFormat="false" ht="15" hidden="false" customHeight="false" outlineLevel="0" collapsed="false">
      <c r="A824" s="5" t="s">
        <v>4</v>
      </c>
      <c r="B824" s="5" t="s">
        <v>55</v>
      </c>
      <c r="C824" s="2" t="s">
        <v>56</v>
      </c>
      <c r="D824" s="5" t="s">
        <v>78</v>
      </c>
      <c r="E824" s="5" t="s">
        <v>58</v>
      </c>
      <c r="F824" s="2" t="n">
        <v>18</v>
      </c>
      <c r="G824" s="5" t="s">
        <v>71</v>
      </c>
      <c r="H824" s="2" t="n">
        <v>1</v>
      </c>
      <c r="I824" s="2" t="n">
        <v>1</v>
      </c>
      <c r="J824" s="2" t="n">
        <v>1</v>
      </c>
      <c r="K824" s="7" t="n">
        <v>0.4635912156</v>
      </c>
      <c r="L824" s="7" t="n">
        <v>0.03331127925</v>
      </c>
      <c r="M824" s="7" t="n">
        <v>0.04818432063</v>
      </c>
      <c r="N824" s="7" t="n">
        <v>7</v>
      </c>
      <c r="O824" s="7" t="n">
        <v>7</v>
      </c>
      <c r="P824" s="7" t="n">
        <v>0</v>
      </c>
      <c r="Q824" s="2"/>
      <c r="R824" s="7" t="n">
        <v>1.416033</v>
      </c>
      <c r="S824" s="5" t="s">
        <v>79</v>
      </c>
      <c r="T824" s="5" t="s">
        <v>61</v>
      </c>
    </row>
    <row r="825" customFormat="false" ht="15" hidden="false" customHeight="false" outlineLevel="0" collapsed="false">
      <c r="A825" s="5" t="s">
        <v>4</v>
      </c>
      <c r="B825" s="5" t="s">
        <v>55</v>
      </c>
      <c r="C825" s="2" t="s">
        <v>56</v>
      </c>
      <c r="D825" s="5" t="s">
        <v>78</v>
      </c>
      <c r="E825" s="5" t="s">
        <v>62</v>
      </c>
      <c r="F825" s="2" t="n">
        <v>18</v>
      </c>
      <c r="G825" s="5" t="s">
        <v>71</v>
      </c>
      <c r="H825" s="2" t="n">
        <v>1</v>
      </c>
      <c r="I825" s="2" t="n">
        <v>1</v>
      </c>
      <c r="J825" s="2" t="n">
        <v>1</v>
      </c>
      <c r="K825" s="7" t="n">
        <v>0.4635912156</v>
      </c>
      <c r="L825" s="7" t="n">
        <v>0.03331127925</v>
      </c>
      <c r="M825" s="7" t="n">
        <v>0.04818432063</v>
      </c>
      <c r="N825" s="7" t="n">
        <v>7</v>
      </c>
      <c r="O825" s="7" t="n">
        <v>7</v>
      </c>
      <c r="P825" s="7" t="n">
        <v>7</v>
      </c>
      <c r="Q825" s="2"/>
      <c r="R825" s="7" t="n">
        <v>2.003261</v>
      </c>
      <c r="S825" s="5" t="s">
        <v>79</v>
      </c>
      <c r="T825" s="5" t="s">
        <v>61</v>
      </c>
    </row>
    <row r="826" customFormat="false" ht="15" hidden="false" customHeight="false" outlineLevel="0" collapsed="false">
      <c r="A826" s="5" t="s">
        <v>4</v>
      </c>
      <c r="B826" s="5" t="s">
        <v>55</v>
      </c>
      <c r="C826" s="2" t="s">
        <v>56</v>
      </c>
      <c r="D826" s="5" t="s">
        <v>78</v>
      </c>
      <c r="E826" s="5" t="s">
        <v>58</v>
      </c>
      <c r="F826" s="2" t="n">
        <v>18</v>
      </c>
      <c r="G826" s="5" t="s">
        <v>72</v>
      </c>
      <c r="H826" s="2" t="n">
        <v>1</v>
      </c>
      <c r="I826" s="2" t="n">
        <v>1</v>
      </c>
      <c r="J826" s="2" t="n">
        <v>1</v>
      </c>
      <c r="K826" s="7" t="n">
        <v>0.5402199992</v>
      </c>
      <c r="L826" s="7" t="n">
        <v>0.03847251674</v>
      </c>
      <c r="M826" s="7" t="n">
        <v>0.04953152642</v>
      </c>
      <c r="N826" s="7" t="n">
        <v>5</v>
      </c>
      <c r="O826" s="7" t="n">
        <v>5</v>
      </c>
      <c r="P826" s="7" t="n">
        <v>0</v>
      </c>
      <c r="Q826" s="2"/>
      <c r="R826" s="7" t="n">
        <v>2.351124</v>
      </c>
      <c r="S826" s="5" t="s">
        <v>79</v>
      </c>
      <c r="T826" s="5" t="s">
        <v>61</v>
      </c>
    </row>
    <row r="827" customFormat="false" ht="15" hidden="false" customHeight="false" outlineLevel="0" collapsed="false">
      <c r="A827" s="5" t="s">
        <v>4</v>
      </c>
      <c r="B827" s="5" t="s">
        <v>55</v>
      </c>
      <c r="C827" s="2" t="s">
        <v>56</v>
      </c>
      <c r="D827" s="5" t="s">
        <v>78</v>
      </c>
      <c r="E827" s="5" t="s">
        <v>62</v>
      </c>
      <c r="F827" s="2" t="n">
        <v>18</v>
      </c>
      <c r="G827" s="5" t="s">
        <v>72</v>
      </c>
      <c r="H827" s="2" t="n">
        <v>1</v>
      </c>
      <c r="I827" s="2" t="n">
        <v>1</v>
      </c>
      <c r="J827" s="2" t="n">
        <v>1</v>
      </c>
      <c r="K827" s="7" t="n">
        <v>0.1383309713</v>
      </c>
      <c r="L827" s="7" t="n">
        <v>0.02724428908</v>
      </c>
      <c r="M827" s="7" t="n">
        <v>0.03016021027</v>
      </c>
      <c r="N827" s="7" t="n">
        <v>5</v>
      </c>
      <c r="O827" s="7" t="n">
        <v>5</v>
      </c>
      <c r="P827" s="7" t="n">
        <v>4</v>
      </c>
      <c r="Q827" s="2"/>
      <c r="R827" s="7" t="n">
        <v>2.683355</v>
      </c>
      <c r="S827" s="5" t="s">
        <v>79</v>
      </c>
      <c r="T827" s="5" t="s">
        <v>61</v>
      </c>
    </row>
    <row r="828" customFormat="false" ht="15" hidden="false" customHeight="false" outlineLevel="0" collapsed="false">
      <c r="A828" s="5" t="s">
        <v>4</v>
      </c>
      <c r="B828" s="5" t="s">
        <v>55</v>
      </c>
      <c r="C828" s="2" t="s">
        <v>56</v>
      </c>
      <c r="D828" s="5" t="s">
        <v>78</v>
      </c>
      <c r="E828" s="5" t="s">
        <v>58</v>
      </c>
      <c r="F828" s="2" t="n">
        <v>18</v>
      </c>
      <c r="G828" s="5" t="s">
        <v>73</v>
      </c>
      <c r="H828" s="2" t="n">
        <v>0</v>
      </c>
      <c r="I828" s="2" t="n">
        <v>1</v>
      </c>
      <c r="J828" s="2" t="n">
        <v>1</v>
      </c>
      <c r="K828" s="7" t="n">
        <v>0.7824542491</v>
      </c>
      <c r="L828" s="7" t="n">
        <v>0.4160837932</v>
      </c>
      <c r="M828" s="7" t="n">
        <v>0.4136023597</v>
      </c>
      <c r="N828" s="7" t="n">
        <v>5</v>
      </c>
      <c r="O828" s="7" t="n">
        <v>5</v>
      </c>
      <c r="P828" s="7" t="n">
        <v>0</v>
      </c>
      <c r="Q828" s="2"/>
      <c r="R828" s="7" t="n">
        <v>2.832375</v>
      </c>
      <c r="S828" s="5" t="s">
        <v>79</v>
      </c>
      <c r="T828" s="5" t="s">
        <v>61</v>
      </c>
    </row>
    <row r="829" customFormat="false" ht="15" hidden="false" customHeight="false" outlineLevel="0" collapsed="false">
      <c r="A829" s="5" t="s">
        <v>4</v>
      </c>
      <c r="B829" s="5" t="s">
        <v>55</v>
      </c>
      <c r="C829" s="2" t="s">
        <v>56</v>
      </c>
      <c r="D829" s="5" t="s">
        <v>78</v>
      </c>
      <c r="E829" s="5" t="s">
        <v>62</v>
      </c>
      <c r="F829" s="2" t="n">
        <v>18</v>
      </c>
      <c r="G829" s="5" t="s">
        <v>73</v>
      </c>
      <c r="H829" s="2" t="n">
        <v>0</v>
      </c>
      <c r="I829" s="2" t="n">
        <v>1</v>
      </c>
      <c r="J829" s="2" t="n">
        <v>1</v>
      </c>
      <c r="K829" s="7" t="n">
        <v>0.7824542491</v>
      </c>
      <c r="L829" s="7" t="n">
        <v>0.4160837932</v>
      </c>
      <c r="M829" s="7" t="n">
        <v>0.4136023597</v>
      </c>
      <c r="N829" s="7" t="n">
        <v>5</v>
      </c>
      <c r="O829" s="7" t="n">
        <v>5</v>
      </c>
      <c r="P829" s="7" t="n">
        <v>5</v>
      </c>
      <c r="Q829" s="2"/>
      <c r="R829" s="7" t="n">
        <v>3.244825</v>
      </c>
      <c r="S829" s="5" t="s">
        <v>79</v>
      </c>
      <c r="T829" s="5" t="s">
        <v>61</v>
      </c>
    </row>
    <row r="830" customFormat="false" ht="15" hidden="false" customHeight="false" outlineLevel="0" collapsed="false">
      <c r="A830" s="5" t="s">
        <v>4</v>
      </c>
      <c r="B830" s="5" t="s">
        <v>55</v>
      </c>
      <c r="C830" s="2" t="s">
        <v>56</v>
      </c>
      <c r="D830" s="5" t="s">
        <v>78</v>
      </c>
      <c r="E830" s="5" t="s">
        <v>58</v>
      </c>
      <c r="F830" s="2" t="n">
        <v>19</v>
      </c>
      <c r="G830" s="5" t="s">
        <v>71</v>
      </c>
      <c r="H830" s="2" t="n">
        <v>1</v>
      </c>
      <c r="I830" s="2" t="n">
        <v>1</v>
      </c>
      <c r="J830" s="2" t="n">
        <v>1</v>
      </c>
      <c r="K830" s="7" t="n">
        <v>1.07575893</v>
      </c>
      <c r="L830" s="7" t="n">
        <v>0.1248456317</v>
      </c>
      <c r="M830" s="7" t="n">
        <v>0.1393114498</v>
      </c>
      <c r="N830" s="7" t="n">
        <v>6</v>
      </c>
      <c r="O830" s="7" t="n">
        <v>6</v>
      </c>
      <c r="P830" s="7" t="n">
        <v>0</v>
      </c>
      <c r="Q830" s="2"/>
      <c r="R830" s="7" t="n">
        <v>1.529851</v>
      </c>
      <c r="S830" s="5" t="s">
        <v>79</v>
      </c>
      <c r="T830" s="5" t="s">
        <v>61</v>
      </c>
    </row>
    <row r="831" customFormat="false" ht="15" hidden="false" customHeight="false" outlineLevel="0" collapsed="false">
      <c r="A831" s="5" t="s">
        <v>4</v>
      </c>
      <c r="B831" s="5" t="s">
        <v>55</v>
      </c>
      <c r="C831" s="2" t="s">
        <v>56</v>
      </c>
      <c r="D831" s="5" t="s">
        <v>78</v>
      </c>
      <c r="E831" s="5" t="s">
        <v>62</v>
      </c>
      <c r="F831" s="2" t="n">
        <v>19</v>
      </c>
      <c r="G831" s="5" t="s">
        <v>71</v>
      </c>
      <c r="H831" s="2" t="n">
        <v>1</v>
      </c>
      <c r="I831" s="2" t="n">
        <v>1</v>
      </c>
      <c r="J831" s="2" t="n">
        <v>1</v>
      </c>
      <c r="K831" s="7" t="n">
        <v>1.07575893</v>
      </c>
      <c r="L831" s="7" t="n">
        <v>0.1248456317</v>
      </c>
      <c r="M831" s="7" t="n">
        <v>0.1393114498</v>
      </c>
      <c r="N831" s="7" t="n">
        <v>6</v>
      </c>
      <c r="O831" s="7" t="n">
        <v>6</v>
      </c>
      <c r="P831" s="7" t="n">
        <v>6</v>
      </c>
      <c r="Q831" s="2"/>
      <c r="R831" s="7" t="n">
        <v>1.937704</v>
      </c>
      <c r="S831" s="5" t="s">
        <v>79</v>
      </c>
      <c r="T831" s="5" t="s">
        <v>61</v>
      </c>
    </row>
    <row r="832" customFormat="false" ht="15" hidden="false" customHeight="false" outlineLevel="0" collapsed="false">
      <c r="A832" s="5" t="s">
        <v>4</v>
      </c>
      <c r="B832" s="5" t="s">
        <v>55</v>
      </c>
      <c r="C832" s="2" t="s">
        <v>56</v>
      </c>
      <c r="D832" s="5" t="s">
        <v>78</v>
      </c>
      <c r="E832" s="5" t="s">
        <v>58</v>
      </c>
      <c r="F832" s="2" t="n">
        <v>19</v>
      </c>
      <c r="G832" s="5" t="s">
        <v>72</v>
      </c>
      <c r="H832" s="2" t="n">
        <v>1</v>
      </c>
      <c r="I832" s="2" t="n">
        <v>1</v>
      </c>
      <c r="J832" s="2" t="n">
        <v>1</v>
      </c>
      <c r="K832" s="7" t="n">
        <v>0.4783924204</v>
      </c>
      <c r="L832" s="7" t="n">
        <v>0.0926059945</v>
      </c>
      <c r="M832" s="7" t="n">
        <v>0.09570950915</v>
      </c>
      <c r="N832" s="7" t="n">
        <v>4</v>
      </c>
      <c r="O832" s="7" t="n">
        <v>4</v>
      </c>
      <c r="P832" s="7" t="n">
        <v>0</v>
      </c>
      <c r="Q832" s="2"/>
      <c r="R832" s="7" t="n">
        <v>2.100494</v>
      </c>
      <c r="S832" s="5" t="s">
        <v>79</v>
      </c>
      <c r="T832" s="5" t="s">
        <v>61</v>
      </c>
    </row>
    <row r="833" customFormat="false" ht="15" hidden="false" customHeight="false" outlineLevel="0" collapsed="false">
      <c r="A833" s="5" t="s">
        <v>4</v>
      </c>
      <c r="B833" s="5" t="s">
        <v>55</v>
      </c>
      <c r="C833" s="2" t="s">
        <v>56</v>
      </c>
      <c r="D833" s="5" t="s">
        <v>78</v>
      </c>
      <c r="E833" s="5" t="s">
        <v>62</v>
      </c>
      <c r="F833" s="2" t="n">
        <v>19</v>
      </c>
      <c r="G833" s="5" t="s">
        <v>72</v>
      </c>
      <c r="H833" s="2" t="n">
        <v>1</v>
      </c>
      <c r="I833" s="2" t="n">
        <v>1</v>
      </c>
      <c r="J833" s="2" t="n">
        <v>1</v>
      </c>
      <c r="K833" s="7" t="n">
        <v>0.4783924204</v>
      </c>
      <c r="L833" s="7" t="n">
        <v>0.0926059945</v>
      </c>
      <c r="M833" s="7" t="n">
        <v>0.09570950915</v>
      </c>
      <c r="N833" s="7" t="n">
        <v>4</v>
      </c>
      <c r="O833" s="7" t="n">
        <v>4</v>
      </c>
      <c r="P833" s="7" t="n">
        <v>4</v>
      </c>
      <c r="Q833" s="2"/>
      <c r="R833" s="7" t="n">
        <v>2.412185</v>
      </c>
      <c r="S833" s="5" t="s">
        <v>79</v>
      </c>
      <c r="T833" s="5" t="s">
        <v>61</v>
      </c>
    </row>
    <row r="834" customFormat="false" ht="15" hidden="false" customHeight="false" outlineLevel="0" collapsed="false">
      <c r="A834" s="5" t="s">
        <v>4</v>
      </c>
      <c r="B834" s="5" t="s">
        <v>55</v>
      </c>
      <c r="C834" s="2" t="s">
        <v>56</v>
      </c>
      <c r="D834" s="5" t="s">
        <v>78</v>
      </c>
      <c r="E834" s="5" t="s">
        <v>58</v>
      </c>
      <c r="F834" s="2" t="n">
        <v>19</v>
      </c>
      <c r="G834" s="5" t="s">
        <v>73</v>
      </c>
      <c r="H834" s="2" t="n">
        <v>0</v>
      </c>
      <c r="I834" s="2" t="n">
        <v>0</v>
      </c>
      <c r="J834" s="2" t="n">
        <v>0</v>
      </c>
      <c r="K834" s="2"/>
      <c r="L834" s="2"/>
      <c r="M834" s="2"/>
      <c r="N834" s="7" t="n">
        <v>1</v>
      </c>
      <c r="O834" s="7" t="n">
        <v>1</v>
      </c>
      <c r="P834" s="7" t="n">
        <v>0</v>
      </c>
      <c r="Q834" s="2"/>
      <c r="R834" s="7" t="n">
        <v>2.671309</v>
      </c>
      <c r="S834" s="5" t="s">
        <v>79</v>
      </c>
      <c r="T834" s="5" t="s">
        <v>61</v>
      </c>
    </row>
    <row r="835" customFormat="false" ht="15" hidden="false" customHeight="false" outlineLevel="0" collapsed="false">
      <c r="A835" s="5" t="s">
        <v>4</v>
      </c>
      <c r="B835" s="5" t="s">
        <v>55</v>
      </c>
      <c r="C835" s="2" t="s">
        <v>56</v>
      </c>
      <c r="D835" s="5" t="s">
        <v>78</v>
      </c>
      <c r="E835" s="5" t="s">
        <v>62</v>
      </c>
      <c r="F835" s="2" t="n">
        <v>19</v>
      </c>
      <c r="G835" s="5" t="s">
        <v>73</v>
      </c>
      <c r="H835" s="2" t="n">
        <v>0</v>
      </c>
      <c r="I835" s="2" t="n">
        <v>0</v>
      </c>
      <c r="J835" s="2" t="n">
        <v>0</v>
      </c>
      <c r="K835" s="2"/>
      <c r="L835" s="2"/>
      <c r="M835" s="2"/>
      <c r="N835" s="7" t="n">
        <v>1</v>
      </c>
      <c r="O835" s="7" t="n">
        <v>1</v>
      </c>
      <c r="P835" s="7" t="n">
        <v>0</v>
      </c>
      <c r="Q835" s="2"/>
      <c r="R835" s="7" t="n">
        <v>2.671099</v>
      </c>
      <c r="S835" s="5" t="s">
        <v>79</v>
      </c>
      <c r="T835" s="5" t="s">
        <v>61</v>
      </c>
    </row>
    <row r="836" customFormat="false" ht="15" hidden="false" customHeight="false" outlineLevel="0" collapsed="false">
      <c r="A836" s="5" t="s">
        <v>4</v>
      </c>
      <c r="B836" s="5" t="s">
        <v>55</v>
      </c>
      <c r="C836" s="2" t="s">
        <v>56</v>
      </c>
      <c r="D836" s="5" t="s">
        <v>78</v>
      </c>
      <c r="E836" s="5" t="s">
        <v>58</v>
      </c>
      <c r="F836" s="2" t="n">
        <v>20</v>
      </c>
      <c r="G836" s="5" t="s">
        <v>71</v>
      </c>
      <c r="H836" s="2" t="n">
        <v>1</v>
      </c>
      <c r="I836" s="2" t="n">
        <v>1</v>
      </c>
      <c r="J836" s="2" t="n">
        <v>1</v>
      </c>
      <c r="K836" s="7" t="n">
        <v>0.3856878145</v>
      </c>
      <c r="L836" s="7" t="n">
        <v>0.05509960006</v>
      </c>
      <c r="M836" s="7" t="n">
        <v>0.06128038487</v>
      </c>
      <c r="N836" s="7" t="n">
        <v>7</v>
      </c>
      <c r="O836" s="7" t="n">
        <v>7</v>
      </c>
      <c r="P836" s="7" t="n">
        <v>0</v>
      </c>
      <c r="Q836" s="2"/>
      <c r="R836" s="7" t="n">
        <v>1.676648</v>
      </c>
      <c r="S836" s="5" t="s">
        <v>79</v>
      </c>
      <c r="T836" s="5" t="s">
        <v>61</v>
      </c>
    </row>
    <row r="837" customFormat="false" ht="15" hidden="false" customHeight="false" outlineLevel="0" collapsed="false">
      <c r="A837" s="5" t="s">
        <v>4</v>
      </c>
      <c r="B837" s="5" t="s">
        <v>55</v>
      </c>
      <c r="C837" s="2" t="s">
        <v>56</v>
      </c>
      <c r="D837" s="5" t="s">
        <v>78</v>
      </c>
      <c r="E837" s="5" t="s">
        <v>62</v>
      </c>
      <c r="F837" s="2" t="n">
        <v>20</v>
      </c>
      <c r="G837" s="5" t="s">
        <v>71</v>
      </c>
      <c r="H837" s="2" t="n">
        <v>1</v>
      </c>
      <c r="I837" s="2" t="n">
        <v>1</v>
      </c>
      <c r="J837" s="2" t="n">
        <v>1</v>
      </c>
      <c r="K837" s="7" t="n">
        <v>0.3856878145</v>
      </c>
      <c r="L837" s="7" t="n">
        <v>0.05509960006</v>
      </c>
      <c r="M837" s="7" t="n">
        <v>0.06128038487</v>
      </c>
      <c r="N837" s="7" t="n">
        <v>7</v>
      </c>
      <c r="O837" s="7" t="n">
        <v>7</v>
      </c>
      <c r="P837" s="7" t="n">
        <v>7</v>
      </c>
      <c r="Q837" s="2"/>
      <c r="R837" s="7" t="n">
        <v>2.137649</v>
      </c>
      <c r="S837" s="5" t="s">
        <v>79</v>
      </c>
      <c r="T837" s="5" t="s">
        <v>61</v>
      </c>
    </row>
    <row r="838" customFormat="false" ht="15" hidden="false" customHeight="false" outlineLevel="0" collapsed="false">
      <c r="A838" s="5" t="s">
        <v>4</v>
      </c>
      <c r="B838" s="5" t="s">
        <v>55</v>
      </c>
      <c r="C838" s="2" t="s">
        <v>56</v>
      </c>
      <c r="D838" s="5" t="s">
        <v>78</v>
      </c>
      <c r="E838" s="5" t="s">
        <v>58</v>
      </c>
      <c r="F838" s="2" t="n">
        <v>20</v>
      </c>
      <c r="G838" s="5" t="s">
        <v>72</v>
      </c>
      <c r="H838" s="2" t="n">
        <v>1</v>
      </c>
      <c r="I838" s="2" t="n">
        <v>1</v>
      </c>
      <c r="J838" s="2" t="n">
        <v>1</v>
      </c>
      <c r="K838" s="7" t="n">
        <v>0.4944193763</v>
      </c>
      <c r="L838" s="7" t="n">
        <v>0.1028075789</v>
      </c>
      <c r="M838" s="7" t="n">
        <v>0.1061109021</v>
      </c>
      <c r="N838" s="7" t="n">
        <v>8</v>
      </c>
      <c r="O838" s="7" t="n">
        <v>8</v>
      </c>
      <c r="P838" s="7" t="n">
        <v>0</v>
      </c>
      <c r="Q838" s="2"/>
      <c r="R838" s="7" t="n">
        <v>2.569788</v>
      </c>
      <c r="S838" s="5" t="s">
        <v>79</v>
      </c>
      <c r="T838" s="5" t="s">
        <v>61</v>
      </c>
    </row>
    <row r="839" customFormat="false" ht="15" hidden="false" customHeight="false" outlineLevel="0" collapsed="false">
      <c r="A839" s="5" t="s">
        <v>4</v>
      </c>
      <c r="B839" s="5" t="s">
        <v>55</v>
      </c>
      <c r="C839" s="2" t="s">
        <v>56</v>
      </c>
      <c r="D839" s="5" t="s">
        <v>78</v>
      </c>
      <c r="E839" s="5" t="s">
        <v>62</v>
      </c>
      <c r="F839" s="2" t="n">
        <v>20</v>
      </c>
      <c r="G839" s="5" t="s">
        <v>72</v>
      </c>
      <c r="H839" s="2" t="n">
        <v>1</v>
      </c>
      <c r="I839" s="2" t="n">
        <v>1</v>
      </c>
      <c r="J839" s="2" t="n">
        <v>1</v>
      </c>
      <c r="K839" s="7" t="n">
        <v>0.4944193763</v>
      </c>
      <c r="L839" s="7" t="n">
        <v>0.1028075789</v>
      </c>
      <c r="M839" s="7" t="n">
        <v>0.1061109021</v>
      </c>
      <c r="N839" s="7" t="n">
        <v>8</v>
      </c>
      <c r="O839" s="7" t="n">
        <v>8</v>
      </c>
      <c r="P839" s="7" t="n">
        <v>8</v>
      </c>
      <c r="Q839" s="2"/>
      <c r="R839" s="7" t="n">
        <v>3.149234</v>
      </c>
      <c r="S839" s="5" t="s">
        <v>79</v>
      </c>
      <c r="T839" s="5" t="s">
        <v>61</v>
      </c>
    </row>
    <row r="840" customFormat="false" ht="15" hidden="false" customHeight="false" outlineLevel="0" collapsed="false">
      <c r="A840" s="5" t="s">
        <v>4</v>
      </c>
      <c r="B840" s="5" t="s">
        <v>55</v>
      </c>
      <c r="C840" s="2" t="s">
        <v>56</v>
      </c>
      <c r="D840" s="5" t="s">
        <v>78</v>
      </c>
      <c r="E840" s="5" t="s">
        <v>58</v>
      </c>
      <c r="F840" s="2" t="n">
        <v>20</v>
      </c>
      <c r="G840" s="5" t="s">
        <v>73</v>
      </c>
      <c r="H840" s="2" t="n">
        <v>0</v>
      </c>
      <c r="I840" s="2" t="n">
        <v>0</v>
      </c>
      <c r="J840" s="2" t="n">
        <v>0</v>
      </c>
      <c r="K840" s="2"/>
      <c r="L840" s="2"/>
      <c r="M840" s="2"/>
      <c r="N840" s="7" t="n">
        <v>1</v>
      </c>
      <c r="O840" s="7" t="n">
        <v>1</v>
      </c>
      <c r="P840" s="7" t="n">
        <v>0</v>
      </c>
      <c r="Q840" s="2"/>
      <c r="R840" s="7" t="n">
        <v>3.045561</v>
      </c>
      <c r="S840" s="5" t="s">
        <v>79</v>
      </c>
      <c r="T840" s="5" t="s">
        <v>61</v>
      </c>
    </row>
    <row r="841" customFormat="false" ht="15" hidden="false" customHeight="false" outlineLevel="0" collapsed="false">
      <c r="A841" s="5" t="s">
        <v>4</v>
      </c>
      <c r="B841" s="5" t="s">
        <v>55</v>
      </c>
      <c r="C841" s="2" t="s">
        <v>56</v>
      </c>
      <c r="D841" s="5" t="s">
        <v>78</v>
      </c>
      <c r="E841" s="5" t="s">
        <v>62</v>
      </c>
      <c r="F841" s="2" t="n">
        <v>20</v>
      </c>
      <c r="G841" s="5" t="s">
        <v>73</v>
      </c>
      <c r="H841" s="2" t="n">
        <v>0</v>
      </c>
      <c r="I841" s="2" t="n">
        <v>0</v>
      </c>
      <c r="J841" s="2" t="n">
        <v>0</v>
      </c>
      <c r="K841" s="2"/>
      <c r="L841" s="2"/>
      <c r="M841" s="2"/>
      <c r="N841" s="7" t="n">
        <v>1</v>
      </c>
      <c r="O841" s="7" t="n">
        <v>1</v>
      </c>
      <c r="P841" s="7" t="n">
        <v>0</v>
      </c>
      <c r="Q841" s="2"/>
      <c r="R841" s="7" t="n">
        <v>3.04521</v>
      </c>
      <c r="S841" s="5" t="s">
        <v>79</v>
      </c>
      <c r="T841" s="5" t="s">
        <v>61</v>
      </c>
    </row>
    <row r="842" customFormat="false" ht="15" hidden="false" customHeight="false" outlineLevel="0" collapsed="false">
      <c r="A842" s="5" t="s">
        <v>4</v>
      </c>
      <c r="B842" s="5" t="s">
        <v>55</v>
      </c>
      <c r="C842" s="2" t="s">
        <v>56</v>
      </c>
      <c r="D842" s="5" t="s">
        <v>78</v>
      </c>
      <c r="E842" s="5" t="s">
        <v>58</v>
      </c>
      <c r="F842" s="2" t="n">
        <v>11</v>
      </c>
      <c r="G842" s="5" t="s">
        <v>74</v>
      </c>
      <c r="H842" s="2" t="n">
        <v>1</v>
      </c>
      <c r="I842" s="2" t="n">
        <v>1</v>
      </c>
      <c r="J842" s="2" t="n">
        <v>1</v>
      </c>
      <c r="K842" s="7" t="n">
        <v>0.2916600336</v>
      </c>
      <c r="L842" s="7" t="n">
        <v>0.08597818222</v>
      </c>
      <c r="M842" s="7" t="n">
        <v>0.08811528242</v>
      </c>
      <c r="N842" s="7" t="n">
        <v>6</v>
      </c>
      <c r="O842" s="7" t="n">
        <v>6</v>
      </c>
      <c r="P842" s="7" t="n">
        <v>0</v>
      </c>
      <c r="Q842" s="2"/>
      <c r="R842" s="7" t="n">
        <v>2.503592</v>
      </c>
      <c r="S842" s="5" t="s">
        <v>79</v>
      </c>
      <c r="T842" s="5" t="s">
        <v>61</v>
      </c>
    </row>
    <row r="843" customFormat="false" ht="15" hidden="false" customHeight="false" outlineLevel="0" collapsed="false">
      <c r="A843" s="5" t="s">
        <v>4</v>
      </c>
      <c r="B843" s="5" t="s">
        <v>55</v>
      </c>
      <c r="C843" s="2" t="s">
        <v>56</v>
      </c>
      <c r="D843" s="5" t="s">
        <v>78</v>
      </c>
      <c r="E843" s="5" t="s">
        <v>62</v>
      </c>
      <c r="F843" s="2" t="n">
        <v>11</v>
      </c>
      <c r="G843" s="5" t="s">
        <v>74</v>
      </c>
      <c r="H843" s="2" t="n">
        <v>1</v>
      </c>
      <c r="I843" s="2" t="n">
        <v>1</v>
      </c>
      <c r="J843" s="2" t="n">
        <v>1</v>
      </c>
      <c r="K843" s="7" t="n">
        <v>0.2916600336</v>
      </c>
      <c r="L843" s="7" t="n">
        <v>0.08597818222</v>
      </c>
      <c r="M843" s="7" t="n">
        <v>0.08811528242</v>
      </c>
      <c r="N843" s="7" t="n">
        <v>6</v>
      </c>
      <c r="O843" s="7" t="n">
        <v>6</v>
      </c>
      <c r="P843" s="7" t="n">
        <v>6</v>
      </c>
      <c r="Q843" s="2"/>
      <c r="R843" s="7" t="n">
        <v>2.919075</v>
      </c>
      <c r="S843" s="5" t="s">
        <v>79</v>
      </c>
      <c r="T843" s="5" t="s">
        <v>61</v>
      </c>
    </row>
    <row r="844" customFormat="false" ht="15" hidden="false" customHeight="false" outlineLevel="0" collapsed="false">
      <c r="A844" s="5" t="s">
        <v>4</v>
      </c>
      <c r="B844" s="5" t="s">
        <v>55</v>
      </c>
      <c r="C844" s="2" t="s">
        <v>56</v>
      </c>
      <c r="D844" s="5" t="s">
        <v>78</v>
      </c>
      <c r="E844" s="5" t="s">
        <v>58</v>
      </c>
      <c r="F844" s="2" t="n">
        <v>11</v>
      </c>
      <c r="G844" s="5" t="s">
        <v>75</v>
      </c>
      <c r="H844" s="2" t="n">
        <v>1</v>
      </c>
      <c r="I844" s="2" t="n">
        <v>1</v>
      </c>
      <c r="J844" s="2" t="n">
        <v>1</v>
      </c>
      <c r="K844" s="7" t="n">
        <v>0.07913663702</v>
      </c>
      <c r="L844" s="7" t="n">
        <v>0.07370042741</v>
      </c>
      <c r="M844" s="7" t="n">
        <v>0.07366591814</v>
      </c>
      <c r="N844" s="7" t="n">
        <v>12</v>
      </c>
      <c r="O844" s="7" t="n">
        <v>12</v>
      </c>
      <c r="P844" s="7" t="n">
        <v>0</v>
      </c>
      <c r="Q844" s="2"/>
      <c r="R844" s="7" t="n">
        <v>2.541636</v>
      </c>
      <c r="S844" s="5" t="s">
        <v>79</v>
      </c>
      <c r="T844" s="5" t="s">
        <v>61</v>
      </c>
    </row>
    <row r="845" customFormat="false" ht="15" hidden="false" customHeight="false" outlineLevel="0" collapsed="false">
      <c r="A845" s="5" t="s">
        <v>4</v>
      </c>
      <c r="B845" s="5" t="s">
        <v>55</v>
      </c>
      <c r="C845" s="2" t="s">
        <v>56</v>
      </c>
      <c r="D845" s="5" t="s">
        <v>78</v>
      </c>
      <c r="E845" s="5" t="s">
        <v>62</v>
      </c>
      <c r="F845" s="2" t="n">
        <v>11</v>
      </c>
      <c r="G845" s="5" t="s">
        <v>75</v>
      </c>
      <c r="H845" s="2" t="n">
        <v>1</v>
      </c>
      <c r="I845" s="2" t="n">
        <v>1</v>
      </c>
      <c r="J845" s="2" t="n">
        <v>1</v>
      </c>
      <c r="K845" s="7" t="n">
        <v>0.07913663702</v>
      </c>
      <c r="L845" s="7" t="n">
        <v>0.07370042741</v>
      </c>
      <c r="M845" s="7" t="n">
        <v>0.07366591814</v>
      </c>
      <c r="N845" s="7" t="n">
        <v>12</v>
      </c>
      <c r="O845" s="7" t="n">
        <v>12</v>
      </c>
      <c r="P845" s="7" t="n">
        <v>12</v>
      </c>
      <c r="Q845" s="2"/>
      <c r="R845" s="7" t="n">
        <v>3.107842</v>
      </c>
      <c r="S845" s="5" t="s">
        <v>79</v>
      </c>
      <c r="T845" s="5" t="s">
        <v>61</v>
      </c>
    </row>
    <row r="846" customFormat="false" ht="15" hidden="false" customHeight="false" outlineLevel="0" collapsed="false">
      <c r="A846" s="5" t="s">
        <v>4</v>
      </c>
      <c r="B846" s="5" t="s">
        <v>55</v>
      </c>
      <c r="C846" s="2" t="s">
        <v>56</v>
      </c>
      <c r="D846" s="5" t="s">
        <v>78</v>
      </c>
      <c r="E846" s="5" t="s">
        <v>58</v>
      </c>
      <c r="F846" s="2" t="n">
        <v>12</v>
      </c>
      <c r="G846" s="5" t="s">
        <v>74</v>
      </c>
      <c r="H846" s="2" t="n">
        <v>1</v>
      </c>
      <c r="I846" s="2" t="n">
        <v>1</v>
      </c>
      <c r="J846" s="2" t="n">
        <v>1</v>
      </c>
      <c r="K846" s="7" t="n">
        <v>0.7124064975</v>
      </c>
      <c r="L846" s="7" t="n">
        <v>0.1187512783</v>
      </c>
      <c r="M846" s="7" t="n">
        <v>0.1274428796</v>
      </c>
      <c r="N846" s="7" t="n">
        <v>8</v>
      </c>
      <c r="O846" s="7" t="n">
        <v>8</v>
      </c>
      <c r="P846" s="7" t="n">
        <v>0</v>
      </c>
      <c r="Q846" s="2"/>
      <c r="R846" s="7" t="n">
        <v>2.616046</v>
      </c>
      <c r="S846" s="5" t="s">
        <v>79</v>
      </c>
      <c r="T846" s="5" t="s">
        <v>61</v>
      </c>
    </row>
    <row r="847" customFormat="false" ht="15" hidden="false" customHeight="false" outlineLevel="0" collapsed="false">
      <c r="A847" s="5" t="s">
        <v>4</v>
      </c>
      <c r="B847" s="5" t="s">
        <v>55</v>
      </c>
      <c r="C847" s="2" t="s">
        <v>56</v>
      </c>
      <c r="D847" s="5" t="s">
        <v>78</v>
      </c>
      <c r="E847" s="5" t="s">
        <v>62</v>
      </c>
      <c r="F847" s="2" t="n">
        <v>12</v>
      </c>
      <c r="G847" s="5" t="s">
        <v>74</v>
      </c>
      <c r="H847" s="2" t="n">
        <v>1</v>
      </c>
      <c r="I847" s="2" t="n">
        <v>1</v>
      </c>
      <c r="J847" s="2" t="n">
        <v>1</v>
      </c>
      <c r="K847" s="7" t="n">
        <v>0.7124064975</v>
      </c>
      <c r="L847" s="7" t="n">
        <v>0.1187512783</v>
      </c>
      <c r="M847" s="7" t="n">
        <v>0.1274428796</v>
      </c>
      <c r="N847" s="7" t="n">
        <v>8</v>
      </c>
      <c r="O847" s="7" t="n">
        <v>8</v>
      </c>
      <c r="P847" s="7" t="n">
        <v>8</v>
      </c>
      <c r="Q847" s="2"/>
      <c r="R847" s="7" t="n">
        <v>3.148702</v>
      </c>
      <c r="S847" s="5" t="s">
        <v>79</v>
      </c>
      <c r="T847" s="5" t="s">
        <v>61</v>
      </c>
    </row>
    <row r="848" customFormat="false" ht="15" hidden="false" customHeight="false" outlineLevel="0" collapsed="false">
      <c r="A848" s="5" t="s">
        <v>4</v>
      </c>
      <c r="B848" s="5" t="s">
        <v>55</v>
      </c>
      <c r="C848" s="2" t="s">
        <v>56</v>
      </c>
      <c r="D848" s="5" t="s">
        <v>78</v>
      </c>
      <c r="E848" s="5" t="s">
        <v>58</v>
      </c>
      <c r="F848" s="2" t="n">
        <v>12</v>
      </c>
      <c r="G848" s="5" t="s">
        <v>75</v>
      </c>
      <c r="H848" s="2" t="n">
        <v>1</v>
      </c>
      <c r="I848" s="2" t="n">
        <v>1</v>
      </c>
      <c r="J848" s="2" t="n">
        <v>1</v>
      </c>
      <c r="K848" s="7" t="n">
        <v>0.03240083517</v>
      </c>
      <c r="L848" s="7" t="n">
        <v>0.04295688203</v>
      </c>
      <c r="M848" s="7" t="n">
        <v>0.04305799839</v>
      </c>
      <c r="N848" s="7" t="n">
        <v>14</v>
      </c>
      <c r="O848" s="7" t="n">
        <v>14</v>
      </c>
      <c r="P848" s="7" t="n">
        <v>0</v>
      </c>
      <c r="Q848" s="2"/>
      <c r="R848" s="7" t="n">
        <v>3.129485</v>
      </c>
      <c r="S848" s="5" t="s">
        <v>79</v>
      </c>
      <c r="T848" s="5" t="s">
        <v>61</v>
      </c>
    </row>
    <row r="849" customFormat="false" ht="15" hidden="false" customHeight="false" outlineLevel="0" collapsed="false">
      <c r="A849" s="5" t="s">
        <v>4</v>
      </c>
      <c r="B849" s="5" t="s">
        <v>55</v>
      </c>
      <c r="C849" s="2" t="s">
        <v>56</v>
      </c>
      <c r="D849" s="5" t="s">
        <v>78</v>
      </c>
      <c r="E849" s="5" t="s">
        <v>62</v>
      </c>
      <c r="F849" s="2" t="n">
        <v>12</v>
      </c>
      <c r="G849" s="5" t="s">
        <v>75</v>
      </c>
      <c r="H849" s="2" t="n">
        <v>1</v>
      </c>
      <c r="I849" s="2" t="n">
        <v>1</v>
      </c>
      <c r="J849" s="2" t="n">
        <v>1</v>
      </c>
      <c r="K849" s="7" t="n">
        <v>0.03240083517</v>
      </c>
      <c r="L849" s="7" t="n">
        <v>0.04295688203</v>
      </c>
      <c r="M849" s="7" t="n">
        <v>0.04305799839</v>
      </c>
      <c r="N849" s="7" t="n">
        <v>14</v>
      </c>
      <c r="O849" s="7" t="n">
        <v>14</v>
      </c>
      <c r="P849" s="7" t="n">
        <v>14</v>
      </c>
      <c r="Q849" s="2"/>
      <c r="R849" s="7" t="n">
        <v>3.756461</v>
      </c>
      <c r="S849" s="5" t="s">
        <v>79</v>
      </c>
      <c r="T849" s="5" t="s">
        <v>61</v>
      </c>
    </row>
    <row r="850" customFormat="false" ht="15" hidden="false" customHeight="false" outlineLevel="0" collapsed="false">
      <c r="A850" s="5" t="s">
        <v>4</v>
      </c>
      <c r="B850" s="5" t="s">
        <v>55</v>
      </c>
      <c r="C850" s="2" t="s">
        <v>56</v>
      </c>
      <c r="D850" s="5" t="s">
        <v>78</v>
      </c>
      <c r="E850" s="5" t="s">
        <v>58</v>
      </c>
      <c r="F850" s="2" t="n">
        <v>13</v>
      </c>
      <c r="G850" s="5" t="s">
        <v>74</v>
      </c>
      <c r="H850" s="2" t="n">
        <v>1</v>
      </c>
      <c r="I850" s="2" t="n">
        <v>1</v>
      </c>
      <c r="J850" s="2" t="n">
        <v>1</v>
      </c>
      <c r="K850" s="7" t="n">
        <v>0.8532544156</v>
      </c>
      <c r="L850" s="7" t="n">
        <v>0.08725295468</v>
      </c>
      <c r="M850" s="7" t="n">
        <v>0.1062679883</v>
      </c>
      <c r="N850" s="7" t="n">
        <v>5</v>
      </c>
      <c r="O850" s="7" t="n">
        <v>5</v>
      </c>
      <c r="P850" s="7" t="n">
        <v>0</v>
      </c>
      <c r="Q850" s="2"/>
      <c r="R850" s="7" t="n">
        <v>2.252559</v>
      </c>
      <c r="S850" s="5" t="s">
        <v>79</v>
      </c>
      <c r="T850" s="5" t="s">
        <v>61</v>
      </c>
    </row>
    <row r="851" customFormat="false" ht="15" hidden="false" customHeight="false" outlineLevel="0" collapsed="false">
      <c r="A851" s="5" t="s">
        <v>4</v>
      </c>
      <c r="B851" s="5" t="s">
        <v>55</v>
      </c>
      <c r="C851" s="2" t="s">
        <v>56</v>
      </c>
      <c r="D851" s="5" t="s">
        <v>78</v>
      </c>
      <c r="E851" s="5" t="s">
        <v>62</v>
      </c>
      <c r="F851" s="2" t="n">
        <v>13</v>
      </c>
      <c r="G851" s="5" t="s">
        <v>74</v>
      </c>
      <c r="H851" s="2" t="n">
        <v>1</v>
      </c>
      <c r="I851" s="2" t="n">
        <v>1</v>
      </c>
      <c r="J851" s="2" t="n">
        <v>1</v>
      </c>
      <c r="K851" s="7" t="n">
        <v>0.8532544156</v>
      </c>
      <c r="L851" s="7" t="n">
        <v>0.08725295468</v>
      </c>
      <c r="M851" s="7" t="n">
        <v>0.1062679883</v>
      </c>
      <c r="N851" s="7" t="n">
        <v>5</v>
      </c>
      <c r="O851" s="7" t="n">
        <v>5</v>
      </c>
      <c r="P851" s="7" t="n">
        <v>5</v>
      </c>
      <c r="Q851" s="2"/>
      <c r="R851" s="7" t="n">
        <v>2.631598</v>
      </c>
      <c r="S851" s="5" t="s">
        <v>79</v>
      </c>
      <c r="T851" s="5" t="s">
        <v>61</v>
      </c>
    </row>
    <row r="852" customFormat="false" ht="15" hidden="false" customHeight="false" outlineLevel="0" collapsed="false">
      <c r="A852" s="5" t="s">
        <v>4</v>
      </c>
      <c r="B852" s="5" t="s">
        <v>55</v>
      </c>
      <c r="C852" s="2" t="s">
        <v>56</v>
      </c>
      <c r="D852" s="5" t="s">
        <v>78</v>
      </c>
      <c r="E852" s="5" t="s">
        <v>58</v>
      </c>
      <c r="F852" s="2" t="n">
        <v>13</v>
      </c>
      <c r="G852" s="5" t="s">
        <v>75</v>
      </c>
      <c r="H852" s="2" t="n">
        <v>1</v>
      </c>
      <c r="I852" s="2" t="n">
        <v>1</v>
      </c>
      <c r="J852" s="2" t="n">
        <v>1</v>
      </c>
      <c r="K852" s="7" t="n">
        <v>0.1291072994</v>
      </c>
      <c r="L852" s="7" t="n">
        <v>0.05940480654</v>
      </c>
      <c r="M852" s="7" t="n">
        <v>0.06049951524</v>
      </c>
      <c r="N852" s="7" t="n">
        <v>14</v>
      </c>
      <c r="O852" s="7" t="n">
        <v>14</v>
      </c>
      <c r="P852" s="7" t="n">
        <v>0</v>
      </c>
      <c r="Q852" s="2"/>
      <c r="R852" s="7" t="n">
        <v>2.668113</v>
      </c>
      <c r="S852" s="5" t="s">
        <v>79</v>
      </c>
      <c r="T852" s="5" t="s">
        <v>61</v>
      </c>
    </row>
    <row r="853" customFormat="false" ht="15" hidden="false" customHeight="false" outlineLevel="0" collapsed="false">
      <c r="A853" s="5" t="s">
        <v>4</v>
      </c>
      <c r="B853" s="5" t="s">
        <v>55</v>
      </c>
      <c r="C853" s="2" t="s">
        <v>56</v>
      </c>
      <c r="D853" s="5" t="s">
        <v>78</v>
      </c>
      <c r="E853" s="5" t="s">
        <v>62</v>
      </c>
      <c r="F853" s="2" t="n">
        <v>13</v>
      </c>
      <c r="G853" s="5" t="s">
        <v>75</v>
      </c>
      <c r="H853" s="2" t="n">
        <v>1</v>
      </c>
      <c r="I853" s="2" t="n">
        <v>1</v>
      </c>
      <c r="J853" s="2" t="n">
        <v>1</v>
      </c>
      <c r="K853" s="7" t="n">
        <v>0.1291072994</v>
      </c>
      <c r="L853" s="7" t="n">
        <v>0.05940480654</v>
      </c>
      <c r="M853" s="7" t="n">
        <v>0.06049951524</v>
      </c>
      <c r="N853" s="7" t="n">
        <v>14</v>
      </c>
      <c r="O853" s="7" t="n">
        <v>14</v>
      </c>
      <c r="P853" s="7" t="n">
        <v>14</v>
      </c>
      <c r="Q853" s="2"/>
      <c r="R853" s="7" t="n">
        <v>3.287499</v>
      </c>
      <c r="S853" s="5" t="s">
        <v>79</v>
      </c>
      <c r="T853" s="5" t="s">
        <v>61</v>
      </c>
    </row>
    <row r="854" customFormat="false" ht="15" hidden="false" customHeight="false" outlineLevel="0" collapsed="false">
      <c r="A854" s="5" t="s">
        <v>4</v>
      </c>
      <c r="B854" s="5" t="s">
        <v>55</v>
      </c>
      <c r="C854" s="2" t="s">
        <v>56</v>
      </c>
      <c r="D854" s="5" t="s">
        <v>78</v>
      </c>
      <c r="E854" s="5" t="s">
        <v>58</v>
      </c>
      <c r="F854" s="2" t="n">
        <v>14</v>
      </c>
      <c r="G854" s="5" t="s">
        <v>74</v>
      </c>
      <c r="H854" s="2" t="n">
        <v>1</v>
      </c>
      <c r="I854" s="2" t="n">
        <v>1</v>
      </c>
      <c r="J854" s="2" t="n">
        <v>1</v>
      </c>
      <c r="K854" s="7" t="n">
        <v>0.7881097321</v>
      </c>
      <c r="L854" s="7" t="n">
        <v>0.08583783981</v>
      </c>
      <c r="M854" s="7" t="n">
        <v>0.09988074806</v>
      </c>
      <c r="N854" s="7" t="n">
        <v>6</v>
      </c>
      <c r="O854" s="7" t="n">
        <v>6</v>
      </c>
      <c r="P854" s="7" t="n">
        <v>0</v>
      </c>
      <c r="Q854" s="2"/>
      <c r="R854" s="7" t="n">
        <v>2.449449</v>
      </c>
      <c r="S854" s="5" t="s">
        <v>79</v>
      </c>
      <c r="T854" s="5" t="s">
        <v>61</v>
      </c>
    </row>
    <row r="855" customFormat="false" ht="15" hidden="false" customHeight="false" outlineLevel="0" collapsed="false">
      <c r="A855" s="5" t="s">
        <v>4</v>
      </c>
      <c r="B855" s="5" t="s">
        <v>55</v>
      </c>
      <c r="C855" s="2" t="s">
        <v>56</v>
      </c>
      <c r="D855" s="5" t="s">
        <v>78</v>
      </c>
      <c r="E855" s="5" t="s">
        <v>62</v>
      </c>
      <c r="F855" s="2" t="n">
        <v>14</v>
      </c>
      <c r="G855" s="5" t="s">
        <v>74</v>
      </c>
      <c r="H855" s="2" t="n">
        <v>1</v>
      </c>
      <c r="I855" s="2" t="n">
        <v>1</v>
      </c>
      <c r="J855" s="2" t="n">
        <v>1</v>
      </c>
      <c r="K855" s="7" t="n">
        <v>0.7881097321</v>
      </c>
      <c r="L855" s="7" t="n">
        <v>0.08583783981</v>
      </c>
      <c r="M855" s="7" t="n">
        <v>0.09988074806</v>
      </c>
      <c r="N855" s="7" t="n">
        <v>6</v>
      </c>
      <c r="O855" s="7" t="n">
        <v>6</v>
      </c>
      <c r="P855" s="7" t="n">
        <v>6</v>
      </c>
      <c r="Q855" s="2"/>
      <c r="R855" s="7" t="n">
        <v>2.925283</v>
      </c>
      <c r="S855" s="5" t="s">
        <v>79</v>
      </c>
      <c r="T855" s="5" t="s">
        <v>61</v>
      </c>
    </row>
    <row r="856" customFormat="false" ht="15" hidden="false" customHeight="false" outlineLevel="0" collapsed="false">
      <c r="A856" s="5" t="s">
        <v>4</v>
      </c>
      <c r="B856" s="5" t="s">
        <v>55</v>
      </c>
      <c r="C856" s="2" t="s">
        <v>56</v>
      </c>
      <c r="D856" s="5" t="s">
        <v>78</v>
      </c>
      <c r="E856" s="5" t="s">
        <v>58</v>
      </c>
      <c r="F856" s="2" t="n">
        <v>14</v>
      </c>
      <c r="G856" s="5" t="s">
        <v>75</v>
      </c>
      <c r="H856" s="2" t="n">
        <v>1</v>
      </c>
      <c r="I856" s="2" t="n">
        <v>1</v>
      </c>
      <c r="J856" s="2" t="n">
        <v>1</v>
      </c>
      <c r="K856" s="7" t="n">
        <v>0.143800844</v>
      </c>
      <c r="L856" s="7" t="n">
        <v>0.04957799679</v>
      </c>
      <c r="M856" s="7" t="n">
        <v>0.04977315115</v>
      </c>
      <c r="N856" s="7" t="n">
        <v>14</v>
      </c>
      <c r="O856" s="7" t="n">
        <v>14</v>
      </c>
      <c r="P856" s="7" t="n">
        <v>0</v>
      </c>
      <c r="Q856" s="2"/>
      <c r="R856" s="7" t="n">
        <v>3.066361</v>
      </c>
      <c r="S856" s="5" t="s">
        <v>79</v>
      </c>
      <c r="T856" s="5" t="s">
        <v>61</v>
      </c>
    </row>
    <row r="857" customFormat="false" ht="15" hidden="false" customHeight="false" outlineLevel="0" collapsed="false">
      <c r="A857" s="5" t="s">
        <v>4</v>
      </c>
      <c r="B857" s="5" t="s">
        <v>55</v>
      </c>
      <c r="C857" s="2" t="s">
        <v>56</v>
      </c>
      <c r="D857" s="5" t="s">
        <v>78</v>
      </c>
      <c r="E857" s="5" t="s">
        <v>62</v>
      </c>
      <c r="F857" s="2" t="n">
        <v>14</v>
      </c>
      <c r="G857" s="5" t="s">
        <v>75</v>
      </c>
      <c r="H857" s="2" t="n">
        <v>1</v>
      </c>
      <c r="I857" s="2" t="n">
        <v>1</v>
      </c>
      <c r="J857" s="2" t="n">
        <v>1</v>
      </c>
      <c r="K857" s="7" t="n">
        <v>0.143800844</v>
      </c>
      <c r="L857" s="7" t="n">
        <v>0.04957799679</v>
      </c>
      <c r="M857" s="7" t="n">
        <v>0.04977315115</v>
      </c>
      <c r="N857" s="7" t="n">
        <v>14</v>
      </c>
      <c r="O857" s="7" t="n">
        <v>14</v>
      </c>
      <c r="P857" s="7" t="n">
        <v>14</v>
      </c>
      <c r="Q857" s="2"/>
      <c r="R857" s="7" t="n">
        <v>3.684715</v>
      </c>
      <c r="S857" s="5" t="s">
        <v>79</v>
      </c>
      <c r="T857" s="5" t="s">
        <v>61</v>
      </c>
    </row>
    <row r="858" customFormat="false" ht="15" hidden="false" customHeight="false" outlineLevel="0" collapsed="false">
      <c r="A858" s="5" t="s">
        <v>4</v>
      </c>
      <c r="B858" s="5" t="s">
        <v>55</v>
      </c>
      <c r="C858" s="2" t="s">
        <v>56</v>
      </c>
      <c r="D858" s="5" t="s">
        <v>78</v>
      </c>
      <c r="E858" s="5" t="s">
        <v>58</v>
      </c>
      <c r="F858" s="2" t="n">
        <v>15</v>
      </c>
      <c r="G858" s="5" t="s">
        <v>74</v>
      </c>
      <c r="H858" s="2" t="n">
        <v>1</v>
      </c>
      <c r="I858" s="2" t="n">
        <v>1</v>
      </c>
      <c r="J858" s="2" t="n">
        <v>1</v>
      </c>
      <c r="K858" s="7" t="n">
        <v>0.3224883687</v>
      </c>
      <c r="L858" s="7" t="n">
        <v>0.06214712626</v>
      </c>
      <c r="M858" s="7" t="n">
        <v>0.06606279041</v>
      </c>
      <c r="N858" s="7" t="n">
        <v>7</v>
      </c>
      <c r="O858" s="7" t="n">
        <v>7</v>
      </c>
      <c r="P858" s="7" t="n">
        <v>0</v>
      </c>
      <c r="Q858" s="2"/>
      <c r="R858" s="7" t="n">
        <v>2.347189</v>
      </c>
      <c r="S858" s="5" t="s">
        <v>79</v>
      </c>
      <c r="T858" s="5" t="s">
        <v>61</v>
      </c>
    </row>
    <row r="859" customFormat="false" ht="15" hidden="false" customHeight="false" outlineLevel="0" collapsed="false">
      <c r="A859" s="5" t="s">
        <v>4</v>
      </c>
      <c r="B859" s="5" t="s">
        <v>55</v>
      </c>
      <c r="C859" s="2" t="s">
        <v>56</v>
      </c>
      <c r="D859" s="5" t="s">
        <v>78</v>
      </c>
      <c r="E859" s="5" t="s">
        <v>62</v>
      </c>
      <c r="F859" s="2" t="n">
        <v>15</v>
      </c>
      <c r="G859" s="5" t="s">
        <v>74</v>
      </c>
      <c r="H859" s="2" t="n">
        <v>1</v>
      </c>
      <c r="I859" s="2" t="n">
        <v>1</v>
      </c>
      <c r="J859" s="2" t="n">
        <v>1</v>
      </c>
      <c r="K859" s="7" t="n">
        <v>0.3224883687</v>
      </c>
      <c r="L859" s="7" t="n">
        <v>0.06214712626</v>
      </c>
      <c r="M859" s="7" t="n">
        <v>0.06606279041</v>
      </c>
      <c r="N859" s="7" t="n">
        <v>7</v>
      </c>
      <c r="O859" s="7" t="n">
        <v>7</v>
      </c>
      <c r="P859" s="7" t="n">
        <v>7</v>
      </c>
      <c r="Q859" s="2"/>
      <c r="R859" s="7" t="n">
        <v>2.837433</v>
      </c>
      <c r="S859" s="5" t="s">
        <v>79</v>
      </c>
      <c r="T859" s="5" t="s">
        <v>61</v>
      </c>
    </row>
    <row r="860" customFormat="false" ht="15" hidden="false" customHeight="false" outlineLevel="0" collapsed="false">
      <c r="A860" s="5" t="s">
        <v>4</v>
      </c>
      <c r="B860" s="5" t="s">
        <v>55</v>
      </c>
      <c r="C860" s="2" t="s">
        <v>56</v>
      </c>
      <c r="D860" s="5" t="s">
        <v>78</v>
      </c>
      <c r="E860" s="5" t="s">
        <v>58</v>
      </c>
      <c r="F860" s="2" t="n">
        <v>15</v>
      </c>
      <c r="G860" s="5" t="s">
        <v>75</v>
      </c>
      <c r="H860" s="2" t="n">
        <v>1</v>
      </c>
      <c r="I860" s="2" t="n">
        <v>1</v>
      </c>
      <c r="J860" s="2" t="n">
        <v>1</v>
      </c>
      <c r="K860" s="7" t="n">
        <v>0.1714410361</v>
      </c>
      <c r="L860" s="7" t="n">
        <v>0.0532685402</v>
      </c>
      <c r="M860" s="7" t="n">
        <v>0.05357010099</v>
      </c>
      <c r="N860" s="7" t="n">
        <v>14</v>
      </c>
      <c r="O860" s="7" t="n">
        <v>14</v>
      </c>
      <c r="P860" s="7" t="n">
        <v>0</v>
      </c>
      <c r="Q860" s="2"/>
      <c r="R860" s="7" t="n">
        <v>2.918444</v>
      </c>
      <c r="S860" s="5" t="s">
        <v>79</v>
      </c>
      <c r="T860" s="5" t="s">
        <v>61</v>
      </c>
    </row>
    <row r="861" customFormat="false" ht="15" hidden="false" customHeight="false" outlineLevel="0" collapsed="false">
      <c r="A861" s="5" t="s">
        <v>4</v>
      </c>
      <c r="B861" s="5" t="s">
        <v>55</v>
      </c>
      <c r="C861" s="2" t="s">
        <v>56</v>
      </c>
      <c r="D861" s="5" t="s">
        <v>78</v>
      </c>
      <c r="E861" s="5" t="s">
        <v>62</v>
      </c>
      <c r="F861" s="2" t="n">
        <v>15</v>
      </c>
      <c r="G861" s="5" t="s">
        <v>75</v>
      </c>
      <c r="H861" s="2" t="n">
        <v>1</v>
      </c>
      <c r="I861" s="2" t="n">
        <v>1</v>
      </c>
      <c r="J861" s="2" t="n">
        <v>1</v>
      </c>
      <c r="K861" s="7" t="n">
        <v>0.1714410361</v>
      </c>
      <c r="L861" s="7" t="n">
        <v>0.0532685402</v>
      </c>
      <c r="M861" s="7" t="n">
        <v>0.05357010099</v>
      </c>
      <c r="N861" s="7" t="n">
        <v>14</v>
      </c>
      <c r="O861" s="7" t="n">
        <v>14</v>
      </c>
      <c r="P861" s="7" t="n">
        <v>14</v>
      </c>
      <c r="Q861" s="2"/>
      <c r="R861" s="7" t="n">
        <v>3.536327</v>
      </c>
      <c r="S861" s="5" t="s">
        <v>79</v>
      </c>
      <c r="T861" s="5" t="s">
        <v>61</v>
      </c>
    </row>
    <row r="862" customFormat="false" ht="15" hidden="false" customHeight="false" outlineLevel="0" collapsed="false">
      <c r="A862" s="5" t="s">
        <v>4</v>
      </c>
      <c r="B862" s="5" t="s">
        <v>55</v>
      </c>
      <c r="C862" s="2" t="s">
        <v>56</v>
      </c>
      <c r="D862" s="5" t="s">
        <v>78</v>
      </c>
      <c r="E862" s="5" t="s">
        <v>58</v>
      </c>
      <c r="F862" s="2" t="n">
        <v>16</v>
      </c>
      <c r="G862" s="5" t="s">
        <v>74</v>
      </c>
      <c r="H862" s="2" t="n">
        <v>1</v>
      </c>
      <c r="I862" s="2" t="n">
        <v>0</v>
      </c>
      <c r="J862" s="2" t="n">
        <v>0</v>
      </c>
      <c r="K862" s="2"/>
      <c r="L862" s="2"/>
      <c r="M862" s="2"/>
      <c r="N862" s="7" t="n">
        <v>1</v>
      </c>
      <c r="O862" s="7" t="n">
        <v>1</v>
      </c>
      <c r="P862" s="7" t="n">
        <v>0</v>
      </c>
      <c r="Q862" s="2"/>
      <c r="R862" s="7" t="n">
        <v>2.385717</v>
      </c>
      <c r="S862" s="5" t="s">
        <v>79</v>
      </c>
      <c r="T862" s="5" t="s">
        <v>61</v>
      </c>
    </row>
    <row r="863" customFormat="false" ht="15" hidden="false" customHeight="false" outlineLevel="0" collapsed="false">
      <c r="A863" s="5" t="s">
        <v>4</v>
      </c>
      <c r="B863" s="5" t="s">
        <v>55</v>
      </c>
      <c r="C863" s="2" t="s">
        <v>56</v>
      </c>
      <c r="D863" s="5" t="s">
        <v>78</v>
      </c>
      <c r="E863" s="5" t="s">
        <v>62</v>
      </c>
      <c r="F863" s="2" t="n">
        <v>16</v>
      </c>
      <c r="G863" s="5" t="s">
        <v>74</v>
      </c>
      <c r="H863" s="2" t="n">
        <v>1</v>
      </c>
      <c r="I863" s="2" t="n">
        <v>0</v>
      </c>
      <c r="J863" s="2" t="n">
        <v>0</v>
      </c>
      <c r="K863" s="2"/>
      <c r="L863" s="2"/>
      <c r="M863" s="2"/>
      <c r="N863" s="7" t="n">
        <v>1</v>
      </c>
      <c r="O863" s="7" t="n">
        <v>1</v>
      </c>
      <c r="P863" s="7" t="n">
        <v>0</v>
      </c>
      <c r="Q863" s="2"/>
      <c r="R863" s="7" t="n">
        <v>2.385607</v>
      </c>
      <c r="S863" s="5" t="s">
        <v>79</v>
      </c>
      <c r="T863" s="5" t="s">
        <v>61</v>
      </c>
    </row>
    <row r="864" customFormat="false" ht="15" hidden="false" customHeight="false" outlineLevel="0" collapsed="false">
      <c r="A864" s="5" t="s">
        <v>4</v>
      </c>
      <c r="B864" s="5" t="s">
        <v>55</v>
      </c>
      <c r="C864" s="2" t="s">
        <v>56</v>
      </c>
      <c r="D864" s="5" t="s">
        <v>78</v>
      </c>
      <c r="E864" s="5" t="s">
        <v>58</v>
      </c>
      <c r="F864" s="2" t="n">
        <v>16</v>
      </c>
      <c r="G864" s="5" t="s">
        <v>75</v>
      </c>
      <c r="H864" s="2" t="n">
        <v>1</v>
      </c>
      <c r="I864" s="2" t="n">
        <v>1</v>
      </c>
      <c r="J864" s="2" t="n">
        <v>1</v>
      </c>
      <c r="K864" s="7" t="n">
        <v>0.03790100727</v>
      </c>
      <c r="L864" s="7" t="n">
        <v>0.01276849788</v>
      </c>
      <c r="M864" s="7" t="n">
        <v>0.01354170446</v>
      </c>
      <c r="N864" s="7" t="n">
        <v>9</v>
      </c>
      <c r="O864" s="7" t="n">
        <v>9</v>
      </c>
      <c r="P864" s="7" t="n">
        <v>0</v>
      </c>
      <c r="Q864" s="2"/>
      <c r="R864" s="7" t="n">
        <v>2.707441</v>
      </c>
      <c r="S864" s="5" t="s">
        <v>79</v>
      </c>
      <c r="T864" s="5" t="s">
        <v>61</v>
      </c>
    </row>
    <row r="865" customFormat="false" ht="15" hidden="false" customHeight="false" outlineLevel="0" collapsed="false">
      <c r="A865" s="5" t="s">
        <v>4</v>
      </c>
      <c r="B865" s="5" t="s">
        <v>55</v>
      </c>
      <c r="C865" s="2" t="s">
        <v>56</v>
      </c>
      <c r="D865" s="5" t="s">
        <v>78</v>
      </c>
      <c r="E865" s="5" t="s">
        <v>62</v>
      </c>
      <c r="F865" s="2" t="n">
        <v>16</v>
      </c>
      <c r="G865" s="5" t="s">
        <v>75</v>
      </c>
      <c r="H865" s="2" t="n">
        <v>1</v>
      </c>
      <c r="I865" s="2" t="n">
        <v>1</v>
      </c>
      <c r="J865" s="2" t="n">
        <v>1</v>
      </c>
      <c r="K865" s="7" t="n">
        <v>0.03790100727</v>
      </c>
      <c r="L865" s="7" t="n">
        <v>0.01276849788</v>
      </c>
      <c r="M865" s="7" t="n">
        <v>0.01354170446</v>
      </c>
      <c r="N865" s="7" t="n">
        <v>9</v>
      </c>
      <c r="O865" s="7" t="n">
        <v>9</v>
      </c>
      <c r="P865" s="7" t="n">
        <v>9</v>
      </c>
      <c r="Q865" s="2"/>
      <c r="R865" s="7" t="n">
        <v>3.232057</v>
      </c>
      <c r="S865" s="5" t="s">
        <v>79</v>
      </c>
      <c r="T865" s="5" t="s">
        <v>61</v>
      </c>
    </row>
    <row r="866" customFormat="false" ht="15" hidden="false" customHeight="false" outlineLevel="0" collapsed="false">
      <c r="A866" s="5" t="s">
        <v>4</v>
      </c>
      <c r="B866" s="5" t="s">
        <v>55</v>
      </c>
      <c r="C866" s="2" t="s">
        <v>56</v>
      </c>
      <c r="D866" s="5" t="s">
        <v>78</v>
      </c>
      <c r="E866" s="5" t="s">
        <v>58</v>
      </c>
      <c r="F866" s="2" t="n">
        <v>17</v>
      </c>
      <c r="G866" s="5" t="s">
        <v>74</v>
      </c>
      <c r="H866" s="2" t="n">
        <v>1</v>
      </c>
      <c r="I866" s="2" t="n">
        <v>1</v>
      </c>
      <c r="J866" s="2" t="n">
        <v>1</v>
      </c>
      <c r="K866" s="7" t="n">
        <v>0.4978468031</v>
      </c>
      <c r="L866" s="7" t="n">
        <v>0.1436557976</v>
      </c>
      <c r="M866" s="7" t="n">
        <v>0.1481023977</v>
      </c>
      <c r="N866" s="7" t="n">
        <v>7</v>
      </c>
      <c r="O866" s="7" t="n">
        <v>7</v>
      </c>
      <c r="P866" s="7" t="n">
        <v>0</v>
      </c>
      <c r="Q866" s="2"/>
      <c r="R866" s="7" t="n">
        <v>2.295703</v>
      </c>
      <c r="S866" s="5" t="s">
        <v>79</v>
      </c>
      <c r="T866" s="5" t="s">
        <v>61</v>
      </c>
    </row>
    <row r="867" customFormat="false" ht="15" hidden="false" customHeight="false" outlineLevel="0" collapsed="false">
      <c r="A867" s="5" t="s">
        <v>4</v>
      </c>
      <c r="B867" s="5" t="s">
        <v>55</v>
      </c>
      <c r="C867" s="2" t="s">
        <v>56</v>
      </c>
      <c r="D867" s="5" t="s">
        <v>78</v>
      </c>
      <c r="E867" s="5" t="s">
        <v>62</v>
      </c>
      <c r="F867" s="2" t="n">
        <v>17</v>
      </c>
      <c r="G867" s="5" t="s">
        <v>74</v>
      </c>
      <c r="H867" s="2" t="n">
        <v>1</v>
      </c>
      <c r="I867" s="2" t="n">
        <v>1</v>
      </c>
      <c r="J867" s="2" t="n">
        <v>1</v>
      </c>
      <c r="K867" s="7" t="n">
        <v>0.4978468031</v>
      </c>
      <c r="L867" s="7" t="n">
        <v>0.1436557976</v>
      </c>
      <c r="M867" s="7" t="n">
        <v>0.1481023977</v>
      </c>
      <c r="N867" s="7" t="n">
        <v>7</v>
      </c>
      <c r="O867" s="7" t="n">
        <v>7</v>
      </c>
      <c r="P867" s="7" t="n">
        <v>7</v>
      </c>
      <c r="Q867" s="2"/>
      <c r="R867" s="7" t="n">
        <v>2.772348</v>
      </c>
      <c r="S867" s="5" t="s">
        <v>79</v>
      </c>
      <c r="T867" s="5" t="s">
        <v>61</v>
      </c>
    </row>
    <row r="868" customFormat="false" ht="15" hidden="false" customHeight="false" outlineLevel="0" collapsed="false">
      <c r="A868" s="5" t="s">
        <v>4</v>
      </c>
      <c r="B868" s="5" t="s">
        <v>55</v>
      </c>
      <c r="C868" s="2" t="s">
        <v>56</v>
      </c>
      <c r="D868" s="5" t="s">
        <v>78</v>
      </c>
      <c r="E868" s="5" t="s">
        <v>58</v>
      </c>
      <c r="F868" s="2" t="n">
        <v>17</v>
      </c>
      <c r="G868" s="5" t="s">
        <v>75</v>
      </c>
      <c r="H868" s="2" t="n">
        <v>1</v>
      </c>
      <c r="I868" s="2" t="n">
        <v>1</v>
      </c>
      <c r="J868" s="2" t="n">
        <v>1</v>
      </c>
      <c r="K868" s="7" t="n">
        <v>0.1157868616</v>
      </c>
      <c r="L868" s="7" t="n">
        <v>0.1009242066</v>
      </c>
      <c r="M868" s="7" t="n">
        <v>0.1016673133</v>
      </c>
      <c r="N868" s="7" t="n">
        <v>9</v>
      </c>
      <c r="O868" s="7" t="n">
        <v>9</v>
      </c>
      <c r="P868" s="7" t="n">
        <v>0</v>
      </c>
      <c r="Q868" s="2"/>
      <c r="R868" s="7" t="n">
        <v>2.952975</v>
      </c>
      <c r="S868" s="5" t="s">
        <v>79</v>
      </c>
      <c r="T868" s="5" t="s">
        <v>61</v>
      </c>
    </row>
    <row r="869" customFormat="false" ht="15" hidden="false" customHeight="false" outlineLevel="0" collapsed="false">
      <c r="A869" s="5" t="s">
        <v>4</v>
      </c>
      <c r="B869" s="5" t="s">
        <v>55</v>
      </c>
      <c r="C869" s="2" t="s">
        <v>56</v>
      </c>
      <c r="D869" s="5" t="s">
        <v>78</v>
      </c>
      <c r="E869" s="5" t="s">
        <v>62</v>
      </c>
      <c r="F869" s="2" t="n">
        <v>17</v>
      </c>
      <c r="G869" s="5" t="s">
        <v>75</v>
      </c>
      <c r="H869" s="2" t="n">
        <v>1</v>
      </c>
      <c r="I869" s="2" t="n">
        <v>1</v>
      </c>
      <c r="J869" s="2" t="n">
        <v>1</v>
      </c>
      <c r="K869" s="7" t="n">
        <v>0.1157868616</v>
      </c>
      <c r="L869" s="7" t="n">
        <v>0.1009242066</v>
      </c>
      <c r="M869" s="7" t="n">
        <v>0.1016673133</v>
      </c>
      <c r="N869" s="7" t="n">
        <v>9</v>
      </c>
      <c r="O869" s="7" t="n">
        <v>9</v>
      </c>
      <c r="P869" s="7" t="n">
        <v>9</v>
      </c>
      <c r="Q869" s="2"/>
      <c r="R869" s="7" t="n">
        <v>3.512362</v>
      </c>
      <c r="S869" s="5" t="s">
        <v>79</v>
      </c>
      <c r="T869" s="5" t="s">
        <v>61</v>
      </c>
    </row>
    <row r="870" customFormat="false" ht="15" hidden="false" customHeight="false" outlineLevel="0" collapsed="false">
      <c r="A870" s="5" t="s">
        <v>4</v>
      </c>
      <c r="B870" s="5" t="s">
        <v>55</v>
      </c>
      <c r="C870" s="2" t="s">
        <v>56</v>
      </c>
      <c r="D870" s="5" t="s">
        <v>78</v>
      </c>
      <c r="E870" s="5" t="s">
        <v>58</v>
      </c>
      <c r="F870" s="2" t="n">
        <v>18</v>
      </c>
      <c r="G870" s="5" t="s">
        <v>74</v>
      </c>
      <c r="H870" s="2" t="n">
        <v>1</v>
      </c>
      <c r="I870" s="2" t="n">
        <v>1</v>
      </c>
      <c r="J870" s="2" t="n">
        <v>1</v>
      </c>
      <c r="K870" s="7" t="n">
        <v>0.3769048278</v>
      </c>
      <c r="L870" s="7" t="n">
        <v>0.06713574029</v>
      </c>
      <c r="M870" s="7" t="n">
        <v>0.07157450555</v>
      </c>
      <c r="N870" s="7" t="n">
        <v>5</v>
      </c>
      <c r="O870" s="7" t="n">
        <v>5</v>
      </c>
      <c r="P870" s="7" t="n">
        <v>0</v>
      </c>
      <c r="Q870" s="2"/>
      <c r="R870" s="7" t="n">
        <v>2.520346</v>
      </c>
      <c r="S870" s="5" t="s">
        <v>79</v>
      </c>
      <c r="T870" s="5" t="s">
        <v>61</v>
      </c>
    </row>
    <row r="871" customFormat="false" ht="15" hidden="false" customHeight="false" outlineLevel="0" collapsed="false">
      <c r="A871" s="5" t="s">
        <v>4</v>
      </c>
      <c r="B871" s="5" t="s">
        <v>55</v>
      </c>
      <c r="C871" s="2" t="s">
        <v>56</v>
      </c>
      <c r="D871" s="5" t="s">
        <v>78</v>
      </c>
      <c r="E871" s="5" t="s">
        <v>62</v>
      </c>
      <c r="F871" s="2" t="n">
        <v>18</v>
      </c>
      <c r="G871" s="5" t="s">
        <v>74</v>
      </c>
      <c r="H871" s="2" t="n">
        <v>1</v>
      </c>
      <c r="I871" s="2" t="n">
        <v>1</v>
      </c>
      <c r="J871" s="2" t="n">
        <v>1</v>
      </c>
      <c r="K871" s="7" t="n">
        <v>0.3769048278</v>
      </c>
      <c r="L871" s="7" t="n">
        <v>0.06713574029</v>
      </c>
      <c r="M871" s="7" t="n">
        <v>0.07157450555</v>
      </c>
      <c r="N871" s="7" t="n">
        <v>5</v>
      </c>
      <c r="O871" s="7" t="n">
        <v>5</v>
      </c>
      <c r="P871" s="7" t="n">
        <v>5</v>
      </c>
      <c r="Q871" s="2"/>
      <c r="R871" s="7" t="n">
        <v>2.900388</v>
      </c>
      <c r="S871" s="5" t="s">
        <v>79</v>
      </c>
      <c r="T871" s="5" t="s">
        <v>61</v>
      </c>
    </row>
    <row r="872" customFormat="false" ht="15" hidden="false" customHeight="false" outlineLevel="0" collapsed="false">
      <c r="A872" s="5" t="s">
        <v>4</v>
      </c>
      <c r="B872" s="5" t="s">
        <v>55</v>
      </c>
      <c r="C872" s="2" t="s">
        <v>56</v>
      </c>
      <c r="D872" s="5" t="s">
        <v>78</v>
      </c>
      <c r="E872" s="5" t="s">
        <v>58</v>
      </c>
      <c r="F872" s="2" t="n">
        <v>18</v>
      </c>
      <c r="G872" s="5" t="s">
        <v>75</v>
      </c>
      <c r="H872" s="2" t="n">
        <v>1</v>
      </c>
      <c r="I872" s="2" t="n">
        <v>1</v>
      </c>
      <c r="J872" s="2" t="n">
        <v>1</v>
      </c>
      <c r="K872" s="7" t="n">
        <v>1.164889671</v>
      </c>
      <c r="L872" s="7" t="n">
        <v>0.128067913</v>
      </c>
      <c r="M872" s="7" t="n">
        <v>0.1530238442</v>
      </c>
      <c r="N872" s="7" t="n">
        <v>3</v>
      </c>
      <c r="O872" s="7" t="n">
        <v>3</v>
      </c>
      <c r="P872" s="7" t="n">
        <v>0</v>
      </c>
      <c r="Q872" s="2"/>
      <c r="R872" s="7" t="n">
        <v>3.023709</v>
      </c>
      <c r="S872" s="5" t="s">
        <v>79</v>
      </c>
      <c r="T872" s="5" t="s">
        <v>61</v>
      </c>
    </row>
    <row r="873" customFormat="false" ht="15" hidden="false" customHeight="false" outlineLevel="0" collapsed="false">
      <c r="A873" s="5" t="s">
        <v>4</v>
      </c>
      <c r="B873" s="5" t="s">
        <v>55</v>
      </c>
      <c r="C873" s="2" t="s">
        <v>56</v>
      </c>
      <c r="D873" s="5" t="s">
        <v>78</v>
      </c>
      <c r="E873" s="5" t="s">
        <v>62</v>
      </c>
      <c r="F873" s="2" t="n">
        <v>18</v>
      </c>
      <c r="G873" s="5" t="s">
        <v>75</v>
      </c>
      <c r="H873" s="2" t="n">
        <v>1</v>
      </c>
      <c r="I873" s="2" t="n">
        <v>1</v>
      </c>
      <c r="J873" s="2" t="n">
        <v>1</v>
      </c>
      <c r="K873" s="7" t="n">
        <v>1.164889671</v>
      </c>
      <c r="L873" s="7" t="n">
        <v>0.128067913</v>
      </c>
      <c r="M873" s="7" t="n">
        <v>0.1530238442</v>
      </c>
      <c r="N873" s="7" t="n">
        <v>3</v>
      </c>
      <c r="O873" s="7" t="n">
        <v>3</v>
      </c>
      <c r="P873" s="7" t="n">
        <v>3</v>
      </c>
      <c r="Q873" s="2"/>
      <c r="R873" s="7" t="n">
        <v>3.17971</v>
      </c>
      <c r="S873" s="5" t="s">
        <v>79</v>
      </c>
      <c r="T873" s="5" t="s">
        <v>61</v>
      </c>
    </row>
    <row r="874" customFormat="false" ht="15" hidden="false" customHeight="false" outlineLevel="0" collapsed="false">
      <c r="A874" s="5" t="s">
        <v>4</v>
      </c>
      <c r="B874" s="5" t="s">
        <v>55</v>
      </c>
      <c r="C874" s="2" t="s">
        <v>56</v>
      </c>
      <c r="D874" s="5" t="s">
        <v>78</v>
      </c>
      <c r="E874" s="5" t="s">
        <v>58</v>
      </c>
      <c r="F874" s="2" t="n">
        <v>19</v>
      </c>
      <c r="G874" s="5" t="s">
        <v>74</v>
      </c>
      <c r="H874" s="2" t="n">
        <v>1</v>
      </c>
      <c r="I874" s="2" t="n">
        <v>1</v>
      </c>
      <c r="J874" s="2" t="n">
        <v>1</v>
      </c>
      <c r="K874" s="7" t="n">
        <v>1.315144982</v>
      </c>
      <c r="L874" s="7" t="n">
        <v>0.1862201244</v>
      </c>
      <c r="M874" s="7" t="n">
        <v>0.2080608264</v>
      </c>
      <c r="N874" s="7" t="n">
        <v>3</v>
      </c>
      <c r="O874" s="7" t="n">
        <v>3</v>
      </c>
      <c r="P874" s="7" t="n">
        <v>0</v>
      </c>
      <c r="Q874" s="2"/>
      <c r="R874" s="7" t="n">
        <v>2.373428</v>
      </c>
      <c r="S874" s="5" t="s">
        <v>79</v>
      </c>
      <c r="T874" s="5" t="s">
        <v>61</v>
      </c>
    </row>
    <row r="875" customFormat="false" ht="15" hidden="false" customHeight="false" outlineLevel="0" collapsed="false">
      <c r="A875" s="5" t="s">
        <v>4</v>
      </c>
      <c r="B875" s="5" t="s">
        <v>55</v>
      </c>
      <c r="C875" s="2" t="s">
        <v>56</v>
      </c>
      <c r="D875" s="5" t="s">
        <v>78</v>
      </c>
      <c r="E875" s="5" t="s">
        <v>62</v>
      </c>
      <c r="F875" s="2" t="n">
        <v>19</v>
      </c>
      <c r="G875" s="5" t="s">
        <v>74</v>
      </c>
      <c r="H875" s="2" t="n">
        <v>1</v>
      </c>
      <c r="I875" s="2" t="n">
        <v>1</v>
      </c>
      <c r="J875" s="2" t="n">
        <v>1</v>
      </c>
      <c r="K875" s="7" t="n">
        <v>1.315144982</v>
      </c>
      <c r="L875" s="7" t="n">
        <v>0.1862201244</v>
      </c>
      <c r="M875" s="7" t="n">
        <v>0.2080608264</v>
      </c>
      <c r="N875" s="7" t="n">
        <v>3</v>
      </c>
      <c r="O875" s="7" t="n">
        <v>3</v>
      </c>
      <c r="P875" s="7" t="n">
        <v>3</v>
      </c>
      <c r="Q875" s="2"/>
      <c r="R875" s="7" t="n">
        <v>2.548547</v>
      </c>
      <c r="S875" s="5" t="s">
        <v>79</v>
      </c>
      <c r="T875" s="5" t="s">
        <v>61</v>
      </c>
    </row>
    <row r="876" customFormat="false" ht="15" hidden="false" customHeight="false" outlineLevel="0" collapsed="false">
      <c r="A876" s="5" t="s">
        <v>4</v>
      </c>
      <c r="B876" s="5" t="s">
        <v>55</v>
      </c>
      <c r="C876" s="2" t="s">
        <v>56</v>
      </c>
      <c r="D876" s="5" t="s">
        <v>78</v>
      </c>
      <c r="E876" s="5" t="s">
        <v>58</v>
      </c>
      <c r="F876" s="2" t="n">
        <v>19</v>
      </c>
      <c r="G876" s="5" t="s">
        <v>75</v>
      </c>
      <c r="H876" s="2" t="n">
        <v>1</v>
      </c>
      <c r="I876" s="2" t="n">
        <v>1</v>
      </c>
      <c r="J876" s="2" t="n">
        <v>1</v>
      </c>
      <c r="K876" s="7" t="n">
        <v>0.04735068205</v>
      </c>
      <c r="L876" s="7" t="n">
        <v>0.0665044318</v>
      </c>
      <c r="M876" s="7" t="n">
        <v>0.06665114124</v>
      </c>
      <c r="N876" s="7" t="n">
        <v>12</v>
      </c>
      <c r="O876" s="7" t="n">
        <v>12</v>
      </c>
      <c r="P876" s="7" t="n">
        <v>0</v>
      </c>
      <c r="Q876" s="2"/>
      <c r="R876" s="7" t="n">
        <v>2.801661</v>
      </c>
      <c r="S876" s="5" t="s">
        <v>79</v>
      </c>
      <c r="T876" s="5" t="s">
        <v>61</v>
      </c>
    </row>
    <row r="877" customFormat="false" ht="15" hidden="false" customHeight="false" outlineLevel="0" collapsed="false">
      <c r="A877" s="5" t="s">
        <v>4</v>
      </c>
      <c r="B877" s="5" t="s">
        <v>55</v>
      </c>
      <c r="C877" s="2" t="s">
        <v>56</v>
      </c>
      <c r="D877" s="5" t="s">
        <v>78</v>
      </c>
      <c r="E877" s="5" t="s">
        <v>62</v>
      </c>
      <c r="F877" s="2" t="n">
        <v>19</v>
      </c>
      <c r="G877" s="5" t="s">
        <v>75</v>
      </c>
      <c r="H877" s="2" t="n">
        <v>1</v>
      </c>
      <c r="I877" s="2" t="n">
        <v>1</v>
      </c>
      <c r="J877" s="2" t="n">
        <v>1</v>
      </c>
      <c r="K877" s="7" t="n">
        <v>0.04735068205</v>
      </c>
      <c r="L877" s="7" t="n">
        <v>0.0665044318</v>
      </c>
      <c r="M877" s="7" t="n">
        <v>0.06665114124</v>
      </c>
      <c r="N877" s="7" t="n">
        <v>12</v>
      </c>
      <c r="O877" s="7" t="n">
        <v>12</v>
      </c>
      <c r="P877" s="7" t="n">
        <v>12</v>
      </c>
      <c r="Q877" s="2"/>
      <c r="R877" s="7" t="n">
        <v>3.411653</v>
      </c>
      <c r="S877" s="5" t="s">
        <v>79</v>
      </c>
      <c r="T877" s="5" t="s">
        <v>61</v>
      </c>
    </row>
    <row r="878" customFormat="false" ht="15" hidden="false" customHeight="false" outlineLevel="0" collapsed="false">
      <c r="A878" s="5" t="s">
        <v>4</v>
      </c>
      <c r="B878" s="5" t="s">
        <v>55</v>
      </c>
      <c r="C878" s="2" t="s">
        <v>56</v>
      </c>
      <c r="D878" s="5" t="s">
        <v>78</v>
      </c>
      <c r="E878" s="5" t="s">
        <v>58</v>
      </c>
      <c r="F878" s="2" t="n">
        <v>20</v>
      </c>
      <c r="G878" s="5" t="s">
        <v>74</v>
      </c>
      <c r="H878" s="2" t="n">
        <v>1</v>
      </c>
      <c r="I878" s="2" t="n">
        <v>1</v>
      </c>
      <c r="J878" s="2" t="n">
        <v>1</v>
      </c>
      <c r="K878" s="7" t="n">
        <v>1.153033863</v>
      </c>
      <c r="L878" s="7" t="n">
        <v>0.09424554027</v>
      </c>
      <c r="M878" s="7" t="n">
        <v>0.1223198226</v>
      </c>
      <c r="N878" s="7" t="n">
        <v>4</v>
      </c>
      <c r="O878" s="7" t="n">
        <v>4</v>
      </c>
      <c r="P878" s="7" t="n">
        <v>0</v>
      </c>
      <c r="Q878" s="2"/>
      <c r="R878" s="7" t="n">
        <v>2.545613</v>
      </c>
      <c r="S878" s="5" t="s">
        <v>79</v>
      </c>
      <c r="T878" s="5" t="s">
        <v>61</v>
      </c>
    </row>
    <row r="879" customFormat="false" ht="15" hidden="false" customHeight="false" outlineLevel="0" collapsed="false">
      <c r="A879" s="5" t="s">
        <v>4</v>
      </c>
      <c r="B879" s="5" t="s">
        <v>55</v>
      </c>
      <c r="C879" s="2" t="s">
        <v>56</v>
      </c>
      <c r="D879" s="5" t="s">
        <v>78</v>
      </c>
      <c r="E879" s="5" t="s">
        <v>62</v>
      </c>
      <c r="F879" s="2" t="n">
        <v>20</v>
      </c>
      <c r="G879" s="5" t="s">
        <v>74</v>
      </c>
      <c r="H879" s="2" t="n">
        <v>1</v>
      </c>
      <c r="I879" s="2" t="n">
        <v>1</v>
      </c>
      <c r="J879" s="2" t="n">
        <v>1</v>
      </c>
      <c r="K879" s="7" t="n">
        <v>1.153033863</v>
      </c>
      <c r="L879" s="7" t="n">
        <v>0.09424554027</v>
      </c>
      <c r="M879" s="7" t="n">
        <v>0.1223198226</v>
      </c>
      <c r="N879" s="7" t="n">
        <v>4</v>
      </c>
      <c r="O879" s="7" t="n">
        <v>4</v>
      </c>
      <c r="P879" s="7" t="n">
        <v>4</v>
      </c>
      <c r="Q879" s="2"/>
      <c r="R879" s="7" t="n">
        <v>2.858785</v>
      </c>
      <c r="S879" s="5" t="s">
        <v>79</v>
      </c>
      <c r="T879" s="5" t="s">
        <v>61</v>
      </c>
    </row>
    <row r="880" customFormat="false" ht="15" hidden="false" customHeight="false" outlineLevel="0" collapsed="false">
      <c r="A880" s="5" t="s">
        <v>4</v>
      </c>
      <c r="B880" s="5" t="s">
        <v>55</v>
      </c>
      <c r="C880" s="2" t="s">
        <v>56</v>
      </c>
      <c r="D880" s="5" t="s">
        <v>78</v>
      </c>
      <c r="E880" s="5" t="s">
        <v>58</v>
      </c>
      <c r="F880" s="2" t="n">
        <v>20</v>
      </c>
      <c r="G880" s="5" t="s">
        <v>75</v>
      </c>
      <c r="H880" s="2" t="n">
        <v>1</v>
      </c>
      <c r="I880" s="2" t="n">
        <v>1</v>
      </c>
      <c r="J880" s="2" t="n">
        <v>1</v>
      </c>
      <c r="K880" s="7" t="n">
        <v>0.115171847</v>
      </c>
      <c r="L880" s="7" t="n">
        <v>0.06380638563</v>
      </c>
      <c r="M880" s="7" t="n">
        <v>0.06411728454</v>
      </c>
      <c r="N880" s="7" t="n">
        <v>11</v>
      </c>
      <c r="O880" s="7" t="n">
        <v>11</v>
      </c>
      <c r="P880" s="7" t="n">
        <v>0</v>
      </c>
      <c r="Q880" s="2"/>
      <c r="R880" s="7" t="n">
        <v>3.320127</v>
      </c>
      <c r="S880" s="5" t="s">
        <v>79</v>
      </c>
      <c r="T880" s="5" t="s">
        <v>61</v>
      </c>
    </row>
    <row r="881" customFormat="false" ht="15" hidden="false" customHeight="false" outlineLevel="0" collapsed="false">
      <c r="A881" s="5" t="s">
        <v>4</v>
      </c>
      <c r="B881" s="5" t="s">
        <v>55</v>
      </c>
      <c r="C881" s="2" t="s">
        <v>56</v>
      </c>
      <c r="D881" s="5" t="s">
        <v>78</v>
      </c>
      <c r="E881" s="5" t="s">
        <v>62</v>
      </c>
      <c r="F881" s="2" t="n">
        <v>20</v>
      </c>
      <c r="G881" s="5" t="s">
        <v>75</v>
      </c>
      <c r="H881" s="2" t="n">
        <v>1</v>
      </c>
      <c r="I881" s="2" t="n">
        <v>1</v>
      </c>
      <c r="J881" s="2" t="n">
        <v>1</v>
      </c>
      <c r="K881" s="7" t="n">
        <v>0.115171847</v>
      </c>
      <c r="L881" s="7" t="n">
        <v>0.06380638563</v>
      </c>
      <c r="M881" s="7" t="n">
        <v>0.06411728454</v>
      </c>
      <c r="N881" s="7" t="n">
        <v>11</v>
      </c>
      <c r="O881" s="7" t="n">
        <v>11</v>
      </c>
      <c r="P881" s="7" t="n">
        <v>11</v>
      </c>
      <c r="Q881" s="2"/>
      <c r="R881" s="7" t="n">
        <v>3.972882</v>
      </c>
      <c r="S881" s="5" t="s">
        <v>79</v>
      </c>
      <c r="T881" s="5" t="s">
        <v>61</v>
      </c>
    </row>
    <row r="882" customFormat="false" ht="15" hidden="false" customHeight="false" outlineLevel="0" collapsed="false">
      <c r="A882" s="5" t="s">
        <v>4</v>
      </c>
      <c r="B882" s="5" t="s">
        <v>55</v>
      </c>
      <c r="C882" s="2" t="s">
        <v>56</v>
      </c>
      <c r="D882" s="5" t="s">
        <v>78</v>
      </c>
      <c r="E882" s="5" t="s">
        <v>58</v>
      </c>
      <c r="F882" s="2" t="n">
        <v>11</v>
      </c>
      <c r="G882" s="5" t="s">
        <v>76</v>
      </c>
      <c r="H882" s="2" t="n">
        <v>1</v>
      </c>
      <c r="I882" s="2" t="n">
        <v>1</v>
      </c>
      <c r="J882" s="2" t="n">
        <v>1</v>
      </c>
      <c r="K882" s="7" t="n">
        <v>0.1175255738</v>
      </c>
      <c r="L882" s="7" t="n">
        <v>0.01820049942</v>
      </c>
      <c r="M882" s="7" t="n">
        <v>0.02002498044</v>
      </c>
      <c r="N882" s="7" t="n">
        <v>5</v>
      </c>
      <c r="O882" s="7" t="n">
        <v>5</v>
      </c>
      <c r="P882" s="7" t="n">
        <v>0</v>
      </c>
      <c r="Q882" s="2"/>
      <c r="R882" s="7" t="n">
        <v>3.703093</v>
      </c>
      <c r="S882" s="5" t="s">
        <v>79</v>
      </c>
      <c r="T882" s="5" t="s">
        <v>61</v>
      </c>
    </row>
    <row r="883" customFormat="false" ht="15" hidden="false" customHeight="false" outlineLevel="0" collapsed="false">
      <c r="A883" s="5" t="s">
        <v>4</v>
      </c>
      <c r="B883" s="5" t="s">
        <v>55</v>
      </c>
      <c r="C883" s="2" t="s">
        <v>56</v>
      </c>
      <c r="D883" s="5" t="s">
        <v>78</v>
      </c>
      <c r="E883" s="5" t="s">
        <v>62</v>
      </c>
      <c r="F883" s="2" t="n">
        <v>11</v>
      </c>
      <c r="G883" s="5" t="s">
        <v>76</v>
      </c>
      <c r="H883" s="2" t="n">
        <v>1</v>
      </c>
      <c r="I883" s="2" t="n">
        <v>1</v>
      </c>
      <c r="J883" s="2" t="n">
        <v>1</v>
      </c>
      <c r="K883" s="7" t="n">
        <v>0.1175255738</v>
      </c>
      <c r="L883" s="7" t="n">
        <v>0.01820049942</v>
      </c>
      <c r="M883" s="7" t="n">
        <v>0.02002498044</v>
      </c>
      <c r="N883" s="7" t="n">
        <v>5</v>
      </c>
      <c r="O883" s="7" t="n">
        <v>5</v>
      </c>
      <c r="P883" s="7" t="n">
        <v>5</v>
      </c>
      <c r="Q883" s="2"/>
      <c r="R883" s="7" t="n">
        <v>4.050185</v>
      </c>
      <c r="S883" s="5" t="s">
        <v>79</v>
      </c>
      <c r="T883" s="5" t="s">
        <v>61</v>
      </c>
    </row>
    <row r="884" customFormat="false" ht="15" hidden="false" customHeight="false" outlineLevel="0" collapsed="false">
      <c r="A884" s="5" t="s">
        <v>4</v>
      </c>
      <c r="B884" s="5" t="s">
        <v>55</v>
      </c>
      <c r="C884" s="2" t="s">
        <v>56</v>
      </c>
      <c r="D884" s="5" t="s">
        <v>78</v>
      </c>
      <c r="E884" s="5" t="s">
        <v>58</v>
      </c>
      <c r="F884" s="2" t="n">
        <v>12</v>
      </c>
      <c r="G884" s="5" t="s">
        <v>76</v>
      </c>
      <c r="H884" s="2" t="n">
        <v>1</v>
      </c>
      <c r="I884" s="2" t="n">
        <v>1</v>
      </c>
      <c r="J884" s="2" t="n">
        <v>1</v>
      </c>
      <c r="K884" s="7" t="n">
        <v>0.9034947392</v>
      </c>
      <c r="L884" s="7" t="n">
        <v>0.1038196282</v>
      </c>
      <c r="M884" s="7" t="n">
        <v>0.1146101219</v>
      </c>
      <c r="N884" s="7" t="n">
        <v>13</v>
      </c>
      <c r="O884" s="7" t="n">
        <v>13</v>
      </c>
      <c r="P884" s="7" t="n">
        <v>0</v>
      </c>
      <c r="Q884" s="2"/>
      <c r="R884" s="7" t="n">
        <v>7.479746</v>
      </c>
      <c r="S884" s="5" t="s">
        <v>79</v>
      </c>
      <c r="T884" s="5" t="s">
        <v>61</v>
      </c>
    </row>
    <row r="885" customFormat="false" ht="15" hidden="false" customHeight="false" outlineLevel="0" collapsed="false">
      <c r="A885" s="5" t="s">
        <v>4</v>
      </c>
      <c r="B885" s="5" t="s">
        <v>55</v>
      </c>
      <c r="C885" s="2" t="s">
        <v>56</v>
      </c>
      <c r="D885" s="5" t="s">
        <v>78</v>
      </c>
      <c r="E885" s="5" t="s">
        <v>62</v>
      </c>
      <c r="F885" s="2" t="n">
        <v>12</v>
      </c>
      <c r="G885" s="5" t="s">
        <v>76</v>
      </c>
      <c r="H885" s="2" t="n">
        <v>1</v>
      </c>
      <c r="I885" s="2" t="n">
        <v>1</v>
      </c>
      <c r="J885" s="2" t="n">
        <v>1</v>
      </c>
      <c r="K885" s="7" t="n">
        <v>0.3773703276</v>
      </c>
      <c r="L885" s="7" t="n">
        <v>0.04673463392</v>
      </c>
      <c r="M885" s="7" t="n">
        <v>0.05311613707</v>
      </c>
      <c r="N885" s="7" t="n">
        <v>13</v>
      </c>
      <c r="O885" s="7" t="n">
        <v>13</v>
      </c>
      <c r="P885" s="7" t="n">
        <v>12</v>
      </c>
      <c r="Q885" s="2"/>
      <c r="R885" s="7" t="n">
        <v>8.130808</v>
      </c>
      <c r="S885" s="5" t="s">
        <v>79</v>
      </c>
      <c r="T885" s="5" t="s">
        <v>61</v>
      </c>
    </row>
    <row r="886" customFormat="false" ht="15" hidden="false" customHeight="false" outlineLevel="0" collapsed="false">
      <c r="A886" s="5" t="s">
        <v>4</v>
      </c>
      <c r="B886" s="5" t="s">
        <v>55</v>
      </c>
      <c r="C886" s="2" t="s">
        <v>56</v>
      </c>
      <c r="D886" s="5" t="s">
        <v>78</v>
      </c>
      <c r="E886" s="5" t="s">
        <v>58</v>
      </c>
      <c r="F886" s="2" t="n">
        <v>13</v>
      </c>
      <c r="G886" s="5" t="s">
        <v>76</v>
      </c>
      <c r="H886" s="2" t="n">
        <v>1</v>
      </c>
      <c r="I886" s="2" t="n">
        <v>1</v>
      </c>
      <c r="J886" s="2" t="n">
        <v>1</v>
      </c>
      <c r="K886" s="7" t="n">
        <v>1.283896011</v>
      </c>
      <c r="L886" s="7" t="n">
        <v>0.07679677784</v>
      </c>
      <c r="M886" s="7" t="n">
        <v>0.1178346457</v>
      </c>
      <c r="N886" s="7" t="n">
        <v>5</v>
      </c>
      <c r="O886" s="7" t="n">
        <v>5</v>
      </c>
      <c r="P886" s="7" t="n">
        <v>0</v>
      </c>
      <c r="Q886" s="2"/>
      <c r="R886" s="7" t="n">
        <v>3.445162</v>
      </c>
      <c r="S886" s="5" t="s">
        <v>79</v>
      </c>
      <c r="T886" s="5" t="s">
        <v>61</v>
      </c>
    </row>
    <row r="887" customFormat="false" ht="15" hidden="false" customHeight="false" outlineLevel="0" collapsed="false">
      <c r="A887" s="5" t="s">
        <v>4</v>
      </c>
      <c r="B887" s="5" t="s">
        <v>55</v>
      </c>
      <c r="C887" s="2" t="s">
        <v>56</v>
      </c>
      <c r="D887" s="5" t="s">
        <v>78</v>
      </c>
      <c r="E887" s="5" t="s">
        <v>62</v>
      </c>
      <c r="F887" s="2" t="n">
        <v>13</v>
      </c>
      <c r="G887" s="5" t="s">
        <v>76</v>
      </c>
      <c r="H887" s="2" t="n">
        <v>1</v>
      </c>
      <c r="I887" s="2" t="n">
        <v>1</v>
      </c>
      <c r="J887" s="2" t="n">
        <v>1</v>
      </c>
      <c r="K887" s="7" t="n">
        <v>1.283896011</v>
      </c>
      <c r="L887" s="7" t="n">
        <v>0.07679677784</v>
      </c>
      <c r="M887" s="7" t="n">
        <v>0.1178346457</v>
      </c>
      <c r="N887" s="7" t="n">
        <v>5</v>
      </c>
      <c r="O887" s="7" t="n">
        <v>5</v>
      </c>
      <c r="P887" s="7" t="n">
        <v>5</v>
      </c>
      <c r="Q887" s="2"/>
      <c r="R887" s="7" t="n">
        <v>3.788239</v>
      </c>
      <c r="S887" s="5" t="s">
        <v>79</v>
      </c>
      <c r="T887" s="5" t="s">
        <v>61</v>
      </c>
    </row>
    <row r="888" customFormat="false" ht="15" hidden="false" customHeight="false" outlineLevel="0" collapsed="false">
      <c r="A888" s="5" t="s">
        <v>4</v>
      </c>
      <c r="B888" s="5" t="s">
        <v>55</v>
      </c>
      <c r="C888" s="2" t="s">
        <v>56</v>
      </c>
      <c r="D888" s="5" t="s">
        <v>78</v>
      </c>
      <c r="E888" s="5" t="s">
        <v>58</v>
      </c>
      <c r="F888" s="2" t="n">
        <v>14</v>
      </c>
      <c r="G888" s="5" t="s">
        <v>76</v>
      </c>
      <c r="H888" s="2" t="n">
        <v>1</v>
      </c>
      <c r="I888" s="2" t="n">
        <v>1</v>
      </c>
      <c r="J888" s="2" t="n">
        <v>1</v>
      </c>
      <c r="K888" s="7" t="n">
        <v>0.673629796</v>
      </c>
      <c r="L888" s="7" t="n">
        <v>0.09464712839</v>
      </c>
      <c r="M888" s="7" t="n">
        <v>0.1053864764</v>
      </c>
      <c r="N888" s="7" t="n">
        <v>5</v>
      </c>
      <c r="O888" s="7" t="n">
        <v>5</v>
      </c>
      <c r="P888" s="7" t="n">
        <v>0</v>
      </c>
      <c r="Q888" s="2"/>
      <c r="R888" s="7" t="n">
        <v>3.821058</v>
      </c>
      <c r="S888" s="5" t="s">
        <v>79</v>
      </c>
      <c r="T888" s="5" t="s">
        <v>61</v>
      </c>
    </row>
    <row r="889" customFormat="false" ht="15" hidden="false" customHeight="false" outlineLevel="0" collapsed="false">
      <c r="A889" s="5" t="s">
        <v>4</v>
      </c>
      <c r="B889" s="5" t="s">
        <v>55</v>
      </c>
      <c r="C889" s="2" t="s">
        <v>56</v>
      </c>
      <c r="D889" s="5" t="s">
        <v>78</v>
      </c>
      <c r="E889" s="5" t="s">
        <v>62</v>
      </c>
      <c r="F889" s="2" t="n">
        <v>14</v>
      </c>
      <c r="G889" s="5" t="s">
        <v>76</v>
      </c>
      <c r="H889" s="2" t="n">
        <v>1</v>
      </c>
      <c r="I889" s="2" t="n">
        <v>1</v>
      </c>
      <c r="J889" s="2" t="n">
        <v>1</v>
      </c>
      <c r="K889" s="7" t="n">
        <v>0.673629796</v>
      </c>
      <c r="L889" s="7" t="n">
        <v>0.09464712839</v>
      </c>
      <c r="M889" s="7" t="n">
        <v>0.1053864764</v>
      </c>
      <c r="N889" s="7" t="n">
        <v>5</v>
      </c>
      <c r="O889" s="7" t="n">
        <v>5</v>
      </c>
      <c r="P889" s="7" t="n">
        <v>5</v>
      </c>
      <c r="Q889" s="2"/>
      <c r="R889" s="7" t="n">
        <v>4.164615</v>
      </c>
      <c r="S889" s="5" t="s">
        <v>79</v>
      </c>
      <c r="T889" s="5" t="s">
        <v>61</v>
      </c>
    </row>
    <row r="890" customFormat="false" ht="15" hidden="false" customHeight="false" outlineLevel="0" collapsed="false">
      <c r="A890" s="5" t="s">
        <v>4</v>
      </c>
      <c r="B890" s="5" t="s">
        <v>55</v>
      </c>
      <c r="C890" s="2" t="s">
        <v>56</v>
      </c>
      <c r="D890" s="5" t="s">
        <v>78</v>
      </c>
      <c r="E890" s="5" t="s">
        <v>58</v>
      </c>
      <c r="F890" s="2" t="n">
        <v>15</v>
      </c>
      <c r="G890" s="5" t="s">
        <v>76</v>
      </c>
      <c r="H890" s="2" t="n">
        <v>1</v>
      </c>
      <c r="I890" s="2" t="n">
        <v>1</v>
      </c>
      <c r="J890" s="2" t="n">
        <v>1</v>
      </c>
      <c r="K890" s="7" t="n">
        <v>1.478754974</v>
      </c>
      <c r="L890" s="7" t="n">
        <v>0.2933657368</v>
      </c>
      <c r="M890" s="7" t="n">
        <v>0.2965801737</v>
      </c>
      <c r="N890" s="7" t="n">
        <v>5</v>
      </c>
      <c r="O890" s="7" t="n">
        <v>5</v>
      </c>
      <c r="P890" s="7" t="n">
        <v>0</v>
      </c>
      <c r="Q890" s="2"/>
      <c r="R890" s="7" t="n">
        <v>4.890888</v>
      </c>
      <c r="S890" s="5" t="s">
        <v>79</v>
      </c>
      <c r="T890" s="5" t="s">
        <v>61</v>
      </c>
    </row>
    <row r="891" customFormat="false" ht="15" hidden="false" customHeight="false" outlineLevel="0" collapsed="false">
      <c r="A891" s="5" t="s">
        <v>4</v>
      </c>
      <c r="B891" s="5" t="s">
        <v>55</v>
      </c>
      <c r="C891" s="2" t="s">
        <v>56</v>
      </c>
      <c r="D891" s="5" t="s">
        <v>78</v>
      </c>
      <c r="E891" s="5" t="s">
        <v>62</v>
      </c>
      <c r="F891" s="2" t="n">
        <v>15</v>
      </c>
      <c r="G891" s="5" t="s">
        <v>76</v>
      </c>
      <c r="H891" s="2" t="n">
        <v>1</v>
      </c>
      <c r="I891" s="2" t="n">
        <v>1</v>
      </c>
      <c r="J891" s="2" t="n">
        <v>1</v>
      </c>
      <c r="K891" s="7" t="n">
        <v>1.478754974</v>
      </c>
      <c r="L891" s="7" t="n">
        <v>0.2933657368</v>
      </c>
      <c r="M891" s="7" t="n">
        <v>0.2965801737</v>
      </c>
      <c r="N891" s="7" t="n">
        <v>5</v>
      </c>
      <c r="O891" s="7" t="n">
        <v>5</v>
      </c>
      <c r="P891" s="7" t="n">
        <v>5</v>
      </c>
      <c r="Q891" s="2"/>
      <c r="R891" s="7" t="n">
        <v>5.39971</v>
      </c>
      <c r="S891" s="5" t="s">
        <v>79</v>
      </c>
      <c r="T891" s="5" t="s">
        <v>61</v>
      </c>
    </row>
    <row r="892" customFormat="false" ht="15" hidden="false" customHeight="false" outlineLevel="0" collapsed="false">
      <c r="A892" s="5" t="s">
        <v>4</v>
      </c>
      <c r="B892" s="5" t="s">
        <v>55</v>
      </c>
      <c r="C892" s="2" t="s">
        <v>56</v>
      </c>
      <c r="D892" s="5" t="s">
        <v>78</v>
      </c>
      <c r="E892" s="5" t="s">
        <v>58</v>
      </c>
      <c r="F892" s="2" t="n">
        <v>16</v>
      </c>
      <c r="G892" s="5" t="s">
        <v>76</v>
      </c>
      <c r="H892" s="2" t="n">
        <v>1</v>
      </c>
      <c r="I892" s="2" t="n">
        <v>1</v>
      </c>
      <c r="J892" s="2" t="n">
        <v>1</v>
      </c>
      <c r="K892" s="7" t="n">
        <v>1.345569316</v>
      </c>
      <c r="L892" s="7" t="n">
        <v>0.07073854081</v>
      </c>
      <c r="M892" s="7" t="n">
        <v>0.1203268073</v>
      </c>
      <c r="N892" s="7" t="n">
        <v>4</v>
      </c>
      <c r="O892" s="7" t="n">
        <v>4</v>
      </c>
      <c r="P892" s="7" t="n">
        <v>0</v>
      </c>
      <c r="Q892" s="2"/>
      <c r="R892" s="7" t="n">
        <v>3.493324</v>
      </c>
      <c r="S892" s="5" t="s">
        <v>79</v>
      </c>
      <c r="T892" s="5" t="s">
        <v>61</v>
      </c>
    </row>
    <row r="893" customFormat="false" ht="15" hidden="false" customHeight="false" outlineLevel="0" collapsed="false">
      <c r="A893" s="5" t="s">
        <v>4</v>
      </c>
      <c r="B893" s="5" t="s">
        <v>55</v>
      </c>
      <c r="C893" s="2" t="s">
        <v>56</v>
      </c>
      <c r="D893" s="5" t="s">
        <v>78</v>
      </c>
      <c r="E893" s="5" t="s">
        <v>62</v>
      </c>
      <c r="F893" s="2" t="n">
        <v>16</v>
      </c>
      <c r="G893" s="5" t="s">
        <v>76</v>
      </c>
      <c r="H893" s="2" t="n">
        <v>1</v>
      </c>
      <c r="I893" s="2" t="n">
        <v>1</v>
      </c>
      <c r="J893" s="2" t="n">
        <v>1</v>
      </c>
      <c r="K893" s="7" t="n">
        <v>1.345569316</v>
      </c>
      <c r="L893" s="7" t="n">
        <v>0.07073854081</v>
      </c>
      <c r="M893" s="7" t="n">
        <v>0.1203268073</v>
      </c>
      <c r="N893" s="7" t="n">
        <v>4</v>
      </c>
      <c r="O893" s="7" t="n">
        <v>4</v>
      </c>
      <c r="P893" s="7" t="n">
        <v>4</v>
      </c>
      <c r="Q893" s="2"/>
      <c r="R893" s="7" t="n">
        <v>3.773878</v>
      </c>
      <c r="S893" s="5" t="s">
        <v>79</v>
      </c>
      <c r="T893" s="5" t="s">
        <v>61</v>
      </c>
    </row>
    <row r="894" customFormat="false" ht="15" hidden="false" customHeight="false" outlineLevel="0" collapsed="false">
      <c r="A894" s="5" t="s">
        <v>4</v>
      </c>
      <c r="B894" s="5" t="s">
        <v>55</v>
      </c>
      <c r="C894" s="2" t="s">
        <v>56</v>
      </c>
      <c r="D894" s="5" t="s">
        <v>78</v>
      </c>
      <c r="E894" s="5" t="s">
        <v>58</v>
      </c>
      <c r="F894" s="2" t="n">
        <v>17</v>
      </c>
      <c r="G894" s="5" t="s">
        <v>76</v>
      </c>
      <c r="H894" s="2" t="n">
        <v>1</v>
      </c>
      <c r="I894" s="2" t="n">
        <v>1</v>
      </c>
      <c r="J894" s="2" t="n">
        <v>1</v>
      </c>
      <c r="K894" s="7" t="n">
        <v>1.088907788</v>
      </c>
      <c r="L894" s="7" t="n">
        <v>0.04380352034</v>
      </c>
      <c r="M894" s="7" t="n">
        <v>0.08485143728</v>
      </c>
      <c r="N894" s="7" t="n">
        <v>10</v>
      </c>
      <c r="O894" s="7" t="n">
        <v>10</v>
      </c>
      <c r="P894" s="7" t="n">
        <v>0</v>
      </c>
      <c r="Q894" s="2"/>
      <c r="R894" s="7" t="n">
        <v>3.645748</v>
      </c>
      <c r="S894" s="5" t="s">
        <v>79</v>
      </c>
      <c r="T894" s="5" t="s">
        <v>61</v>
      </c>
    </row>
    <row r="895" customFormat="false" ht="15" hidden="false" customHeight="false" outlineLevel="0" collapsed="false">
      <c r="A895" s="5" t="s">
        <v>4</v>
      </c>
      <c r="B895" s="5" t="s">
        <v>55</v>
      </c>
      <c r="C895" s="2" t="s">
        <v>56</v>
      </c>
      <c r="D895" s="5" t="s">
        <v>78</v>
      </c>
      <c r="E895" s="5" t="s">
        <v>62</v>
      </c>
      <c r="F895" s="2" t="n">
        <v>17</v>
      </c>
      <c r="G895" s="5" t="s">
        <v>76</v>
      </c>
      <c r="H895" s="2" t="n">
        <v>1</v>
      </c>
      <c r="I895" s="2" t="n">
        <v>1</v>
      </c>
      <c r="J895" s="2" t="n">
        <v>1</v>
      </c>
      <c r="K895" s="7" t="n">
        <v>0.188925537</v>
      </c>
      <c r="L895" s="7" t="n">
        <v>0.04463753701</v>
      </c>
      <c r="M895" s="7" t="n">
        <v>0.04551799442</v>
      </c>
      <c r="N895" s="7" t="n">
        <v>10</v>
      </c>
      <c r="O895" s="7" t="n">
        <v>10</v>
      </c>
      <c r="P895" s="7" t="n">
        <v>9</v>
      </c>
      <c r="Q895" s="2"/>
      <c r="R895" s="7" t="n">
        <v>4.210402</v>
      </c>
      <c r="S895" s="5" t="s">
        <v>79</v>
      </c>
      <c r="T895" s="5" t="s">
        <v>61</v>
      </c>
    </row>
    <row r="896" customFormat="false" ht="15" hidden="false" customHeight="false" outlineLevel="0" collapsed="false">
      <c r="A896" s="5" t="s">
        <v>4</v>
      </c>
      <c r="B896" s="5" t="s">
        <v>55</v>
      </c>
      <c r="C896" s="2" t="s">
        <v>56</v>
      </c>
      <c r="D896" s="5" t="s">
        <v>78</v>
      </c>
      <c r="E896" s="5" t="s">
        <v>58</v>
      </c>
      <c r="F896" s="2" t="n">
        <v>18</v>
      </c>
      <c r="G896" s="5" t="s">
        <v>76</v>
      </c>
      <c r="H896" s="2" t="n">
        <v>1</v>
      </c>
      <c r="I896" s="2" t="n">
        <v>1</v>
      </c>
      <c r="J896" s="2" t="n">
        <v>1</v>
      </c>
      <c r="K896" s="7" t="n">
        <v>0.4303373283</v>
      </c>
      <c r="L896" s="7" t="n">
        <v>0.06413705542</v>
      </c>
      <c r="M896" s="7" t="n">
        <v>0.07293751421</v>
      </c>
      <c r="N896" s="7" t="n">
        <v>7</v>
      </c>
      <c r="O896" s="7" t="n">
        <v>7</v>
      </c>
      <c r="P896" s="7" t="n">
        <v>0</v>
      </c>
      <c r="Q896" s="2"/>
      <c r="R896" s="7" t="n">
        <v>3.625559</v>
      </c>
      <c r="S896" s="5" t="s">
        <v>79</v>
      </c>
      <c r="T896" s="5" t="s">
        <v>61</v>
      </c>
    </row>
    <row r="897" customFormat="false" ht="15" hidden="false" customHeight="false" outlineLevel="0" collapsed="false">
      <c r="A897" s="5" t="s">
        <v>4</v>
      </c>
      <c r="B897" s="5" t="s">
        <v>55</v>
      </c>
      <c r="C897" s="2" t="s">
        <v>56</v>
      </c>
      <c r="D897" s="5" t="s">
        <v>78</v>
      </c>
      <c r="E897" s="5" t="s">
        <v>62</v>
      </c>
      <c r="F897" s="2" t="n">
        <v>18</v>
      </c>
      <c r="G897" s="5" t="s">
        <v>76</v>
      </c>
      <c r="H897" s="2" t="n">
        <v>1</v>
      </c>
      <c r="I897" s="2" t="n">
        <v>1</v>
      </c>
      <c r="J897" s="2" t="n">
        <v>1</v>
      </c>
      <c r="K897" s="7" t="n">
        <v>0.4303373283</v>
      </c>
      <c r="L897" s="7" t="n">
        <v>0.06413705542</v>
      </c>
      <c r="M897" s="7" t="n">
        <v>0.07293751421</v>
      </c>
      <c r="N897" s="7" t="n">
        <v>7</v>
      </c>
      <c r="O897" s="7" t="n">
        <v>7</v>
      </c>
      <c r="P897" s="7" t="n">
        <v>7</v>
      </c>
      <c r="Q897" s="2"/>
      <c r="R897" s="7" t="n">
        <v>4.073962</v>
      </c>
      <c r="S897" s="5" t="s">
        <v>79</v>
      </c>
      <c r="T897" s="5" t="s">
        <v>61</v>
      </c>
    </row>
    <row r="898" customFormat="false" ht="15" hidden="false" customHeight="false" outlineLevel="0" collapsed="false">
      <c r="A898" s="5" t="s">
        <v>4</v>
      </c>
      <c r="B898" s="5" t="s">
        <v>55</v>
      </c>
      <c r="C898" s="2" t="s">
        <v>56</v>
      </c>
      <c r="D898" s="5" t="s">
        <v>78</v>
      </c>
      <c r="E898" s="5" t="s">
        <v>58</v>
      </c>
      <c r="F898" s="2" t="n">
        <v>19</v>
      </c>
      <c r="G898" s="5" t="s">
        <v>76</v>
      </c>
      <c r="H898" s="2" t="n">
        <v>1</v>
      </c>
      <c r="I898" s="2" t="n">
        <v>1</v>
      </c>
      <c r="J898" s="2" t="n">
        <v>1</v>
      </c>
      <c r="K898" s="7" t="n">
        <v>1.438375245</v>
      </c>
      <c r="L898" s="7" t="n">
        <v>0.06330110102</v>
      </c>
      <c r="M898" s="7" t="n">
        <v>0.1176578569</v>
      </c>
      <c r="N898" s="7" t="n">
        <v>7</v>
      </c>
      <c r="O898" s="7" t="n">
        <v>7</v>
      </c>
      <c r="P898" s="7" t="n">
        <v>0</v>
      </c>
      <c r="Q898" s="2"/>
      <c r="R898" s="7" t="n">
        <v>3.381277</v>
      </c>
      <c r="S898" s="5" t="s">
        <v>79</v>
      </c>
      <c r="T898" s="5" t="s">
        <v>61</v>
      </c>
    </row>
    <row r="899" customFormat="false" ht="15" hidden="false" customHeight="false" outlineLevel="0" collapsed="false">
      <c r="A899" s="5" t="s">
        <v>4</v>
      </c>
      <c r="B899" s="5" t="s">
        <v>55</v>
      </c>
      <c r="C899" s="2" t="s">
        <v>56</v>
      </c>
      <c r="D899" s="5" t="s">
        <v>78</v>
      </c>
      <c r="E899" s="5" t="s">
        <v>62</v>
      </c>
      <c r="F899" s="2" t="n">
        <v>19</v>
      </c>
      <c r="G899" s="5" t="s">
        <v>76</v>
      </c>
      <c r="H899" s="2" t="n">
        <v>1</v>
      </c>
      <c r="I899" s="2" t="n">
        <v>1</v>
      </c>
      <c r="J899" s="2" t="n">
        <v>1</v>
      </c>
      <c r="K899" s="7" t="n">
        <v>0.3080824995</v>
      </c>
      <c r="L899" s="7" t="n">
        <v>0.03020923771</v>
      </c>
      <c r="M899" s="7" t="n">
        <v>0.04024599302</v>
      </c>
      <c r="N899" s="7" t="n">
        <v>7</v>
      </c>
      <c r="O899" s="7" t="n">
        <v>7</v>
      </c>
      <c r="P899" s="7" t="n">
        <v>6</v>
      </c>
      <c r="Q899" s="2"/>
      <c r="R899" s="7" t="n">
        <v>3.859364</v>
      </c>
      <c r="S899" s="5" t="s">
        <v>79</v>
      </c>
      <c r="T899" s="5" t="s">
        <v>61</v>
      </c>
    </row>
    <row r="900" customFormat="false" ht="15" hidden="false" customHeight="false" outlineLevel="0" collapsed="false">
      <c r="A900" s="5" t="s">
        <v>4</v>
      </c>
      <c r="B900" s="5" t="s">
        <v>55</v>
      </c>
      <c r="C900" s="2" t="s">
        <v>56</v>
      </c>
      <c r="D900" s="5" t="s">
        <v>78</v>
      </c>
      <c r="E900" s="5" t="s">
        <v>58</v>
      </c>
      <c r="F900" s="2" t="n">
        <v>20</v>
      </c>
      <c r="G900" s="5" t="s">
        <v>76</v>
      </c>
      <c r="H900" s="2" t="n">
        <v>1</v>
      </c>
      <c r="I900" s="2" t="n">
        <v>1</v>
      </c>
      <c r="J900" s="2" t="n">
        <v>1</v>
      </c>
      <c r="K900" s="7" t="n">
        <v>0.4850204892</v>
      </c>
      <c r="L900" s="7" t="n">
        <v>0.06022641065</v>
      </c>
      <c r="M900" s="7" t="n">
        <v>0.06828779143</v>
      </c>
      <c r="N900" s="7" t="n">
        <v>13</v>
      </c>
      <c r="O900" s="7" t="n">
        <v>13</v>
      </c>
      <c r="P900" s="7" t="n">
        <v>0</v>
      </c>
      <c r="Q900" s="2"/>
      <c r="R900" s="7" t="n">
        <v>4.121411</v>
      </c>
      <c r="S900" s="5" t="s">
        <v>79</v>
      </c>
      <c r="T900" s="5" t="s">
        <v>61</v>
      </c>
    </row>
    <row r="901" customFormat="false" ht="15" hidden="false" customHeight="false" outlineLevel="0" collapsed="false">
      <c r="A901" s="5" t="s">
        <v>4</v>
      </c>
      <c r="B901" s="5" t="s">
        <v>55</v>
      </c>
      <c r="C901" s="2" t="s">
        <v>56</v>
      </c>
      <c r="D901" s="5" t="s">
        <v>78</v>
      </c>
      <c r="E901" s="5" t="s">
        <v>62</v>
      </c>
      <c r="F901" s="2" t="n">
        <v>20</v>
      </c>
      <c r="G901" s="5" t="s">
        <v>76</v>
      </c>
      <c r="H901" s="2" t="n">
        <v>1</v>
      </c>
      <c r="I901" s="2" t="n">
        <v>1</v>
      </c>
      <c r="J901" s="2" t="n">
        <v>1</v>
      </c>
      <c r="K901" s="7" t="n">
        <v>0.4850204892</v>
      </c>
      <c r="L901" s="7" t="n">
        <v>0.06022641065</v>
      </c>
      <c r="M901" s="7" t="n">
        <v>0.06828779143</v>
      </c>
      <c r="N901" s="7" t="n">
        <v>13</v>
      </c>
      <c r="O901" s="7" t="n">
        <v>13</v>
      </c>
      <c r="P901" s="7" t="n">
        <v>13</v>
      </c>
      <c r="Q901" s="2"/>
      <c r="R901" s="7" t="n">
        <v>4.780986</v>
      </c>
      <c r="S901" s="5" t="s">
        <v>79</v>
      </c>
      <c r="T901" s="5" t="s">
        <v>61</v>
      </c>
    </row>
    <row r="902" customFormat="false" ht="15" hidden="false" customHeight="false" outlineLevel="0" collapsed="false">
      <c r="A902" s="5" t="s">
        <v>4</v>
      </c>
      <c r="B902" s="5" t="s">
        <v>55</v>
      </c>
      <c r="C902" s="2" t="s">
        <v>56</v>
      </c>
      <c r="D902" s="5" t="s">
        <v>80</v>
      </c>
      <c r="E902" s="5" t="s">
        <v>58</v>
      </c>
      <c r="F902" s="2" t="n">
        <v>11</v>
      </c>
      <c r="G902" s="5" t="s">
        <v>59</v>
      </c>
      <c r="H902" s="2" t="n">
        <v>1</v>
      </c>
      <c r="I902" s="2" t="n">
        <v>1</v>
      </c>
      <c r="J902" s="2" t="n">
        <v>1</v>
      </c>
      <c r="K902" s="7" t="n">
        <v>0.5200015992</v>
      </c>
      <c r="L902" s="7" t="n">
        <v>0.05087275757</v>
      </c>
      <c r="M902" s="7" t="n">
        <v>0.06028659883</v>
      </c>
      <c r="N902" s="7" t="n">
        <v>11</v>
      </c>
      <c r="O902" s="7" t="n">
        <v>11</v>
      </c>
      <c r="P902" s="7" t="n">
        <v>0</v>
      </c>
      <c r="Q902" s="2"/>
      <c r="R902" s="7" t="n">
        <v>2.413868</v>
      </c>
      <c r="S902" s="5" t="s">
        <v>79</v>
      </c>
      <c r="T902" s="5" t="s">
        <v>61</v>
      </c>
    </row>
    <row r="903" customFormat="false" ht="15" hidden="false" customHeight="false" outlineLevel="0" collapsed="false">
      <c r="A903" s="5" t="s">
        <v>4</v>
      </c>
      <c r="B903" s="5" t="s">
        <v>55</v>
      </c>
      <c r="C903" s="2" t="s">
        <v>56</v>
      </c>
      <c r="D903" s="5" t="s">
        <v>80</v>
      </c>
      <c r="E903" s="5" t="s">
        <v>62</v>
      </c>
      <c r="F903" s="2" t="n">
        <v>11</v>
      </c>
      <c r="G903" s="5" t="s">
        <v>59</v>
      </c>
      <c r="H903" s="2" t="n">
        <v>1</v>
      </c>
      <c r="I903" s="2" t="n">
        <v>1</v>
      </c>
      <c r="J903" s="2" t="n">
        <v>1</v>
      </c>
      <c r="K903" s="7" t="n">
        <v>0.5200015992</v>
      </c>
      <c r="L903" s="7" t="n">
        <v>0.05087275757</v>
      </c>
      <c r="M903" s="7" t="n">
        <v>0.06028659883</v>
      </c>
      <c r="N903" s="7" t="n">
        <v>11</v>
      </c>
      <c r="O903" s="7" t="n">
        <v>11</v>
      </c>
      <c r="P903" s="7" t="n">
        <v>11</v>
      </c>
      <c r="Q903" s="2"/>
      <c r="R903" s="7" t="n">
        <v>2.976719</v>
      </c>
      <c r="S903" s="5" t="s">
        <v>79</v>
      </c>
      <c r="T903" s="5" t="s">
        <v>61</v>
      </c>
    </row>
    <row r="904" customFormat="false" ht="15" hidden="false" customHeight="false" outlineLevel="0" collapsed="false">
      <c r="A904" s="5" t="s">
        <v>4</v>
      </c>
      <c r="B904" s="5" t="s">
        <v>55</v>
      </c>
      <c r="C904" s="2" t="s">
        <v>56</v>
      </c>
      <c r="D904" s="5" t="s">
        <v>80</v>
      </c>
      <c r="E904" s="5" t="s">
        <v>58</v>
      </c>
      <c r="F904" s="2" t="n">
        <v>11</v>
      </c>
      <c r="G904" s="5" t="s">
        <v>63</v>
      </c>
      <c r="H904" s="2" t="n">
        <v>1</v>
      </c>
      <c r="I904" s="2" t="n">
        <v>1</v>
      </c>
      <c r="J904" s="2" t="n">
        <v>1</v>
      </c>
      <c r="K904" s="7" t="n">
        <v>0.4345234823</v>
      </c>
      <c r="L904" s="7" t="n">
        <v>0.06623055428</v>
      </c>
      <c r="M904" s="7" t="n">
        <v>0.0719049405</v>
      </c>
      <c r="N904" s="7" t="n">
        <v>15</v>
      </c>
      <c r="O904" s="7" t="n">
        <v>15</v>
      </c>
      <c r="P904" s="7" t="n">
        <v>0</v>
      </c>
      <c r="Q904" s="2"/>
      <c r="R904" s="7" t="n">
        <v>1.594166</v>
      </c>
      <c r="S904" s="5" t="s">
        <v>79</v>
      </c>
      <c r="T904" s="5" t="s">
        <v>61</v>
      </c>
    </row>
    <row r="905" customFormat="false" ht="15" hidden="false" customHeight="false" outlineLevel="0" collapsed="false">
      <c r="A905" s="5" t="s">
        <v>4</v>
      </c>
      <c r="B905" s="5" t="s">
        <v>55</v>
      </c>
      <c r="C905" s="2" t="s">
        <v>56</v>
      </c>
      <c r="D905" s="5" t="s">
        <v>80</v>
      </c>
      <c r="E905" s="5" t="s">
        <v>62</v>
      </c>
      <c r="F905" s="2" t="n">
        <v>11</v>
      </c>
      <c r="G905" s="5" t="s">
        <v>63</v>
      </c>
      <c r="H905" s="2" t="n">
        <v>1</v>
      </c>
      <c r="I905" s="2" t="n">
        <v>1</v>
      </c>
      <c r="J905" s="2" t="n">
        <v>1</v>
      </c>
      <c r="K905" s="7" t="n">
        <v>0.3158357216</v>
      </c>
      <c r="L905" s="7" t="n">
        <v>0.07889756324</v>
      </c>
      <c r="M905" s="7" t="n">
        <v>0.0820773625</v>
      </c>
      <c r="N905" s="7" t="n">
        <v>15</v>
      </c>
      <c r="O905" s="7" t="n">
        <v>15</v>
      </c>
      <c r="P905" s="7" t="n">
        <v>14</v>
      </c>
      <c r="Q905" s="2"/>
      <c r="R905" s="7" t="n">
        <v>2.463711</v>
      </c>
      <c r="S905" s="5" t="s">
        <v>79</v>
      </c>
      <c r="T905" s="5" t="s">
        <v>61</v>
      </c>
    </row>
    <row r="906" customFormat="false" ht="15" hidden="false" customHeight="false" outlineLevel="0" collapsed="false">
      <c r="A906" s="5" t="s">
        <v>4</v>
      </c>
      <c r="B906" s="5" t="s">
        <v>55</v>
      </c>
      <c r="C906" s="2" t="s">
        <v>56</v>
      </c>
      <c r="D906" s="5" t="s">
        <v>80</v>
      </c>
      <c r="E906" s="5" t="s">
        <v>58</v>
      </c>
      <c r="F906" s="2" t="n">
        <v>11</v>
      </c>
      <c r="G906" s="5" t="s">
        <v>64</v>
      </c>
      <c r="H906" s="2" t="n">
        <v>0</v>
      </c>
      <c r="I906" s="2" t="n">
        <v>1</v>
      </c>
      <c r="J906" s="2" t="n">
        <v>1</v>
      </c>
      <c r="K906" s="7" t="n">
        <v>1.54415305</v>
      </c>
      <c r="L906" s="7" t="n">
        <v>0.2811246512</v>
      </c>
      <c r="M906" s="7" t="n">
        <v>0.2946285479</v>
      </c>
      <c r="N906" s="7" t="n">
        <v>7</v>
      </c>
      <c r="O906" s="7" t="n">
        <v>7</v>
      </c>
      <c r="P906" s="7" t="n">
        <v>0</v>
      </c>
      <c r="Q906" s="2"/>
      <c r="R906" s="7" t="n">
        <v>1.716928</v>
      </c>
      <c r="S906" s="5" t="s">
        <v>79</v>
      </c>
      <c r="T906" s="5" t="s">
        <v>61</v>
      </c>
    </row>
    <row r="907" customFormat="false" ht="15" hidden="false" customHeight="false" outlineLevel="0" collapsed="false">
      <c r="A907" s="5" t="s">
        <v>4</v>
      </c>
      <c r="B907" s="5" t="s">
        <v>55</v>
      </c>
      <c r="C907" s="2" t="s">
        <v>56</v>
      </c>
      <c r="D907" s="5" t="s">
        <v>80</v>
      </c>
      <c r="E907" s="5" t="s">
        <v>62</v>
      </c>
      <c r="F907" s="2" t="n">
        <v>11</v>
      </c>
      <c r="G907" s="5" t="s">
        <v>64</v>
      </c>
      <c r="H907" s="2" t="n">
        <v>0</v>
      </c>
      <c r="I907" s="2" t="n">
        <v>1</v>
      </c>
      <c r="J907" s="2" t="n">
        <v>1</v>
      </c>
      <c r="K907" s="7" t="n">
        <v>1.54415305</v>
      </c>
      <c r="L907" s="7" t="n">
        <v>0.2811246512</v>
      </c>
      <c r="M907" s="7" t="n">
        <v>0.2946285479</v>
      </c>
      <c r="N907" s="7" t="n">
        <v>7</v>
      </c>
      <c r="O907" s="7" t="n">
        <v>7</v>
      </c>
      <c r="P907" s="7" t="n">
        <v>7</v>
      </c>
      <c r="Q907" s="2"/>
      <c r="R907" s="7" t="n">
        <v>2.169217</v>
      </c>
      <c r="S907" s="5" t="s">
        <v>79</v>
      </c>
      <c r="T907" s="5" t="s">
        <v>61</v>
      </c>
    </row>
    <row r="908" customFormat="false" ht="15" hidden="false" customHeight="false" outlineLevel="0" collapsed="false">
      <c r="A908" s="5" t="s">
        <v>4</v>
      </c>
      <c r="B908" s="5" t="s">
        <v>55</v>
      </c>
      <c r="C908" s="2" t="s">
        <v>56</v>
      </c>
      <c r="D908" s="5" t="s">
        <v>80</v>
      </c>
      <c r="E908" s="5" t="s">
        <v>58</v>
      </c>
      <c r="F908" s="2" t="n">
        <v>11</v>
      </c>
      <c r="G908" s="5" t="s">
        <v>65</v>
      </c>
      <c r="H908" s="2" t="n">
        <v>0</v>
      </c>
      <c r="I908" s="2" t="n">
        <v>1</v>
      </c>
      <c r="J908" s="2" t="n">
        <v>1</v>
      </c>
      <c r="K908" s="7" t="n">
        <v>0.5674900931</v>
      </c>
      <c r="L908" s="7" t="n">
        <v>0.05024707386</v>
      </c>
      <c r="M908" s="7" t="n">
        <v>0.07102691318</v>
      </c>
      <c r="N908" s="7" t="n">
        <v>5</v>
      </c>
      <c r="O908" s="7" t="n">
        <v>5</v>
      </c>
      <c r="P908" s="7" t="n">
        <v>0</v>
      </c>
      <c r="Q908" s="2"/>
      <c r="R908" s="7" t="n">
        <v>2.423832</v>
      </c>
      <c r="S908" s="5" t="s">
        <v>79</v>
      </c>
      <c r="T908" s="5" t="s">
        <v>61</v>
      </c>
    </row>
    <row r="909" customFormat="false" ht="15" hidden="false" customHeight="false" outlineLevel="0" collapsed="false">
      <c r="A909" s="5" t="s">
        <v>4</v>
      </c>
      <c r="B909" s="5" t="s">
        <v>55</v>
      </c>
      <c r="C909" s="2" t="s">
        <v>56</v>
      </c>
      <c r="D909" s="5" t="s">
        <v>80</v>
      </c>
      <c r="E909" s="5" t="s">
        <v>62</v>
      </c>
      <c r="F909" s="2" t="n">
        <v>11</v>
      </c>
      <c r="G909" s="5" t="s">
        <v>65</v>
      </c>
      <c r="H909" s="2" t="n">
        <v>0</v>
      </c>
      <c r="I909" s="2" t="n">
        <v>1</v>
      </c>
      <c r="J909" s="2" t="n">
        <v>1</v>
      </c>
      <c r="K909" s="7" t="n">
        <v>0.5674900931</v>
      </c>
      <c r="L909" s="7" t="n">
        <v>0.05024707386</v>
      </c>
      <c r="M909" s="7" t="n">
        <v>0.07102691318</v>
      </c>
      <c r="N909" s="7" t="n">
        <v>5</v>
      </c>
      <c r="O909" s="7" t="n">
        <v>5</v>
      </c>
      <c r="P909" s="7" t="n">
        <v>5</v>
      </c>
      <c r="Q909" s="2"/>
      <c r="R909" s="7" t="n">
        <v>2.80118</v>
      </c>
      <c r="S909" s="5" t="s">
        <v>79</v>
      </c>
      <c r="T909" s="5" t="s">
        <v>61</v>
      </c>
    </row>
    <row r="910" customFormat="false" ht="15" hidden="false" customHeight="false" outlineLevel="0" collapsed="false">
      <c r="A910" s="5" t="s">
        <v>4</v>
      </c>
      <c r="B910" s="5" t="s">
        <v>55</v>
      </c>
      <c r="C910" s="2" t="s">
        <v>56</v>
      </c>
      <c r="D910" s="5" t="s">
        <v>80</v>
      </c>
      <c r="E910" s="5" t="s">
        <v>58</v>
      </c>
      <c r="F910" s="2" t="n">
        <v>11</v>
      </c>
      <c r="G910" s="5" t="s">
        <v>66</v>
      </c>
      <c r="H910" s="2" t="n">
        <v>0</v>
      </c>
      <c r="I910" s="2" t="n">
        <v>1</v>
      </c>
      <c r="J910" s="2" t="n">
        <v>0</v>
      </c>
      <c r="K910" s="7" t="n">
        <v>2.871236389</v>
      </c>
      <c r="L910" s="7" t="n">
        <v>0.8960009666</v>
      </c>
      <c r="M910" s="7" t="n">
        <v>0.912953995</v>
      </c>
      <c r="N910" s="7" t="n">
        <v>4</v>
      </c>
      <c r="O910" s="7" t="n">
        <v>4</v>
      </c>
      <c r="P910" s="7" t="n">
        <v>0</v>
      </c>
      <c r="Q910" s="2"/>
      <c r="R910" s="7" t="n">
        <v>3.03121</v>
      </c>
      <c r="S910" s="5" t="s">
        <v>79</v>
      </c>
      <c r="T910" s="5" t="s">
        <v>61</v>
      </c>
    </row>
    <row r="911" customFormat="false" ht="15" hidden="false" customHeight="false" outlineLevel="0" collapsed="false">
      <c r="A911" s="5" t="s">
        <v>4</v>
      </c>
      <c r="B911" s="5" t="s">
        <v>55</v>
      </c>
      <c r="C911" s="2" t="s">
        <v>56</v>
      </c>
      <c r="D911" s="5" t="s">
        <v>80</v>
      </c>
      <c r="E911" s="5" t="s">
        <v>62</v>
      </c>
      <c r="F911" s="2" t="n">
        <v>11</v>
      </c>
      <c r="G911" s="5" t="s">
        <v>66</v>
      </c>
      <c r="H911" s="2" t="n">
        <v>0</v>
      </c>
      <c r="I911" s="2" t="n">
        <v>1</v>
      </c>
      <c r="J911" s="2" t="n">
        <v>0</v>
      </c>
      <c r="K911" s="7" t="n">
        <v>2.871236389</v>
      </c>
      <c r="L911" s="7" t="n">
        <v>0.8960009666</v>
      </c>
      <c r="M911" s="7" t="n">
        <v>0.912953995</v>
      </c>
      <c r="N911" s="7" t="n">
        <v>4</v>
      </c>
      <c r="O911" s="7" t="n">
        <v>4</v>
      </c>
      <c r="P911" s="7" t="n">
        <v>4</v>
      </c>
      <c r="Q911" s="2"/>
      <c r="R911" s="7" t="n">
        <v>3.296512</v>
      </c>
      <c r="S911" s="5" t="s">
        <v>79</v>
      </c>
      <c r="T911" s="5" t="s">
        <v>61</v>
      </c>
    </row>
    <row r="912" customFormat="false" ht="15" hidden="false" customHeight="false" outlineLevel="0" collapsed="false">
      <c r="A912" s="5" t="s">
        <v>4</v>
      </c>
      <c r="B912" s="5" t="s">
        <v>55</v>
      </c>
      <c r="C912" s="2" t="s">
        <v>56</v>
      </c>
      <c r="D912" s="5" t="s">
        <v>80</v>
      </c>
      <c r="E912" s="5" t="s">
        <v>58</v>
      </c>
      <c r="F912" s="2" t="n">
        <v>12</v>
      </c>
      <c r="G912" s="5" t="s">
        <v>59</v>
      </c>
      <c r="H912" s="2" t="n">
        <v>1</v>
      </c>
      <c r="I912" s="2" t="n">
        <v>1</v>
      </c>
      <c r="J912" s="2" t="n">
        <v>1</v>
      </c>
      <c r="K912" s="7" t="n">
        <v>0.2571295998</v>
      </c>
      <c r="L912" s="7" t="n">
        <v>0.01982671414</v>
      </c>
      <c r="M912" s="7" t="n">
        <v>0.02491856877</v>
      </c>
      <c r="N912" s="7" t="n">
        <v>7</v>
      </c>
      <c r="O912" s="7" t="n">
        <v>7</v>
      </c>
      <c r="P912" s="7" t="n">
        <v>0</v>
      </c>
      <c r="Q912" s="2"/>
      <c r="R912" s="7" t="n">
        <v>1.963682</v>
      </c>
      <c r="S912" s="5" t="s">
        <v>79</v>
      </c>
      <c r="T912" s="5" t="s">
        <v>61</v>
      </c>
    </row>
    <row r="913" customFormat="false" ht="15" hidden="false" customHeight="false" outlineLevel="0" collapsed="false">
      <c r="A913" s="5" t="s">
        <v>4</v>
      </c>
      <c r="B913" s="5" t="s">
        <v>55</v>
      </c>
      <c r="C913" s="2" t="s">
        <v>56</v>
      </c>
      <c r="D913" s="5" t="s">
        <v>80</v>
      </c>
      <c r="E913" s="5" t="s">
        <v>62</v>
      </c>
      <c r="F913" s="2" t="n">
        <v>12</v>
      </c>
      <c r="G913" s="5" t="s">
        <v>59</v>
      </c>
      <c r="H913" s="2" t="n">
        <v>1</v>
      </c>
      <c r="I913" s="2" t="n">
        <v>1</v>
      </c>
      <c r="J913" s="2" t="n">
        <v>1</v>
      </c>
      <c r="K913" s="7" t="n">
        <v>0.2571295998</v>
      </c>
      <c r="L913" s="7" t="n">
        <v>0.01982671414</v>
      </c>
      <c r="M913" s="7" t="n">
        <v>0.02491856877</v>
      </c>
      <c r="N913" s="7" t="n">
        <v>7</v>
      </c>
      <c r="O913" s="7" t="n">
        <v>7</v>
      </c>
      <c r="P913" s="7" t="n">
        <v>7</v>
      </c>
      <c r="Q913" s="2"/>
      <c r="R913" s="7" t="n">
        <v>2.429351</v>
      </c>
      <c r="S913" s="5" t="s">
        <v>79</v>
      </c>
      <c r="T913" s="5" t="s">
        <v>61</v>
      </c>
    </row>
    <row r="914" customFormat="false" ht="15" hidden="false" customHeight="false" outlineLevel="0" collapsed="false">
      <c r="A914" s="5" t="s">
        <v>4</v>
      </c>
      <c r="B914" s="5" t="s">
        <v>55</v>
      </c>
      <c r="C914" s="2" t="s">
        <v>56</v>
      </c>
      <c r="D914" s="5" t="s">
        <v>80</v>
      </c>
      <c r="E914" s="5" t="s">
        <v>58</v>
      </c>
      <c r="F914" s="2" t="n">
        <v>12</v>
      </c>
      <c r="G914" s="5" t="s">
        <v>63</v>
      </c>
      <c r="H914" s="2" t="n">
        <v>1</v>
      </c>
      <c r="I914" s="2" t="n">
        <v>1</v>
      </c>
      <c r="J914" s="2" t="n">
        <v>1</v>
      </c>
      <c r="K914" s="7" t="n">
        <v>0.6144322939</v>
      </c>
      <c r="L914" s="7" t="n">
        <v>0.0299863775</v>
      </c>
      <c r="M914" s="7" t="n">
        <v>0.05307557308</v>
      </c>
      <c r="N914" s="7" t="n">
        <v>12</v>
      </c>
      <c r="O914" s="7" t="n">
        <v>12</v>
      </c>
      <c r="P914" s="7" t="n">
        <v>0</v>
      </c>
      <c r="Q914" s="2"/>
      <c r="R914" s="7" t="n">
        <v>1.662487</v>
      </c>
      <c r="S914" s="5" t="s">
        <v>79</v>
      </c>
      <c r="T914" s="5" t="s">
        <v>61</v>
      </c>
    </row>
    <row r="915" customFormat="false" ht="15" hidden="false" customHeight="false" outlineLevel="0" collapsed="false">
      <c r="A915" s="5" t="s">
        <v>4</v>
      </c>
      <c r="B915" s="5" t="s">
        <v>55</v>
      </c>
      <c r="C915" s="2" t="s">
        <v>56</v>
      </c>
      <c r="D915" s="5" t="s">
        <v>80</v>
      </c>
      <c r="E915" s="5" t="s">
        <v>62</v>
      </c>
      <c r="F915" s="2" t="n">
        <v>12</v>
      </c>
      <c r="G915" s="5" t="s">
        <v>63</v>
      </c>
      <c r="H915" s="2" t="n">
        <v>1</v>
      </c>
      <c r="I915" s="2" t="n">
        <v>1</v>
      </c>
      <c r="J915" s="2" t="n">
        <v>1</v>
      </c>
      <c r="K915" s="7" t="n">
        <v>0.6144322939</v>
      </c>
      <c r="L915" s="7" t="n">
        <v>0.0299863775</v>
      </c>
      <c r="M915" s="7" t="n">
        <v>0.05307557308</v>
      </c>
      <c r="N915" s="7" t="n">
        <v>12</v>
      </c>
      <c r="O915" s="7" t="n">
        <v>12</v>
      </c>
      <c r="P915" s="7" t="n">
        <v>12</v>
      </c>
      <c r="Q915" s="2"/>
      <c r="R915" s="7" t="n">
        <v>2.357915</v>
      </c>
      <c r="S915" s="5" t="s">
        <v>79</v>
      </c>
      <c r="T915" s="5" t="s">
        <v>61</v>
      </c>
    </row>
    <row r="916" customFormat="false" ht="15" hidden="false" customHeight="false" outlineLevel="0" collapsed="false">
      <c r="A916" s="5" t="s">
        <v>4</v>
      </c>
      <c r="B916" s="5" t="s">
        <v>55</v>
      </c>
      <c r="C916" s="2" t="s">
        <v>56</v>
      </c>
      <c r="D916" s="5" t="s">
        <v>80</v>
      </c>
      <c r="E916" s="5" t="s">
        <v>58</v>
      </c>
      <c r="F916" s="2" t="n">
        <v>12</v>
      </c>
      <c r="G916" s="5" t="s">
        <v>64</v>
      </c>
      <c r="H916" s="2" t="n">
        <v>0</v>
      </c>
      <c r="I916" s="2" t="n">
        <v>1</v>
      </c>
      <c r="J916" s="2" t="n">
        <v>1</v>
      </c>
      <c r="K916" s="7" t="n">
        <v>0.9075760371</v>
      </c>
      <c r="L916" s="7" t="n">
        <v>0.104364605</v>
      </c>
      <c r="M916" s="7" t="n">
        <v>0.1176800511</v>
      </c>
      <c r="N916" s="7" t="n">
        <v>9</v>
      </c>
      <c r="O916" s="7" t="n">
        <v>9</v>
      </c>
      <c r="P916" s="7" t="n">
        <v>0</v>
      </c>
      <c r="Q916" s="2"/>
      <c r="R916" s="7" t="n">
        <v>1.965644</v>
      </c>
      <c r="S916" s="5" t="s">
        <v>79</v>
      </c>
      <c r="T916" s="5" t="s">
        <v>61</v>
      </c>
    </row>
    <row r="917" customFormat="false" ht="15" hidden="false" customHeight="false" outlineLevel="0" collapsed="false">
      <c r="A917" s="5" t="s">
        <v>4</v>
      </c>
      <c r="B917" s="5" t="s">
        <v>55</v>
      </c>
      <c r="C917" s="2" t="s">
        <v>56</v>
      </c>
      <c r="D917" s="5" t="s">
        <v>80</v>
      </c>
      <c r="E917" s="5" t="s">
        <v>62</v>
      </c>
      <c r="F917" s="2" t="n">
        <v>12</v>
      </c>
      <c r="G917" s="5" t="s">
        <v>64</v>
      </c>
      <c r="H917" s="2" t="n">
        <v>0</v>
      </c>
      <c r="I917" s="2" t="n">
        <v>1</v>
      </c>
      <c r="J917" s="2" t="n">
        <v>1</v>
      </c>
      <c r="K917" s="7" t="n">
        <v>0.9075760371</v>
      </c>
      <c r="L917" s="7" t="n">
        <v>0.104364605</v>
      </c>
      <c r="M917" s="7" t="n">
        <v>0.1176800511</v>
      </c>
      <c r="N917" s="7" t="n">
        <v>9</v>
      </c>
      <c r="O917" s="7" t="n">
        <v>9</v>
      </c>
      <c r="P917" s="7" t="n">
        <v>9</v>
      </c>
      <c r="Q917" s="2"/>
      <c r="R917" s="7" t="n">
        <v>2.498873</v>
      </c>
      <c r="S917" s="5" t="s">
        <v>79</v>
      </c>
      <c r="T917" s="5" t="s">
        <v>61</v>
      </c>
    </row>
    <row r="918" customFormat="false" ht="15" hidden="false" customHeight="false" outlineLevel="0" collapsed="false">
      <c r="A918" s="5" t="s">
        <v>4</v>
      </c>
      <c r="B918" s="5" t="s">
        <v>55</v>
      </c>
      <c r="C918" s="2" t="s">
        <v>56</v>
      </c>
      <c r="D918" s="5" t="s">
        <v>80</v>
      </c>
      <c r="E918" s="5" t="s">
        <v>58</v>
      </c>
      <c r="F918" s="2" t="n">
        <v>12</v>
      </c>
      <c r="G918" s="5" t="s">
        <v>65</v>
      </c>
      <c r="H918" s="2" t="n">
        <v>0</v>
      </c>
      <c r="I918" s="2" t="n">
        <v>1</v>
      </c>
      <c r="J918" s="2" t="n">
        <v>1</v>
      </c>
      <c r="K918" s="7" t="n">
        <v>1.002067267</v>
      </c>
      <c r="L918" s="7" t="n">
        <v>0.06561789346</v>
      </c>
      <c r="M918" s="7" t="n">
        <v>0.08569545666</v>
      </c>
      <c r="N918" s="7" t="n">
        <v>9</v>
      </c>
      <c r="O918" s="7" t="n">
        <v>9</v>
      </c>
      <c r="P918" s="7" t="n">
        <v>0</v>
      </c>
      <c r="Q918" s="2"/>
      <c r="R918" s="7" t="n">
        <v>2.802052</v>
      </c>
      <c r="S918" s="5" t="s">
        <v>79</v>
      </c>
      <c r="T918" s="5" t="s">
        <v>61</v>
      </c>
    </row>
    <row r="919" customFormat="false" ht="15" hidden="false" customHeight="false" outlineLevel="0" collapsed="false">
      <c r="A919" s="5" t="s">
        <v>4</v>
      </c>
      <c r="B919" s="5" t="s">
        <v>55</v>
      </c>
      <c r="C919" s="2" t="s">
        <v>56</v>
      </c>
      <c r="D919" s="5" t="s">
        <v>80</v>
      </c>
      <c r="E919" s="5" t="s">
        <v>62</v>
      </c>
      <c r="F919" s="2" t="n">
        <v>12</v>
      </c>
      <c r="G919" s="5" t="s">
        <v>65</v>
      </c>
      <c r="H919" s="2" t="n">
        <v>0</v>
      </c>
      <c r="I919" s="2" t="n">
        <v>1</v>
      </c>
      <c r="J919" s="2" t="n">
        <v>1</v>
      </c>
      <c r="K919" s="7" t="n">
        <v>0.6305275597</v>
      </c>
      <c r="L919" s="7" t="n">
        <v>0.09825933304</v>
      </c>
      <c r="M919" s="7" t="n">
        <v>0.1044310471</v>
      </c>
      <c r="N919" s="7" t="n">
        <v>9</v>
      </c>
      <c r="O919" s="7" t="n">
        <v>9</v>
      </c>
      <c r="P919" s="7" t="n">
        <v>8</v>
      </c>
      <c r="Q919" s="2"/>
      <c r="R919" s="7" t="n">
        <v>3.351674</v>
      </c>
      <c r="S919" s="5" t="s">
        <v>79</v>
      </c>
      <c r="T919" s="5" t="s">
        <v>61</v>
      </c>
    </row>
    <row r="920" customFormat="false" ht="15" hidden="false" customHeight="false" outlineLevel="0" collapsed="false">
      <c r="A920" s="5" t="s">
        <v>4</v>
      </c>
      <c r="B920" s="5" t="s">
        <v>55</v>
      </c>
      <c r="C920" s="2" t="s">
        <v>56</v>
      </c>
      <c r="D920" s="5" t="s">
        <v>80</v>
      </c>
      <c r="E920" s="5" t="s">
        <v>58</v>
      </c>
      <c r="F920" s="2" t="n">
        <v>12</v>
      </c>
      <c r="G920" s="5" t="s">
        <v>66</v>
      </c>
      <c r="H920" s="2" t="n">
        <v>0</v>
      </c>
      <c r="I920" s="2" t="n">
        <v>0</v>
      </c>
      <c r="J920" s="2" t="n">
        <v>0</v>
      </c>
      <c r="K920" s="2"/>
      <c r="L920" s="2"/>
      <c r="M920" s="2"/>
      <c r="N920" s="7" t="n">
        <v>2</v>
      </c>
      <c r="O920" s="7" t="n">
        <v>2</v>
      </c>
      <c r="P920" s="7" t="n">
        <v>0</v>
      </c>
      <c r="Q920" s="2"/>
      <c r="R920" s="7" t="n">
        <v>2.86193</v>
      </c>
      <c r="S920" s="5" t="s">
        <v>79</v>
      </c>
      <c r="T920" s="5" t="s">
        <v>61</v>
      </c>
    </row>
    <row r="921" customFormat="false" ht="15" hidden="false" customHeight="false" outlineLevel="0" collapsed="false">
      <c r="A921" s="5" t="s">
        <v>4</v>
      </c>
      <c r="B921" s="5" t="s">
        <v>55</v>
      </c>
      <c r="C921" s="2" t="s">
        <v>56</v>
      </c>
      <c r="D921" s="5" t="s">
        <v>80</v>
      </c>
      <c r="E921" s="5" t="s">
        <v>62</v>
      </c>
      <c r="F921" s="2" t="n">
        <v>12</v>
      </c>
      <c r="G921" s="5" t="s">
        <v>66</v>
      </c>
      <c r="H921" s="2" t="n">
        <v>0</v>
      </c>
      <c r="I921" s="2" t="n">
        <v>0</v>
      </c>
      <c r="J921" s="2" t="n">
        <v>0</v>
      </c>
      <c r="K921" s="2"/>
      <c r="L921" s="2"/>
      <c r="M921" s="2"/>
      <c r="N921" s="7" t="n">
        <v>2</v>
      </c>
      <c r="O921" s="7" t="n">
        <v>2</v>
      </c>
      <c r="P921" s="7" t="n">
        <v>0</v>
      </c>
      <c r="Q921" s="2"/>
      <c r="R921" s="7" t="n">
        <v>2.86195</v>
      </c>
      <c r="S921" s="5" t="s">
        <v>79</v>
      </c>
      <c r="T921" s="5" t="s">
        <v>61</v>
      </c>
    </row>
    <row r="922" customFormat="false" ht="15" hidden="false" customHeight="false" outlineLevel="0" collapsed="false">
      <c r="A922" s="5" t="s">
        <v>4</v>
      </c>
      <c r="B922" s="5" t="s">
        <v>55</v>
      </c>
      <c r="C922" s="2" t="s">
        <v>56</v>
      </c>
      <c r="D922" s="5" t="s">
        <v>80</v>
      </c>
      <c r="E922" s="5" t="s">
        <v>58</v>
      </c>
      <c r="F922" s="2" t="n">
        <v>13</v>
      </c>
      <c r="G922" s="5" t="s">
        <v>59</v>
      </c>
      <c r="H922" s="2" t="n">
        <v>1</v>
      </c>
      <c r="I922" s="2" t="n">
        <v>1</v>
      </c>
      <c r="J922" s="2" t="n">
        <v>1</v>
      </c>
      <c r="K922" s="7" t="n">
        <v>0.5618740635</v>
      </c>
      <c r="L922" s="7" t="n">
        <v>0.08552873842</v>
      </c>
      <c r="M922" s="7" t="n">
        <v>0.09435547209</v>
      </c>
      <c r="N922" s="7" t="n">
        <v>10</v>
      </c>
      <c r="O922" s="7" t="n">
        <v>10</v>
      </c>
      <c r="P922" s="7" t="n">
        <v>0</v>
      </c>
      <c r="Q922" s="2"/>
      <c r="R922" s="7" t="n">
        <v>1.859318</v>
      </c>
      <c r="S922" s="5" t="s">
        <v>79</v>
      </c>
      <c r="T922" s="5" t="s">
        <v>61</v>
      </c>
    </row>
    <row r="923" customFormat="false" ht="15" hidden="false" customHeight="false" outlineLevel="0" collapsed="false">
      <c r="A923" s="5" t="s">
        <v>4</v>
      </c>
      <c r="B923" s="5" t="s">
        <v>55</v>
      </c>
      <c r="C923" s="2" t="s">
        <v>56</v>
      </c>
      <c r="D923" s="5" t="s">
        <v>80</v>
      </c>
      <c r="E923" s="5" t="s">
        <v>62</v>
      </c>
      <c r="F923" s="2" t="n">
        <v>13</v>
      </c>
      <c r="G923" s="5" t="s">
        <v>59</v>
      </c>
      <c r="H923" s="2" t="n">
        <v>1</v>
      </c>
      <c r="I923" s="2" t="n">
        <v>1</v>
      </c>
      <c r="J923" s="2" t="n">
        <v>1</v>
      </c>
      <c r="K923" s="7" t="n">
        <v>0.5618740635</v>
      </c>
      <c r="L923" s="7" t="n">
        <v>0.08552873842</v>
      </c>
      <c r="M923" s="7" t="n">
        <v>0.09435547209</v>
      </c>
      <c r="N923" s="7" t="n">
        <v>10</v>
      </c>
      <c r="O923" s="7" t="n">
        <v>10</v>
      </c>
      <c r="P923" s="7" t="n">
        <v>10</v>
      </c>
      <c r="Q923" s="2"/>
      <c r="R923" s="7" t="n">
        <v>2.403832</v>
      </c>
      <c r="S923" s="5" t="s">
        <v>79</v>
      </c>
      <c r="T923" s="5" t="s">
        <v>61</v>
      </c>
    </row>
    <row r="924" customFormat="false" ht="15" hidden="false" customHeight="false" outlineLevel="0" collapsed="false">
      <c r="A924" s="5" t="s">
        <v>4</v>
      </c>
      <c r="B924" s="5" t="s">
        <v>55</v>
      </c>
      <c r="C924" s="2" t="s">
        <v>56</v>
      </c>
      <c r="D924" s="5" t="s">
        <v>80</v>
      </c>
      <c r="E924" s="5" t="s">
        <v>58</v>
      </c>
      <c r="F924" s="2" t="n">
        <v>13</v>
      </c>
      <c r="G924" s="5" t="s">
        <v>63</v>
      </c>
      <c r="H924" s="2" t="n">
        <v>1</v>
      </c>
      <c r="I924" s="2" t="n">
        <v>1</v>
      </c>
      <c r="J924" s="2" t="n">
        <v>1</v>
      </c>
      <c r="K924" s="7" t="n">
        <v>0.7687609338</v>
      </c>
      <c r="L924" s="7" t="n">
        <v>0.04284554497</v>
      </c>
      <c r="M924" s="7" t="n">
        <v>0.06782015452</v>
      </c>
      <c r="N924" s="7" t="n">
        <v>13</v>
      </c>
      <c r="O924" s="7" t="n">
        <v>13</v>
      </c>
      <c r="P924" s="7" t="n">
        <v>0</v>
      </c>
      <c r="Q924" s="2"/>
      <c r="R924" s="7" t="n">
        <v>1.617601</v>
      </c>
      <c r="S924" s="5" t="s">
        <v>79</v>
      </c>
      <c r="T924" s="5" t="s">
        <v>61</v>
      </c>
    </row>
    <row r="925" customFormat="false" ht="15" hidden="false" customHeight="false" outlineLevel="0" collapsed="false">
      <c r="A925" s="5" t="s">
        <v>4</v>
      </c>
      <c r="B925" s="5" t="s">
        <v>55</v>
      </c>
      <c r="C925" s="2" t="s">
        <v>56</v>
      </c>
      <c r="D925" s="5" t="s">
        <v>80</v>
      </c>
      <c r="E925" s="5" t="s">
        <v>62</v>
      </c>
      <c r="F925" s="2" t="n">
        <v>13</v>
      </c>
      <c r="G925" s="5" t="s">
        <v>63</v>
      </c>
      <c r="H925" s="2" t="n">
        <v>1</v>
      </c>
      <c r="I925" s="2" t="n">
        <v>1</v>
      </c>
      <c r="J925" s="2" t="n">
        <v>1</v>
      </c>
      <c r="K925" s="7" t="n">
        <v>0.666319031</v>
      </c>
      <c r="L925" s="7" t="n">
        <v>0.02236115914</v>
      </c>
      <c r="M925" s="7" t="n">
        <v>0.05507514884</v>
      </c>
      <c r="N925" s="7" t="n">
        <v>13</v>
      </c>
      <c r="O925" s="7" t="n">
        <v>13</v>
      </c>
      <c r="P925" s="7" t="n">
        <v>12</v>
      </c>
      <c r="Q925" s="2"/>
      <c r="R925" s="7" t="n">
        <v>2.267431</v>
      </c>
      <c r="S925" s="5" t="s">
        <v>79</v>
      </c>
      <c r="T925" s="5" t="s">
        <v>61</v>
      </c>
    </row>
    <row r="926" customFormat="false" ht="15" hidden="false" customHeight="false" outlineLevel="0" collapsed="false">
      <c r="A926" s="5" t="s">
        <v>4</v>
      </c>
      <c r="B926" s="5" t="s">
        <v>55</v>
      </c>
      <c r="C926" s="2" t="s">
        <v>56</v>
      </c>
      <c r="D926" s="5" t="s">
        <v>80</v>
      </c>
      <c r="E926" s="5" t="s">
        <v>58</v>
      </c>
      <c r="F926" s="2" t="n">
        <v>13</v>
      </c>
      <c r="G926" s="5" t="s">
        <v>64</v>
      </c>
      <c r="H926" s="2" t="n">
        <v>0</v>
      </c>
      <c r="I926" s="2" t="n">
        <v>1</v>
      </c>
      <c r="J926" s="2" t="n">
        <v>1</v>
      </c>
      <c r="K926" s="7" t="n">
        <v>0.7226933249</v>
      </c>
      <c r="L926" s="7" t="n">
        <v>0.1175135914</v>
      </c>
      <c r="M926" s="7" t="n">
        <v>0.1254319239</v>
      </c>
      <c r="N926" s="7" t="n">
        <v>9</v>
      </c>
      <c r="O926" s="7" t="n">
        <v>9</v>
      </c>
      <c r="P926" s="7" t="n">
        <v>0</v>
      </c>
      <c r="Q926" s="2"/>
      <c r="R926" s="7" t="n">
        <v>1.866138</v>
      </c>
      <c r="S926" s="5" t="s">
        <v>79</v>
      </c>
      <c r="T926" s="5" t="s">
        <v>61</v>
      </c>
    </row>
    <row r="927" customFormat="false" ht="15" hidden="false" customHeight="false" outlineLevel="0" collapsed="false">
      <c r="A927" s="5" t="s">
        <v>4</v>
      </c>
      <c r="B927" s="5" t="s">
        <v>55</v>
      </c>
      <c r="C927" s="2" t="s">
        <v>56</v>
      </c>
      <c r="D927" s="5" t="s">
        <v>80</v>
      </c>
      <c r="E927" s="5" t="s">
        <v>62</v>
      </c>
      <c r="F927" s="2" t="n">
        <v>13</v>
      </c>
      <c r="G927" s="5" t="s">
        <v>64</v>
      </c>
      <c r="H927" s="2" t="n">
        <v>0</v>
      </c>
      <c r="I927" s="2" t="n">
        <v>1</v>
      </c>
      <c r="J927" s="2" t="n">
        <v>1</v>
      </c>
      <c r="K927" s="7" t="n">
        <v>0.7226933249</v>
      </c>
      <c r="L927" s="7" t="n">
        <v>0.1175135914</v>
      </c>
      <c r="M927" s="7" t="n">
        <v>0.1254319239</v>
      </c>
      <c r="N927" s="7" t="n">
        <v>9</v>
      </c>
      <c r="O927" s="7" t="n">
        <v>9</v>
      </c>
      <c r="P927" s="7" t="n">
        <v>9</v>
      </c>
      <c r="Q927" s="2"/>
      <c r="R927" s="7" t="n">
        <v>2.367489</v>
      </c>
      <c r="S927" s="5" t="s">
        <v>79</v>
      </c>
      <c r="T927" s="5" t="s">
        <v>61</v>
      </c>
    </row>
    <row r="928" customFormat="false" ht="15" hidden="false" customHeight="false" outlineLevel="0" collapsed="false">
      <c r="A928" s="5" t="s">
        <v>4</v>
      </c>
      <c r="B928" s="5" t="s">
        <v>55</v>
      </c>
      <c r="C928" s="2" t="s">
        <v>56</v>
      </c>
      <c r="D928" s="5" t="s">
        <v>80</v>
      </c>
      <c r="E928" s="5" t="s">
        <v>58</v>
      </c>
      <c r="F928" s="2" t="n">
        <v>13</v>
      </c>
      <c r="G928" s="5" t="s">
        <v>65</v>
      </c>
      <c r="H928" s="2" t="n">
        <v>0</v>
      </c>
      <c r="I928" s="2" t="n">
        <v>1</v>
      </c>
      <c r="J928" s="2" t="n">
        <v>1</v>
      </c>
      <c r="K928" s="7" t="n">
        <v>1.427387926</v>
      </c>
      <c r="L928" s="7" t="n">
        <v>0.2956447879</v>
      </c>
      <c r="M928" s="7" t="n">
        <v>0.3127524909</v>
      </c>
      <c r="N928" s="7" t="n">
        <v>8</v>
      </c>
      <c r="O928" s="7" t="n">
        <v>8</v>
      </c>
      <c r="P928" s="7" t="n">
        <v>0</v>
      </c>
      <c r="Q928" s="2"/>
      <c r="R928" s="7" t="n">
        <v>2.55818</v>
      </c>
      <c r="S928" s="5" t="s">
        <v>79</v>
      </c>
      <c r="T928" s="5" t="s">
        <v>61</v>
      </c>
    </row>
    <row r="929" customFormat="false" ht="15" hidden="false" customHeight="false" outlineLevel="0" collapsed="false">
      <c r="A929" s="5" t="s">
        <v>4</v>
      </c>
      <c r="B929" s="5" t="s">
        <v>55</v>
      </c>
      <c r="C929" s="2" t="s">
        <v>56</v>
      </c>
      <c r="D929" s="5" t="s">
        <v>80</v>
      </c>
      <c r="E929" s="5" t="s">
        <v>62</v>
      </c>
      <c r="F929" s="2" t="n">
        <v>13</v>
      </c>
      <c r="G929" s="5" t="s">
        <v>65</v>
      </c>
      <c r="H929" s="2" t="n">
        <v>0</v>
      </c>
      <c r="I929" s="2" t="n">
        <v>1</v>
      </c>
      <c r="J929" s="2" t="n">
        <v>0</v>
      </c>
      <c r="K929" s="7" t="n">
        <v>1.853038735</v>
      </c>
      <c r="L929" s="7" t="n">
        <v>0.6201518939</v>
      </c>
      <c r="M929" s="7" t="n">
        <v>0.6330130441</v>
      </c>
      <c r="N929" s="7" t="n">
        <v>8</v>
      </c>
      <c r="O929" s="7" t="n">
        <v>8</v>
      </c>
      <c r="P929" s="7" t="n">
        <v>7</v>
      </c>
      <c r="Q929" s="2"/>
      <c r="R929" s="7" t="n">
        <v>3.087452</v>
      </c>
      <c r="S929" s="5" t="s">
        <v>79</v>
      </c>
      <c r="T929" s="5" t="s">
        <v>61</v>
      </c>
    </row>
    <row r="930" customFormat="false" ht="15" hidden="false" customHeight="false" outlineLevel="0" collapsed="false">
      <c r="A930" s="5" t="s">
        <v>4</v>
      </c>
      <c r="B930" s="5" t="s">
        <v>55</v>
      </c>
      <c r="C930" s="2" t="s">
        <v>56</v>
      </c>
      <c r="D930" s="5" t="s">
        <v>80</v>
      </c>
      <c r="E930" s="5" t="s">
        <v>58</v>
      </c>
      <c r="F930" s="2" t="n">
        <v>13</v>
      </c>
      <c r="G930" s="5" t="s">
        <v>66</v>
      </c>
      <c r="H930" s="2" t="n">
        <v>0</v>
      </c>
      <c r="I930" s="2" t="n">
        <v>1</v>
      </c>
      <c r="J930" s="2" t="n">
        <v>0</v>
      </c>
      <c r="K930" s="7" t="n">
        <v>11.3642804</v>
      </c>
      <c r="L930" s="7" t="n">
        <v>3.130588108</v>
      </c>
      <c r="M930" s="7" t="n">
        <v>3.213450734</v>
      </c>
      <c r="N930" s="7" t="n">
        <v>3</v>
      </c>
      <c r="O930" s="7" t="n">
        <v>3</v>
      </c>
      <c r="P930" s="7" t="n">
        <v>0</v>
      </c>
      <c r="Q930" s="2"/>
      <c r="R930" s="7" t="n">
        <v>2.941188</v>
      </c>
      <c r="S930" s="5" t="s">
        <v>79</v>
      </c>
      <c r="T930" s="5" t="s">
        <v>61</v>
      </c>
    </row>
    <row r="931" customFormat="false" ht="15" hidden="false" customHeight="false" outlineLevel="0" collapsed="false">
      <c r="A931" s="5" t="s">
        <v>4</v>
      </c>
      <c r="B931" s="5" t="s">
        <v>55</v>
      </c>
      <c r="C931" s="2" t="s">
        <v>56</v>
      </c>
      <c r="D931" s="5" t="s">
        <v>80</v>
      </c>
      <c r="E931" s="5" t="s">
        <v>62</v>
      </c>
      <c r="F931" s="2" t="n">
        <v>13</v>
      </c>
      <c r="G931" s="5" t="s">
        <v>66</v>
      </c>
      <c r="H931" s="2" t="n">
        <v>0</v>
      </c>
      <c r="I931" s="2" t="n">
        <v>1</v>
      </c>
      <c r="J931" s="2" t="n">
        <v>0</v>
      </c>
      <c r="K931" s="7" t="n">
        <v>11.3642804</v>
      </c>
      <c r="L931" s="7" t="n">
        <v>3.130588108</v>
      </c>
      <c r="M931" s="7" t="n">
        <v>3.213450734</v>
      </c>
      <c r="N931" s="7" t="n">
        <v>3</v>
      </c>
      <c r="O931" s="7" t="n">
        <v>3</v>
      </c>
      <c r="P931" s="7" t="n">
        <v>3</v>
      </c>
      <c r="Q931" s="2"/>
      <c r="R931" s="7" t="n">
        <v>3.096837</v>
      </c>
      <c r="S931" s="5" t="s">
        <v>79</v>
      </c>
      <c r="T931" s="5" t="s">
        <v>61</v>
      </c>
    </row>
    <row r="932" customFormat="false" ht="15" hidden="false" customHeight="false" outlineLevel="0" collapsed="false">
      <c r="A932" s="5" t="s">
        <v>4</v>
      </c>
      <c r="B932" s="5" t="s">
        <v>55</v>
      </c>
      <c r="C932" s="2" t="s">
        <v>56</v>
      </c>
      <c r="D932" s="5" t="s">
        <v>80</v>
      </c>
      <c r="E932" s="5" t="s">
        <v>58</v>
      </c>
      <c r="F932" s="2" t="n">
        <v>14</v>
      </c>
      <c r="G932" s="5" t="s">
        <v>59</v>
      </c>
      <c r="H932" s="2" t="n">
        <v>1</v>
      </c>
      <c r="I932" s="2" t="n">
        <v>1</v>
      </c>
      <c r="J932" s="2" t="n">
        <v>1</v>
      </c>
      <c r="K932" s="7" t="n">
        <v>0.3487648795</v>
      </c>
      <c r="L932" s="7" t="n">
        <v>0.04421119115</v>
      </c>
      <c r="M932" s="7" t="n">
        <v>0.04874703655</v>
      </c>
      <c r="N932" s="7" t="n">
        <v>12</v>
      </c>
      <c r="O932" s="7" t="n">
        <v>12</v>
      </c>
      <c r="P932" s="7" t="n">
        <v>0</v>
      </c>
      <c r="Q932" s="2"/>
      <c r="R932" s="7" t="n">
        <v>1.949311</v>
      </c>
      <c r="S932" s="5" t="s">
        <v>79</v>
      </c>
      <c r="T932" s="5" t="s">
        <v>61</v>
      </c>
    </row>
    <row r="933" customFormat="false" ht="15" hidden="false" customHeight="false" outlineLevel="0" collapsed="false">
      <c r="A933" s="5" t="s">
        <v>4</v>
      </c>
      <c r="B933" s="5" t="s">
        <v>55</v>
      </c>
      <c r="C933" s="2" t="s">
        <v>56</v>
      </c>
      <c r="D933" s="5" t="s">
        <v>80</v>
      </c>
      <c r="E933" s="5" t="s">
        <v>62</v>
      </c>
      <c r="F933" s="2" t="n">
        <v>14</v>
      </c>
      <c r="G933" s="5" t="s">
        <v>59</v>
      </c>
      <c r="H933" s="2" t="n">
        <v>1</v>
      </c>
      <c r="I933" s="2" t="n">
        <v>1</v>
      </c>
      <c r="J933" s="2" t="n">
        <v>1</v>
      </c>
      <c r="K933" s="7" t="n">
        <v>0.3487648795</v>
      </c>
      <c r="L933" s="7" t="n">
        <v>0.04421119115</v>
      </c>
      <c r="M933" s="7" t="n">
        <v>0.04874703655</v>
      </c>
      <c r="N933" s="7" t="n">
        <v>12</v>
      </c>
      <c r="O933" s="7" t="n">
        <v>12</v>
      </c>
      <c r="P933" s="7" t="n">
        <v>12</v>
      </c>
      <c r="Q933" s="2"/>
      <c r="R933" s="7" t="n">
        <v>2.538472</v>
      </c>
      <c r="S933" s="5" t="s">
        <v>79</v>
      </c>
      <c r="T933" s="5" t="s">
        <v>61</v>
      </c>
    </row>
    <row r="934" customFormat="false" ht="15" hidden="false" customHeight="false" outlineLevel="0" collapsed="false">
      <c r="A934" s="5" t="s">
        <v>4</v>
      </c>
      <c r="B934" s="5" t="s">
        <v>55</v>
      </c>
      <c r="C934" s="2" t="s">
        <v>56</v>
      </c>
      <c r="D934" s="5" t="s">
        <v>80</v>
      </c>
      <c r="E934" s="5" t="s">
        <v>58</v>
      </c>
      <c r="F934" s="2" t="n">
        <v>14</v>
      </c>
      <c r="G934" s="5" t="s">
        <v>63</v>
      </c>
      <c r="H934" s="2" t="n">
        <v>1</v>
      </c>
      <c r="I934" s="2" t="n">
        <v>1</v>
      </c>
      <c r="J934" s="2" t="n">
        <v>1</v>
      </c>
      <c r="K934" s="7" t="n">
        <v>0.6771957764</v>
      </c>
      <c r="L934" s="7" t="n">
        <v>0.04162760232</v>
      </c>
      <c r="M934" s="7" t="n">
        <v>0.06164410987</v>
      </c>
      <c r="N934" s="7" t="n">
        <v>12</v>
      </c>
      <c r="O934" s="7" t="n">
        <v>12</v>
      </c>
      <c r="P934" s="7" t="n">
        <v>0</v>
      </c>
      <c r="Q934" s="2"/>
      <c r="R934" s="7" t="n">
        <v>1.632703</v>
      </c>
      <c r="S934" s="5" t="s">
        <v>79</v>
      </c>
      <c r="T934" s="5" t="s">
        <v>61</v>
      </c>
    </row>
    <row r="935" customFormat="false" ht="15" hidden="false" customHeight="false" outlineLevel="0" collapsed="false">
      <c r="A935" s="5" t="s">
        <v>4</v>
      </c>
      <c r="B935" s="5" t="s">
        <v>55</v>
      </c>
      <c r="C935" s="2" t="s">
        <v>56</v>
      </c>
      <c r="D935" s="5" t="s">
        <v>80</v>
      </c>
      <c r="E935" s="5" t="s">
        <v>62</v>
      </c>
      <c r="F935" s="2" t="n">
        <v>14</v>
      </c>
      <c r="G935" s="5" t="s">
        <v>63</v>
      </c>
      <c r="H935" s="2" t="n">
        <v>1</v>
      </c>
      <c r="I935" s="2" t="n">
        <v>1</v>
      </c>
      <c r="J935" s="2" t="n">
        <v>1</v>
      </c>
      <c r="K935" s="7" t="n">
        <v>0.6805779188</v>
      </c>
      <c r="L935" s="7" t="n">
        <v>0.04144556043</v>
      </c>
      <c r="M935" s="7" t="n">
        <v>0.06311372657</v>
      </c>
      <c r="N935" s="7" t="n">
        <v>12</v>
      </c>
      <c r="O935" s="7" t="n">
        <v>12</v>
      </c>
      <c r="P935" s="7" t="n">
        <v>11</v>
      </c>
      <c r="Q935" s="2"/>
      <c r="R935" s="7" t="n">
        <v>2.236455</v>
      </c>
      <c r="S935" s="5" t="s">
        <v>79</v>
      </c>
      <c r="T935" s="5" t="s">
        <v>61</v>
      </c>
    </row>
    <row r="936" customFormat="false" ht="15" hidden="false" customHeight="false" outlineLevel="0" collapsed="false">
      <c r="A936" s="5" t="s">
        <v>4</v>
      </c>
      <c r="B936" s="5" t="s">
        <v>55</v>
      </c>
      <c r="C936" s="2" t="s">
        <v>56</v>
      </c>
      <c r="D936" s="5" t="s">
        <v>80</v>
      </c>
      <c r="E936" s="5" t="s">
        <v>58</v>
      </c>
      <c r="F936" s="2" t="n">
        <v>14</v>
      </c>
      <c r="G936" s="5" t="s">
        <v>64</v>
      </c>
      <c r="H936" s="2" t="n">
        <v>0</v>
      </c>
      <c r="I936" s="2" t="n">
        <v>1</v>
      </c>
      <c r="J936" s="2" t="n">
        <v>1</v>
      </c>
      <c r="K936" s="7" t="n">
        <v>0.9281590138</v>
      </c>
      <c r="L936" s="7" t="n">
        <v>0.1649544004</v>
      </c>
      <c r="M936" s="7" t="n">
        <v>0.1739598393</v>
      </c>
      <c r="N936" s="7" t="n">
        <v>8</v>
      </c>
      <c r="O936" s="7" t="n">
        <v>8</v>
      </c>
      <c r="P936" s="7" t="n">
        <v>0</v>
      </c>
      <c r="Q936" s="2"/>
      <c r="R936" s="7" t="n">
        <v>1.796344</v>
      </c>
      <c r="S936" s="5" t="s">
        <v>79</v>
      </c>
      <c r="T936" s="5" t="s">
        <v>61</v>
      </c>
    </row>
    <row r="937" customFormat="false" ht="15" hidden="false" customHeight="false" outlineLevel="0" collapsed="false">
      <c r="A937" s="5" t="s">
        <v>4</v>
      </c>
      <c r="B937" s="5" t="s">
        <v>55</v>
      </c>
      <c r="C937" s="2" t="s">
        <v>56</v>
      </c>
      <c r="D937" s="5" t="s">
        <v>80</v>
      </c>
      <c r="E937" s="5" t="s">
        <v>62</v>
      </c>
      <c r="F937" s="2" t="n">
        <v>14</v>
      </c>
      <c r="G937" s="5" t="s">
        <v>64</v>
      </c>
      <c r="H937" s="2" t="n">
        <v>0</v>
      </c>
      <c r="I937" s="2" t="n">
        <v>1</v>
      </c>
      <c r="J937" s="2" t="n">
        <v>1</v>
      </c>
      <c r="K937" s="7" t="n">
        <v>0.9281590138</v>
      </c>
      <c r="L937" s="7" t="n">
        <v>0.1649544004</v>
      </c>
      <c r="M937" s="7" t="n">
        <v>0.1739598393</v>
      </c>
      <c r="N937" s="7" t="n">
        <v>8</v>
      </c>
      <c r="O937" s="7" t="n">
        <v>8</v>
      </c>
      <c r="P937" s="7" t="n">
        <v>8</v>
      </c>
      <c r="Q937" s="2"/>
      <c r="R937" s="7" t="n">
        <v>2.682164</v>
      </c>
      <c r="S937" s="5" t="s">
        <v>79</v>
      </c>
      <c r="T937" s="5" t="s">
        <v>61</v>
      </c>
    </row>
    <row r="938" customFormat="false" ht="15" hidden="false" customHeight="false" outlineLevel="0" collapsed="false">
      <c r="A938" s="5" t="s">
        <v>4</v>
      </c>
      <c r="B938" s="5" t="s">
        <v>55</v>
      </c>
      <c r="C938" s="2" t="s">
        <v>56</v>
      </c>
      <c r="D938" s="5" t="s">
        <v>80</v>
      </c>
      <c r="E938" s="5" t="s">
        <v>58</v>
      </c>
      <c r="F938" s="2" t="n">
        <v>14</v>
      </c>
      <c r="G938" s="5" t="s">
        <v>65</v>
      </c>
      <c r="H938" s="2" t="n">
        <v>0</v>
      </c>
      <c r="I938" s="2" t="n">
        <v>1</v>
      </c>
      <c r="J938" s="2" t="n">
        <v>1</v>
      </c>
      <c r="K938" s="7" t="n">
        <v>1.460014396</v>
      </c>
      <c r="L938" s="7" t="n">
        <v>0.2346145077</v>
      </c>
      <c r="M938" s="7" t="n">
        <v>0.2558192079</v>
      </c>
      <c r="N938" s="7" t="n">
        <v>8</v>
      </c>
      <c r="O938" s="7" t="n">
        <v>8</v>
      </c>
      <c r="P938" s="7" t="n">
        <v>0</v>
      </c>
      <c r="Q938" s="2"/>
      <c r="R938" s="7" t="n">
        <v>2.763224</v>
      </c>
      <c r="S938" s="5" t="s">
        <v>79</v>
      </c>
      <c r="T938" s="5" t="s">
        <v>61</v>
      </c>
    </row>
    <row r="939" customFormat="false" ht="15" hidden="false" customHeight="false" outlineLevel="0" collapsed="false">
      <c r="A939" s="5" t="s">
        <v>4</v>
      </c>
      <c r="B939" s="5" t="s">
        <v>55</v>
      </c>
      <c r="C939" s="2" t="s">
        <v>56</v>
      </c>
      <c r="D939" s="5" t="s">
        <v>80</v>
      </c>
      <c r="E939" s="5" t="s">
        <v>62</v>
      </c>
      <c r="F939" s="2" t="n">
        <v>14</v>
      </c>
      <c r="G939" s="5" t="s">
        <v>65</v>
      </c>
      <c r="H939" s="2" t="n">
        <v>0</v>
      </c>
      <c r="I939" s="2" t="n">
        <v>1</v>
      </c>
      <c r="J939" s="2" t="n">
        <v>0</v>
      </c>
      <c r="K939" s="7" t="n">
        <v>1.899627915</v>
      </c>
      <c r="L939" s="7" t="n">
        <v>0.6225710435</v>
      </c>
      <c r="M939" s="7" t="n">
        <v>0.6362496636</v>
      </c>
      <c r="N939" s="7" t="n">
        <v>8</v>
      </c>
      <c r="O939" s="7" t="n">
        <v>8</v>
      </c>
      <c r="P939" s="7" t="n">
        <v>7</v>
      </c>
      <c r="Q939" s="2"/>
      <c r="R939" s="7" t="n">
        <v>3.362079</v>
      </c>
      <c r="S939" s="5" t="s">
        <v>79</v>
      </c>
      <c r="T939" s="5" t="s">
        <v>61</v>
      </c>
    </row>
    <row r="940" customFormat="false" ht="15" hidden="false" customHeight="false" outlineLevel="0" collapsed="false">
      <c r="A940" s="5" t="s">
        <v>4</v>
      </c>
      <c r="B940" s="5" t="s">
        <v>55</v>
      </c>
      <c r="C940" s="2" t="s">
        <v>56</v>
      </c>
      <c r="D940" s="5" t="s">
        <v>80</v>
      </c>
      <c r="E940" s="5" t="s">
        <v>58</v>
      </c>
      <c r="F940" s="2" t="n">
        <v>14</v>
      </c>
      <c r="G940" s="5" t="s">
        <v>66</v>
      </c>
      <c r="H940" s="2" t="n">
        <v>0</v>
      </c>
      <c r="I940" s="2" t="n">
        <v>0</v>
      </c>
      <c r="J940" s="2" t="n">
        <v>0</v>
      </c>
      <c r="K940" s="2"/>
      <c r="L940" s="2"/>
      <c r="M940" s="2"/>
      <c r="N940" s="7" t="n">
        <v>1</v>
      </c>
      <c r="O940" s="7" t="n">
        <v>1</v>
      </c>
      <c r="P940" s="7" t="n">
        <v>0</v>
      </c>
      <c r="Q940" s="2"/>
      <c r="R940" s="7" t="n">
        <v>3.029408</v>
      </c>
      <c r="S940" s="5" t="s">
        <v>79</v>
      </c>
      <c r="T940" s="5" t="s">
        <v>61</v>
      </c>
    </row>
    <row r="941" customFormat="false" ht="15" hidden="false" customHeight="false" outlineLevel="0" collapsed="false">
      <c r="A941" s="5" t="s">
        <v>4</v>
      </c>
      <c r="B941" s="5" t="s">
        <v>55</v>
      </c>
      <c r="C941" s="2" t="s">
        <v>56</v>
      </c>
      <c r="D941" s="5" t="s">
        <v>80</v>
      </c>
      <c r="E941" s="5" t="s">
        <v>62</v>
      </c>
      <c r="F941" s="2" t="n">
        <v>14</v>
      </c>
      <c r="G941" s="5" t="s">
        <v>66</v>
      </c>
      <c r="H941" s="2" t="n">
        <v>0</v>
      </c>
      <c r="I941" s="2" t="n">
        <v>0</v>
      </c>
      <c r="J941" s="2" t="n">
        <v>0</v>
      </c>
      <c r="K941" s="2"/>
      <c r="L941" s="2"/>
      <c r="M941" s="2"/>
      <c r="N941" s="7" t="n">
        <v>1</v>
      </c>
      <c r="O941" s="7" t="n">
        <v>1</v>
      </c>
      <c r="P941" s="7" t="n">
        <v>0</v>
      </c>
      <c r="Q941" s="2"/>
      <c r="R941" s="7" t="n">
        <v>3.028516</v>
      </c>
      <c r="S941" s="5" t="s">
        <v>79</v>
      </c>
      <c r="T941" s="5" t="s">
        <v>61</v>
      </c>
    </row>
    <row r="942" customFormat="false" ht="15" hidden="false" customHeight="false" outlineLevel="0" collapsed="false">
      <c r="A942" s="5" t="s">
        <v>4</v>
      </c>
      <c r="B942" s="5" t="s">
        <v>55</v>
      </c>
      <c r="C942" s="2" t="s">
        <v>56</v>
      </c>
      <c r="D942" s="5" t="s">
        <v>80</v>
      </c>
      <c r="E942" s="5" t="s">
        <v>58</v>
      </c>
      <c r="F942" s="2" t="n">
        <v>15</v>
      </c>
      <c r="G942" s="5" t="s">
        <v>59</v>
      </c>
      <c r="H942" s="2" t="n">
        <v>1</v>
      </c>
      <c r="I942" s="2" t="n">
        <v>1</v>
      </c>
      <c r="J942" s="2" t="n">
        <v>1</v>
      </c>
      <c r="K942" s="7" t="n">
        <v>0.3482408067</v>
      </c>
      <c r="L942" s="7" t="n">
        <v>0.05272391475</v>
      </c>
      <c r="M942" s="7" t="n">
        <v>0.05629351039</v>
      </c>
      <c r="N942" s="7" t="n">
        <v>13</v>
      </c>
      <c r="O942" s="7" t="n">
        <v>13</v>
      </c>
      <c r="P942" s="7" t="n">
        <v>0</v>
      </c>
      <c r="Q942" s="2"/>
      <c r="R942" s="7" t="n">
        <v>1.909291</v>
      </c>
      <c r="S942" s="5" t="s">
        <v>79</v>
      </c>
      <c r="T942" s="5" t="s">
        <v>61</v>
      </c>
    </row>
    <row r="943" customFormat="false" ht="15" hidden="false" customHeight="false" outlineLevel="0" collapsed="false">
      <c r="A943" s="5" t="s">
        <v>4</v>
      </c>
      <c r="B943" s="5" t="s">
        <v>55</v>
      </c>
      <c r="C943" s="2" t="s">
        <v>56</v>
      </c>
      <c r="D943" s="5" t="s">
        <v>80</v>
      </c>
      <c r="E943" s="5" t="s">
        <v>62</v>
      </c>
      <c r="F943" s="2" t="n">
        <v>15</v>
      </c>
      <c r="G943" s="5" t="s">
        <v>59</v>
      </c>
      <c r="H943" s="2" t="n">
        <v>1</v>
      </c>
      <c r="I943" s="2" t="n">
        <v>1</v>
      </c>
      <c r="J943" s="2" t="n">
        <v>1</v>
      </c>
      <c r="K943" s="7" t="n">
        <v>0.3482408067</v>
      </c>
      <c r="L943" s="7" t="n">
        <v>0.05272391475</v>
      </c>
      <c r="M943" s="7" t="n">
        <v>0.05629351039</v>
      </c>
      <c r="N943" s="7" t="n">
        <v>13</v>
      </c>
      <c r="O943" s="7" t="n">
        <v>13</v>
      </c>
      <c r="P943" s="7" t="n">
        <v>13</v>
      </c>
      <c r="Q943" s="2"/>
      <c r="R943" s="7" t="n">
        <v>2.696485</v>
      </c>
      <c r="S943" s="5" t="s">
        <v>79</v>
      </c>
      <c r="T943" s="5" t="s">
        <v>61</v>
      </c>
    </row>
    <row r="944" customFormat="false" ht="15" hidden="false" customHeight="false" outlineLevel="0" collapsed="false">
      <c r="A944" s="5" t="s">
        <v>4</v>
      </c>
      <c r="B944" s="5" t="s">
        <v>55</v>
      </c>
      <c r="C944" s="2" t="s">
        <v>56</v>
      </c>
      <c r="D944" s="5" t="s">
        <v>80</v>
      </c>
      <c r="E944" s="5" t="s">
        <v>58</v>
      </c>
      <c r="F944" s="2" t="n">
        <v>15</v>
      </c>
      <c r="G944" s="5" t="s">
        <v>63</v>
      </c>
      <c r="H944" s="2" t="n">
        <v>1</v>
      </c>
      <c r="I944" s="2" t="n">
        <v>1</v>
      </c>
      <c r="J944" s="2" t="n">
        <v>1</v>
      </c>
      <c r="K944" s="7" t="n">
        <v>0.6887547826</v>
      </c>
      <c r="L944" s="7" t="n">
        <v>0.06438975163</v>
      </c>
      <c r="M944" s="7" t="n">
        <v>0.07499464974</v>
      </c>
      <c r="N944" s="7" t="n">
        <v>11</v>
      </c>
      <c r="O944" s="7" t="n">
        <v>11</v>
      </c>
      <c r="P944" s="7" t="n">
        <v>0</v>
      </c>
      <c r="Q944" s="2"/>
      <c r="R944" s="7" t="n">
        <v>1.519916</v>
      </c>
      <c r="S944" s="5" t="s">
        <v>79</v>
      </c>
      <c r="T944" s="5" t="s">
        <v>61</v>
      </c>
    </row>
    <row r="945" customFormat="false" ht="15" hidden="false" customHeight="false" outlineLevel="0" collapsed="false">
      <c r="A945" s="5" t="s">
        <v>4</v>
      </c>
      <c r="B945" s="5" t="s">
        <v>55</v>
      </c>
      <c r="C945" s="2" t="s">
        <v>56</v>
      </c>
      <c r="D945" s="5" t="s">
        <v>80</v>
      </c>
      <c r="E945" s="5" t="s">
        <v>62</v>
      </c>
      <c r="F945" s="2" t="n">
        <v>15</v>
      </c>
      <c r="G945" s="5" t="s">
        <v>63</v>
      </c>
      <c r="H945" s="2" t="n">
        <v>1</v>
      </c>
      <c r="I945" s="2" t="n">
        <v>1</v>
      </c>
      <c r="J945" s="2" t="n">
        <v>1</v>
      </c>
      <c r="K945" s="7" t="n">
        <v>0.6887547826</v>
      </c>
      <c r="L945" s="7" t="n">
        <v>0.06438975163</v>
      </c>
      <c r="M945" s="7" t="n">
        <v>0.07499464974</v>
      </c>
      <c r="N945" s="7" t="n">
        <v>11</v>
      </c>
      <c r="O945" s="7" t="n">
        <v>11</v>
      </c>
      <c r="P945" s="7" t="n">
        <v>10</v>
      </c>
      <c r="Q945" s="2"/>
      <c r="R945" s="7" t="n">
        <v>2.135846</v>
      </c>
      <c r="S945" s="5" t="s">
        <v>79</v>
      </c>
      <c r="T945" s="5" t="s">
        <v>61</v>
      </c>
    </row>
    <row r="946" customFormat="false" ht="15" hidden="false" customHeight="false" outlineLevel="0" collapsed="false">
      <c r="A946" s="5" t="s">
        <v>4</v>
      </c>
      <c r="B946" s="5" t="s">
        <v>55</v>
      </c>
      <c r="C946" s="2" t="s">
        <v>56</v>
      </c>
      <c r="D946" s="5" t="s">
        <v>80</v>
      </c>
      <c r="E946" s="5" t="s">
        <v>58</v>
      </c>
      <c r="F946" s="2" t="n">
        <v>15</v>
      </c>
      <c r="G946" s="5" t="s">
        <v>64</v>
      </c>
      <c r="H946" s="2" t="n">
        <v>0</v>
      </c>
      <c r="I946" s="2" t="n">
        <v>1</v>
      </c>
      <c r="J946" s="2" t="n">
        <v>1</v>
      </c>
      <c r="K946" s="7" t="n">
        <v>1.163274389</v>
      </c>
      <c r="L946" s="7" t="n">
        <v>0.2460731018</v>
      </c>
      <c r="M946" s="7" t="n">
        <v>0.2538565953</v>
      </c>
      <c r="N946" s="7" t="n">
        <v>8</v>
      </c>
      <c r="O946" s="7" t="n">
        <v>8</v>
      </c>
      <c r="P946" s="7" t="n">
        <v>0</v>
      </c>
      <c r="Q946" s="2"/>
      <c r="R946" s="7" t="n">
        <v>1.702526</v>
      </c>
      <c r="S946" s="5" t="s">
        <v>79</v>
      </c>
      <c r="T946" s="5" t="s">
        <v>61</v>
      </c>
    </row>
    <row r="947" customFormat="false" ht="15" hidden="false" customHeight="false" outlineLevel="0" collapsed="false">
      <c r="A947" s="5" t="s">
        <v>4</v>
      </c>
      <c r="B947" s="5" t="s">
        <v>55</v>
      </c>
      <c r="C947" s="2" t="s">
        <v>56</v>
      </c>
      <c r="D947" s="5" t="s">
        <v>80</v>
      </c>
      <c r="E947" s="5" t="s">
        <v>62</v>
      </c>
      <c r="F947" s="2" t="n">
        <v>15</v>
      </c>
      <c r="G947" s="5" t="s">
        <v>64</v>
      </c>
      <c r="H947" s="2" t="n">
        <v>0</v>
      </c>
      <c r="I947" s="2" t="n">
        <v>1</v>
      </c>
      <c r="J947" s="2" t="n">
        <v>1</v>
      </c>
      <c r="K947" s="7" t="n">
        <v>1.163274389</v>
      </c>
      <c r="L947" s="7" t="n">
        <v>0.2460731018</v>
      </c>
      <c r="M947" s="7" t="n">
        <v>0.2538565953</v>
      </c>
      <c r="N947" s="7" t="n">
        <v>8</v>
      </c>
      <c r="O947" s="7" t="n">
        <v>8</v>
      </c>
      <c r="P947" s="7" t="n">
        <v>8</v>
      </c>
      <c r="Q947" s="2"/>
      <c r="R947" s="7" t="n">
        <v>2.225178</v>
      </c>
      <c r="S947" s="5" t="s">
        <v>79</v>
      </c>
      <c r="T947" s="5" t="s">
        <v>61</v>
      </c>
    </row>
    <row r="948" customFormat="false" ht="15" hidden="false" customHeight="false" outlineLevel="0" collapsed="false">
      <c r="A948" s="5" t="s">
        <v>4</v>
      </c>
      <c r="B948" s="5" t="s">
        <v>55</v>
      </c>
      <c r="C948" s="2" t="s">
        <v>56</v>
      </c>
      <c r="D948" s="5" t="s">
        <v>80</v>
      </c>
      <c r="E948" s="5" t="s">
        <v>58</v>
      </c>
      <c r="F948" s="2" t="n">
        <v>15</v>
      </c>
      <c r="G948" s="5" t="s">
        <v>65</v>
      </c>
      <c r="H948" s="2" t="n">
        <v>0</v>
      </c>
      <c r="I948" s="2" t="n">
        <v>1</v>
      </c>
      <c r="J948" s="2" t="n">
        <v>1</v>
      </c>
      <c r="K948" s="7" t="n">
        <v>1.304202253</v>
      </c>
      <c r="L948" s="7" t="n">
        <v>0.2196412998</v>
      </c>
      <c r="M948" s="7" t="n">
        <v>0.2373017151</v>
      </c>
      <c r="N948" s="7" t="n">
        <v>5</v>
      </c>
      <c r="O948" s="7" t="n">
        <v>5</v>
      </c>
      <c r="P948" s="7" t="n">
        <v>0</v>
      </c>
      <c r="Q948" s="2"/>
      <c r="R948" s="7" t="n">
        <v>2.40145</v>
      </c>
      <c r="S948" s="5" t="s">
        <v>79</v>
      </c>
      <c r="T948" s="5" t="s">
        <v>61</v>
      </c>
    </row>
    <row r="949" customFormat="false" ht="15" hidden="false" customHeight="false" outlineLevel="0" collapsed="false">
      <c r="A949" s="5" t="s">
        <v>4</v>
      </c>
      <c r="B949" s="5" t="s">
        <v>55</v>
      </c>
      <c r="C949" s="2" t="s">
        <v>56</v>
      </c>
      <c r="D949" s="5" t="s">
        <v>80</v>
      </c>
      <c r="E949" s="5" t="s">
        <v>62</v>
      </c>
      <c r="F949" s="2" t="n">
        <v>15</v>
      </c>
      <c r="G949" s="5" t="s">
        <v>65</v>
      </c>
      <c r="H949" s="2" t="n">
        <v>0</v>
      </c>
      <c r="I949" s="2" t="n">
        <v>1</v>
      </c>
      <c r="J949" s="2" t="n">
        <v>1</v>
      </c>
      <c r="K949" s="7" t="n">
        <v>0.672422449</v>
      </c>
      <c r="L949" s="7" t="n">
        <v>0.1330174032</v>
      </c>
      <c r="M949" s="7" t="n">
        <v>0.1378867742</v>
      </c>
      <c r="N949" s="7" t="n">
        <v>5</v>
      </c>
      <c r="O949" s="7" t="n">
        <v>5</v>
      </c>
      <c r="P949" s="7" t="n">
        <v>4</v>
      </c>
      <c r="Q949" s="2"/>
      <c r="R949" s="7" t="n">
        <v>2.736334</v>
      </c>
      <c r="S949" s="5" t="s">
        <v>79</v>
      </c>
      <c r="T949" s="5" t="s">
        <v>61</v>
      </c>
    </row>
    <row r="950" customFormat="false" ht="15" hidden="false" customHeight="false" outlineLevel="0" collapsed="false">
      <c r="A950" s="5" t="s">
        <v>4</v>
      </c>
      <c r="B950" s="5" t="s">
        <v>55</v>
      </c>
      <c r="C950" s="2" t="s">
        <v>56</v>
      </c>
      <c r="D950" s="5" t="s">
        <v>80</v>
      </c>
      <c r="E950" s="5" t="s">
        <v>58</v>
      </c>
      <c r="F950" s="2" t="n">
        <v>15</v>
      </c>
      <c r="G950" s="5" t="s">
        <v>66</v>
      </c>
      <c r="H950" s="2" t="n">
        <v>0</v>
      </c>
      <c r="I950" s="2" t="n">
        <v>0</v>
      </c>
      <c r="J950" s="2" t="n">
        <v>0</v>
      </c>
      <c r="K950" s="2"/>
      <c r="L950" s="2"/>
      <c r="M950" s="2"/>
      <c r="N950" s="7" t="n">
        <v>2</v>
      </c>
      <c r="O950" s="7" t="n">
        <v>2</v>
      </c>
      <c r="P950" s="7" t="n">
        <v>0</v>
      </c>
      <c r="Q950" s="2"/>
      <c r="R950" s="7" t="n">
        <v>3.175783</v>
      </c>
      <c r="S950" s="5" t="s">
        <v>79</v>
      </c>
      <c r="T950" s="5" t="s">
        <v>61</v>
      </c>
    </row>
    <row r="951" customFormat="false" ht="15" hidden="false" customHeight="false" outlineLevel="0" collapsed="false">
      <c r="A951" s="5" t="s">
        <v>4</v>
      </c>
      <c r="B951" s="5" t="s">
        <v>55</v>
      </c>
      <c r="C951" s="2" t="s">
        <v>56</v>
      </c>
      <c r="D951" s="5" t="s">
        <v>80</v>
      </c>
      <c r="E951" s="5" t="s">
        <v>62</v>
      </c>
      <c r="F951" s="2" t="n">
        <v>15</v>
      </c>
      <c r="G951" s="5" t="s">
        <v>66</v>
      </c>
      <c r="H951" s="2" t="n">
        <v>0</v>
      </c>
      <c r="I951" s="2" t="n">
        <v>0</v>
      </c>
      <c r="J951" s="2" t="n">
        <v>0</v>
      </c>
      <c r="K951" s="2"/>
      <c r="L951" s="2"/>
      <c r="M951" s="2"/>
      <c r="N951" s="7" t="n">
        <v>2</v>
      </c>
      <c r="O951" s="7" t="n">
        <v>2</v>
      </c>
      <c r="P951" s="7" t="n">
        <v>0</v>
      </c>
      <c r="Q951" s="2"/>
      <c r="R951" s="7" t="n">
        <v>3.175292</v>
      </c>
      <c r="S951" s="5" t="s">
        <v>79</v>
      </c>
      <c r="T951" s="5" t="s">
        <v>61</v>
      </c>
    </row>
    <row r="952" customFormat="false" ht="15" hidden="false" customHeight="false" outlineLevel="0" collapsed="false">
      <c r="A952" s="5" t="s">
        <v>4</v>
      </c>
      <c r="B952" s="5" t="s">
        <v>55</v>
      </c>
      <c r="C952" s="2" t="s">
        <v>56</v>
      </c>
      <c r="D952" s="5" t="s">
        <v>80</v>
      </c>
      <c r="E952" s="5" t="s">
        <v>58</v>
      </c>
      <c r="F952" s="2" t="n">
        <v>16</v>
      </c>
      <c r="G952" s="5" t="s">
        <v>59</v>
      </c>
      <c r="H952" s="2" t="n">
        <v>1</v>
      </c>
      <c r="I952" s="2" t="n">
        <v>1</v>
      </c>
      <c r="J952" s="2" t="n">
        <v>1</v>
      </c>
      <c r="K952" s="7" t="n">
        <v>0.3769812217</v>
      </c>
      <c r="L952" s="7" t="n">
        <v>0.07844693399</v>
      </c>
      <c r="M952" s="7" t="n">
        <v>0.08220886909</v>
      </c>
      <c r="N952" s="7" t="n">
        <v>8</v>
      </c>
      <c r="O952" s="7" t="n">
        <v>8</v>
      </c>
      <c r="P952" s="7" t="n">
        <v>0</v>
      </c>
      <c r="Q952" s="2"/>
      <c r="R952" s="7" t="n">
        <v>1.737237</v>
      </c>
      <c r="S952" s="5" t="s">
        <v>79</v>
      </c>
      <c r="T952" s="5" t="s">
        <v>61</v>
      </c>
    </row>
    <row r="953" customFormat="false" ht="15" hidden="false" customHeight="false" outlineLevel="0" collapsed="false">
      <c r="A953" s="5" t="s">
        <v>4</v>
      </c>
      <c r="B953" s="5" t="s">
        <v>55</v>
      </c>
      <c r="C953" s="2" t="s">
        <v>56</v>
      </c>
      <c r="D953" s="5" t="s">
        <v>80</v>
      </c>
      <c r="E953" s="5" t="s">
        <v>62</v>
      </c>
      <c r="F953" s="2" t="n">
        <v>16</v>
      </c>
      <c r="G953" s="5" t="s">
        <v>59</v>
      </c>
      <c r="H953" s="2" t="n">
        <v>1</v>
      </c>
      <c r="I953" s="2" t="n">
        <v>1</v>
      </c>
      <c r="J953" s="2" t="n">
        <v>1</v>
      </c>
      <c r="K953" s="7" t="n">
        <v>0.3769812217</v>
      </c>
      <c r="L953" s="7" t="n">
        <v>0.07844693399</v>
      </c>
      <c r="M953" s="7" t="n">
        <v>0.08220886909</v>
      </c>
      <c r="N953" s="7" t="n">
        <v>8</v>
      </c>
      <c r="O953" s="7" t="n">
        <v>8</v>
      </c>
      <c r="P953" s="7" t="n">
        <v>8</v>
      </c>
      <c r="Q953" s="2"/>
      <c r="R953" s="7" t="n">
        <v>2.216095</v>
      </c>
      <c r="S953" s="5" t="s">
        <v>79</v>
      </c>
      <c r="T953" s="5" t="s">
        <v>61</v>
      </c>
    </row>
    <row r="954" customFormat="false" ht="15" hidden="false" customHeight="false" outlineLevel="0" collapsed="false">
      <c r="A954" s="5" t="s">
        <v>4</v>
      </c>
      <c r="B954" s="5" t="s">
        <v>55</v>
      </c>
      <c r="C954" s="2" t="s">
        <v>56</v>
      </c>
      <c r="D954" s="5" t="s">
        <v>80</v>
      </c>
      <c r="E954" s="5" t="s">
        <v>58</v>
      </c>
      <c r="F954" s="2" t="n">
        <v>16</v>
      </c>
      <c r="G954" s="5" t="s">
        <v>63</v>
      </c>
      <c r="H954" s="2" t="n">
        <v>1</v>
      </c>
      <c r="I954" s="2" t="n">
        <v>1</v>
      </c>
      <c r="J954" s="2" t="n">
        <v>1</v>
      </c>
      <c r="K954" s="7" t="n">
        <v>0.5775604697</v>
      </c>
      <c r="L954" s="7" t="n">
        <v>0.02426261638</v>
      </c>
      <c r="M954" s="7" t="n">
        <v>0.04965355326</v>
      </c>
      <c r="N954" s="7" t="n">
        <v>12</v>
      </c>
      <c r="O954" s="7" t="n">
        <v>12</v>
      </c>
      <c r="P954" s="7" t="n">
        <v>0</v>
      </c>
      <c r="Q954" s="2"/>
      <c r="R954" s="7" t="n">
        <v>1.669036</v>
      </c>
      <c r="S954" s="5" t="s">
        <v>79</v>
      </c>
      <c r="T954" s="5" t="s">
        <v>61</v>
      </c>
    </row>
    <row r="955" customFormat="false" ht="15" hidden="false" customHeight="false" outlineLevel="0" collapsed="false">
      <c r="A955" s="5" t="s">
        <v>4</v>
      </c>
      <c r="B955" s="5" t="s">
        <v>55</v>
      </c>
      <c r="C955" s="2" t="s">
        <v>56</v>
      </c>
      <c r="D955" s="5" t="s">
        <v>80</v>
      </c>
      <c r="E955" s="5" t="s">
        <v>62</v>
      </c>
      <c r="F955" s="2" t="n">
        <v>16</v>
      </c>
      <c r="G955" s="5" t="s">
        <v>63</v>
      </c>
      <c r="H955" s="2" t="n">
        <v>1</v>
      </c>
      <c r="I955" s="2" t="n">
        <v>1</v>
      </c>
      <c r="J955" s="2" t="n">
        <v>1</v>
      </c>
      <c r="K955" s="7" t="n">
        <v>0.5775604697</v>
      </c>
      <c r="L955" s="7" t="n">
        <v>0.02426261638</v>
      </c>
      <c r="M955" s="7" t="n">
        <v>0.04965355326</v>
      </c>
      <c r="N955" s="7" t="n">
        <v>12</v>
      </c>
      <c r="O955" s="7" t="n">
        <v>12</v>
      </c>
      <c r="P955" s="7" t="n">
        <v>12</v>
      </c>
      <c r="Q955" s="2"/>
      <c r="R955" s="7" t="n">
        <v>2.284796</v>
      </c>
      <c r="S955" s="5" t="s">
        <v>79</v>
      </c>
      <c r="T955" s="5" t="s">
        <v>61</v>
      </c>
    </row>
    <row r="956" customFormat="false" ht="15" hidden="false" customHeight="false" outlineLevel="0" collapsed="false">
      <c r="A956" s="5" t="s">
        <v>4</v>
      </c>
      <c r="B956" s="5" t="s">
        <v>55</v>
      </c>
      <c r="C956" s="2" t="s">
        <v>56</v>
      </c>
      <c r="D956" s="5" t="s">
        <v>80</v>
      </c>
      <c r="E956" s="5" t="s">
        <v>58</v>
      </c>
      <c r="F956" s="2" t="n">
        <v>16</v>
      </c>
      <c r="G956" s="5" t="s">
        <v>64</v>
      </c>
      <c r="H956" s="2" t="n">
        <v>0</v>
      </c>
      <c r="I956" s="2" t="n">
        <v>1</v>
      </c>
      <c r="J956" s="2" t="n">
        <v>0</v>
      </c>
      <c r="K956" s="7" t="n">
        <v>2.133921892</v>
      </c>
      <c r="L956" s="7" t="n">
        <v>0.4563439584</v>
      </c>
      <c r="M956" s="7" t="n">
        <v>0.4683587925</v>
      </c>
      <c r="N956" s="7" t="n">
        <v>3</v>
      </c>
      <c r="O956" s="7" t="n">
        <v>3</v>
      </c>
      <c r="P956" s="7" t="n">
        <v>0</v>
      </c>
      <c r="Q956" s="2"/>
      <c r="R956" s="7" t="n">
        <v>1.685891</v>
      </c>
      <c r="S956" s="5" t="s">
        <v>79</v>
      </c>
      <c r="T956" s="5" t="s">
        <v>61</v>
      </c>
    </row>
    <row r="957" customFormat="false" ht="15" hidden="false" customHeight="false" outlineLevel="0" collapsed="false">
      <c r="A957" s="5" t="s">
        <v>4</v>
      </c>
      <c r="B957" s="5" t="s">
        <v>55</v>
      </c>
      <c r="C957" s="2" t="s">
        <v>56</v>
      </c>
      <c r="D957" s="5" t="s">
        <v>80</v>
      </c>
      <c r="E957" s="5" t="s">
        <v>62</v>
      </c>
      <c r="F957" s="2" t="n">
        <v>16</v>
      </c>
      <c r="G957" s="5" t="s">
        <v>64</v>
      </c>
      <c r="H957" s="2" t="n">
        <v>0</v>
      </c>
      <c r="I957" s="2" t="n">
        <v>1</v>
      </c>
      <c r="J957" s="2" t="n">
        <v>0</v>
      </c>
      <c r="K957" s="7" t="n">
        <v>2.133921892</v>
      </c>
      <c r="L957" s="7" t="n">
        <v>0.4563439584</v>
      </c>
      <c r="M957" s="7" t="n">
        <v>0.4683587925</v>
      </c>
      <c r="N957" s="7" t="n">
        <v>3</v>
      </c>
      <c r="O957" s="7" t="n">
        <v>3</v>
      </c>
      <c r="P957" s="7" t="n">
        <v>3</v>
      </c>
      <c r="Q957" s="2"/>
      <c r="R957" s="7" t="n">
        <v>1.869773</v>
      </c>
      <c r="S957" s="5" t="s">
        <v>79</v>
      </c>
      <c r="T957" s="5" t="s">
        <v>61</v>
      </c>
    </row>
    <row r="958" customFormat="false" ht="15" hidden="false" customHeight="false" outlineLevel="0" collapsed="false">
      <c r="A958" s="5" t="s">
        <v>4</v>
      </c>
      <c r="B958" s="5" t="s">
        <v>55</v>
      </c>
      <c r="C958" s="2" t="s">
        <v>56</v>
      </c>
      <c r="D958" s="5" t="s">
        <v>80</v>
      </c>
      <c r="E958" s="5" t="s">
        <v>58</v>
      </c>
      <c r="F958" s="2" t="n">
        <v>16</v>
      </c>
      <c r="G958" s="5" t="s">
        <v>65</v>
      </c>
      <c r="H958" s="2" t="n">
        <v>0</v>
      </c>
      <c r="I958" s="2" t="n">
        <v>1</v>
      </c>
      <c r="J958" s="2" t="n">
        <v>1</v>
      </c>
      <c r="K958" s="7" t="n">
        <v>1.200143528</v>
      </c>
      <c r="L958" s="7" t="n">
        <v>0.2513679803</v>
      </c>
      <c r="M958" s="7" t="n">
        <v>0.2595947881</v>
      </c>
      <c r="N958" s="7" t="n">
        <v>9</v>
      </c>
      <c r="O958" s="7" t="n">
        <v>9</v>
      </c>
      <c r="P958" s="7" t="n">
        <v>0</v>
      </c>
      <c r="Q958" s="2"/>
      <c r="R958" s="7" t="n">
        <v>2.568708</v>
      </c>
      <c r="S958" s="5" t="s">
        <v>79</v>
      </c>
      <c r="T958" s="5" t="s">
        <v>61</v>
      </c>
    </row>
    <row r="959" customFormat="false" ht="15" hidden="false" customHeight="false" outlineLevel="0" collapsed="false">
      <c r="A959" s="5" t="s">
        <v>4</v>
      </c>
      <c r="B959" s="5" t="s">
        <v>55</v>
      </c>
      <c r="C959" s="2" t="s">
        <v>56</v>
      </c>
      <c r="D959" s="5" t="s">
        <v>80</v>
      </c>
      <c r="E959" s="5" t="s">
        <v>62</v>
      </c>
      <c r="F959" s="2" t="n">
        <v>16</v>
      </c>
      <c r="G959" s="5" t="s">
        <v>65</v>
      </c>
      <c r="H959" s="2" t="n">
        <v>0</v>
      </c>
      <c r="I959" s="2" t="n">
        <v>1</v>
      </c>
      <c r="J959" s="2" t="n">
        <v>1</v>
      </c>
      <c r="K959" s="7" t="n">
        <v>0.5468830184</v>
      </c>
      <c r="L959" s="7" t="n">
        <v>0.1024908482</v>
      </c>
      <c r="M959" s="7" t="n">
        <v>0.1077081519</v>
      </c>
      <c r="N959" s="7" t="n">
        <v>9</v>
      </c>
      <c r="O959" s="7" t="n">
        <v>9</v>
      </c>
      <c r="P959" s="7" t="n">
        <v>8</v>
      </c>
      <c r="Q959" s="2"/>
      <c r="R959" s="7" t="n">
        <v>3.23964</v>
      </c>
      <c r="S959" s="5" t="s">
        <v>79</v>
      </c>
      <c r="T959" s="5" t="s">
        <v>61</v>
      </c>
    </row>
    <row r="960" customFormat="false" ht="15" hidden="false" customHeight="false" outlineLevel="0" collapsed="false">
      <c r="A960" s="5" t="s">
        <v>4</v>
      </c>
      <c r="B960" s="5" t="s">
        <v>55</v>
      </c>
      <c r="C960" s="2" t="s">
        <v>56</v>
      </c>
      <c r="D960" s="5" t="s">
        <v>80</v>
      </c>
      <c r="E960" s="5" t="s">
        <v>58</v>
      </c>
      <c r="F960" s="2" t="n">
        <v>16</v>
      </c>
      <c r="G960" s="5" t="s">
        <v>66</v>
      </c>
      <c r="H960" s="2" t="n">
        <v>0</v>
      </c>
      <c r="I960" s="2" t="n">
        <v>0</v>
      </c>
      <c r="J960" s="2" t="n">
        <v>0</v>
      </c>
      <c r="K960" s="2"/>
      <c r="L960" s="2"/>
      <c r="M960" s="2"/>
      <c r="N960" s="7" t="n">
        <v>2</v>
      </c>
      <c r="O960" s="7" t="n">
        <v>2</v>
      </c>
      <c r="P960" s="7" t="n">
        <v>0</v>
      </c>
      <c r="Q960" s="2"/>
      <c r="R960" s="7" t="n">
        <v>3.227311</v>
      </c>
      <c r="S960" s="5" t="s">
        <v>79</v>
      </c>
      <c r="T960" s="5" t="s">
        <v>61</v>
      </c>
    </row>
    <row r="961" customFormat="false" ht="15" hidden="false" customHeight="false" outlineLevel="0" collapsed="false">
      <c r="A961" s="5" t="s">
        <v>4</v>
      </c>
      <c r="B961" s="5" t="s">
        <v>55</v>
      </c>
      <c r="C961" s="2" t="s">
        <v>56</v>
      </c>
      <c r="D961" s="5" t="s">
        <v>80</v>
      </c>
      <c r="E961" s="5" t="s">
        <v>62</v>
      </c>
      <c r="F961" s="2" t="n">
        <v>16</v>
      </c>
      <c r="G961" s="5" t="s">
        <v>66</v>
      </c>
      <c r="H961" s="2" t="n">
        <v>0</v>
      </c>
      <c r="I961" s="2" t="n">
        <v>0</v>
      </c>
      <c r="J961" s="2" t="n">
        <v>0</v>
      </c>
      <c r="K961" s="2"/>
      <c r="L961" s="2"/>
      <c r="M961" s="2"/>
      <c r="N961" s="7" t="n">
        <v>2</v>
      </c>
      <c r="O961" s="7" t="n">
        <v>2</v>
      </c>
      <c r="P961" s="7" t="n">
        <v>0</v>
      </c>
      <c r="Q961" s="2"/>
      <c r="R961" s="7" t="n">
        <v>3.227161</v>
      </c>
      <c r="S961" s="5" t="s">
        <v>79</v>
      </c>
      <c r="T961" s="5" t="s">
        <v>61</v>
      </c>
    </row>
    <row r="962" customFormat="false" ht="15" hidden="false" customHeight="false" outlineLevel="0" collapsed="false">
      <c r="A962" s="5" t="s">
        <v>4</v>
      </c>
      <c r="B962" s="5" t="s">
        <v>55</v>
      </c>
      <c r="C962" s="2" t="s">
        <v>56</v>
      </c>
      <c r="D962" s="5" t="s">
        <v>80</v>
      </c>
      <c r="E962" s="5" t="s">
        <v>58</v>
      </c>
      <c r="F962" s="2" t="n">
        <v>17</v>
      </c>
      <c r="G962" s="5" t="s">
        <v>59</v>
      </c>
      <c r="H962" s="2" t="n">
        <v>1</v>
      </c>
      <c r="I962" s="2" t="n">
        <v>1</v>
      </c>
      <c r="J962" s="2" t="n">
        <v>1</v>
      </c>
      <c r="K962" s="7" t="n">
        <v>0.9019015346</v>
      </c>
      <c r="L962" s="7" t="n">
        <v>0.03892798866</v>
      </c>
      <c r="M962" s="7" t="n">
        <v>0.06353071899</v>
      </c>
      <c r="N962" s="7" t="n">
        <v>5</v>
      </c>
      <c r="O962" s="7" t="n">
        <v>5</v>
      </c>
      <c r="P962" s="7" t="n">
        <v>0</v>
      </c>
      <c r="Q962" s="2"/>
      <c r="R962" s="7" t="n">
        <v>1.617531</v>
      </c>
      <c r="S962" s="5" t="s">
        <v>79</v>
      </c>
      <c r="T962" s="5" t="s">
        <v>61</v>
      </c>
    </row>
    <row r="963" customFormat="false" ht="15" hidden="false" customHeight="false" outlineLevel="0" collapsed="false">
      <c r="A963" s="5" t="s">
        <v>4</v>
      </c>
      <c r="B963" s="5" t="s">
        <v>55</v>
      </c>
      <c r="C963" s="2" t="s">
        <v>56</v>
      </c>
      <c r="D963" s="5" t="s">
        <v>80</v>
      </c>
      <c r="E963" s="5" t="s">
        <v>62</v>
      </c>
      <c r="F963" s="2" t="n">
        <v>17</v>
      </c>
      <c r="G963" s="5" t="s">
        <v>59</v>
      </c>
      <c r="H963" s="2" t="n">
        <v>1</v>
      </c>
      <c r="I963" s="2" t="n">
        <v>1</v>
      </c>
      <c r="J963" s="2" t="n">
        <v>0</v>
      </c>
      <c r="K963" s="7" t="n">
        <v>2.054407435</v>
      </c>
      <c r="L963" s="7" t="n">
        <v>0.5209342922</v>
      </c>
      <c r="M963" s="7" t="n">
        <v>0.5398627571</v>
      </c>
      <c r="N963" s="7" t="n">
        <v>5</v>
      </c>
      <c r="O963" s="7" t="n">
        <v>5</v>
      </c>
      <c r="P963" s="7" t="n">
        <v>4</v>
      </c>
      <c r="Q963" s="2"/>
      <c r="R963" s="7" t="n">
        <v>1.957454</v>
      </c>
      <c r="S963" s="5" t="s">
        <v>79</v>
      </c>
      <c r="T963" s="5" t="s">
        <v>61</v>
      </c>
    </row>
    <row r="964" customFormat="false" ht="15" hidden="false" customHeight="false" outlineLevel="0" collapsed="false">
      <c r="A964" s="5" t="s">
        <v>4</v>
      </c>
      <c r="B964" s="5" t="s">
        <v>55</v>
      </c>
      <c r="C964" s="2" t="s">
        <v>56</v>
      </c>
      <c r="D964" s="5" t="s">
        <v>80</v>
      </c>
      <c r="E964" s="5" t="s">
        <v>58</v>
      </c>
      <c r="F964" s="2" t="n">
        <v>17</v>
      </c>
      <c r="G964" s="5" t="s">
        <v>63</v>
      </c>
      <c r="H964" s="2" t="n">
        <v>1</v>
      </c>
      <c r="I964" s="2" t="n">
        <v>1</v>
      </c>
      <c r="J964" s="2" t="n">
        <v>1</v>
      </c>
      <c r="K964" s="7" t="n">
        <v>0.4690510624</v>
      </c>
      <c r="L964" s="7" t="n">
        <v>0.008121348391</v>
      </c>
      <c r="M964" s="7" t="n">
        <v>0.02873579977</v>
      </c>
      <c r="N964" s="7" t="n">
        <v>14</v>
      </c>
      <c r="O964" s="7" t="n">
        <v>14</v>
      </c>
      <c r="P964" s="7" t="n">
        <v>0</v>
      </c>
      <c r="Q964" s="2"/>
      <c r="R964" s="7" t="n">
        <v>1.496783</v>
      </c>
      <c r="S964" s="5" t="s">
        <v>79</v>
      </c>
      <c r="T964" s="5" t="s">
        <v>61</v>
      </c>
    </row>
    <row r="965" customFormat="false" ht="15" hidden="false" customHeight="false" outlineLevel="0" collapsed="false">
      <c r="A965" s="5" t="s">
        <v>4</v>
      </c>
      <c r="B965" s="5" t="s">
        <v>55</v>
      </c>
      <c r="C965" s="2" t="s">
        <v>56</v>
      </c>
      <c r="D965" s="5" t="s">
        <v>80</v>
      </c>
      <c r="E965" s="5" t="s">
        <v>62</v>
      </c>
      <c r="F965" s="2" t="n">
        <v>17</v>
      </c>
      <c r="G965" s="5" t="s">
        <v>63</v>
      </c>
      <c r="H965" s="2" t="n">
        <v>1</v>
      </c>
      <c r="I965" s="2" t="n">
        <v>1</v>
      </c>
      <c r="J965" s="2" t="n">
        <v>1</v>
      </c>
      <c r="K965" s="7" t="n">
        <v>0.4690510624</v>
      </c>
      <c r="L965" s="7" t="n">
        <v>0.008121348391</v>
      </c>
      <c r="M965" s="7" t="n">
        <v>0.02873579977</v>
      </c>
      <c r="N965" s="7" t="n">
        <v>14</v>
      </c>
      <c r="O965" s="7" t="n">
        <v>14</v>
      </c>
      <c r="P965" s="7" t="n">
        <v>13</v>
      </c>
      <c r="Q965" s="2"/>
      <c r="R965" s="7" t="n">
        <v>2.154145</v>
      </c>
      <c r="S965" s="5" t="s">
        <v>79</v>
      </c>
      <c r="T965" s="5" t="s">
        <v>61</v>
      </c>
    </row>
    <row r="966" customFormat="false" ht="15" hidden="false" customHeight="false" outlineLevel="0" collapsed="false">
      <c r="A966" s="5" t="s">
        <v>4</v>
      </c>
      <c r="B966" s="5" t="s">
        <v>55</v>
      </c>
      <c r="C966" s="2" t="s">
        <v>56</v>
      </c>
      <c r="D966" s="5" t="s">
        <v>80</v>
      </c>
      <c r="E966" s="5" t="s">
        <v>58</v>
      </c>
      <c r="F966" s="2" t="n">
        <v>17</v>
      </c>
      <c r="G966" s="5" t="s">
        <v>64</v>
      </c>
      <c r="H966" s="2" t="n">
        <v>0</v>
      </c>
      <c r="I966" s="2" t="n">
        <v>1</v>
      </c>
      <c r="J966" s="2" t="n">
        <v>1</v>
      </c>
      <c r="K966" s="7" t="n">
        <v>0.2705328782</v>
      </c>
      <c r="L966" s="7" t="n">
        <v>0.06303912305</v>
      </c>
      <c r="M966" s="7" t="n">
        <v>0.06664822198</v>
      </c>
      <c r="N966" s="7" t="n">
        <v>5</v>
      </c>
      <c r="O966" s="7" t="n">
        <v>5</v>
      </c>
      <c r="P966" s="7" t="n">
        <v>0</v>
      </c>
      <c r="Q966" s="2"/>
      <c r="R966" s="7" t="n">
        <v>2.009272</v>
      </c>
      <c r="S966" s="5" t="s">
        <v>79</v>
      </c>
      <c r="T966" s="5" t="s">
        <v>61</v>
      </c>
    </row>
    <row r="967" customFormat="false" ht="15" hidden="false" customHeight="false" outlineLevel="0" collapsed="false">
      <c r="A967" s="5" t="s">
        <v>4</v>
      </c>
      <c r="B967" s="5" t="s">
        <v>55</v>
      </c>
      <c r="C967" s="2" t="s">
        <v>56</v>
      </c>
      <c r="D967" s="5" t="s">
        <v>80</v>
      </c>
      <c r="E967" s="5" t="s">
        <v>62</v>
      </c>
      <c r="F967" s="2" t="n">
        <v>17</v>
      </c>
      <c r="G967" s="5" t="s">
        <v>64</v>
      </c>
      <c r="H967" s="2" t="n">
        <v>0</v>
      </c>
      <c r="I967" s="2" t="n">
        <v>1</v>
      </c>
      <c r="J967" s="2" t="n">
        <v>1</v>
      </c>
      <c r="K967" s="7" t="n">
        <v>0.2705328782</v>
      </c>
      <c r="L967" s="7" t="n">
        <v>0.06303912305</v>
      </c>
      <c r="M967" s="7" t="n">
        <v>0.06664822198</v>
      </c>
      <c r="N967" s="7" t="n">
        <v>5</v>
      </c>
      <c r="O967" s="7" t="n">
        <v>5</v>
      </c>
      <c r="P967" s="7" t="n">
        <v>5</v>
      </c>
      <c r="Q967" s="2"/>
      <c r="R967" s="7" t="n">
        <v>2.370475</v>
      </c>
      <c r="S967" s="5" t="s">
        <v>79</v>
      </c>
      <c r="T967" s="5" t="s">
        <v>61</v>
      </c>
    </row>
    <row r="968" customFormat="false" ht="15" hidden="false" customHeight="false" outlineLevel="0" collapsed="false">
      <c r="A968" s="5" t="s">
        <v>4</v>
      </c>
      <c r="B968" s="5" t="s">
        <v>55</v>
      </c>
      <c r="C968" s="2" t="s">
        <v>56</v>
      </c>
      <c r="D968" s="5" t="s">
        <v>80</v>
      </c>
      <c r="E968" s="5" t="s">
        <v>58</v>
      </c>
      <c r="F968" s="2" t="n">
        <v>17</v>
      </c>
      <c r="G968" s="5" t="s">
        <v>65</v>
      </c>
      <c r="H968" s="2" t="n">
        <v>0</v>
      </c>
      <c r="I968" s="2" t="n">
        <v>1</v>
      </c>
      <c r="J968" s="2" t="n">
        <v>1</v>
      </c>
      <c r="K968" s="7" t="n">
        <v>0.8366500786</v>
      </c>
      <c r="L968" s="7" t="n">
        <v>0.2292987541</v>
      </c>
      <c r="M968" s="7" t="n">
        <v>0.2365598305</v>
      </c>
      <c r="N968" s="7" t="n">
        <v>4</v>
      </c>
      <c r="O968" s="7" t="n">
        <v>4</v>
      </c>
      <c r="P968" s="7" t="n">
        <v>0</v>
      </c>
      <c r="Q968" s="2"/>
      <c r="R968" s="7" t="n">
        <v>2.504643</v>
      </c>
      <c r="S968" s="5" t="s">
        <v>79</v>
      </c>
      <c r="T968" s="5" t="s">
        <v>61</v>
      </c>
    </row>
    <row r="969" customFormat="false" ht="15" hidden="false" customHeight="false" outlineLevel="0" collapsed="false">
      <c r="A969" s="5" t="s">
        <v>4</v>
      </c>
      <c r="B969" s="5" t="s">
        <v>55</v>
      </c>
      <c r="C969" s="2" t="s">
        <v>56</v>
      </c>
      <c r="D969" s="5" t="s">
        <v>80</v>
      </c>
      <c r="E969" s="5" t="s">
        <v>62</v>
      </c>
      <c r="F969" s="2" t="n">
        <v>17</v>
      </c>
      <c r="G969" s="5" t="s">
        <v>65</v>
      </c>
      <c r="H969" s="2" t="n">
        <v>0</v>
      </c>
      <c r="I969" s="2" t="n">
        <v>1</v>
      </c>
      <c r="J969" s="2" t="n">
        <v>1</v>
      </c>
      <c r="K969" s="7" t="n">
        <v>0.8366500786</v>
      </c>
      <c r="L969" s="7" t="n">
        <v>0.2292987541</v>
      </c>
      <c r="M969" s="7" t="n">
        <v>0.2365598305</v>
      </c>
      <c r="N969" s="7" t="n">
        <v>4</v>
      </c>
      <c r="O969" s="7" t="n">
        <v>4</v>
      </c>
      <c r="P969" s="7" t="n">
        <v>4</v>
      </c>
      <c r="Q969" s="2"/>
      <c r="R969" s="7" t="n">
        <v>2.783035</v>
      </c>
      <c r="S969" s="5" t="s">
        <v>79</v>
      </c>
      <c r="T969" s="5" t="s">
        <v>61</v>
      </c>
    </row>
    <row r="970" customFormat="false" ht="15" hidden="false" customHeight="false" outlineLevel="0" collapsed="false">
      <c r="A970" s="5" t="s">
        <v>4</v>
      </c>
      <c r="B970" s="5" t="s">
        <v>55</v>
      </c>
      <c r="C970" s="2" t="s">
        <v>56</v>
      </c>
      <c r="D970" s="5" t="s">
        <v>80</v>
      </c>
      <c r="E970" s="5" t="s">
        <v>58</v>
      </c>
      <c r="F970" s="2" t="n">
        <v>17</v>
      </c>
      <c r="G970" s="5" t="s">
        <v>66</v>
      </c>
      <c r="H970" s="2" t="n">
        <v>0</v>
      </c>
      <c r="I970" s="2" t="n">
        <v>1</v>
      </c>
      <c r="J970" s="2" t="n">
        <v>0</v>
      </c>
      <c r="K970" s="7" t="n">
        <v>2.728045931</v>
      </c>
      <c r="L970" s="7" t="n">
        <v>0.9911930032</v>
      </c>
      <c r="M970" s="7" t="n">
        <v>0.9945293517</v>
      </c>
      <c r="N970" s="7" t="n">
        <v>4</v>
      </c>
      <c r="O970" s="7" t="n">
        <v>4</v>
      </c>
      <c r="P970" s="7" t="n">
        <v>0</v>
      </c>
      <c r="Q970" s="2"/>
      <c r="R970" s="7" t="n">
        <v>2.915752</v>
      </c>
      <c r="S970" s="5" t="s">
        <v>79</v>
      </c>
      <c r="T970" s="5" t="s">
        <v>61</v>
      </c>
    </row>
    <row r="971" customFormat="false" ht="15" hidden="false" customHeight="false" outlineLevel="0" collapsed="false">
      <c r="A971" s="5" t="s">
        <v>4</v>
      </c>
      <c r="B971" s="5" t="s">
        <v>55</v>
      </c>
      <c r="C971" s="2" t="s">
        <v>56</v>
      </c>
      <c r="D971" s="5" t="s">
        <v>80</v>
      </c>
      <c r="E971" s="5" t="s">
        <v>62</v>
      </c>
      <c r="F971" s="2" t="n">
        <v>17</v>
      </c>
      <c r="G971" s="5" t="s">
        <v>66</v>
      </c>
      <c r="H971" s="2" t="n">
        <v>0</v>
      </c>
      <c r="I971" s="2" t="n">
        <v>1</v>
      </c>
      <c r="J971" s="2" t="n">
        <v>0</v>
      </c>
      <c r="K971" s="7" t="n">
        <v>2.728045931</v>
      </c>
      <c r="L971" s="7" t="n">
        <v>0.9911930032</v>
      </c>
      <c r="M971" s="7" t="n">
        <v>0.9945293517</v>
      </c>
      <c r="N971" s="7" t="n">
        <v>4</v>
      </c>
      <c r="O971" s="7" t="n">
        <v>4</v>
      </c>
      <c r="P971" s="7" t="n">
        <v>4</v>
      </c>
      <c r="Q971" s="2"/>
      <c r="R971" s="7" t="n">
        <v>3.195215</v>
      </c>
      <c r="S971" s="5" t="s">
        <v>79</v>
      </c>
      <c r="T971" s="5" t="s">
        <v>61</v>
      </c>
    </row>
    <row r="972" customFormat="false" ht="15" hidden="false" customHeight="false" outlineLevel="0" collapsed="false">
      <c r="A972" s="5" t="s">
        <v>4</v>
      </c>
      <c r="B972" s="5" t="s">
        <v>55</v>
      </c>
      <c r="C972" s="2" t="s">
        <v>56</v>
      </c>
      <c r="D972" s="5" t="s">
        <v>80</v>
      </c>
      <c r="E972" s="5" t="s">
        <v>58</v>
      </c>
      <c r="F972" s="2" t="n">
        <v>18</v>
      </c>
      <c r="G972" s="5" t="s">
        <v>59</v>
      </c>
      <c r="H972" s="2" t="n">
        <v>1</v>
      </c>
      <c r="I972" s="2" t="n">
        <v>1</v>
      </c>
      <c r="J972" s="2" t="n">
        <v>1</v>
      </c>
      <c r="K972" s="7" t="n">
        <v>0.212798365</v>
      </c>
      <c r="L972" s="7" t="n">
        <v>0.01440745791</v>
      </c>
      <c r="M972" s="7" t="n">
        <v>0.02034375788</v>
      </c>
      <c r="N972" s="7" t="n">
        <v>11</v>
      </c>
      <c r="O972" s="7" t="n">
        <v>11</v>
      </c>
      <c r="P972" s="7" t="n">
        <v>0</v>
      </c>
      <c r="Q972" s="2"/>
      <c r="R972" s="7" t="n">
        <v>1.81227</v>
      </c>
      <c r="S972" s="5" t="s">
        <v>79</v>
      </c>
      <c r="T972" s="5" t="s">
        <v>61</v>
      </c>
    </row>
    <row r="973" customFormat="false" ht="15" hidden="false" customHeight="false" outlineLevel="0" collapsed="false">
      <c r="A973" s="5" t="s">
        <v>4</v>
      </c>
      <c r="B973" s="5" t="s">
        <v>55</v>
      </c>
      <c r="C973" s="2" t="s">
        <v>56</v>
      </c>
      <c r="D973" s="5" t="s">
        <v>80</v>
      </c>
      <c r="E973" s="5" t="s">
        <v>62</v>
      </c>
      <c r="F973" s="2" t="n">
        <v>18</v>
      </c>
      <c r="G973" s="5" t="s">
        <v>59</v>
      </c>
      <c r="H973" s="2" t="n">
        <v>1</v>
      </c>
      <c r="I973" s="2" t="n">
        <v>1</v>
      </c>
      <c r="J973" s="2" t="n">
        <v>1</v>
      </c>
      <c r="K973" s="7" t="n">
        <v>0.212798365</v>
      </c>
      <c r="L973" s="7" t="n">
        <v>0.01440745791</v>
      </c>
      <c r="M973" s="7" t="n">
        <v>0.02034375788</v>
      </c>
      <c r="N973" s="7" t="n">
        <v>11</v>
      </c>
      <c r="O973" s="7" t="n">
        <v>11</v>
      </c>
      <c r="P973" s="7" t="n">
        <v>11</v>
      </c>
      <c r="Q973" s="2"/>
      <c r="R973" s="7" t="n">
        <v>2.376835</v>
      </c>
      <c r="S973" s="5" t="s">
        <v>79</v>
      </c>
      <c r="T973" s="5" t="s">
        <v>61</v>
      </c>
    </row>
    <row r="974" customFormat="false" ht="15" hidden="false" customHeight="false" outlineLevel="0" collapsed="false">
      <c r="A974" s="5" t="s">
        <v>4</v>
      </c>
      <c r="B974" s="5" t="s">
        <v>55</v>
      </c>
      <c r="C974" s="2" t="s">
        <v>56</v>
      </c>
      <c r="D974" s="5" t="s">
        <v>80</v>
      </c>
      <c r="E974" s="5" t="s">
        <v>58</v>
      </c>
      <c r="F974" s="2" t="n">
        <v>18</v>
      </c>
      <c r="G974" s="5" t="s">
        <v>63</v>
      </c>
      <c r="H974" s="2" t="n">
        <v>1</v>
      </c>
      <c r="I974" s="2" t="n">
        <v>1</v>
      </c>
      <c r="J974" s="2" t="n">
        <v>1</v>
      </c>
      <c r="K974" s="7" t="n">
        <v>0.627404484</v>
      </c>
      <c r="L974" s="7" t="n">
        <v>0.02700899519</v>
      </c>
      <c r="M974" s="7" t="n">
        <v>0.05368816828</v>
      </c>
      <c r="N974" s="7" t="n">
        <v>11</v>
      </c>
      <c r="O974" s="7" t="n">
        <v>11</v>
      </c>
      <c r="P974" s="7" t="n">
        <v>0</v>
      </c>
      <c r="Q974" s="2"/>
      <c r="R974" s="7" t="n">
        <v>1.54224</v>
      </c>
      <c r="S974" s="5" t="s">
        <v>79</v>
      </c>
      <c r="T974" s="5" t="s">
        <v>61</v>
      </c>
    </row>
    <row r="975" customFormat="false" ht="15" hidden="false" customHeight="false" outlineLevel="0" collapsed="false">
      <c r="A975" s="5" t="s">
        <v>4</v>
      </c>
      <c r="B975" s="5" t="s">
        <v>55</v>
      </c>
      <c r="C975" s="2" t="s">
        <v>56</v>
      </c>
      <c r="D975" s="5" t="s">
        <v>80</v>
      </c>
      <c r="E975" s="5" t="s">
        <v>62</v>
      </c>
      <c r="F975" s="2" t="n">
        <v>18</v>
      </c>
      <c r="G975" s="5" t="s">
        <v>63</v>
      </c>
      <c r="H975" s="2" t="n">
        <v>1</v>
      </c>
      <c r="I975" s="2" t="n">
        <v>1</v>
      </c>
      <c r="J975" s="2" t="n">
        <v>1</v>
      </c>
      <c r="K975" s="7" t="n">
        <v>0.627404484</v>
      </c>
      <c r="L975" s="7" t="n">
        <v>0.02700899519</v>
      </c>
      <c r="M975" s="7" t="n">
        <v>0.05368816828</v>
      </c>
      <c r="N975" s="7" t="n">
        <v>11</v>
      </c>
      <c r="O975" s="7" t="n">
        <v>11</v>
      </c>
      <c r="P975" s="7" t="n">
        <v>11</v>
      </c>
      <c r="Q975" s="2"/>
      <c r="R975" s="7" t="n">
        <v>2.13045</v>
      </c>
      <c r="S975" s="5" t="s">
        <v>79</v>
      </c>
      <c r="T975" s="5" t="s">
        <v>61</v>
      </c>
    </row>
    <row r="976" customFormat="false" ht="15" hidden="false" customHeight="false" outlineLevel="0" collapsed="false">
      <c r="A976" s="5" t="s">
        <v>4</v>
      </c>
      <c r="B976" s="5" t="s">
        <v>55</v>
      </c>
      <c r="C976" s="2" t="s">
        <v>56</v>
      </c>
      <c r="D976" s="5" t="s">
        <v>80</v>
      </c>
      <c r="E976" s="5" t="s">
        <v>58</v>
      </c>
      <c r="F976" s="2" t="n">
        <v>18</v>
      </c>
      <c r="G976" s="5" t="s">
        <v>64</v>
      </c>
      <c r="H976" s="2" t="n">
        <v>0</v>
      </c>
      <c r="I976" s="2" t="n">
        <v>1</v>
      </c>
      <c r="J976" s="2" t="n">
        <v>1</v>
      </c>
      <c r="K976" s="7" t="n">
        <v>0.9647464886</v>
      </c>
      <c r="L976" s="7" t="n">
        <v>0.1780473344</v>
      </c>
      <c r="M976" s="7" t="n">
        <v>0.1866084238</v>
      </c>
      <c r="N976" s="7" t="n">
        <v>6</v>
      </c>
      <c r="O976" s="7" t="n">
        <v>6</v>
      </c>
      <c r="P976" s="7" t="n">
        <v>0</v>
      </c>
      <c r="Q976" s="2"/>
      <c r="R976" s="7" t="n">
        <v>1.563842</v>
      </c>
      <c r="S976" s="5" t="s">
        <v>79</v>
      </c>
      <c r="T976" s="5" t="s">
        <v>61</v>
      </c>
    </row>
    <row r="977" customFormat="false" ht="15" hidden="false" customHeight="false" outlineLevel="0" collapsed="false">
      <c r="A977" s="5" t="s">
        <v>4</v>
      </c>
      <c r="B977" s="5" t="s">
        <v>55</v>
      </c>
      <c r="C977" s="2" t="s">
        <v>56</v>
      </c>
      <c r="D977" s="5" t="s">
        <v>80</v>
      </c>
      <c r="E977" s="5" t="s">
        <v>62</v>
      </c>
      <c r="F977" s="2" t="n">
        <v>18</v>
      </c>
      <c r="G977" s="5" t="s">
        <v>64</v>
      </c>
      <c r="H977" s="2" t="n">
        <v>0</v>
      </c>
      <c r="I977" s="2" t="n">
        <v>1</v>
      </c>
      <c r="J977" s="2" t="n">
        <v>1</v>
      </c>
      <c r="K977" s="7" t="n">
        <v>0.9647464886</v>
      </c>
      <c r="L977" s="7" t="n">
        <v>0.1780473344</v>
      </c>
      <c r="M977" s="7" t="n">
        <v>0.1866084238</v>
      </c>
      <c r="N977" s="7" t="n">
        <v>6</v>
      </c>
      <c r="O977" s="7" t="n">
        <v>6</v>
      </c>
      <c r="P977" s="7" t="n">
        <v>6</v>
      </c>
      <c r="Q977" s="2"/>
      <c r="R977" s="7" t="n">
        <v>2.014699</v>
      </c>
      <c r="S977" s="5" t="s">
        <v>79</v>
      </c>
      <c r="T977" s="5" t="s">
        <v>61</v>
      </c>
    </row>
    <row r="978" customFormat="false" ht="15" hidden="false" customHeight="false" outlineLevel="0" collapsed="false">
      <c r="A978" s="5" t="s">
        <v>4</v>
      </c>
      <c r="B978" s="5" t="s">
        <v>55</v>
      </c>
      <c r="C978" s="2" t="s">
        <v>56</v>
      </c>
      <c r="D978" s="5" t="s">
        <v>80</v>
      </c>
      <c r="E978" s="5" t="s">
        <v>58</v>
      </c>
      <c r="F978" s="2" t="n">
        <v>18</v>
      </c>
      <c r="G978" s="5" t="s">
        <v>65</v>
      </c>
      <c r="H978" s="2" t="n">
        <v>0</v>
      </c>
      <c r="I978" s="2" t="n">
        <v>1</v>
      </c>
      <c r="J978" s="2" t="n">
        <v>1</v>
      </c>
      <c r="K978" s="7" t="n">
        <v>1.566602437</v>
      </c>
      <c r="L978" s="7" t="n">
        <v>0.09111625948</v>
      </c>
      <c r="M978" s="7" t="n">
        <v>0.1324144467</v>
      </c>
      <c r="N978" s="7" t="n">
        <v>9</v>
      </c>
      <c r="O978" s="7" t="n">
        <v>9</v>
      </c>
      <c r="P978" s="7" t="n">
        <v>0</v>
      </c>
      <c r="Q978" s="2"/>
      <c r="R978" s="7" t="n">
        <v>2.598482</v>
      </c>
      <c r="S978" s="5" t="s">
        <v>79</v>
      </c>
      <c r="T978" s="5" t="s">
        <v>61</v>
      </c>
    </row>
    <row r="979" customFormat="false" ht="15" hidden="false" customHeight="false" outlineLevel="0" collapsed="false">
      <c r="A979" s="5" t="s">
        <v>4</v>
      </c>
      <c r="B979" s="5" t="s">
        <v>55</v>
      </c>
      <c r="C979" s="2" t="s">
        <v>56</v>
      </c>
      <c r="D979" s="5" t="s">
        <v>80</v>
      </c>
      <c r="E979" s="5" t="s">
        <v>62</v>
      </c>
      <c r="F979" s="2" t="n">
        <v>18</v>
      </c>
      <c r="G979" s="5" t="s">
        <v>65</v>
      </c>
      <c r="H979" s="2" t="n">
        <v>0</v>
      </c>
      <c r="I979" s="2" t="n">
        <v>1</v>
      </c>
      <c r="J979" s="2" t="n">
        <v>1</v>
      </c>
      <c r="K979" s="7" t="n">
        <v>0.6484728233</v>
      </c>
      <c r="L979" s="7" t="n">
        <v>0.1900147982</v>
      </c>
      <c r="M979" s="7" t="n">
        <v>0.1922419829</v>
      </c>
      <c r="N979" s="7" t="n">
        <v>9</v>
      </c>
      <c r="O979" s="7" t="n">
        <v>9</v>
      </c>
      <c r="P979" s="7" t="n">
        <v>7</v>
      </c>
      <c r="Q979" s="2"/>
      <c r="R979" s="7" t="n">
        <v>3.156758</v>
      </c>
      <c r="S979" s="5" t="s">
        <v>79</v>
      </c>
      <c r="T979" s="5" t="s">
        <v>61</v>
      </c>
    </row>
    <row r="980" customFormat="false" ht="15" hidden="false" customHeight="false" outlineLevel="0" collapsed="false">
      <c r="A980" s="5" t="s">
        <v>4</v>
      </c>
      <c r="B980" s="5" t="s">
        <v>55</v>
      </c>
      <c r="C980" s="2" t="s">
        <v>56</v>
      </c>
      <c r="D980" s="5" t="s">
        <v>80</v>
      </c>
      <c r="E980" s="5" t="s">
        <v>58</v>
      </c>
      <c r="F980" s="2" t="n">
        <v>18</v>
      </c>
      <c r="G980" s="5" t="s">
        <v>66</v>
      </c>
      <c r="H980" s="2" t="n">
        <v>0</v>
      </c>
      <c r="I980" s="2" t="n">
        <v>1</v>
      </c>
      <c r="J980" s="2" t="n">
        <v>1</v>
      </c>
      <c r="K980" s="7" t="n">
        <v>1.165182652</v>
      </c>
      <c r="L980" s="7" t="n">
        <v>0.1320410078</v>
      </c>
      <c r="M980" s="7" t="n">
        <v>0.1544648897</v>
      </c>
      <c r="N980" s="7" t="n">
        <v>5</v>
      </c>
      <c r="O980" s="7" t="n">
        <v>5</v>
      </c>
      <c r="P980" s="7" t="n">
        <v>0</v>
      </c>
      <c r="Q980" s="2"/>
      <c r="R980" s="7" t="n">
        <v>3.154854</v>
      </c>
      <c r="S980" s="5" t="s">
        <v>79</v>
      </c>
      <c r="T980" s="5" t="s">
        <v>61</v>
      </c>
    </row>
    <row r="981" customFormat="false" ht="15" hidden="false" customHeight="false" outlineLevel="0" collapsed="false">
      <c r="A981" s="5" t="s">
        <v>4</v>
      </c>
      <c r="B981" s="5" t="s">
        <v>55</v>
      </c>
      <c r="C981" s="2" t="s">
        <v>56</v>
      </c>
      <c r="D981" s="5" t="s">
        <v>80</v>
      </c>
      <c r="E981" s="5" t="s">
        <v>62</v>
      </c>
      <c r="F981" s="2" t="n">
        <v>18</v>
      </c>
      <c r="G981" s="5" t="s">
        <v>66</v>
      </c>
      <c r="H981" s="2" t="n">
        <v>0</v>
      </c>
      <c r="I981" s="2" t="n">
        <v>1</v>
      </c>
      <c r="J981" s="2" t="n">
        <v>1</v>
      </c>
      <c r="K981" s="7" t="n">
        <v>1.165182652</v>
      </c>
      <c r="L981" s="7" t="n">
        <v>0.1320410078</v>
      </c>
      <c r="M981" s="7" t="n">
        <v>0.1544648897</v>
      </c>
      <c r="N981" s="7" t="n">
        <v>5</v>
      </c>
      <c r="O981" s="7" t="n">
        <v>5</v>
      </c>
      <c r="P981" s="7" t="n">
        <v>5</v>
      </c>
      <c r="Q981" s="2"/>
      <c r="R981" s="7" t="n">
        <v>3.514286</v>
      </c>
      <c r="S981" s="5" t="s">
        <v>79</v>
      </c>
      <c r="T981" s="5" t="s">
        <v>61</v>
      </c>
    </row>
    <row r="982" customFormat="false" ht="15" hidden="false" customHeight="false" outlineLevel="0" collapsed="false">
      <c r="A982" s="5" t="s">
        <v>4</v>
      </c>
      <c r="B982" s="5" t="s">
        <v>55</v>
      </c>
      <c r="C982" s="2" t="s">
        <v>56</v>
      </c>
      <c r="D982" s="5" t="s">
        <v>80</v>
      </c>
      <c r="E982" s="5" t="s">
        <v>58</v>
      </c>
      <c r="F982" s="2" t="n">
        <v>19</v>
      </c>
      <c r="G982" s="5" t="s">
        <v>59</v>
      </c>
      <c r="H982" s="2" t="n">
        <v>1</v>
      </c>
      <c r="I982" s="2" t="n">
        <v>1</v>
      </c>
      <c r="J982" s="2" t="n">
        <v>1</v>
      </c>
      <c r="K982" s="7" t="n">
        <v>0.8733247825</v>
      </c>
      <c r="L982" s="7" t="n">
        <v>0.09038905907</v>
      </c>
      <c r="M982" s="7" t="n">
        <v>0.1043398365</v>
      </c>
      <c r="N982" s="7" t="n">
        <v>13</v>
      </c>
      <c r="O982" s="7" t="n">
        <v>13</v>
      </c>
      <c r="P982" s="7" t="n">
        <v>0</v>
      </c>
      <c r="Q982" s="2"/>
      <c r="R982" s="7" t="n">
        <v>1.841854</v>
      </c>
      <c r="S982" s="5" t="s">
        <v>79</v>
      </c>
      <c r="T982" s="5" t="s">
        <v>61</v>
      </c>
    </row>
    <row r="983" customFormat="false" ht="15" hidden="false" customHeight="false" outlineLevel="0" collapsed="false">
      <c r="A983" s="5" t="s">
        <v>4</v>
      </c>
      <c r="B983" s="5" t="s">
        <v>55</v>
      </c>
      <c r="C983" s="2" t="s">
        <v>56</v>
      </c>
      <c r="D983" s="5" t="s">
        <v>80</v>
      </c>
      <c r="E983" s="5" t="s">
        <v>62</v>
      </c>
      <c r="F983" s="2" t="n">
        <v>19</v>
      </c>
      <c r="G983" s="5" t="s">
        <v>59</v>
      </c>
      <c r="H983" s="2" t="n">
        <v>1</v>
      </c>
      <c r="I983" s="2" t="n">
        <v>1</v>
      </c>
      <c r="J983" s="2" t="n">
        <v>1</v>
      </c>
      <c r="K983" s="7" t="n">
        <v>0.8733247825</v>
      </c>
      <c r="L983" s="7" t="n">
        <v>0.09038905907</v>
      </c>
      <c r="M983" s="7" t="n">
        <v>0.1043398365</v>
      </c>
      <c r="N983" s="7" t="n">
        <v>13</v>
      </c>
      <c r="O983" s="7" t="n">
        <v>13</v>
      </c>
      <c r="P983" s="7" t="n">
        <v>13</v>
      </c>
      <c r="Q983" s="2"/>
      <c r="R983" s="7" t="n">
        <v>2.467929</v>
      </c>
      <c r="S983" s="5" t="s">
        <v>79</v>
      </c>
      <c r="T983" s="5" t="s">
        <v>61</v>
      </c>
    </row>
    <row r="984" customFormat="false" ht="15" hidden="false" customHeight="false" outlineLevel="0" collapsed="false">
      <c r="A984" s="5" t="s">
        <v>4</v>
      </c>
      <c r="B984" s="5" t="s">
        <v>55</v>
      </c>
      <c r="C984" s="2" t="s">
        <v>56</v>
      </c>
      <c r="D984" s="5" t="s">
        <v>80</v>
      </c>
      <c r="E984" s="5" t="s">
        <v>58</v>
      </c>
      <c r="F984" s="2" t="n">
        <v>19</v>
      </c>
      <c r="G984" s="5" t="s">
        <v>63</v>
      </c>
      <c r="H984" s="2" t="n">
        <v>1</v>
      </c>
      <c r="I984" s="2" t="n">
        <v>1</v>
      </c>
      <c r="J984" s="2" t="n">
        <v>1</v>
      </c>
      <c r="K984" s="7" t="n">
        <v>0.7314365676</v>
      </c>
      <c r="L984" s="7" t="n">
        <v>0.04646832659</v>
      </c>
      <c r="M984" s="7" t="n">
        <v>0.06153301001</v>
      </c>
      <c r="N984" s="7" t="n">
        <v>10</v>
      </c>
      <c r="O984" s="7" t="n">
        <v>10</v>
      </c>
      <c r="P984" s="7" t="n">
        <v>0</v>
      </c>
      <c r="Q984" s="2"/>
      <c r="R984" s="7" t="n">
        <v>1.559005</v>
      </c>
      <c r="S984" s="5" t="s">
        <v>79</v>
      </c>
      <c r="T984" s="5" t="s">
        <v>61</v>
      </c>
    </row>
    <row r="985" customFormat="false" ht="15" hidden="false" customHeight="false" outlineLevel="0" collapsed="false">
      <c r="A985" s="5" t="s">
        <v>4</v>
      </c>
      <c r="B985" s="5" t="s">
        <v>55</v>
      </c>
      <c r="C985" s="2" t="s">
        <v>56</v>
      </c>
      <c r="D985" s="5" t="s">
        <v>80</v>
      </c>
      <c r="E985" s="5" t="s">
        <v>62</v>
      </c>
      <c r="F985" s="2" t="n">
        <v>19</v>
      </c>
      <c r="G985" s="5" t="s">
        <v>63</v>
      </c>
      <c r="H985" s="2" t="n">
        <v>1</v>
      </c>
      <c r="I985" s="2" t="n">
        <v>1</v>
      </c>
      <c r="J985" s="2" t="n">
        <v>1</v>
      </c>
      <c r="K985" s="7" t="n">
        <v>0.4751254186</v>
      </c>
      <c r="L985" s="7" t="n">
        <v>0.02246298098</v>
      </c>
      <c r="M985" s="7" t="n">
        <v>0.03442067541</v>
      </c>
      <c r="N985" s="7" t="n">
        <v>10</v>
      </c>
      <c r="O985" s="7" t="n">
        <v>10</v>
      </c>
      <c r="P985" s="7" t="n">
        <v>9</v>
      </c>
      <c r="Q985" s="2"/>
      <c r="R985" s="7" t="n">
        <v>2.100655</v>
      </c>
      <c r="S985" s="5" t="s">
        <v>79</v>
      </c>
      <c r="T985" s="5" t="s">
        <v>61</v>
      </c>
    </row>
    <row r="986" customFormat="false" ht="15" hidden="false" customHeight="false" outlineLevel="0" collapsed="false">
      <c r="A986" s="5" t="s">
        <v>4</v>
      </c>
      <c r="B986" s="5" t="s">
        <v>55</v>
      </c>
      <c r="C986" s="2" t="s">
        <v>56</v>
      </c>
      <c r="D986" s="5" t="s">
        <v>80</v>
      </c>
      <c r="E986" s="5" t="s">
        <v>58</v>
      </c>
      <c r="F986" s="2" t="n">
        <v>19</v>
      </c>
      <c r="G986" s="5" t="s">
        <v>64</v>
      </c>
      <c r="H986" s="2" t="n">
        <v>0</v>
      </c>
      <c r="I986" s="2" t="n">
        <v>1</v>
      </c>
      <c r="J986" s="2" t="n">
        <v>1</v>
      </c>
      <c r="K986" s="7" t="n">
        <v>0.7020095577</v>
      </c>
      <c r="L986" s="7" t="n">
        <v>0.08087359878</v>
      </c>
      <c r="M986" s="7" t="n">
        <v>0.0918497653</v>
      </c>
      <c r="N986" s="7" t="n">
        <v>9</v>
      </c>
      <c r="O986" s="7" t="n">
        <v>9</v>
      </c>
      <c r="P986" s="7" t="n">
        <v>0</v>
      </c>
      <c r="Q986" s="2"/>
      <c r="R986" s="7" t="n">
        <v>2.030763</v>
      </c>
      <c r="S986" s="5" t="s">
        <v>79</v>
      </c>
      <c r="T986" s="5" t="s">
        <v>61</v>
      </c>
    </row>
    <row r="987" customFormat="false" ht="15" hidden="false" customHeight="false" outlineLevel="0" collapsed="false">
      <c r="A987" s="5" t="s">
        <v>4</v>
      </c>
      <c r="B987" s="5" t="s">
        <v>55</v>
      </c>
      <c r="C987" s="2" t="s">
        <v>56</v>
      </c>
      <c r="D987" s="5" t="s">
        <v>80</v>
      </c>
      <c r="E987" s="5" t="s">
        <v>62</v>
      </c>
      <c r="F987" s="2" t="n">
        <v>19</v>
      </c>
      <c r="G987" s="5" t="s">
        <v>64</v>
      </c>
      <c r="H987" s="2" t="n">
        <v>0</v>
      </c>
      <c r="I987" s="2" t="n">
        <v>1</v>
      </c>
      <c r="J987" s="2" t="n">
        <v>1</v>
      </c>
      <c r="K987" s="7" t="n">
        <v>0.7020095577</v>
      </c>
      <c r="L987" s="7" t="n">
        <v>0.08087359878</v>
      </c>
      <c r="M987" s="7" t="n">
        <v>0.0918497653</v>
      </c>
      <c r="N987" s="7" t="n">
        <v>9</v>
      </c>
      <c r="O987" s="7" t="n">
        <v>9</v>
      </c>
      <c r="P987" s="7" t="n">
        <v>9</v>
      </c>
      <c r="Q987" s="2"/>
      <c r="R987" s="7" t="n">
        <v>2.532414</v>
      </c>
      <c r="S987" s="5" t="s">
        <v>79</v>
      </c>
      <c r="T987" s="5" t="s">
        <v>61</v>
      </c>
    </row>
    <row r="988" customFormat="false" ht="15" hidden="false" customHeight="false" outlineLevel="0" collapsed="false">
      <c r="A988" s="5" t="s">
        <v>4</v>
      </c>
      <c r="B988" s="5" t="s">
        <v>55</v>
      </c>
      <c r="C988" s="2" t="s">
        <v>56</v>
      </c>
      <c r="D988" s="5" t="s">
        <v>80</v>
      </c>
      <c r="E988" s="5" t="s">
        <v>58</v>
      </c>
      <c r="F988" s="2" t="n">
        <v>19</v>
      </c>
      <c r="G988" s="5" t="s">
        <v>65</v>
      </c>
      <c r="H988" s="2" t="n">
        <v>0</v>
      </c>
      <c r="I988" s="2" t="n">
        <v>1</v>
      </c>
      <c r="J988" s="2" t="n">
        <v>1</v>
      </c>
      <c r="K988" s="7" t="n">
        <v>1.571570439</v>
      </c>
      <c r="L988" s="7" t="n">
        <v>0.399052308</v>
      </c>
      <c r="M988" s="7" t="n">
        <v>0.4069493843</v>
      </c>
      <c r="N988" s="7" t="n">
        <v>7</v>
      </c>
      <c r="O988" s="7" t="n">
        <v>7</v>
      </c>
      <c r="P988" s="7" t="n">
        <v>0</v>
      </c>
      <c r="Q988" s="2"/>
      <c r="R988" s="7" t="n">
        <v>2.33319</v>
      </c>
      <c r="S988" s="5" t="s">
        <v>79</v>
      </c>
      <c r="T988" s="5" t="s">
        <v>61</v>
      </c>
    </row>
    <row r="989" customFormat="false" ht="15" hidden="false" customHeight="false" outlineLevel="0" collapsed="false">
      <c r="A989" s="5" t="s">
        <v>4</v>
      </c>
      <c r="B989" s="5" t="s">
        <v>55</v>
      </c>
      <c r="C989" s="2" t="s">
        <v>56</v>
      </c>
      <c r="D989" s="5" t="s">
        <v>80</v>
      </c>
      <c r="E989" s="5" t="s">
        <v>62</v>
      </c>
      <c r="F989" s="2" t="n">
        <v>19</v>
      </c>
      <c r="G989" s="5" t="s">
        <v>65</v>
      </c>
      <c r="H989" s="2" t="n">
        <v>0</v>
      </c>
      <c r="I989" s="2" t="n">
        <v>1</v>
      </c>
      <c r="J989" s="2" t="n">
        <v>1</v>
      </c>
      <c r="K989" s="7" t="n">
        <v>0.4201243542</v>
      </c>
      <c r="L989" s="7" t="n">
        <v>0.09574833373</v>
      </c>
      <c r="M989" s="7" t="n">
        <v>0.09812913945</v>
      </c>
      <c r="N989" s="7" t="n">
        <v>7</v>
      </c>
      <c r="O989" s="7" t="n">
        <v>7</v>
      </c>
      <c r="P989" s="7" t="n">
        <v>6</v>
      </c>
      <c r="Q989" s="2"/>
      <c r="R989" s="7" t="n">
        <v>2.832528</v>
      </c>
      <c r="S989" s="5" t="s">
        <v>79</v>
      </c>
      <c r="T989" s="5" t="s">
        <v>61</v>
      </c>
    </row>
    <row r="990" customFormat="false" ht="15" hidden="false" customHeight="false" outlineLevel="0" collapsed="false">
      <c r="A990" s="5" t="s">
        <v>4</v>
      </c>
      <c r="B990" s="5" t="s">
        <v>55</v>
      </c>
      <c r="C990" s="2" t="s">
        <v>56</v>
      </c>
      <c r="D990" s="5" t="s">
        <v>80</v>
      </c>
      <c r="E990" s="5" t="s">
        <v>58</v>
      </c>
      <c r="F990" s="2" t="n">
        <v>19</v>
      </c>
      <c r="G990" s="5" t="s">
        <v>66</v>
      </c>
      <c r="H990" s="2" t="n">
        <v>0</v>
      </c>
      <c r="I990" s="2" t="n">
        <v>1</v>
      </c>
      <c r="J990" s="2" t="n">
        <v>1</v>
      </c>
      <c r="K990" s="7" t="n">
        <v>1.577774172</v>
      </c>
      <c r="L990" s="7" t="n">
        <v>0.4202044383</v>
      </c>
      <c r="M990" s="7" t="n">
        <v>0.4283320618</v>
      </c>
      <c r="N990" s="7" t="n">
        <v>7</v>
      </c>
      <c r="O990" s="7" t="n">
        <v>7</v>
      </c>
      <c r="P990" s="7" t="n">
        <v>0</v>
      </c>
      <c r="Q990" s="2"/>
      <c r="R990" s="7" t="n">
        <v>2.832908</v>
      </c>
      <c r="S990" s="5" t="s">
        <v>79</v>
      </c>
      <c r="T990" s="5" t="s">
        <v>61</v>
      </c>
    </row>
    <row r="991" customFormat="false" ht="15" hidden="false" customHeight="false" outlineLevel="0" collapsed="false">
      <c r="A991" s="5" t="s">
        <v>4</v>
      </c>
      <c r="B991" s="5" t="s">
        <v>55</v>
      </c>
      <c r="C991" s="2" t="s">
        <v>56</v>
      </c>
      <c r="D991" s="5" t="s">
        <v>80</v>
      </c>
      <c r="E991" s="5" t="s">
        <v>62</v>
      </c>
      <c r="F991" s="2" t="n">
        <v>19</v>
      </c>
      <c r="G991" s="5" t="s">
        <v>66</v>
      </c>
      <c r="H991" s="2" t="n">
        <v>0</v>
      </c>
      <c r="I991" s="2" t="n">
        <v>1</v>
      </c>
      <c r="J991" s="2" t="n">
        <v>0</v>
      </c>
      <c r="K991" s="7" t="n">
        <v>3.797621923</v>
      </c>
      <c r="L991" s="7" t="n">
        <v>1.167863351</v>
      </c>
      <c r="M991" s="7" t="n">
        <v>1.19069861</v>
      </c>
      <c r="N991" s="7" t="n">
        <v>7</v>
      </c>
      <c r="O991" s="7" t="n">
        <v>7</v>
      </c>
      <c r="P991" s="7" t="n">
        <v>6</v>
      </c>
      <c r="Q991" s="2"/>
      <c r="R991" s="7" t="n">
        <v>3.297264</v>
      </c>
      <c r="S991" s="5" t="s">
        <v>79</v>
      </c>
      <c r="T991" s="5" t="s">
        <v>61</v>
      </c>
    </row>
    <row r="992" customFormat="false" ht="15" hidden="false" customHeight="false" outlineLevel="0" collapsed="false">
      <c r="A992" s="5" t="s">
        <v>4</v>
      </c>
      <c r="B992" s="5" t="s">
        <v>55</v>
      </c>
      <c r="C992" s="2" t="s">
        <v>56</v>
      </c>
      <c r="D992" s="5" t="s">
        <v>80</v>
      </c>
      <c r="E992" s="5" t="s">
        <v>58</v>
      </c>
      <c r="F992" s="2" t="n">
        <v>20</v>
      </c>
      <c r="G992" s="5" t="s">
        <v>59</v>
      </c>
      <c r="H992" s="2" t="n">
        <v>1</v>
      </c>
      <c r="I992" s="2" t="n">
        <v>1</v>
      </c>
      <c r="J992" s="2" t="n">
        <v>1</v>
      </c>
      <c r="K992" s="7" t="n">
        <v>0.4717096707</v>
      </c>
      <c r="L992" s="7" t="n">
        <v>0.08035409123</v>
      </c>
      <c r="M992" s="7" t="n">
        <v>0.08538204118</v>
      </c>
      <c r="N992" s="7" t="n">
        <v>7</v>
      </c>
      <c r="O992" s="7" t="n">
        <v>7</v>
      </c>
      <c r="P992" s="7" t="n">
        <v>0</v>
      </c>
      <c r="Q992" s="2"/>
      <c r="R992" s="7" t="n">
        <v>2.175457</v>
      </c>
      <c r="S992" s="5" t="s">
        <v>79</v>
      </c>
      <c r="T992" s="5" t="s">
        <v>61</v>
      </c>
    </row>
    <row r="993" customFormat="false" ht="15" hidden="false" customHeight="false" outlineLevel="0" collapsed="false">
      <c r="A993" s="5" t="s">
        <v>4</v>
      </c>
      <c r="B993" s="5" t="s">
        <v>55</v>
      </c>
      <c r="C993" s="2" t="s">
        <v>56</v>
      </c>
      <c r="D993" s="5" t="s">
        <v>80</v>
      </c>
      <c r="E993" s="5" t="s">
        <v>62</v>
      </c>
      <c r="F993" s="2" t="n">
        <v>20</v>
      </c>
      <c r="G993" s="5" t="s">
        <v>59</v>
      </c>
      <c r="H993" s="2" t="n">
        <v>1</v>
      </c>
      <c r="I993" s="2" t="n">
        <v>1</v>
      </c>
      <c r="J993" s="2" t="n">
        <v>1</v>
      </c>
      <c r="K993" s="7" t="n">
        <v>0.4717096707</v>
      </c>
      <c r="L993" s="7" t="n">
        <v>0.08035409123</v>
      </c>
      <c r="M993" s="7" t="n">
        <v>0.08538204118</v>
      </c>
      <c r="N993" s="7" t="n">
        <v>7</v>
      </c>
      <c r="O993" s="7" t="n">
        <v>7</v>
      </c>
      <c r="P993" s="7" t="n">
        <v>7</v>
      </c>
      <c r="Q993" s="2"/>
      <c r="R993" s="7" t="n">
        <v>2.631381</v>
      </c>
      <c r="S993" s="5" t="s">
        <v>79</v>
      </c>
      <c r="T993" s="5" t="s">
        <v>61</v>
      </c>
    </row>
    <row r="994" customFormat="false" ht="15" hidden="false" customHeight="false" outlineLevel="0" collapsed="false">
      <c r="A994" s="5" t="s">
        <v>4</v>
      </c>
      <c r="B994" s="5" t="s">
        <v>55</v>
      </c>
      <c r="C994" s="2" t="s">
        <v>56</v>
      </c>
      <c r="D994" s="5" t="s">
        <v>80</v>
      </c>
      <c r="E994" s="5" t="s">
        <v>58</v>
      </c>
      <c r="F994" s="2" t="n">
        <v>20</v>
      </c>
      <c r="G994" s="5" t="s">
        <v>63</v>
      </c>
      <c r="H994" s="2" t="n">
        <v>1</v>
      </c>
      <c r="I994" s="2" t="n">
        <v>1</v>
      </c>
      <c r="J994" s="2" t="n">
        <v>1</v>
      </c>
      <c r="K994" s="7" t="n">
        <v>0.7582117191</v>
      </c>
      <c r="L994" s="7" t="n">
        <v>0.05655432001</v>
      </c>
      <c r="M994" s="7" t="n">
        <v>0.07179260532</v>
      </c>
      <c r="N994" s="7" t="n">
        <v>15</v>
      </c>
      <c r="O994" s="7" t="n">
        <v>15</v>
      </c>
      <c r="P994" s="7" t="n">
        <v>0</v>
      </c>
      <c r="Q994" s="2"/>
      <c r="R994" s="7" t="n">
        <v>1.6703</v>
      </c>
      <c r="S994" s="5" t="s">
        <v>79</v>
      </c>
      <c r="T994" s="5" t="s">
        <v>61</v>
      </c>
    </row>
    <row r="995" customFormat="false" ht="15" hidden="false" customHeight="false" outlineLevel="0" collapsed="false">
      <c r="A995" s="5" t="s">
        <v>4</v>
      </c>
      <c r="B995" s="5" t="s">
        <v>55</v>
      </c>
      <c r="C995" s="2" t="s">
        <v>56</v>
      </c>
      <c r="D995" s="5" t="s">
        <v>80</v>
      </c>
      <c r="E995" s="5" t="s">
        <v>62</v>
      </c>
      <c r="F995" s="2" t="n">
        <v>20</v>
      </c>
      <c r="G995" s="5" t="s">
        <v>63</v>
      </c>
      <c r="H995" s="2" t="n">
        <v>1</v>
      </c>
      <c r="I995" s="2" t="n">
        <v>1</v>
      </c>
      <c r="J995" s="2" t="n">
        <v>1</v>
      </c>
      <c r="K995" s="7" t="n">
        <v>0.5493039152</v>
      </c>
      <c r="L995" s="7" t="n">
        <v>0.02699129742</v>
      </c>
      <c r="M995" s="7" t="n">
        <v>0.04274718063</v>
      </c>
      <c r="N995" s="7" t="n">
        <v>15</v>
      </c>
      <c r="O995" s="7" t="n">
        <v>15</v>
      </c>
      <c r="P995" s="7" t="n">
        <v>13</v>
      </c>
      <c r="Q995" s="2"/>
      <c r="R995" s="7" t="n">
        <v>2.347701</v>
      </c>
      <c r="S995" s="5" t="s">
        <v>79</v>
      </c>
      <c r="T995" s="5" t="s">
        <v>61</v>
      </c>
    </row>
    <row r="996" customFormat="false" ht="15" hidden="false" customHeight="false" outlineLevel="0" collapsed="false">
      <c r="A996" s="5" t="s">
        <v>4</v>
      </c>
      <c r="B996" s="5" t="s">
        <v>55</v>
      </c>
      <c r="C996" s="2" t="s">
        <v>56</v>
      </c>
      <c r="D996" s="5" t="s">
        <v>80</v>
      </c>
      <c r="E996" s="5" t="s">
        <v>58</v>
      </c>
      <c r="F996" s="2" t="n">
        <v>20</v>
      </c>
      <c r="G996" s="5" t="s">
        <v>64</v>
      </c>
      <c r="H996" s="2" t="n">
        <v>0</v>
      </c>
      <c r="I996" s="2" t="n">
        <v>1</v>
      </c>
      <c r="J996" s="2" t="n">
        <v>1</v>
      </c>
      <c r="K996" s="7" t="n">
        <v>1.200189193</v>
      </c>
      <c r="L996" s="7" t="n">
        <v>0.2554104931</v>
      </c>
      <c r="M996" s="7" t="n">
        <v>0.2631874634</v>
      </c>
      <c r="N996" s="7" t="n">
        <v>8</v>
      </c>
      <c r="O996" s="7" t="n">
        <v>8</v>
      </c>
      <c r="P996" s="7" t="n">
        <v>0</v>
      </c>
      <c r="Q996" s="2"/>
      <c r="R996" s="7" t="n">
        <v>1.849935</v>
      </c>
      <c r="S996" s="5" t="s">
        <v>79</v>
      </c>
      <c r="T996" s="5" t="s">
        <v>61</v>
      </c>
    </row>
    <row r="997" customFormat="false" ht="15" hidden="false" customHeight="false" outlineLevel="0" collapsed="false">
      <c r="A997" s="5" t="s">
        <v>4</v>
      </c>
      <c r="B997" s="5" t="s">
        <v>55</v>
      </c>
      <c r="C997" s="2" t="s">
        <v>56</v>
      </c>
      <c r="D997" s="5" t="s">
        <v>80</v>
      </c>
      <c r="E997" s="5" t="s">
        <v>62</v>
      </c>
      <c r="F997" s="2" t="n">
        <v>20</v>
      </c>
      <c r="G997" s="5" t="s">
        <v>64</v>
      </c>
      <c r="H997" s="2" t="n">
        <v>0</v>
      </c>
      <c r="I997" s="2" t="n">
        <v>1</v>
      </c>
      <c r="J997" s="2" t="n">
        <v>1</v>
      </c>
      <c r="K997" s="7" t="n">
        <v>1.200189193</v>
      </c>
      <c r="L997" s="7" t="n">
        <v>0.2554104931</v>
      </c>
      <c r="M997" s="7" t="n">
        <v>0.2631874634</v>
      </c>
      <c r="N997" s="7" t="n">
        <v>8</v>
      </c>
      <c r="O997" s="7" t="n">
        <v>8</v>
      </c>
      <c r="P997" s="7" t="n">
        <v>8</v>
      </c>
      <c r="Q997" s="2"/>
      <c r="R997" s="7" t="n">
        <v>2.352578</v>
      </c>
      <c r="S997" s="5" t="s">
        <v>79</v>
      </c>
      <c r="T997" s="5" t="s">
        <v>61</v>
      </c>
    </row>
    <row r="998" customFormat="false" ht="15" hidden="false" customHeight="false" outlineLevel="0" collapsed="false">
      <c r="A998" s="5" t="s">
        <v>4</v>
      </c>
      <c r="B998" s="5" t="s">
        <v>55</v>
      </c>
      <c r="C998" s="2" t="s">
        <v>56</v>
      </c>
      <c r="D998" s="5" t="s">
        <v>80</v>
      </c>
      <c r="E998" s="5" t="s">
        <v>58</v>
      </c>
      <c r="F998" s="2" t="n">
        <v>20</v>
      </c>
      <c r="G998" s="5" t="s">
        <v>65</v>
      </c>
      <c r="H998" s="2" t="n">
        <v>0</v>
      </c>
      <c r="I998" s="2" t="n">
        <v>1</v>
      </c>
      <c r="J998" s="2" t="n">
        <v>1</v>
      </c>
      <c r="K998" s="7" t="n">
        <v>0.9637880739</v>
      </c>
      <c r="L998" s="7" t="n">
        <v>0.1410279014</v>
      </c>
      <c r="M998" s="7" t="n">
        <v>0.1567805528</v>
      </c>
      <c r="N998" s="7" t="n">
        <v>9</v>
      </c>
      <c r="O998" s="7" t="n">
        <v>9</v>
      </c>
      <c r="P998" s="7" t="n">
        <v>0</v>
      </c>
      <c r="Q998" s="2"/>
      <c r="R998" s="7" t="n">
        <v>3.12553</v>
      </c>
      <c r="S998" s="5" t="s">
        <v>79</v>
      </c>
      <c r="T998" s="5" t="s">
        <v>61</v>
      </c>
    </row>
    <row r="999" customFormat="false" ht="15" hidden="false" customHeight="false" outlineLevel="0" collapsed="false">
      <c r="A999" s="5" t="s">
        <v>4</v>
      </c>
      <c r="B999" s="5" t="s">
        <v>55</v>
      </c>
      <c r="C999" s="2" t="s">
        <v>56</v>
      </c>
      <c r="D999" s="5" t="s">
        <v>80</v>
      </c>
      <c r="E999" s="5" t="s">
        <v>62</v>
      </c>
      <c r="F999" s="2" t="n">
        <v>20</v>
      </c>
      <c r="G999" s="5" t="s">
        <v>65</v>
      </c>
      <c r="H999" s="2" t="n">
        <v>0</v>
      </c>
      <c r="I999" s="2" t="n">
        <v>1</v>
      </c>
      <c r="J999" s="2" t="n">
        <v>1</v>
      </c>
      <c r="K999" s="7" t="n">
        <v>0.7073416967</v>
      </c>
      <c r="L999" s="7" t="n">
        <v>0.04746419709</v>
      </c>
      <c r="M999" s="7" t="n">
        <v>0.06933308861</v>
      </c>
      <c r="N999" s="7" t="n">
        <v>9</v>
      </c>
      <c r="O999" s="7" t="n">
        <v>9</v>
      </c>
      <c r="P999" s="7" t="n">
        <v>8</v>
      </c>
      <c r="Q999" s="2"/>
      <c r="R999" s="7" t="n">
        <v>3.66596</v>
      </c>
      <c r="S999" s="5" t="s">
        <v>79</v>
      </c>
      <c r="T999" s="5" t="s">
        <v>61</v>
      </c>
    </row>
    <row r="1000" customFormat="false" ht="15" hidden="false" customHeight="false" outlineLevel="0" collapsed="false">
      <c r="A1000" s="5" t="s">
        <v>4</v>
      </c>
      <c r="B1000" s="5" t="s">
        <v>55</v>
      </c>
      <c r="C1000" s="2" t="s">
        <v>56</v>
      </c>
      <c r="D1000" s="5" t="s">
        <v>80</v>
      </c>
      <c r="E1000" s="5" t="s">
        <v>58</v>
      </c>
      <c r="F1000" s="2" t="n">
        <v>20</v>
      </c>
      <c r="G1000" s="5" t="s">
        <v>66</v>
      </c>
      <c r="H1000" s="2" t="n">
        <v>0</v>
      </c>
      <c r="I1000" s="2" t="n">
        <v>1</v>
      </c>
      <c r="J1000" s="2" t="n">
        <v>0</v>
      </c>
      <c r="K1000" s="7" t="n">
        <v>2.176777478</v>
      </c>
      <c r="L1000" s="7" t="n">
        <v>0.7386797207</v>
      </c>
      <c r="M1000" s="7" t="n">
        <v>0.7471152253</v>
      </c>
      <c r="N1000" s="7" t="n">
        <v>5</v>
      </c>
      <c r="O1000" s="7" t="n">
        <v>5</v>
      </c>
      <c r="P1000" s="7" t="n">
        <v>0</v>
      </c>
      <c r="Q1000" s="2"/>
      <c r="R1000" s="7" t="n">
        <v>3.070661</v>
      </c>
      <c r="S1000" s="5" t="s">
        <v>79</v>
      </c>
      <c r="T1000" s="5" t="s">
        <v>61</v>
      </c>
    </row>
    <row r="1001" customFormat="false" ht="15" hidden="false" customHeight="false" outlineLevel="0" collapsed="false">
      <c r="A1001" s="5" t="s">
        <v>4</v>
      </c>
      <c r="B1001" s="5" t="s">
        <v>55</v>
      </c>
      <c r="C1001" s="2" t="s">
        <v>56</v>
      </c>
      <c r="D1001" s="5" t="s">
        <v>80</v>
      </c>
      <c r="E1001" s="5" t="s">
        <v>62</v>
      </c>
      <c r="F1001" s="2" t="n">
        <v>20</v>
      </c>
      <c r="G1001" s="5" t="s">
        <v>66</v>
      </c>
      <c r="H1001" s="2" t="n">
        <v>0</v>
      </c>
      <c r="I1001" s="2" t="n">
        <v>1</v>
      </c>
      <c r="J1001" s="2" t="n">
        <v>0</v>
      </c>
      <c r="K1001" s="7" t="n">
        <v>2.176777478</v>
      </c>
      <c r="L1001" s="7" t="n">
        <v>0.7386797207</v>
      </c>
      <c r="M1001" s="7" t="n">
        <v>0.7471152253</v>
      </c>
      <c r="N1001" s="7" t="n">
        <v>5</v>
      </c>
      <c r="O1001" s="7" t="n">
        <v>5</v>
      </c>
      <c r="P1001" s="7" t="n">
        <v>5</v>
      </c>
      <c r="Q1001" s="2"/>
      <c r="R1001" s="7" t="n">
        <v>3.388391</v>
      </c>
      <c r="S1001" s="5" t="s">
        <v>79</v>
      </c>
      <c r="T1001" s="5" t="s">
        <v>61</v>
      </c>
    </row>
    <row r="1002" customFormat="false" ht="15" hidden="false" customHeight="false" outlineLevel="0" collapsed="false">
      <c r="A1002" s="5" t="s">
        <v>4</v>
      </c>
      <c r="B1002" s="5" t="s">
        <v>55</v>
      </c>
      <c r="C1002" s="2" t="s">
        <v>56</v>
      </c>
      <c r="D1002" s="5" t="s">
        <v>80</v>
      </c>
      <c r="E1002" s="5" t="s">
        <v>58</v>
      </c>
      <c r="F1002" s="2" t="n">
        <v>11</v>
      </c>
      <c r="G1002" s="5" t="s">
        <v>67</v>
      </c>
      <c r="H1002" s="2" t="n">
        <v>1</v>
      </c>
      <c r="I1002" s="2" t="n">
        <v>1</v>
      </c>
      <c r="J1002" s="2" t="n">
        <v>1</v>
      </c>
      <c r="K1002" s="7" t="n">
        <v>0.145483711</v>
      </c>
      <c r="L1002" s="7" t="n">
        <v>0.03495641812</v>
      </c>
      <c r="M1002" s="7" t="n">
        <v>0.03748584118</v>
      </c>
      <c r="N1002" s="7" t="n">
        <v>11</v>
      </c>
      <c r="O1002" s="7" t="n">
        <v>11</v>
      </c>
      <c r="P1002" s="7" t="n">
        <v>0</v>
      </c>
      <c r="Q1002" s="2"/>
      <c r="R1002" s="7" t="n">
        <v>2.126091</v>
      </c>
      <c r="S1002" s="5" t="s">
        <v>79</v>
      </c>
      <c r="T1002" s="5" t="s">
        <v>61</v>
      </c>
    </row>
    <row r="1003" customFormat="false" ht="15" hidden="false" customHeight="false" outlineLevel="0" collapsed="false">
      <c r="A1003" s="5" t="s">
        <v>4</v>
      </c>
      <c r="B1003" s="5" t="s">
        <v>55</v>
      </c>
      <c r="C1003" s="2" t="s">
        <v>56</v>
      </c>
      <c r="D1003" s="5" t="s">
        <v>80</v>
      </c>
      <c r="E1003" s="5" t="s">
        <v>62</v>
      </c>
      <c r="F1003" s="2" t="n">
        <v>11</v>
      </c>
      <c r="G1003" s="5" t="s">
        <v>67</v>
      </c>
      <c r="H1003" s="2" t="n">
        <v>1</v>
      </c>
      <c r="I1003" s="2" t="n">
        <v>1</v>
      </c>
      <c r="J1003" s="2" t="n">
        <v>1</v>
      </c>
      <c r="K1003" s="7" t="n">
        <v>0.145483711</v>
      </c>
      <c r="L1003" s="7" t="n">
        <v>0.03495641812</v>
      </c>
      <c r="M1003" s="7" t="n">
        <v>0.03748584118</v>
      </c>
      <c r="N1003" s="7" t="n">
        <v>11</v>
      </c>
      <c r="O1003" s="7" t="n">
        <v>11</v>
      </c>
      <c r="P1003" s="7" t="n">
        <v>11</v>
      </c>
      <c r="Q1003" s="2"/>
      <c r="R1003" s="7" t="n">
        <v>2.687572</v>
      </c>
      <c r="S1003" s="5" t="s">
        <v>79</v>
      </c>
      <c r="T1003" s="5" t="s">
        <v>61</v>
      </c>
    </row>
    <row r="1004" customFormat="false" ht="15" hidden="false" customHeight="false" outlineLevel="0" collapsed="false">
      <c r="A1004" s="5" t="s">
        <v>4</v>
      </c>
      <c r="B1004" s="5" t="s">
        <v>55</v>
      </c>
      <c r="C1004" s="2" t="s">
        <v>56</v>
      </c>
      <c r="D1004" s="5" t="s">
        <v>80</v>
      </c>
      <c r="E1004" s="5" t="s">
        <v>58</v>
      </c>
      <c r="F1004" s="2" t="n">
        <v>11</v>
      </c>
      <c r="G1004" s="5" t="s">
        <v>68</v>
      </c>
      <c r="H1004" s="2" t="n">
        <v>1</v>
      </c>
      <c r="I1004" s="2" t="n">
        <v>1</v>
      </c>
      <c r="J1004" s="2" t="n">
        <v>1</v>
      </c>
      <c r="K1004" s="7" t="n">
        <v>0.5585545559</v>
      </c>
      <c r="L1004" s="7" t="n">
        <v>0.1127147855</v>
      </c>
      <c r="M1004" s="7" t="n">
        <v>0.1200811682</v>
      </c>
      <c r="N1004" s="7" t="n">
        <v>9</v>
      </c>
      <c r="O1004" s="7" t="n">
        <v>9</v>
      </c>
      <c r="P1004" s="7" t="n">
        <v>0</v>
      </c>
      <c r="Q1004" s="2"/>
      <c r="R1004" s="7" t="n">
        <v>1.980448</v>
      </c>
      <c r="S1004" s="5" t="s">
        <v>79</v>
      </c>
      <c r="T1004" s="5" t="s">
        <v>61</v>
      </c>
    </row>
    <row r="1005" customFormat="false" ht="15" hidden="false" customHeight="false" outlineLevel="0" collapsed="false">
      <c r="A1005" s="5" t="s">
        <v>4</v>
      </c>
      <c r="B1005" s="5" t="s">
        <v>55</v>
      </c>
      <c r="C1005" s="2" t="s">
        <v>56</v>
      </c>
      <c r="D1005" s="5" t="s">
        <v>80</v>
      </c>
      <c r="E1005" s="5" t="s">
        <v>62</v>
      </c>
      <c r="F1005" s="2" t="n">
        <v>11</v>
      </c>
      <c r="G1005" s="5" t="s">
        <v>68</v>
      </c>
      <c r="H1005" s="2" t="n">
        <v>1</v>
      </c>
      <c r="I1005" s="2" t="n">
        <v>1</v>
      </c>
      <c r="J1005" s="2" t="n">
        <v>1</v>
      </c>
      <c r="K1005" s="7" t="n">
        <v>0.7051972624</v>
      </c>
      <c r="L1005" s="7" t="n">
        <v>0.03578583295</v>
      </c>
      <c r="M1005" s="7" t="n">
        <v>0.05943876277</v>
      </c>
      <c r="N1005" s="7" t="n">
        <v>9</v>
      </c>
      <c r="O1005" s="7" t="n">
        <v>9</v>
      </c>
      <c r="P1005" s="7" t="n">
        <v>7</v>
      </c>
      <c r="Q1005" s="2"/>
      <c r="R1005" s="7" t="n">
        <v>2.718538</v>
      </c>
      <c r="S1005" s="5" t="s">
        <v>79</v>
      </c>
      <c r="T1005" s="5" t="s">
        <v>61</v>
      </c>
    </row>
    <row r="1006" customFormat="false" ht="15" hidden="false" customHeight="false" outlineLevel="0" collapsed="false">
      <c r="A1006" s="5" t="s">
        <v>4</v>
      </c>
      <c r="B1006" s="5" t="s">
        <v>55</v>
      </c>
      <c r="C1006" s="2" t="s">
        <v>56</v>
      </c>
      <c r="D1006" s="5" t="s">
        <v>80</v>
      </c>
      <c r="E1006" s="5" t="s">
        <v>58</v>
      </c>
      <c r="F1006" s="2" t="n">
        <v>11</v>
      </c>
      <c r="G1006" s="5" t="s">
        <v>69</v>
      </c>
      <c r="H1006" s="2" t="n">
        <v>1</v>
      </c>
      <c r="I1006" s="2" t="n">
        <v>0</v>
      </c>
      <c r="J1006" s="2" t="n">
        <v>0</v>
      </c>
      <c r="K1006" s="2"/>
      <c r="L1006" s="2"/>
      <c r="M1006" s="2"/>
      <c r="N1006" s="7" t="n">
        <v>1</v>
      </c>
      <c r="O1006" s="7" t="n">
        <v>1</v>
      </c>
      <c r="P1006" s="7" t="n">
        <v>0</v>
      </c>
      <c r="Q1006" s="2"/>
      <c r="R1006" s="7" t="n">
        <v>2.931953</v>
      </c>
      <c r="S1006" s="5" t="s">
        <v>79</v>
      </c>
      <c r="T1006" s="5" t="s">
        <v>61</v>
      </c>
    </row>
    <row r="1007" customFormat="false" ht="15" hidden="false" customHeight="false" outlineLevel="0" collapsed="false">
      <c r="A1007" s="5" t="s">
        <v>4</v>
      </c>
      <c r="B1007" s="5" t="s">
        <v>55</v>
      </c>
      <c r="C1007" s="2" t="s">
        <v>56</v>
      </c>
      <c r="D1007" s="5" t="s">
        <v>80</v>
      </c>
      <c r="E1007" s="5" t="s">
        <v>62</v>
      </c>
      <c r="F1007" s="2" t="n">
        <v>11</v>
      </c>
      <c r="G1007" s="5" t="s">
        <v>69</v>
      </c>
      <c r="H1007" s="2" t="n">
        <v>1</v>
      </c>
      <c r="I1007" s="2" t="n">
        <v>0</v>
      </c>
      <c r="J1007" s="2" t="n">
        <v>0</v>
      </c>
      <c r="K1007" s="2"/>
      <c r="L1007" s="2"/>
      <c r="M1007" s="2"/>
      <c r="N1007" s="7" t="n">
        <v>1</v>
      </c>
      <c r="O1007" s="7" t="n">
        <v>1</v>
      </c>
      <c r="P1007" s="7" t="n">
        <v>0</v>
      </c>
      <c r="Q1007" s="2"/>
      <c r="R1007" s="7" t="n">
        <v>2.931552</v>
      </c>
      <c r="S1007" s="5" t="s">
        <v>79</v>
      </c>
      <c r="T1007" s="5" t="s">
        <v>61</v>
      </c>
    </row>
    <row r="1008" customFormat="false" ht="15" hidden="false" customHeight="false" outlineLevel="0" collapsed="false">
      <c r="A1008" s="5" t="s">
        <v>4</v>
      </c>
      <c r="B1008" s="5" t="s">
        <v>55</v>
      </c>
      <c r="C1008" s="2" t="s">
        <v>56</v>
      </c>
      <c r="D1008" s="5" t="s">
        <v>80</v>
      </c>
      <c r="E1008" s="5" t="s">
        <v>58</v>
      </c>
      <c r="F1008" s="2" t="n">
        <v>11</v>
      </c>
      <c r="G1008" s="5" t="s">
        <v>70</v>
      </c>
      <c r="H1008" s="2" t="n">
        <v>0</v>
      </c>
      <c r="I1008" s="2" t="n">
        <v>0</v>
      </c>
      <c r="J1008" s="2" t="n">
        <v>0</v>
      </c>
      <c r="K1008" s="2"/>
      <c r="L1008" s="2"/>
      <c r="M1008" s="2"/>
      <c r="N1008" s="7" t="n">
        <v>1</v>
      </c>
      <c r="O1008" s="7" t="n">
        <v>1</v>
      </c>
      <c r="P1008" s="7" t="n">
        <v>0</v>
      </c>
      <c r="Q1008" s="2"/>
      <c r="R1008" s="7" t="n">
        <v>3.001055</v>
      </c>
      <c r="S1008" s="5" t="s">
        <v>79</v>
      </c>
      <c r="T1008" s="5" t="s">
        <v>61</v>
      </c>
    </row>
    <row r="1009" customFormat="false" ht="15" hidden="false" customHeight="false" outlineLevel="0" collapsed="false">
      <c r="A1009" s="5" t="s">
        <v>4</v>
      </c>
      <c r="B1009" s="5" t="s">
        <v>55</v>
      </c>
      <c r="C1009" s="2" t="s">
        <v>56</v>
      </c>
      <c r="D1009" s="5" t="s">
        <v>80</v>
      </c>
      <c r="E1009" s="5" t="s">
        <v>62</v>
      </c>
      <c r="F1009" s="2" t="n">
        <v>11</v>
      </c>
      <c r="G1009" s="5" t="s">
        <v>70</v>
      </c>
      <c r="H1009" s="2" t="n">
        <v>0</v>
      </c>
      <c r="I1009" s="2" t="n">
        <v>0</v>
      </c>
      <c r="J1009" s="2" t="n">
        <v>0</v>
      </c>
      <c r="K1009" s="2"/>
      <c r="L1009" s="2"/>
      <c r="M1009" s="2"/>
      <c r="N1009" s="7" t="n">
        <v>1</v>
      </c>
      <c r="O1009" s="7" t="n">
        <v>1</v>
      </c>
      <c r="P1009" s="7" t="n">
        <v>0</v>
      </c>
      <c r="Q1009" s="2"/>
      <c r="R1009" s="7" t="n">
        <v>3.000955</v>
      </c>
      <c r="S1009" s="5" t="s">
        <v>79</v>
      </c>
      <c r="T1009" s="5" t="s">
        <v>61</v>
      </c>
    </row>
    <row r="1010" customFormat="false" ht="15" hidden="false" customHeight="false" outlineLevel="0" collapsed="false">
      <c r="A1010" s="5" t="s">
        <v>4</v>
      </c>
      <c r="B1010" s="5" t="s">
        <v>55</v>
      </c>
      <c r="C1010" s="2" t="s">
        <v>56</v>
      </c>
      <c r="D1010" s="5" t="s">
        <v>80</v>
      </c>
      <c r="E1010" s="5" t="s">
        <v>58</v>
      </c>
      <c r="F1010" s="2" t="n">
        <v>12</v>
      </c>
      <c r="G1010" s="5" t="s">
        <v>67</v>
      </c>
      <c r="H1010" s="2" t="n">
        <v>1</v>
      </c>
      <c r="I1010" s="2" t="n">
        <v>1</v>
      </c>
      <c r="J1010" s="2" t="n">
        <v>1</v>
      </c>
      <c r="K1010" s="7" t="n">
        <v>0.5454289245</v>
      </c>
      <c r="L1010" s="7" t="n">
        <v>0.04859629228</v>
      </c>
      <c r="M1010" s="7" t="n">
        <v>0.05874456532</v>
      </c>
      <c r="N1010" s="7" t="n">
        <v>10</v>
      </c>
      <c r="O1010" s="7" t="n">
        <v>10</v>
      </c>
      <c r="P1010" s="7" t="n">
        <v>0</v>
      </c>
      <c r="Q1010" s="2"/>
      <c r="R1010" s="7" t="n">
        <v>1.650369</v>
      </c>
      <c r="S1010" s="5" t="s">
        <v>79</v>
      </c>
      <c r="T1010" s="5" t="s">
        <v>61</v>
      </c>
    </row>
    <row r="1011" customFormat="false" ht="15" hidden="false" customHeight="false" outlineLevel="0" collapsed="false">
      <c r="A1011" s="5" t="s">
        <v>4</v>
      </c>
      <c r="B1011" s="5" t="s">
        <v>55</v>
      </c>
      <c r="C1011" s="2" t="s">
        <v>56</v>
      </c>
      <c r="D1011" s="5" t="s">
        <v>80</v>
      </c>
      <c r="E1011" s="5" t="s">
        <v>62</v>
      </c>
      <c r="F1011" s="2" t="n">
        <v>12</v>
      </c>
      <c r="G1011" s="5" t="s">
        <v>67</v>
      </c>
      <c r="H1011" s="2" t="n">
        <v>1</v>
      </c>
      <c r="I1011" s="2" t="n">
        <v>1</v>
      </c>
      <c r="J1011" s="2" t="n">
        <v>1</v>
      </c>
      <c r="K1011" s="7" t="n">
        <v>0.5454289245</v>
      </c>
      <c r="L1011" s="7" t="n">
        <v>0.04859629228</v>
      </c>
      <c r="M1011" s="7" t="n">
        <v>0.05874456532</v>
      </c>
      <c r="N1011" s="7" t="n">
        <v>10</v>
      </c>
      <c r="O1011" s="7" t="n">
        <v>10</v>
      </c>
      <c r="P1011" s="7" t="n">
        <v>10</v>
      </c>
      <c r="Q1011" s="2"/>
      <c r="R1011" s="7" t="n">
        <v>2.206211</v>
      </c>
      <c r="S1011" s="5" t="s">
        <v>79</v>
      </c>
      <c r="T1011" s="5" t="s">
        <v>61</v>
      </c>
    </row>
    <row r="1012" customFormat="false" ht="15" hidden="false" customHeight="false" outlineLevel="0" collapsed="false">
      <c r="A1012" s="5" t="s">
        <v>4</v>
      </c>
      <c r="B1012" s="5" t="s">
        <v>55</v>
      </c>
      <c r="C1012" s="2" t="s">
        <v>56</v>
      </c>
      <c r="D1012" s="5" t="s">
        <v>80</v>
      </c>
      <c r="E1012" s="5" t="s">
        <v>58</v>
      </c>
      <c r="F1012" s="2" t="n">
        <v>12</v>
      </c>
      <c r="G1012" s="5" t="s">
        <v>68</v>
      </c>
      <c r="H1012" s="2" t="n">
        <v>1</v>
      </c>
      <c r="I1012" s="2" t="n">
        <v>1</v>
      </c>
      <c r="J1012" s="2" t="n">
        <v>1</v>
      </c>
      <c r="K1012" s="7" t="n">
        <v>0.590136781</v>
      </c>
      <c r="L1012" s="7" t="n">
        <v>0.02267909594</v>
      </c>
      <c r="M1012" s="7" t="n">
        <v>0.04345908029</v>
      </c>
      <c r="N1012" s="7" t="n">
        <v>11</v>
      </c>
      <c r="O1012" s="7" t="n">
        <v>11</v>
      </c>
      <c r="P1012" s="7" t="n">
        <v>0</v>
      </c>
      <c r="Q1012" s="2"/>
      <c r="R1012" s="7" t="n">
        <v>1.953717</v>
      </c>
      <c r="S1012" s="5" t="s">
        <v>79</v>
      </c>
      <c r="T1012" s="5" t="s">
        <v>61</v>
      </c>
    </row>
    <row r="1013" customFormat="false" ht="15" hidden="false" customHeight="false" outlineLevel="0" collapsed="false">
      <c r="A1013" s="5" t="s">
        <v>4</v>
      </c>
      <c r="B1013" s="5" t="s">
        <v>55</v>
      </c>
      <c r="C1013" s="2" t="s">
        <v>56</v>
      </c>
      <c r="D1013" s="5" t="s">
        <v>80</v>
      </c>
      <c r="E1013" s="5" t="s">
        <v>62</v>
      </c>
      <c r="F1013" s="2" t="n">
        <v>12</v>
      </c>
      <c r="G1013" s="5" t="s">
        <v>68</v>
      </c>
      <c r="H1013" s="2" t="n">
        <v>1</v>
      </c>
      <c r="I1013" s="2" t="n">
        <v>1</v>
      </c>
      <c r="J1013" s="2" t="n">
        <v>1</v>
      </c>
      <c r="K1013" s="7" t="n">
        <v>0.590136781</v>
      </c>
      <c r="L1013" s="7" t="n">
        <v>0.02267909594</v>
      </c>
      <c r="M1013" s="7" t="n">
        <v>0.04345908029</v>
      </c>
      <c r="N1013" s="7" t="n">
        <v>11</v>
      </c>
      <c r="O1013" s="7" t="n">
        <v>11</v>
      </c>
      <c r="P1013" s="7" t="n">
        <v>11</v>
      </c>
      <c r="Q1013" s="2"/>
      <c r="R1013" s="7" t="n">
        <v>2.542468</v>
      </c>
      <c r="S1013" s="5" t="s">
        <v>79</v>
      </c>
      <c r="T1013" s="5" t="s">
        <v>61</v>
      </c>
    </row>
    <row r="1014" customFormat="false" ht="15" hidden="false" customHeight="false" outlineLevel="0" collapsed="false">
      <c r="A1014" s="5" t="s">
        <v>4</v>
      </c>
      <c r="B1014" s="5" t="s">
        <v>55</v>
      </c>
      <c r="C1014" s="2" t="s">
        <v>56</v>
      </c>
      <c r="D1014" s="5" t="s">
        <v>80</v>
      </c>
      <c r="E1014" s="5" t="s">
        <v>58</v>
      </c>
      <c r="F1014" s="2" t="n">
        <v>12</v>
      </c>
      <c r="G1014" s="5" t="s">
        <v>69</v>
      </c>
      <c r="H1014" s="2" t="n">
        <v>1</v>
      </c>
      <c r="I1014" s="2" t="n">
        <v>0</v>
      </c>
      <c r="J1014" s="2" t="n">
        <v>0</v>
      </c>
      <c r="K1014" s="2"/>
      <c r="L1014" s="2"/>
      <c r="M1014" s="2"/>
      <c r="N1014" s="7" t="n">
        <v>1</v>
      </c>
      <c r="O1014" s="7" t="n">
        <v>1</v>
      </c>
      <c r="P1014" s="7" t="n">
        <v>0</v>
      </c>
      <c r="Q1014" s="2"/>
      <c r="R1014" s="7" t="n">
        <v>2.857863</v>
      </c>
      <c r="S1014" s="5" t="s">
        <v>79</v>
      </c>
      <c r="T1014" s="5" t="s">
        <v>61</v>
      </c>
    </row>
    <row r="1015" customFormat="false" ht="15" hidden="false" customHeight="false" outlineLevel="0" collapsed="false">
      <c r="A1015" s="5" t="s">
        <v>4</v>
      </c>
      <c r="B1015" s="5" t="s">
        <v>55</v>
      </c>
      <c r="C1015" s="2" t="s">
        <v>56</v>
      </c>
      <c r="D1015" s="5" t="s">
        <v>80</v>
      </c>
      <c r="E1015" s="5" t="s">
        <v>62</v>
      </c>
      <c r="F1015" s="2" t="n">
        <v>12</v>
      </c>
      <c r="G1015" s="5" t="s">
        <v>69</v>
      </c>
      <c r="H1015" s="2" t="n">
        <v>1</v>
      </c>
      <c r="I1015" s="2" t="n">
        <v>0</v>
      </c>
      <c r="J1015" s="2" t="n">
        <v>0</v>
      </c>
      <c r="K1015" s="2"/>
      <c r="L1015" s="2"/>
      <c r="M1015" s="2"/>
      <c r="N1015" s="7" t="n">
        <v>1</v>
      </c>
      <c r="O1015" s="7" t="n">
        <v>1</v>
      </c>
      <c r="P1015" s="7" t="n">
        <v>0</v>
      </c>
      <c r="Q1015" s="2"/>
      <c r="R1015" s="7" t="n">
        <v>2.857272</v>
      </c>
      <c r="S1015" s="5" t="s">
        <v>79</v>
      </c>
      <c r="T1015" s="5" t="s">
        <v>61</v>
      </c>
    </row>
    <row r="1016" customFormat="false" ht="15" hidden="false" customHeight="false" outlineLevel="0" collapsed="false">
      <c r="A1016" s="5" t="s">
        <v>4</v>
      </c>
      <c r="B1016" s="5" t="s">
        <v>55</v>
      </c>
      <c r="C1016" s="2" t="s">
        <v>56</v>
      </c>
      <c r="D1016" s="5" t="s">
        <v>80</v>
      </c>
      <c r="E1016" s="5" t="s">
        <v>58</v>
      </c>
      <c r="F1016" s="2" t="n">
        <v>12</v>
      </c>
      <c r="G1016" s="5" t="s">
        <v>70</v>
      </c>
      <c r="H1016" s="2" t="n">
        <v>0</v>
      </c>
      <c r="I1016" s="2" t="n">
        <v>1</v>
      </c>
      <c r="J1016" s="2" t="n">
        <v>1</v>
      </c>
      <c r="K1016" s="7" t="n">
        <v>0.3955112892</v>
      </c>
      <c r="L1016" s="7" t="n">
        <v>0.06438924797</v>
      </c>
      <c r="M1016" s="7" t="n">
        <v>0.07068437733</v>
      </c>
      <c r="N1016" s="7" t="n">
        <v>10</v>
      </c>
      <c r="O1016" s="7" t="n">
        <v>10</v>
      </c>
      <c r="P1016" s="7" t="n">
        <v>0</v>
      </c>
      <c r="Q1016" s="2"/>
      <c r="R1016" s="7" t="n">
        <v>3.136786</v>
      </c>
      <c r="S1016" s="5" t="s">
        <v>79</v>
      </c>
      <c r="T1016" s="5" t="s">
        <v>61</v>
      </c>
    </row>
    <row r="1017" customFormat="false" ht="15" hidden="false" customHeight="false" outlineLevel="0" collapsed="false">
      <c r="A1017" s="5" t="s">
        <v>4</v>
      </c>
      <c r="B1017" s="5" t="s">
        <v>55</v>
      </c>
      <c r="C1017" s="2" t="s">
        <v>56</v>
      </c>
      <c r="D1017" s="5" t="s">
        <v>80</v>
      </c>
      <c r="E1017" s="5" t="s">
        <v>62</v>
      </c>
      <c r="F1017" s="2" t="n">
        <v>12</v>
      </c>
      <c r="G1017" s="5" t="s">
        <v>70</v>
      </c>
      <c r="H1017" s="2" t="n">
        <v>0</v>
      </c>
      <c r="I1017" s="2" t="n">
        <v>1</v>
      </c>
      <c r="J1017" s="2" t="n">
        <v>1</v>
      </c>
      <c r="K1017" s="7" t="n">
        <v>0.7314863507</v>
      </c>
      <c r="L1017" s="7" t="n">
        <v>0.07831586957</v>
      </c>
      <c r="M1017" s="7" t="n">
        <v>0.09293103543</v>
      </c>
      <c r="N1017" s="7" t="n">
        <v>10</v>
      </c>
      <c r="O1017" s="7" t="n">
        <v>10</v>
      </c>
      <c r="P1017" s="7" t="n">
        <v>9</v>
      </c>
      <c r="Q1017" s="2"/>
      <c r="R1017" s="7" t="n">
        <v>3.733718</v>
      </c>
      <c r="S1017" s="5" t="s">
        <v>79</v>
      </c>
      <c r="T1017" s="5" t="s">
        <v>61</v>
      </c>
    </row>
    <row r="1018" customFormat="false" ht="15" hidden="false" customHeight="false" outlineLevel="0" collapsed="false">
      <c r="A1018" s="5" t="s">
        <v>4</v>
      </c>
      <c r="B1018" s="5" t="s">
        <v>55</v>
      </c>
      <c r="C1018" s="2" t="s">
        <v>56</v>
      </c>
      <c r="D1018" s="5" t="s">
        <v>80</v>
      </c>
      <c r="E1018" s="5" t="s">
        <v>58</v>
      </c>
      <c r="F1018" s="2" t="n">
        <v>13</v>
      </c>
      <c r="G1018" s="5" t="s">
        <v>67</v>
      </c>
      <c r="H1018" s="2" t="n">
        <v>1</v>
      </c>
      <c r="I1018" s="2" t="n">
        <v>1</v>
      </c>
      <c r="J1018" s="2" t="n">
        <v>1</v>
      </c>
      <c r="K1018" s="7" t="n">
        <v>1.354445239</v>
      </c>
      <c r="L1018" s="7" t="n">
        <v>0.0654683379</v>
      </c>
      <c r="M1018" s="7" t="n">
        <v>0.1010938289</v>
      </c>
      <c r="N1018" s="7" t="n">
        <v>14</v>
      </c>
      <c r="O1018" s="7" t="n">
        <v>14</v>
      </c>
      <c r="P1018" s="7" t="n">
        <v>0</v>
      </c>
      <c r="Q1018" s="2"/>
      <c r="R1018" s="7" t="n">
        <v>1.722605</v>
      </c>
      <c r="S1018" s="5" t="s">
        <v>79</v>
      </c>
      <c r="T1018" s="5" t="s">
        <v>61</v>
      </c>
    </row>
    <row r="1019" customFormat="false" ht="15" hidden="false" customHeight="false" outlineLevel="0" collapsed="false">
      <c r="A1019" s="5" t="s">
        <v>4</v>
      </c>
      <c r="B1019" s="5" t="s">
        <v>55</v>
      </c>
      <c r="C1019" s="2" t="s">
        <v>56</v>
      </c>
      <c r="D1019" s="5" t="s">
        <v>80</v>
      </c>
      <c r="E1019" s="5" t="s">
        <v>62</v>
      </c>
      <c r="F1019" s="2" t="n">
        <v>13</v>
      </c>
      <c r="G1019" s="5" t="s">
        <v>67</v>
      </c>
      <c r="H1019" s="2" t="n">
        <v>1</v>
      </c>
      <c r="I1019" s="2" t="n">
        <v>1</v>
      </c>
      <c r="J1019" s="2" t="n">
        <v>1</v>
      </c>
      <c r="K1019" s="7" t="n">
        <v>0.0766763747</v>
      </c>
      <c r="L1019" s="7" t="n">
        <v>0.01779534964</v>
      </c>
      <c r="M1019" s="7" t="n">
        <v>0.01851706454</v>
      </c>
      <c r="N1019" s="7" t="n">
        <v>14</v>
      </c>
      <c r="O1019" s="7" t="n">
        <v>14</v>
      </c>
      <c r="P1019" s="7" t="n">
        <v>13</v>
      </c>
      <c r="Q1019" s="2"/>
      <c r="R1019" s="7" t="n">
        <v>2.39612</v>
      </c>
      <c r="S1019" s="5" t="s">
        <v>79</v>
      </c>
      <c r="T1019" s="5" t="s">
        <v>61</v>
      </c>
    </row>
    <row r="1020" customFormat="false" ht="15" hidden="false" customHeight="false" outlineLevel="0" collapsed="false">
      <c r="A1020" s="5" t="s">
        <v>4</v>
      </c>
      <c r="B1020" s="5" t="s">
        <v>55</v>
      </c>
      <c r="C1020" s="2" t="s">
        <v>56</v>
      </c>
      <c r="D1020" s="5" t="s">
        <v>80</v>
      </c>
      <c r="E1020" s="5" t="s">
        <v>58</v>
      </c>
      <c r="F1020" s="2" t="n">
        <v>13</v>
      </c>
      <c r="G1020" s="5" t="s">
        <v>68</v>
      </c>
      <c r="H1020" s="2" t="n">
        <v>1</v>
      </c>
      <c r="I1020" s="2" t="n">
        <v>1</v>
      </c>
      <c r="J1020" s="2" t="n">
        <v>1</v>
      </c>
      <c r="K1020" s="7" t="n">
        <v>0.8694765097</v>
      </c>
      <c r="L1020" s="7" t="n">
        <v>0.05171501756</v>
      </c>
      <c r="M1020" s="7" t="n">
        <v>0.08413337896</v>
      </c>
      <c r="N1020" s="7" t="n">
        <v>5</v>
      </c>
      <c r="O1020" s="7" t="n">
        <v>5</v>
      </c>
      <c r="P1020" s="7" t="n">
        <v>0</v>
      </c>
      <c r="Q1020" s="2"/>
      <c r="R1020" s="7" t="n">
        <v>1.726031</v>
      </c>
      <c r="S1020" s="5" t="s">
        <v>79</v>
      </c>
      <c r="T1020" s="5" t="s">
        <v>61</v>
      </c>
    </row>
    <row r="1021" customFormat="false" ht="15" hidden="false" customHeight="false" outlineLevel="0" collapsed="false">
      <c r="A1021" s="5" t="s">
        <v>4</v>
      </c>
      <c r="B1021" s="5" t="s">
        <v>55</v>
      </c>
      <c r="C1021" s="2" t="s">
        <v>56</v>
      </c>
      <c r="D1021" s="5" t="s">
        <v>80</v>
      </c>
      <c r="E1021" s="5" t="s">
        <v>62</v>
      </c>
      <c r="F1021" s="2" t="n">
        <v>13</v>
      </c>
      <c r="G1021" s="5" t="s">
        <v>68</v>
      </c>
      <c r="H1021" s="2" t="n">
        <v>1</v>
      </c>
      <c r="I1021" s="2" t="n">
        <v>1</v>
      </c>
      <c r="J1021" s="2" t="n">
        <v>1</v>
      </c>
      <c r="K1021" s="7" t="n">
        <v>0.8694765097</v>
      </c>
      <c r="L1021" s="7" t="n">
        <v>0.05171501756</v>
      </c>
      <c r="M1021" s="7" t="n">
        <v>0.08413337896</v>
      </c>
      <c r="N1021" s="7" t="n">
        <v>5</v>
      </c>
      <c r="O1021" s="7" t="n">
        <v>5</v>
      </c>
      <c r="P1021" s="7" t="n">
        <v>5</v>
      </c>
      <c r="Q1021" s="2"/>
      <c r="R1021" s="7" t="n">
        <v>2.082448</v>
      </c>
      <c r="S1021" s="5" t="s">
        <v>79</v>
      </c>
      <c r="T1021" s="5" t="s">
        <v>61</v>
      </c>
    </row>
    <row r="1022" customFormat="false" ht="15" hidden="false" customHeight="false" outlineLevel="0" collapsed="false">
      <c r="A1022" s="5" t="s">
        <v>4</v>
      </c>
      <c r="B1022" s="5" t="s">
        <v>55</v>
      </c>
      <c r="C1022" s="2" t="s">
        <v>56</v>
      </c>
      <c r="D1022" s="5" t="s">
        <v>80</v>
      </c>
      <c r="E1022" s="5" t="s">
        <v>58</v>
      </c>
      <c r="F1022" s="2" t="n">
        <v>13</v>
      </c>
      <c r="G1022" s="5" t="s">
        <v>69</v>
      </c>
      <c r="H1022" s="2" t="n">
        <v>1</v>
      </c>
      <c r="I1022" s="2" t="n">
        <v>1</v>
      </c>
      <c r="J1022" s="2" t="n">
        <v>1</v>
      </c>
      <c r="K1022" s="7" t="n">
        <v>0.4168804795</v>
      </c>
      <c r="L1022" s="7" t="n">
        <v>0.04606294164</v>
      </c>
      <c r="M1022" s="7" t="n">
        <v>0.05358809532</v>
      </c>
      <c r="N1022" s="7" t="n">
        <v>7</v>
      </c>
      <c r="O1022" s="7" t="n">
        <v>7</v>
      </c>
      <c r="P1022" s="7" t="n">
        <v>0</v>
      </c>
      <c r="Q1022" s="2"/>
      <c r="R1022" s="7" t="n">
        <v>2.88268</v>
      </c>
      <c r="S1022" s="5" t="s">
        <v>79</v>
      </c>
      <c r="T1022" s="5" t="s">
        <v>61</v>
      </c>
    </row>
    <row r="1023" customFormat="false" ht="15" hidden="false" customHeight="false" outlineLevel="0" collapsed="false">
      <c r="A1023" s="5" t="s">
        <v>4</v>
      </c>
      <c r="B1023" s="5" t="s">
        <v>55</v>
      </c>
      <c r="C1023" s="2" t="s">
        <v>56</v>
      </c>
      <c r="D1023" s="5" t="s">
        <v>80</v>
      </c>
      <c r="E1023" s="5" t="s">
        <v>62</v>
      </c>
      <c r="F1023" s="2" t="n">
        <v>13</v>
      </c>
      <c r="G1023" s="5" t="s">
        <v>69</v>
      </c>
      <c r="H1023" s="2" t="n">
        <v>1</v>
      </c>
      <c r="I1023" s="2" t="n">
        <v>1</v>
      </c>
      <c r="J1023" s="2" t="n">
        <v>1</v>
      </c>
      <c r="K1023" s="7" t="n">
        <v>0.4168804795</v>
      </c>
      <c r="L1023" s="7" t="n">
        <v>0.04606294164</v>
      </c>
      <c r="M1023" s="7" t="n">
        <v>0.05358809532</v>
      </c>
      <c r="N1023" s="7" t="n">
        <v>7</v>
      </c>
      <c r="O1023" s="7" t="n">
        <v>7</v>
      </c>
      <c r="P1023" s="7" t="n">
        <v>7</v>
      </c>
      <c r="Q1023" s="2"/>
      <c r="R1023" s="7" t="n">
        <v>3.358934</v>
      </c>
      <c r="S1023" s="5" t="s">
        <v>79</v>
      </c>
      <c r="T1023" s="5" t="s">
        <v>61</v>
      </c>
    </row>
    <row r="1024" customFormat="false" ht="15" hidden="false" customHeight="false" outlineLevel="0" collapsed="false">
      <c r="A1024" s="5" t="s">
        <v>4</v>
      </c>
      <c r="B1024" s="5" t="s">
        <v>55</v>
      </c>
      <c r="C1024" s="2" t="s">
        <v>56</v>
      </c>
      <c r="D1024" s="5" t="s">
        <v>80</v>
      </c>
      <c r="E1024" s="5" t="s">
        <v>58</v>
      </c>
      <c r="F1024" s="2" t="n">
        <v>13</v>
      </c>
      <c r="G1024" s="5" t="s">
        <v>70</v>
      </c>
      <c r="H1024" s="2" t="n">
        <v>0</v>
      </c>
      <c r="I1024" s="2" t="n">
        <v>1</v>
      </c>
      <c r="J1024" s="2" t="n">
        <v>1</v>
      </c>
      <c r="K1024" s="7" t="n">
        <v>0.6580974198</v>
      </c>
      <c r="L1024" s="7" t="n">
        <v>0.08023491851</v>
      </c>
      <c r="M1024" s="7" t="n">
        <v>0.09159322082</v>
      </c>
      <c r="N1024" s="7" t="n">
        <v>12</v>
      </c>
      <c r="O1024" s="7" t="n">
        <v>12</v>
      </c>
      <c r="P1024" s="7" t="n">
        <v>0</v>
      </c>
      <c r="Q1024" s="2"/>
      <c r="R1024" s="7" t="n">
        <v>2.926036</v>
      </c>
      <c r="S1024" s="5" t="s">
        <v>79</v>
      </c>
      <c r="T1024" s="5" t="s">
        <v>61</v>
      </c>
    </row>
    <row r="1025" customFormat="false" ht="15" hidden="false" customHeight="false" outlineLevel="0" collapsed="false">
      <c r="A1025" s="5" t="s">
        <v>4</v>
      </c>
      <c r="B1025" s="5" t="s">
        <v>55</v>
      </c>
      <c r="C1025" s="2" t="s">
        <v>56</v>
      </c>
      <c r="D1025" s="5" t="s">
        <v>80</v>
      </c>
      <c r="E1025" s="5" t="s">
        <v>62</v>
      </c>
      <c r="F1025" s="2" t="n">
        <v>13</v>
      </c>
      <c r="G1025" s="5" t="s">
        <v>70</v>
      </c>
      <c r="H1025" s="2" t="n">
        <v>0</v>
      </c>
      <c r="I1025" s="2" t="n">
        <v>1</v>
      </c>
      <c r="J1025" s="2" t="n">
        <v>1</v>
      </c>
      <c r="K1025" s="7" t="n">
        <v>0.1940764276</v>
      </c>
      <c r="L1025" s="7" t="n">
        <v>0.07927326809</v>
      </c>
      <c r="M1025" s="7" t="n">
        <v>0.08083116101</v>
      </c>
      <c r="N1025" s="7" t="n">
        <v>12</v>
      </c>
      <c r="O1025" s="7" t="n">
        <v>12</v>
      </c>
      <c r="P1025" s="7" t="n">
        <v>9</v>
      </c>
      <c r="Q1025" s="2"/>
      <c r="R1025" s="7" t="n">
        <v>3.561985</v>
      </c>
      <c r="S1025" s="5" t="s">
        <v>79</v>
      </c>
      <c r="T1025" s="5" t="s">
        <v>61</v>
      </c>
    </row>
    <row r="1026" customFormat="false" ht="15" hidden="false" customHeight="false" outlineLevel="0" collapsed="false">
      <c r="A1026" s="5" t="s">
        <v>4</v>
      </c>
      <c r="B1026" s="5" t="s">
        <v>55</v>
      </c>
      <c r="C1026" s="2" t="s">
        <v>56</v>
      </c>
      <c r="D1026" s="5" t="s">
        <v>80</v>
      </c>
      <c r="E1026" s="5" t="s">
        <v>58</v>
      </c>
      <c r="F1026" s="2" t="n">
        <v>14</v>
      </c>
      <c r="G1026" s="5" t="s">
        <v>67</v>
      </c>
      <c r="H1026" s="2" t="n">
        <v>1</v>
      </c>
      <c r="I1026" s="2" t="n">
        <v>1</v>
      </c>
      <c r="J1026" s="2" t="n">
        <v>1</v>
      </c>
      <c r="K1026" s="7" t="n">
        <v>0.8353282104</v>
      </c>
      <c r="L1026" s="7" t="n">
        <v>0.05568984984</v>
      </c>
      <c r="M1026" s="7" t="n">
        <v>0.07183444982</v>
      </c>
      <c r="N1026" s="7" t="n">
        <v>9</v>
      </c>
      <c r="O1026" s="7" t="n">
        <v>9</v>
      </c>
      <c r="P1026" s="7" t="n">
        <v>0</v>
      </c>
      <c r="Q1026" s="2"/>
      <c r="R1026" s="7" t="n">
        <v>1.898356</v>
      </c>
      <c r="S1026" s="5" t="s">
        <v>79</v>
      </c>
      <c r="T1026" s="5" t="s">
        <v>61</v>
      </c>
    </row>
    <row r="1027" customFormat="false" ht="15" hidden="false" customHeight="false" outlineLevel="0" collapsed="false">
      <c r="A1027" s="5" t="s">
        <v>4</v>
      </c>
      <c r="B1027" s="5" t="s">
        <v>55</v>
      </c>
      <c r="C1027" s="2" t="s">
        <v>56</v>
      </c>
      <c r="D1027" s="5" t="s">
        <v>80</v>
      </c>
      <c r="E1027" s="5" t="s">
        <v>62</v>
      </c>
      <c r="F1027" s="2" t="n">
        <v>14</v>
      </c>
      <c r="G1027" s="5" t="s">
        <v>67</v>
      </c>
      <c r="H1027" s="2" t="n">
        <v>1</v>
      </c>
      <c r="I1027" s="2" t="n">
        <v>1</v>
      </c>
      <c r="J1027" s="2" t="n">
        <v>1</v>
      </c>
      <c r="K1027" s="7" t="n">
        <v>0.7226310713</v>
      </c>
      <c r="L1027" s="7" t="n">
        <v>0.0945582654</v>
      </c>
      <c r="M1027" s="7" t="n">
        <v>0.103049783</v>
      </c>
      <c r="N1027" s="7" t="n">
        <v>9</v>
      </c>
      <c r="O1027" s="7" t="n">
        <v>9</v>
      </c>
      <c r="P1027" s="7" t="n">
        <v>8</v>
      </c>
      <c r="Q1027" s="2"/>
      <c r="R1027" s="7" t="n">
        <v>2.499675</v>
      </c>
      <c r="S1027" s="5" t="s">
        <v>79</v>
      </c>
      <c r="T1027" s="5" t="s">
        <v>61</v>
      </c>
    </row>
    <row r="1028" customFormat="false" ht="15" hidden="false" customHeight="false" outlineLevel="0" collapsed="false">
      <c r="A1028" s="5" t="s">
        <v>4</v>
      </c>
      <c r="B1028" s="5" t="s">
        <v>55</v>
      </c>
      <c r="C1028" s="2" t="s">
        <v>56</v>
      </c>
      <c r="D1028" s="5" t="s">
        <v>80</v>
      </c>
      <c r="E1028" s="5" t="s">
        <v>58</v>
      </c>
      <c r="F1028" s="2" t="n">
        <v>14</v>
      </c>
      <c r="G1028" s="5" t="s">
        <v>68</v>
      </c>
      <c r="H1028" s="2" t="n">
        <v>1</v>
      </c>
      <c r="I1028" s="2" t="n">
        <v>1</v>
      </c>
      <c r="J1028" s="2" t="n">
        <v>1</v>
      </c>
      <c r="K1028" s="7" t="n">
        <v>0.568012283</v>
      </c>
      <c r="L1028" s="7" t="n">
        <v>0.04722933793</v>
      </c>
      <c r="M1028" s="7" t="n">
        <v>0.0575957627</v>
      </c>
      <c r="N1028" s="7" t="n">
        <v>10</v>
      </c>
      <c r="O1028" s="7" t="n">
        <v>10</v>
      </c>
      <c r="P1028" s="7" t="n">
        <v>0</v>
      </c>
      <c r="Q1028" s="2"/>
      <c r="R1028" s="7" t="n">
        <v>1.836074</v>
      </c>
      <c r="S1028" s="5" t="s">
        <v>79</v>
      </c>
      <c r="T1028" s="5" t="s">
        <v>61</v>
      </c>
    </row>
    <row r="1029" customFormat="false" ht="15" hidden="false" customHeight="false" outlineLevel="0" collapsed="false">
      <c r="A1029" s="5" t="s">
        <v>4</v>
      </c>
      <c r="B1029" s="5" t="s">
        <v>55</v>
      </c>
      <c r="C1029" s="2" t="s">
        <v>56</v>
      </c>
      <c r="D1029" s="5" t="s">
        <v>80</v>
      </c>
      <c r="E1029" s="5" t="s">
        <v>62</v>
      </c>
      <c r="F1029" s="2" t="n">
        <v>14</v>
      </c>
      <c r="G1029" s="5" t="s">
        <v>68</v>
      </c>
      <c r="H1029" s="2" t="n">
        <v>1</v>
      </c>
      <c r="I1029" s="2" t="n">
        <v>1</v>
      </c>
      <c r="J1029" s="2" t="n">
        <v>1</v>
      </c>
      <c r="K1029" s="7" t="n">
        <v>0.707612049</v>
      </c>
      <c r="L1029" s="7" t="n">
        <v>0.05015978549</v>
      </c>
      <c r="M1029" s="7" t="n">
        <v>0.0658303418</v>
      </c>
      <c r="N1029" s="7" t="n">
        <v>10</v>
      </c>
      <c r="O1029" s="7" t="n">
        <v>10</v>
      </c>
      <c r="P1029" s="7" t="n">
        <v>9</v>
      </c>
      <c r="Q1029" s="2"/>
      <c r="R1029" s="7" t="n">
        <v>2.402461</v>
      </c>
      <c r="S1029" s="5" t="s">
        <v>79</v>
      </c>
      <c r="T1029" s="5" t="s">
        <v>61</v>
      </c>
    </row>
    <row r="1030" customFormat="false" ht="15" hidden="false" customHeight="false" outlineLevel="0" collapsed="false">
      <c r="A1030" s="5" t="s">
        <v>4</v>
      </c>
      <c r="B1030" s="5" t="s">
        <v>55</v>
      </c>
      <c r="C1030" s="2" t="s">
        <v>56</v>
      </c>
      <c r="D1030" s="5" t="s">
        <v>80</v>
      </c>
      <c r="E1030" s="5" t="s">
        <v>58</v>
      </c>
      <c r="F1030" s="2" t="n">
        <v>14</v>
      </c>
      <c r="G1030" s="5" t="s">
        <v>69</v>
      </c>
      <c r="H1030" s="2" t="n">
        <v>1</v>
      </c>
      <c r="I1030" s="2" t="n">
        <v>1</v>
      </c>
      <c r="J1030" s="2" t="n">
        <v>1</v>
      </c>
      <c r="K1030" s="7" t="n">
        <v>0.6235274111</v>
      </c>
      <c r="L1030" s="7" t="n">
        <v>0.08441115949</v>
      </c>
      <c r="M1030" s="7" t="n">
        <v>0.09490596203</v>
      </c>
      <c r="N1030" s="7" t="n">
        <v>6</v>
      </c>
      <c r="O1030" s="7" t="n">
        <v>6</v>
      </c>
      <c r="P1030" s="7" t="n">
        <v>0</v>
      </c>
      <c r="Q1030" s="2"/>
      <c r="R1030" s="7" t="n">
        <v>2.7263</v>
      </c>
      <c r="S1030" s="5" t="s">
        <v>79</v>
      </c>
      <c r="T1030" s="5" t="s">
        <v>61</v>
      </c>
    </row>
    <row r="1031" customFormat="false" ht="15" hidden="false" customHeight="false" outlineLevel="0" collapsed="false">
      <c r="A1031" s="5" t="s">
        <v>4</v>
      </c>
      <c r="B1031" s="5" t="s">
        <v>55</v>
      </c>
      <c r="C1031" s="2" t="s">
        <v>56</v>
      </c>
      <c r="D1031" s="5" t="s">
        <v>80</v>
      </c>
      <c r="E1031" s="5" t="s">
        <v>62</v>
      </c>
      <c r="F1031" s="2" t="n">
        <v>14</v>
      </c>
      <c r="G1031" s="5" t="s">
        <v>69</v>
      </c>
      <c r="H1031" s="2" t="n">
        <v>1</v>
      </c>
      <c r="I1031" s="2" t="n">
        <v>1</v>
      </c>
      <c r="J1031" s="2" t="n">
        <v>1</v>
      </c>
      <c r="K1031" s="7" t="n">
        <v>0.6235274111</v>
      </c>
      <c r="L1031" s="7" t="n">
        <v>0.08441115949</v>
      </c>
      <c r="M1031" s="7" t="n">
        <v>0.09490596203</v>
      </c>
      <c r="N1031" s="7" t="n">
        <v>6</v>
      </c>
      <c r="O1031" s="7" t="n">
        <v>6</v>
      </c>
      <c r="P1031" s="7" t="n">
        <v>6</v>
      </c>
      <c r="Q1031" s="2"/>
      <c r="R1031" s="7" t="n">
        <v>3.184677</v>
      </c>
      <c r="S1031" s="5" t="s">
        <v>79</v>
      </c>
      <c r="T1031" s="5" t="s">
        <v>61</v>
      </c>
    </row>
    <row r="1032" customFormat="false" ht="15" hidden="false" customHeight="false" outlineLevel="0" collapsed="false">
      <c r="A1032" s="5" t="s">
        <v>4</v>
      </c>
      <c r="B1032" s="5" t="s">
        <v>55</v>
      </c>
      <c r="C1032" s="2" t="s">
        <v>56</v>
      </c>
      <c r="D1032" s="5" t="s">
        <v>80</v>
      </c>
      <c r="E1032" s="5" t="s">
        <v>58</v>
      </c>
      <c r="F1032" s="2" t="n">
        <v>14</v>
      </c>
      <c r="G1032" s="5" t="s">
        <v>70</v>
      </c>
      <c r="H1032" s="2" t="n">
        <v>0</v>
      </c>
      <c r="I1032" s="2" t="n">
        <v>1</v>
      </c>
      <c r="J1032" s="2" t="n">
        <v>0</v>
      </c>
      <c r="K1032" s="7" t="n">
        <v>2.59379111</v>
      </c>
      <c r="L1032" s="7" t="n">
        <v>0.2190738615</v>
      </c>
      <c r="M1032" s="7" t="n">
        <v>0.2797811843</v>
      </c>
      <c r="N1032" s="7" t="n">
        <v>8</v>
      </c>
      <c r="O1032" s="7" t="n">
        <v>8</v>
      </c>
      <c r="P1032" s="7" t="n">
        <v>0</v>
      </c>
      <c r="Q1032" s="2"/>
      <c r="R1032" s="7" t="n">
        <v>3.11864</v>
      </c>
      <c r="S1032" s="5" t="s">
        <v>79</v>
      </c>
      <c r="T1032" s="5" t="s">
        <v>61</v>
      </c>
    </row>
    <row r="1033" customFormat="false" ht="15" hidden="false" customHeight="false" outlineLevel="0" collapsed="false">
      <c r="A1033" s="5" t="s">
        <v>4</v>
      </c>
      <c r="B1033" s="5" t="s">
        <v>55</v>
      </c>
      <c r="C1033" s="2" t="s">
        <v>56</v>
      </c>
      <c r="D1033" s="5" t="s">
        <v>80</v>
      </c>
      <c r="E1033" s="5" t="s">
        <v>62</v>
      </c>
      <c r="F1033" s="2" t="n">
        <v>14</v>
      </c>
      <c r="G1033" s="5" t="s">
        <v>70</v>
      </c>
      <c r="H1033" s="2" t="n">
        <v>0</v>
      </c>
      <c r="I1033" s="2" t="n">
        <v>1</v>
      </c>
      <c r="J1033" s="2" t="n">
        <v>1</v>
      </c>
      <c r="K1033" s="7" t="n">
        <v>0.4695635207</v>
      </c>
      <c r="L1033" s="7" t="n">
        <v>0.01049489787</v>
      </c>
      <c r="M1033" s="7" t="n">
        <v>0.03568795358</v>
      </c>
      <c r="N1033" s="7" t="n">
        <v>8</v>
      </c>
      <c r="O1033" s="7" t="n">
        <v>8</v>
      </c>
      <c r="P1033" s="7" t="n">
        <v>7</v>
      </c>
      <c r="Q1033" s="2"/>
      <c r="R1033" s="7" t="n">
        <v>3.638669</v>
      </c>
      <c r="S1033" s="5" t="s">
        <v>79</v>
      </c>
      <c r="T1033" s="5" t="s">
        <v>61</v>
      </c>
    </row>
    <row r="1034" customFormat="false" ht="15" hidden="false" customHeight="false" outlineLevel="0" collapsed="false">
      <c r="A1034" s="5" t="s">
        <v>4</v>
      </c>
      <c r="B1034" s="5" t="s">
        <v>55</v>
      </c>
      <c r="C1034" s="2" t="s">
        <v>56</v>
      </c>
      <c r="D1034" s="5" t="s">
        <v>80</v>
      </c>
      <c r="E1034" s="5" t="s">
        <v>58</v>
      </c>
      <c r="F1034" s="2" t="n">
        <v>15</v>
      </c>
      <c r="G1034" s="5" t="s">
        <v>67</v>
      </c>
      <c r="H1034" s="2" t="n">
        <v>1</v>
      </c>
      <c r="I1034" s="2" t="n">
        <v>1</v>
      </c>
      <c r="J1034" s="2" t="n">
        <v>1</v>
      </c>
      <c r="K1034" s="7" t="n">
        <v>0.7254188351</v>
      </c>
      <c r="L1034" s="7" t="n">
        <v>0.2051664859</v>
      </c>
      <c r="M1034" s="7" t="n">
        <v>0.2109303432</v>
      </c>
      <c r="N1034" s="7" t="n">
        <v>14</v>
      </c>
      <c r="O1034" s="7" t="n">
        <v>14</v>
      </c>
      <c r="P1034" s="7" t="n">
        <v>0</v>
      </c>
      <c r="Q1034" s="2"/>
      <c r="R1034" s="7" t="n">
        <v>1.653995</v>
      </c>
      <c r="S1034" s="5" t="s">
        <v>79</v>
      </c>
      <c r="T1034" s="5" t="s">
        <v>61</v>
      </c>
    </row>
    <row r="1035" customFormat="false" ht="15" hidden="false" customHeight="false" outlineLevel="0" collapsed="false">
      <c r="A1035" s="5" t="s">
        <v>4</v>
      </c>
      <c r="B1035" s="5" t="s">
        <v>55</v>
      </c>
      <c r="C1035" s="2" t="s">
        <v>56</v>
      </c>
      <c r="D1035" s="5" t="s">
        <v>80</v>
      </c>
      <c r="E1035" s="5" t="s">
        <v>62</v>
      </c>
      <c r="F1035" s="2" t="n">
        <v>15</v>
      </c>
      <c r="G1035" s="5" t="s">
        <v>67</v>
      </c>
      <c r="H1035" s="2" t="n">
        <v>1</v>
      </c>
      <c r="I1035" s="2" t="n">
        <v>1</v>
      </c>
      <c r="J1035" s="2" t="n">
        <v>1</v>
      </c>
      <c r="K1035" s="7" t="n">
        <v>0.4521106138</v>
      </c>
      <c r="L1035" s="7" t="n">
        <v>0.04171485655</v>
      </c>
      <c r="M1035" s="7" t="n">
        <v>0.05093522106</v>
      </c>
      <c r="N1035" s="7" t="n">
        <v>14</v>
      </c>
      <c r="O1035" s="7" t="n">
        <v>14</v>
      </c>
      <c r="P1035" s="7" t="n">
        <v>13</v>
      </c>
      <c r="Q1035" s="2"/>
      <c r="R1035" s="7" t="n">
        <v>2.353118</v>
      </c>
      <c r="S1035" s="5" t="s">
        <v>79</v>
      </c>
      <c r="T1035" s="5" t="s">
        <v>61</v>
      </c>
    </row>
    <row r="1036" customFormat="false" ht="15" hidden="false" customHeight="false" outlineLevel="0" collapsed="false">
      <c r="A1036" s="5" t="s">
        <v>4</v>
      </c>
      <c r="B1036" s="5" t="s">
        <v>55</v>
      </c>
      <c r="C1036" s="2" t="s">
        <v>56</v>
      </c>
      <c r="D1036" s="5" t="s">
        <v>80</v>
      </c>
      <c r="E1036" s="5" t="s">
        <v>58</v>
      </c>
      <c r="F1036" s="2" t="n">
        <v>15</v>
      </c>
      <c r="G1036" s="5" t="s">
        <v>68</v>
      </c>
      <c r="H1036" s="2" t="n">
        <v>1</v>
      </c>
      <c r="I1036" s="2" t="n">
        <v>1</v>
      </c>
      <c r="J1036" s="2" t="n">
        <v>1</v>
      </c>
      <c r="K1036" s="7" t="n">
        <v>0.5167232266</v>
      </c>
      <c r="L1036" s="7" t="n">
        <v>0.01740539844</v>
      </c>
      <c r="M1036" s="7" t="n">
        <v>0.03643351658</v>
      </c>
      <c r="N1036" s="7" t="n">
        <v>13</v>
      </c>
      <c r="O1036" s="7" t="n">
        <v>13</v>
      </c>
      <c r="P1036" s="7" t="n">
        <v>0</v>
      </c>
      <c r="Q1036" s="2"/>
      <c r="R1036" s="7" t="n">
        <v>1.858598</v>
      </c>
      <c r="S1036" s="5" t="s">
        <v>79</v>
      </c>
      <c r="T1036" s="5" t="s">
        <v>61</v>
      </c>
    </row>
    <row r="1037" customFormat="false" ht="15" hidden="false" customHeight="false" outlineLevel="0" collapsed="false">
      <c r="A1037" s="5" t="s">
        <v>4</v>
      </c>
      <c r="B1037" s="5" t="s">
        <v>55</v>
      </c>
      <c r="C1037" s="2" t="s">
        <v>56</v>
      </c>
      <c r="D1037" s="5" t="s">
        <v>80</v>
      </c>
      <c r="E1037" s="5" t="s">
        <v>62</v>
      </c>
      <c r="F1037" s="2" t="n">
        <v>15</v>
      </c>
      <c r="G1037" s="5" t="s">
        <v>68</v>
      </c>
      <c r="H1037" s="2" t="n">
        <v>1</v>
      </c>
      <c r="I1037" s="2" t="n">
        <v>1</v>
      </c>
      <c r="J1037" s="2" t="n">
        <v>1</v>
      </c>
      <c r="K1037" s="7" t="n">
        <v>0.5167232266</v>
      </c>
      <c r="L1037" s="7" t="n">
        <v>0.01740539844</v>
      </c>
      <c r="M1037" s="7" t="n">
        <v>0.03643351658</v>
      </c>
      <c r="N1037" s="7" t="n">
        <v>13</v>
      </c>
      <c r="O1037" s="7" t="n">
        <v>13</v>
      </c>
      <c r="P1037" s="7" t="n">
        <v>13</v>
      </c>
      <c r="Q1037" s="2"/>
      <c r="R1037" s="7" t="n">
        <v>2.490792</v>
      </c>
      <c r="S1037" s="5" t="s">
        <v>79</v>
      </c>
      <c r="T1037" s="5" t="s">
        <v>61</v>
      </c>
    </row>
    <row r="1038" customFormat="false" ht="15" hidden="false" customHeight="false" outlineLevel="0" collapsed="false">
      <c r="A1038" s="5" t="s">
        <v>4</v>
      </c>
      <c r="B1038" s="5" t="s">
        <v>55</v>
      </c>
      <c r="C1038" s="2" t="s">
        <v>56</v>
      </c>
      <c r="D1038" s="5" t="s">
        <v>80</v>
      </c>
      <c r="E1038" s="5" t="s">
        <v>58</v>
      </c>
      <c r="F1038" s="2" t="n">
        <v>15</v>
      </c>
      <c r="G1038" s="5" t="s">
        <v>69</v>
      </c>
      <c r="H1038" s="2" t="n">
        <v>1</v>
      </c>
      <c r="I1038" s="2" t="n">
        <v>1</v>
      </c>
      <c r="J1038" s="2" t="n">
        <v>1</v>
      </c>
      <c r="K1038" s="7" t="n">
        <v>0.6948987132</v>
      </c>
      <c r="L1038" s="7" t="n">
        <v>0.08340761683</v>
      </c>
      <c r="M1038" s="7" t="n">
        <v>0.09619611172</v>
      </c>
      <c r="N1038" s="7" t="n">
        <v>3</v>
      </c>
      <c r="O1038" s="7" t="n">
        <v>3</v>
      </c>
      <c r="P1038" s="7" t="n">
        <v>0</v>
      </c>
      <c r="Q1038" s="2"/>
      <c r="R1038" s="7" t="n">
        <v>2.600915</v>
      </c>
      <c r="S1038" s="5" t="s">
        <v>79</v>
      </c>
      <c r="T1038" s="5" t="s">
        <v>61</v>
      </c>
    </row>
    <row r="1039" customFormat="false" ht="15" hidden="false" customHeight="false" outlineLevel="0" collapsed="false">
      <c r="A1039" s="5" t="s">
        <v>4</v>
      </c>
      <c r="B1039" s="5" t="s">
        <v>55</v>
      </c>
      <c r="C1039" s="2" t="s">
        <v>56</v>
      </c>
      <c r="D1039" s="5" t="s">
        <v>80</v>
      </c>
      <c r="E1039" s="5" t="s">
        <v>62</v>
      </c>
      <c r="F1039" s="2" t="n">
        <v>15</v>
      </c>
      <c r="G1039" s="5" t="s">
        <v>69</v>
      </c>
      <c r="H1039" s="2" t="n">
        <v>1</v>
      </c>
      <c r="I1039" s="2" t="n">
        <v>1</v>
      </c>
      <c r="J1039" s="2" t="n">
        <v>1</v>
      </c>
      <c r="K1039" s="7" t="n">
        <v>0.6948987132</v>
      </c>
      <c r="L1039" s="7" t="n">
        <v>0.08340761683</v>
      </c>
      <c r="M1039" s="7" t="n">
        <v>0.09619611172</v>
      </c>
      <c r="N1039" s="7" t="n">
        <v>3</v>
      </c>
      <c r="O1039" s="7" t="n">
        <v>3</v>
      </c>
      <c r="P1039" s="7" t="n">
        <v>3</v>
      </c>
      <c r="Q1039" s="2"/>
      <c r="R1039" s="7" t="n">
        <v>2.776754</v>
      </c>
      <c r="S1039" s="5" t="s">
        <v>79</v>
      </c>
      <c r="T1039" s="5" t="s">
        <v>61</v>
      </c>
    </row>
    <row r="1040" customFormat="false" ht="15" hidden="false" customHeight="false" outlineLevel="0" collapsed="false">
      <c r="A1040" s="5" t="s">
        <v>4</v>
      </c>
      <c r="B1040" s="5" t="s">
        <v>55</v>
      </c>
      <c r="C1040" s="2" t="s">
        <v>56</v>
      </c>
      <c r="D1040" s="5" t="s">
        <v>80</v>
      </c>
      <c r="E1040" s="5" t="s">
        <v>58</v>
      </c>
      <c r="F1040" s="2" t="n">
        <v>15</v>
      </c>
      <c r="G1040" s="5" t="s">
        <v>70</v>
      </c>
      <c r="H1040" s="2" t="n">
        <v>0</v>
      </c>
      <c r="I1040" s="2" t="n">
        <v>1</v>
      </c>
      <c r="J1040" s="2" t="n">
        <v>1</v>
      </c>
      <c r="K1040" s="7" t="n">
        <v>0.5225837179</v>
      </c>
      <c r="L1040" s="7" t="n">
        <v>0.02676825515</v>
      </c>
      <c r="M1040" s="7" t="n">
        <v>0.04323839291</v>
      </c>
      <c r="N1040" s="7" t="n">
        <v>11</v>
      </c>
      <c r="O1040" s="7" t="n">
        <v>11</v>
      </c>
      <c r="P1040" s="7" t="n">
        <v>0</v>
      </c>
      <c r="Q1040" s="2"/>
      <c r="R1040" s="7" t="n">
        <v>3.272978</v>
      </c>
      <c r="S1040" s="5" t="s">
        <v>79</v>
      </c>
      <c r="T1040" s="5" t="s">
        <v>61</v>
      </c>
    </row>
    <row r="1041" customFormat="false" ht="15" hidden="false" customHeight="false" outlineLevel="0" collapsed="false">
      <c r="A1041" s="5" t="s">
        <v>4</v>
      </c>
      <c r="B1041" s="5" t="s">
        <v>55</v>
      </c>
      <c r="C1041" s="2" t="s">
        <v>56</v>
      </c>
      <c r="D1041" s="5" t="s">
        <v>80</v>
      </c>
      <c r="E1041" s="5" t="s">
        <v>62</v>
      </c>
      <c r="F1041" s="2" t="n">
        <v>15</v>
      </c>
      <c r="G1041" s="5" t="s">
        <v>70</v>
      </c>
      <c r="H1041" s="2" t="n">
        <v>0</v>
      </c>
      <c r="I1041" s="2" t="n">
        <v>1</v>
      </c>
      <c r="J1041" s="2" t="n">
        <v>1</v>
      </c>
      <c r="K1041" s="7" t="n">
        <v>0.5225837179</v>
      </c>
      <c r="L1041" s="7" t="n">
        <v>0.02676825515</v>
      </c>
      <c r="M1041" s="7" t="n">
        <v>0.04323839291</v>
      </c>
      <c r="N1041" s="7" t="n">
        <v>11</v>
      </c>
      <c r="O1041" s="7" t="n">
        <v>11</v>
      </c>
      <c r="P1041" s="7" t="n">
        <v>11</v>
      </c>
      <c r="Q1041" s="2"/>
      <c r="R1041" s="7" t="n">
        <v>3.859625</v>
      </c>
      <c r="S1041" s="5" t="s">
        <v>79</v>
      </c>
      <c r="T1041" s="5" t="s">
        <v>61</v>
      </c>
    </row>
    <row r="1042" customFormat="false" ht="15" hidden="false" customHeight="false" outlineLevel="0" collapsed="false">
      <c r="A1042" s="5" t="s">
        <v>4</v>
      </c>
      <c r="B1042" s="5" t="s">
        <v>55</v>
      </c>
      <c r="C1042" s="2" t="s">
        <v>56</v>
      </c>
      <c r="D1042" s="5" t="s">
        <v>80</v>
      </c>
      <c r="E1042" s="5" t="s">
        <v>58</v>
      </c>
      <c r="F1042" s="2" t="n">
        <v>16</v>
      </c>
      <c r="G1042" s="5" t="s">
        <v>67</v>
      </c>
      <c r="H1042" s="2" t="n">
        <v>1</v>
      </c>
      <c r="I1042" s="2" t="n">
        <v>1</v>
      </c>
      <c r="J1042" s="2" t="n">
        <v>1</v>
      </c>
      <c r="K1042" s="7" t="n">
        <v>1.745437203</v>
      </c>
      <c r="L1042" s="7" t="n">
        <v>0.1284233923</v>
      </c>
      <c r="M1042" s="7" t="n">
        <v>0.1624851233</v>
      </c>
      <c r="N1042" s="7" t="n">
        <v>11</v>
      </c>
      <c r="O1042" s="7" t="n">
        <v>11</v>
      </c>
      <c r="P1042" s="7" t="n">
        <v>0</v>
      </c>
      <c r="Q1042" s="2"/>
      <c r="R1042" s="7" t="n">
        <v>1.632673</v>
      </c>
      <c r="S1042" s="5" t="s">
        <v>79</v>
      </c>
      <c r="T1042" s="5" t="s">
        <v>61</v>
      </c>
    </row>
    <row r="1043" customFormat="false" ht="15" hidden="false" customHeight="false" outlineLevel="0" collapsed="false">
      <c r="A1043" s="5" t="s">
        <v>4</v>
      </c>
      <c r="B1043" s="5" t="s">
        <v>55</v>
      </c>
      <c r="C1043" s="2" t="s">
        <v>56</v>
      </c>
      <c r="D1043" s="5" t="s">
        <v>80</v>
      </c>
      <c r="E1043" s="5" t="s">
        <v>62</v>
      </c>
      <c r="F1043" s="2" t="n">
        <v>16</v>
      </c>
      <c r="G1043" s="5" t="s">
        <v>67</v>
      </c>
      <c r="H1043" s="2" t="n">
        <v>1</v>
      </c>
      <c r="I1043" s="2" t="n">
        <v>1</v>
      </c>
      <c r="J1043" s="2" t="n">
        <v>1</v>
      </c>
      <c r="K1043" s="7" t="n">
        <v>0.2949568105</v>
      </c>
      <c r="L1043" s="7" t="n">
        <v>0.01965782349</v>
      </c>
      <c r="M1043" s="7" t="n">
        <v>0.03014285647</v>
      </c>
      <c r="N1043" s="7" t="n">
        <v>11</v>
      </c>
      <c r="O1043" s="7" t="n">
        <v>11</v>
      </c>
      <c r="P1043" s="7" t="n">
        <v>9</v>
      </c>
      <c r="Q1043" s="2"/>
      <c r="R1043" s="7" t="n">
        <v>2.285678</v>
      </c>
      <c r="S1043" s="5" t="s">
        <v>79</v>
      </c>
      <c r="T1043" s="5" t="s">
        <v>61</v>
      </c>
    </row>
    <row r="1044" customFormat="false" ht="15" hidden="false" customHeight="false" outlineLevel="0" collapsed="false">
      <c r="A1044" s="5" t="s">
        <v>4</v>
      </c>
      <c r="B1044" s="5" t="s">
        <v>55</v>
      </c>
      <c r="C1044" s="2" t="s">
        <v>56</v>
      </c>
      <c r="D1044" s="5" t="s">
        <v>80</v>
      </c>
      <c r="E1044" s="5" t="s">
        <v>58</v>
      </c>
      <c r="F1044" s="2" t="n">
        <v>16</v>
      </c>
      <c r="G1044" s="5" t="s">
        <v>68</v>
      </c>
      <c r="H1044" s="2" t="n">
        <v>1</v>
      </c>
      <c r="I1044" s="2" t="n">
        <v>1</v>
      </c>
      <c r="J1044" s="2" t="n">
        <v>1</v>
      </c>
      <c r="K1044" s="7" t="n">
        <v>0.4185848501</v>
      </c>
      <c r="L1044" s="7" t="n">
        <v>0.02488533083</v>
      </c>
      <c r="M1044" s="7" t="n">
        <v>0.03573851764</v>
      </c>
      <c r="N1044" s="7" t="n">
        <v>10</v>
      </c>
      <c r="O1044" s="7" t="n">
        <v>10</v>
      </c>
      <c r="P1044" s="7" t="n">
        <v>0</v>
      </c>
      <c r="Q1044" s="2"/>
      <c r="R1044" s="7" t="n">
        <v>1.842533</v>
      </c>
      <c r="S1044" s="5" t="s">
        <v>79</v>
      </c>
      <c r="T1044" s="5" t="s">
        <v>61</v>
      </c>
    </row>
    <row r="1045" customFormat="false" ht="15" hidden="false" customHeight="false" outlineLevel="0" collapsed="false">
      <c r="A1045" s="5" t="s">
        <v>4</v>
      </c>
      <c r="B1045" s="5" t="s">
        <v>55</v>
      </c>
      <c r="C1045" s="2" t="s">
        <v>56</v>
      </c>
      <c r="D1045" s="5" t="s">
        <v>80</v>
      </c>
      <c r="E1045" s="5" t="s">
        <v>62</v>
      </c>
      <c r="F1045" s="2" t="n">
        <v>16</v>
      </c>
      <c r="G1045" s="5" t="s">
        <v>68</v>
      </c>
      <c r="H1045" s="2" t="n">
        <v>1</v>
      </c>
      <c r="I1045" s="2" t="n">
        <v>1</v>
      </c>
      <c r="J1045" s="2" t="n">
        <v>1</v>
      </c>
      <c r="K1045" s="7" t="n">
        <v>0.4185848501</v>
      </c>
      <c r="L1045" s="7" t="n">
        <v>0.02488533083</v>
      </c>
      <c r="M1045" s="7" t="n">
        <v>0.03573851764</v>
      </c>
      <c r="N1045" s="7" t="n">
        <v>10</v>
      </c>
      <c r="O1045" s="7" t="n">
        <v>10</v>
      </c>
      <c r="P1045" s="7" t="n">
        <v>10</v>
      </c>
      <c r="Q1045" s="2"/>
      <c r="R1045" s="7" t="n">
        <v>2.387037</v>
      </c>
      <c r="S1045" s="5" t="s">
        <v>79</v>
      </c>
      <c r="T1045" s="5" t="s">
        <v>61</v>
      </c>
    </row>
    <row r="1046" customFormat="false" ht="15" hidden="false" customHeight="false" outlineLevel="0" collapsed="false">
      <c r="A1046" s="5" t="s">
        <v>4</v>
      </c>
      <c r="B1046" s="5" t="s">
        <v>55</v>
      </c>
      <c r="C1046" s="2" t="s">
        <v>56</v>
      </c>
      <c r="D1046" s="5" t="s">
        <v>80</v>
      </c>
      <c r="E1046" s="5" t="s">
        <v>58</v>
      </c>
      <c r="F1046" s="2" t="n">
        <v>16</v>
      </c>
      <c r="G1046" s="5" t="s">
        <v>69</v>
      </c>
      <c r="H1046" s="2" t="n">
        <v>1</v>
      </c>
      <c r="I1046" s="2" t="n">
        <v>1</v>
      </c>
      <c r="J1046" s="2" t="n">
        <v>1</v>
      </c>
      <c r="K1046" s="7" t="n">
        <v>0.4359624549</v>
      </c>
      <c r="L1046" s="7" t="n">
        <v>0.05373571766</v>
      </c>
      <c r="M1046" s="7" t="n">
        <v>0.06177318655</v>
      </c>
      <c r="N1046" s="7" t="n">
        <v>6</v>
      </c>
      <c r="O1046" s="7" t="n">
        <v>6</v>
      </c>
      <c r="P1046" s="7" t="n">
        <v>0</v>
      </c>
      <c r="Q1046" s="2"/>
      <c r="R1046" s="7" t="n">
        <v>2.575997</v>
      </c>
      <c r="S1046" s="5" t="s">
        <v>79</v>
      </c>
      <c r="T1046" s="5" t="s">
        <v>61</v>
      </c>
    </row>
    <row r="1047" customFormat="false" ht="15" hidden="false" customHeight="false" outlineLevel="0" collapsed="false">
      <c r="A1047" s="5" t="s">
        <v>4</v>
      </c>
      <c r="B1047" s="5" t="s">
        <v>55</v>
      </c>
      <c r="C1047" s="2" t="s">
        <v>56</v>
      </c>
      <c r="D1047" s="5" t="s">
        <v>80</v>
      </c>
      <c r="E1047" s="5" t="s">
        <v>62</v>
      </c>
      <c r="F1047" s="2" t="n">
        <v>16</v>
      </c>
      <c r="G1047" s="5" t="s">
        <v>69</v>
      </c>
      <c r="H1047" s="2" t="n">
        <v>1</v>
      </c>
      <c r="I1047" s="2" t="n">
        <v>1</v>
      </c>
      <c r="J1047" s="2" t="n">
        <v>1</v>
      </c>
      <c r="K1047" s="7" t="n">
        <v>0.4359624549</v>
      </c>
      <c r="L1047" s="7" t="n">
        <v>0.05373571766</v>
      </c>
      <c r="M1047" s="7" t="n">
        <v>0.06177318655</v>
      </c>
      <c r="N1047" s="7" t="n">
        <v>6</v>
      </c>
      <c r="O1047" s="7" t="n">
        <v>6</v>
      </c>
      <c r="P1047" s="7" t="n">
        <v>6</v>
      </c>
      <c r="Q1047" s="2"/>
      <c r="R1047" s="7" t="n">
        <v>3.036707</v>
      </c>
      <c r="S1047" s="5" t="s">
        <v>79</v>
      </c>
      <c r="T1047" s="5" t="s">
        <v>61</v>
      </c>
    </row>
    <row r="1048" customFormat="false" ht="15" hidden="false" customHeight="false" outlineLevel="0" collapsed="false">
      <c r="A1048" s="5" t="s">
        <v>4</v>
      </c>
      <c r="B1048" s="5" t="s">
        <v>55</v>
      </c>
      <c r="C1048" s="2" t="s">
        <v>56</v>
      </c>
      <c r="D1048" s="5" t="s">
        <v>80</v>
      </c>
      <c r="E1048" s="5" t="s">
        <v>58</v>
      </c>
      <c r="F1048" s="2" t="n">
        <v>16</v>
      </c>
      <c r="G1048" s="5" t="s">
        <v>70</v>
      </c>
      <c r="H1048" s="2" t="n">
        <v>0</v>
      </c>
      <c r="I1048" s="2" t="n">
        <v>1</v>
      </c>
      <c r="J1048" s="2" t="n">
        <v>0</v>
      </c>
      <c r="K1048" s="7" t="n">
        <v>4.73306825</v>
      </c>
      <c r="L1048" s="7" t="n">
        <v>0.509052611</v>
      </c>
      <c r="M1048" s="7" t="n">
        <v>0.5883032211</v>
      </c>
      <c r="N1048" s="7" t="n">
        <v>5</v>
      </c>
      <c r="O1048" s="7" t="n">
        <v>5</v>
      </c>
      <c r="P1048" s="7" t="n">
        <v>0</v>
      </c>
      <c r="Q1048" s="2"/>
      <c r="R1048" s="7" t="n">
        <v>2.793839</v>
      </c>
      <c r="S1048" s="5" t="s">
        <v>79</v>
      </c>
      <c r="T1048" s="5" t="s">
        <v>61</v>
      </c>
    </row>
    <row r="1049" customFormat="false" ht="15" hidden="false" customHeight="false" outlineLevel="0" collapsed="false">
      <c r="A1049" s="5" t="s">
        <v>4</v>
      </c>
      <c r="B1049" s="5" t="s">
        <v>55</v>
      </c>
      <c r="C1049" s="2" t="s">
        <v>56</v>
      </c>
      <c r="D1049" s="5" t="s">
        <v>80</v>
      </c>
      <c r="E1049" s="5" t="s">
        <v>62</v>
      </c>
      <c r="F1049" s="2" t="n">
        <v>16</v>
      </c>
      <c r="G1049" s="5" t="s">
        <v>70</v>
      </c>
      <c r="H1049" s="2" t="n">
        <v>0</v>
      </c>
      <c r="I1049" s="2" t="n">
        <v>1</v>
      </c>
      <c r="J1049" s="2" t="n">
        <v>1</v>
      </c>
      <c r="K1049" s="7" t="n">
        <v>1.952533338</v>
      </c>
      <c r="L1049" s="7" t="n">
        <v>0.1574429825</v>
      </c>
      <c r="M1049" s="7" t="n">
        <v>0.1977289787</v>
      </c>
      <c r="N1049" s="7" t="n">
        <v>5</v>
      </c>
      <c r="O1049" s="7" t="n">
        <v>5</v>
      </c>
      <c r="P1049" s="7" t="n">
        <v>4</v>
      </c>
      <c r="Q1049" s="2"/>
      <c r="R1049" s="7" t="n">
        <v>3.139079</v>
      </c>
      <c r="S1049" s="5" t="s">
        <v>79</v>
      </c>
      <c r="T1049" s="5" t="s">
        <v>61</v>
      </c>
    </row>
    <row r="1050" customFormat="false" ht="15" hidden="false" customHeight="false" outlineLevel="0" collapsed="false">
      <c r="A1050" s="5" t="s">
        <v>4</v>
      </c>
      <c r="B1050" s="5" t="s">
        <v>55</v>
      </c>
      <c r="C1050" s="2" t="s">
        <v>56</v>
      </c>
      <c r="D1050" s="5" t="s">
        <v>80</v>
      </c>
      <c r="E1050" s="5" t="s">
        <v>58</v>
      </c>
      <c r="F1050" s="2" t="n">
        <v>17</v>
      </c>
      <c r="G1050" s="5" t="s">
        <v>67</v>
      </c>
      <c r="H1050" s="2" t="n">
        <v>1</v>
      </c>
      <c r="I1050" s="2" t="n">
        <v>1</v>
      </c>
      <c r="J1050" s="2" t="n">
        <v>1</v>
      </c>
      <c r="K1050" s="7" t="n">
        <v>0.2866928728</v>
      </c>
      <c r="L1050" s="7" t="n">
        <v>0.04079640935</v>
      </c>
      <c r="M1050" s="7" t="n">
        <v>0.04570809738</v>
      </c>
      <c r="N1050" s="7" t="n">
        <v>6</v>
      </c>
      <c r="O1050" s="7" t="n">
        <v>6</v>
      </c>
      <c r="P1050" s="7" t="n">
        <v>0</v>
      </c>
      <c r="Q1050" s="2"/>
      <c r="R1050" s="7" t="n">
        <v>1.557071</v>
      </c>
      <c r="S1050" s="5" t="s">
        <v>79</v>
      </c>
      <c r="T1050" s="5" t="s">
        <v>61</v>
      </c>
    </row>
    <row r="1051" customFormat="false" ht="15" hidden="false" customHeight="false" outlineLevel="0" collapsed="false">
      <c r="A1051" s="5" t="s">
        <v>4</v>
      </c>
      <c r="B1051" s="5" t="s">
        <v>55</v>
      </c>
      <c r="C1051" s="2" t="s">
        <v>56</v>
      </c>
      <c r="D1051" s="5" t="s">
        <v>80</v>
      </c>
      <c r="E1051" s="5" t="s">
        <v>62</v>
      </c>
      <c r="F1051" s="2" t="n">
        <v>17</v>
      </c>
      <c r="G1051" s="5" t="s">
        <v>67</v>
      </c>
      <c r="H1051" s="2" t="n">
        <v>1</v>
      </c>
      <c r="I1051" s="2" t="n">
        <v>1</v>
      </c>
      <c r="J1051" s="2" t="n">
        <v>1</v>
      </c>
      <c r="K1051" s="7" t="n">
        <v>0.2866928728</v>
      </c>
      <c r="L1051" s="7" t="n">
        <v>0.04079640935</v>
      </c>
      <c r="M1051" s="7" t="n">
        <v>0.04570809738</v>
      </c>
      <c r="N1051" s="7" t="n">
        <v>6</v>
      </c>
      <c r="O1051" s="7" t="n">
        <v>6</v>
      </c>
      <c r="P1051" s="7" t="n">
        <v>6</v>
      </c>
      <c r="Q1051" s="2"/>
      <c r="R1051" s="7" t="n">
        <v>1.995489</v>
      </c>
      <c r="S1051" s="5" t="s">
        <v>79</v>
      </c>
      <c r="T1051" s="5" t="s">
        <v>61</v>
      </c>
    </row>
    <row r="1052" customFormat="false" ht="15" hidden="false" customHeight="false" outlineLevel="0" collapsed="false">
      <c r="A1052" s="5" t="s">
        <v>4</v>
      </c>
      <c r="B1052" s="5" t="s">
        <v>55</v>
      </c>
      <c r="C1052" s="2" t="s">
        <v>56</v>
      </c>
      <c r="D1052" s="5" t="s">
        <v>80</v>
      </c>
      <c r="E1052" s="5" t="s">
        <v>58</v>
      </c>
      <c r="F1052" s="2" t="n">
        <v>17</v>
      </c>
      <c r="G1052" s="5" t="s">
        <v>68</v>
      </c>
      <c r="H1052" s="2" t="n">
        <v>1</v>
      </c>
      <c r="I1052" s="2" t="n">
        <v>1</v>
      </c>
      <c r="J1052" s="2" t="n">
        <v>1</v>
      </c>
      <c r="K1052" s="7" t="n">
        <v>0.8019710065</v>
      </c>
      <c r="L1052" s="7" t="n">
        <v>0.03734709406</v>
      </c>
      <c r="M1052" s="7" t="n">
        <v>0.05704012928</v>
      </c>
      <c r="N1052" s="7" t="n">
        <v>14</v>
      </c>
      <c r="O1052" s="7" t="n">
        <v>14</v>
      </c>
      <c r="P1052" s="7" t="n">
        <v>0</v>
      </c>
      <c r="Q1052" s="2"/>
      <c r="R1052" s="7" t="n">
        <v>1.766541</v>
      </c>
      <c r="S1052" s="5" t="s">
        <v>79</v>
      </c>
      <c r="T1052" s="5" t="s">
        <v>61</v>
      </c>
    </row>
    <row r="1053" customFormat="false" ht="15" hidden="false" customHeight="false" outlineLevel="0" collapsed="false">
      <c r="A1053" s="5" t="s">
        <v>4</v>
      </c>
      <c r="B1053" s="5" t="s">
        <v>55</v>
      </c>
      <c r="C1053" s="2" t="s">
        <v>56</v>
      </c>
      <c r="D1053" s="5" t="s">
        <v>80</v>
      </c>
      <c r="E1053" s="5" t="s">
        <v>62</v>
      </c>
      <c r="F1053" s="2" t="n">
        <v>17</v>
      </c>
      <c r="G1053" s="5" t="s">
        <v>68</v>
      </c>
      <c r="H1053" s="2" t="n">
        <v>1</v>
      </c>
      <c r="I1053" s="2" t="n">
        <v>1</v>
      </c>
      <c r="J1053" s="2" t="n">
        <v>1</v>
      </c>
      <c r="K1053" s="7" t="n">
        <v>0.4669025172</v>
      </c>
      <c r="L1053" s="7" t="n">
        <v>0.03377370639</v>
      </c>
      <c r="M1053" s="7" t="n">
        <v>0.04377668704</v>
      </c>
      <c r="N1053" s="7" t="n">
        <v>14</v>
      </c>
      <c r="O1053" s="7" t="n">
        <v>14</v>
      </c>
      <c r="P1053" s="7" t="n">
        <v>13</v>
      </c>
      <c r="Q1053" s="2"/>
      <c r="R1053" s="7" t="n">
        <v>2.526464</v>
      </c>
      <c r="S1053" s="5" t="s">
        <v>79</v>
      </c>
      <c r="T1053" s="5" t="s">
        <v>61</v>
      </c>
    </row>
    <row r="1054" customFormat="false" ht="15" hidden="false" customHeight="false" outlineLevel="0" collapsed="false">
      <c r="A1054" s="5" t="s">
        <v>4</v>
      </c>
      <c r="B1054" s="5" t="s">
        <v>55</v>
      </c>
      <c r="C1054" s="2" t="s">
        <v>56</v>
      </c>
      <c r="D1054" s="5" t="s">
        <v>80</v>
      </c>
      <c r="E1054" s="5" t="s">
        <v>58</v>
      </c>
      <c r="F1054" s="2" t="n">
        <v>17</v>
      </c>
      <c r="G1054" s="5" t="s">
        <v>69</v>
      </c>
      <c r="H1054" s="2" t="n">
        <v>1</v>
      </c>
      <c r="I1054" s="2" t="n">
        <v>0</v>
      </c>
      <c r="J1054" s="2" t="n">
        <v>0</v>
      </c>
      <c r="K1054" s="2"/>
      <c r="L1054" s="2"/>
      <c r="M1054" s="2"/>
      <c r="N1054" s="7" t="n">
        <v>1</v>
      </c>
      <c r="O1054" s="7" t="n">
        <v>1</v>
      </c>
      <c r="P1054" s="7" t="n">
        <v>0</v>
      </c>
      <c r="Q1054" s="2"/>
      <c r="R1054" s="7" t="n">
        <v>2.47601</v>
      </c>
      <c r="S1054" s="5" t="s">
        <v>79</v>
      </c>
      <c r="T1054" s="5" t="s">
        <v>61</v>
      </c>
    </row>
    <row r="1055" customFormat="false" ht="15" hidden="false" customHeight="false" outlineLevel="0" collapsed="false">
      <c r="A1055" s="5" t="s">
        <v>4</v>
      </c>
      <c r="B1055" s="5" t="s">
        <v>55</v>
      </c>
      <c r="C1055" s="2" t="s">
        <v>56</v>
      </c>
      <c r="D1055" s="5" t="s">
        <v>80</v>
      </c>
      <c r="E1055" s="5" t="s">
        <v>62</v>
      </c>
      <c r="F1055" s="2" t="n">
        <v>17</v>
      </c>
      <c r="G1055" s="5" t="s">
        <v>69</v>
      </c>
      <c r="H1055" s="2" t="n">
        <v>1</v>
      </c>
      <c r="I1055" s="2" t="n">
        <v>0</v>
      </c>
      <c r="J1055" s="2" t="n">
        <v>0</v>
      </c>
      <c r="K1055" s="2"/>
      <c r="L1055" s="2"/>
      <c r="M1055" s="2"/>
      <c r="N1055" s="7" t="n">
        <v>1</v>
      </c>
      <c r="O1055" s="7" t="n">
        <v>1</v>
      </c>
      <c r="P1055" s="7" t="n">
        <v>0</v>
      </c>
      <c r="Q1055" s="2"/>
      <c r="R1055" s="7" t="n">
        <v>2.47613</v>
      </c>
      <c r="S1055" s="5" t="s">
        <v>79</v>
      </c>
      <c r="T1055" s="5" t="s">
        <v>61</v>
      </c>
    </row>
    <row r="1056" customFormat="false" ht="15" hidden="false" customHeight="false" outlineLevel="0" collapsed="false">
      <c r="A1056" s="5" t="s">
        <v>4</v>
      </c>
      <c r="B1056" s="5" t="s">
        <v>55</v>
      </c>
      <c r="C1056" s="2" t="s">
        <v>56</v>
      </c>
      <c r="D1056" s="5" t="s">
        <v>80</v>
      </c>
      <c r="E1056" s="5" t="s">
        <v>58</v>
      </c>
      <c r="F1056" s="2" t="n">
        <v>17</v>
      </c>
      <c r="G1056" s="5" t="s">
        <v>70</v>
      </c>
      <c r="H1056" s="2" t="n">
        <v>0</v>
      </c>
      <c r="I1056" s="2" t="n">
        <v>1</v>
      </c>
      <c r="J1056" s="2" t="n">
        <v>1</v>
      </c>
      <c r="K1056" s="7" t="n">
        <v>0.2625210895</v>
      </c>
      <c r="L1056" s="7" t="n">
        <v>0.01135170061</v>
      </c>
      <c r="M1056" s="7" t="n">
        <v>0.01913508502</v>
      </c>
      <c r="N1056" s="7" t="n">
        <v>9</v>
      </c>
      <c r="O1056" s="7" t="n">
        <v>9</v>
      </c>
      <c r="P1056" s="7" t="n">
        <v>0</v>
      </c>
      <c r="Q1056" s="2"/>
      <c r="R1056" s="7" t="n">
        <v>2.84832</v>
      </c>
      <c r="S1056" s="5" t="s">
        <v>79</v>
      </c>
      <c r="T1056" s="5" t="s">
        <v>61</v>
      </c>
    </row>
    <row r="1057" customFormat="false" ht="15" hidden="false" customHeight="false" outlineLevel="0" collapsed="false">
      <c r="A1057" s="5" t="s">
        <v>4</v>
      </c>
      <c r="B1057" s="5" t="s">
        <v>55</v>
      </c>
      <c r="C1057" s="2" t="s">
        <v>56</v>
      </c>
      <c r="D1057" s="5" t="s">
        <v>80</v>
      </c>
      <c r="E1057" s="5" t="s">
        <v>62</v>
      </c>
      <c r="F1057" s="2" t="n">
        <v>17</v>
      </c>
      <c r="G1057" s="5" t="s">
        <v>70</v>
      </c>
      <c r="H1057" s="2" t="n">
        <v>0</v>
      </c>
      <c r="I1057" s="2" t="n">
        <v>1</v>
      </c>
      <c r="J1057" s="2" t="n">
        <v>1</v>
      </c>
      <c r="K1057" s="7" t="n">
        <v>0.2625210895</v>
      </c>
      <c r="L1057" s="7" t="n">
        <v>0.01135170061</v>
      </c>
      <c r="M1057" s="7" t="n">
        <v>0.01913508502</v>
      </c>
      <c r="N1057" s="7" t="n">
        <v>9</v>
      </c>
      <c r="O1057" s="7" t="n">
        <v>9</v>
      </c>
      <c r="P1057" s="7" t="n">
        <v>9</v>
      </c>
      <c r="Q1057" s="2"/>
      <c r="R1057" s="7" t="n">
        <v>3.436389</v>
      </c>
      <c r="S1057" s="5" t="s">
        <v>79</v>
      </c>
      <c r="T1057" s="5" t="s">
        <v>61</v>
      </c>
    </row>
    <row r="1058" customFormat="false" ht="15" hidden="false" customHeight="false" outlineLevel="0" collapsed="false">
      <c r="A1058" s="5" t="s">
        <v>4</v>
      </c>
      <c r="B1058" s="5" t="s">
        <v>55</v>
      </c>
      <c r="C1058" s="2" t="s">
        <v>56</v>
      </c>
      <c r="D1058" s="5" t="s">
        <v>80</v>
      </c>
      <c r="E1058" s="5" t="s">
        <v>58</v>
      </c>
      <c r="F1058" s="2" t="n">
        <v>18</v>
      </c>
      <c r="G1058" s="5" t="s">
        <v>67</v>
      </c>
      <c r="H1058" s="2" t="n">
        <v>1</v>
      </c>
      <c r="I1058" s="2" t="n">
        <v>1</v>
      </c>
      <c r="J1058" s="2" t="n">
        <v>1</v>
      </c>
      <c r="K1058" s="7" t="n">
        <v>0.2195912307</v>
      </c>
      <c r="L1058" s="7" t="n">
        <v>0.03195969311</v>
      </c>
      <c r="M1058" s="7" t="n">
        <v>0.03500656135</v>
      </c>
      <c r="N1058" s="7" t="n">
        <v>11</v>
      </c>
      <c r="O1058" s="7" t="n">
        <v>11</v>
      </c>
      <c r="P1058" s="7" t="n">
        <v>0</v>
      </c>
      <c r="Q1058" s="2"/>
      <c r="R1058" s="7" t="n">
        <v>1.752751</v>
      </c>
      <c r="S1058" s="5" t="s">
        <v>79</v>
      </c>
      <c r="T1058" s="5" t="s">
        <v>61</v>
      </c>
    </row>
    <row r="1059" customFormat="false" ht="15" hidden="false" customHeight="false" outlineLevel="0" collapsed="false">
      <c r="A1059" s="5" t="s">
        <v>4</v>
      </c>
      <c r="B1059" s="5" t="s">
        <v>55</v>
      </c>
      <c r="C1059" s="2" t="s">
        <v>56</v>
      </c>
      <c r="D1059" s="5" t="s">
        <v>80</v>
      </c>
      <c r="E1059" s="5" t="s">
        <v>62</v>
      </c>
      <c r="F1059" s="2" t="n">
        <v>18</v>
      </c>
      <c r="G1059" s="5" t="s">
        <v>67</v>
      </c>
      <c r="H1059" s="2" t="n">
        <v>1</v>
      </c>
      <c r="I1059" s="2" t="n">
        <v>1</v>
      </c>
      <c r="J1059" s="2" t="n">
        <v>1</v>
      </c>
      <c r="K1059" s="7" t="n">
        <v>0.1746971238</v>
      </c>
      <c r="L1059" s="7" t="n">
        <v>0.01714765618</v>
      </c>
      <c r="M1059" s="7" t="n">
        <v>0.02297713497</v>
      </c>
      <c r="N1059" s="7" t="n">
        <v>11</v>
      </c>
      <c r="O1059" s="7" t="n">
        <v>11</v>
      </c>
      <c r="P1059" s="7" t="n">
        <v>10</v>
      </c>
      <c r="Q1059" s="2"/>
      <c r="R1059" s="7" t="n">
        <v>2.352267</v>
      </c>
      <c r="S1059" s="5" t="s">
        <v>79</v>
      </c>
      <c r="T1059" s="5" t="s">
        <v>61</v>
      </c>
    </row>
    <row r="1060" customFormat="false" ht="15" hidden="false" customHeight="false" outlineLevel="0" collapsed="false">
      <c r="A1060" s="5" t="s">
        <v>4</v>
      </c>
      <c r="B1060" s="5" t="s">
        <v>55</v>
      </c>
      <c r="C1060" s="2" t="s">
        <v>56</v>
      </c>
      <c r="D1060" s="5" t="s">
        <v>80</v>
      </c>
      <c r="E1060" s="5" t="s">
        <v>58</v>
      </c>
      <c r="F1060" s="2" t="n">
        <v>18</v>
      </c>
      <c r="G1060" s="5" t="s">
        <v>68</v>
      </c>
      <c r="H1060" s="2" t="n">
        <v>1</v>
      </c>
      <c r="I1060" s="2" t="n">
        <v>1</v>
      </c>
      <c r="J1060" s="2" t="n">
        <v>1</v>
      </c>
      <c r="K1060" s="7" t="n">
        <v>0.2441440581</v>
      </c>
      <c r="L1060" s="7" t="n">
        <v>0.02979220366</v>
      </c>
      <c r="M1060" s="7" t="n">
        <v>0.03334955933</v>
      </c>
      <c r="N1060" s="7" t="n">
        <v>7</v>
      </c>
      <c r="O1060" s="7" t="n">
        <v>7</v>
      </c>
      <c r="P1060" s="7" t="n">
        <v>0</v>
      </c>
      <c r="Q1060" s="2"/>
      <c r="R1060" s="7" t="n">
        <v>1.758549</v>
      </c>
      <c r="S1060" s="5" t="s">
        <v>79</v>
      </c>
      <c r="T1060" s="5" t="s">
        <v>61</v>
      </c>
    </row>
    <row r="1061" customFormat="false" ht="15" hidden="false" customHeight="false" outlineLevel="0" collapsed="false">
      <c r="A1061" s="5" t="s">
        <v>4</v>
      </c>
      <c r="B1061" s="5" t="s">
        <v>55</v>
      </c>
      <c r="C1061" s="2" t="s">
        <v>56</v>
      </c>
      <c r="D1061" s="5" t="s">
        <v>80</v>
      </c>
      <c r="E1061" s="5" t="s">
        <v>62</v>
      </c>
      <c r="F1061" s="2" t="n">
        <v>18</v>
      </c>
      <c r="G1061" s="5" t="s">
        <v>68</v>
      </c>
      <c r="H1061" s="2" t="n">
        <v>1</v>
      </c>
      <c r="I1061" s="2" t="n">
        <v>1</v>
      </c>
      <c r="J1061" s="2" t="n">
        <v>1</v>
      </c>
      <c r="K1061" s="7" t="n">
        <v>0.1694983328</v>
      </c>
      <c r="L1061" s="7" t="n">
        <v>0.0317630789</v>
      </c>
      <c r="M1061" s="7" t="n">
        <v>0.03423322498</v>
      </c>
      <c r="N1061" s="7" t="n">
        <v>7</v>
      </c>
      <c r="O1061" s="7" t="n">
        <v>7</v>
      </c>
      <c r="P1061" s="7" t="n">
        <v>6</v>
      </c>
      <c r="Q1061" s="2"/>
      <c r="R1061" s="7" t="n">
        <v>2.261533</v>
      </c>
      <c r="S1061" s="5" t="s">
        <v>79</v>
      </c>
      <c r="T1061" s="5" t="s">
        <v>61</v>
      </c>
    </row>
    <row r="1062" customFormat="false" ht="15" hidden="false" customHeight="false" outlineLevel="0" collapsed="false">
      <c r="A1062" s="5" t="s">
        <v>4</v>
      </c>
      <c r="B1062" s="5" t="s">
        <v>55</v>
      </c>
      <c r="C1062" s="2" t="s">
        <v>56</v>
      </c>
      <c r="D1062" s="5" t="s">
        <v>80</v>
      </c>
      <c r="E1062" s="5" t="s">
        <v>58</v>
      </c>
      <c r="F1062" s="2" t="n">
        <v>18</v>
      </c>
      <c r="G1062" s="5" t="s">
        <v>69</v>
      </c>
      <c r="H1062" s="2" t="n">
        <v>1</v>
      </c>
      <c r="I1062" s="2" t="n">
        <v>1</v>
      </c>
      <c r="J1062" s="2" t="n">
        <v>1</v>
      </c>
      <c r="K1062" s="7" t="n">
        <v>0.4135711016</v>
      </c>
      <c r="L1062" s="7" t="n">
        <v>0.03190883034</v>
      </c>
      <c r="M1062" s="7" t="n">
        <v>0.04225329436</v>
      </c>
      <c r="N1062" s="7" t="n">
        <v>7</v>
      </c>
      <c r="O1062" s="7" t="n">
        <v>7</v>
      </c>
      <c r="P1062" s="7" t="n">
        <v>0</v>
      </c>
      <c r="Q1062" s="2"/>
      <c r="R1062" s="7" t="n">
        <v>2.768935</v>
      </c>
      <c r="S1062" s="5" t="s">
        <v>79</v>
      </c>
      <c r="T1062" s="5" t="s">
        <v>61</v>
      </c>
    </row>
    <row r="1063" customFormat="false" ht="15" hidden="false" customHeight="false" outlineLevel="0" collapsed="false">
      <c r="A1063" s="5" t="s">
        <v>4</v>
      </c>
      <c r="B1063" s="5" t="s">
        <v>55</v>
      </c>
      <c r="C1063" s="2" t="s">
        <v>56</v>
      </c>
      <c r="D1063" s="5" t="s">
        <v>80</v>
      </c>
      <c r="E1063" s="5" t="s">
        <v>62</v>
      </c>
      <c r="F1063" s="2" t="n">
        <v>18</v>
      </c>
      <c r="G1063" s="5" t="s">
        <v>69</v>
      </c>
      <c r="H1063" s="2" t="n">
        <v>1</v>
      </c>
      <c r="I1063" s="2" t="n">
        <v>1</v>
      </c>
      <c r="J1063" s="2" t="n">
        <v>1</v>
      </c>
      <c r="K1063" s="7" t="n">
        <v>0.4135711016</v>
      </c>
      <c r="L1063" s="7" t="n">
        <v>0.03190883034</v>
      </c>
      <c r="M1063" s="7" t="n">
        <v>0.04225329436</v>
      </c>
      <c r="N1063" s="7" t="n">
        <v>7</v>
      </c>
      <c r="O1063" s="7" t="n">
        <v>7</v>
      </c>
      <c r="P1063" s="7" t="n">
        <v>7</v>
      </c>
      <c r="Q1063" s="2"/>
      <c r="R1063" s="7" t="n">
        <v>3.241684</v>
      </c>
      <c r="S1063" s="5" t="s">
        <v>79</v>
      </c>
      <c r="T1063" s="5" t="s">
        <v>61</v>
      </c>
    </row>
    <row r="1064" customFormat="false" ht="15" hidden="false" customHeight="false" outlineLevel="0" collapsed="false">
      <c r="A1064" s="5" t="s">
        <v>4</v>
      </c>
      <c r="B1064" s="5" t="s">
        <v>55</v>
      </c>
      <c r="C1064" s="2" t="s">
        <v>56</v>
      </c>
      <c r="D1064" s="5" t="s">
        <v>80</v>
      </c>
      <c r="E1064" s="5" t="s">
        <v>58</v>
      </c>
      <c r="F1064" s="2" t="n">
        <v>18</v>
      </c>
      <c r="G1064" s="5" t="s">
        <v>70</v>
      </c>
      <c r="H1064" s="2" t="n">
        <v>0</v>
      </c>
      <c r="I1064" s="2" t="n">
        <v>1</v>
      </c>
      <c r="J1064" s="2" t="n">
        <v>0</v>
      </c>
      <c r="K1064" s="7" t="n">
        <v>2.051303699</v>
      </c>
      <c r="L1064" s="7" t="n">
        <v>0.09274694247</v>
      </c>
      <c r="M1064" s="7" t="n">
        <v>0.1507857743</v>
      </c>
      <c r="N1064" s="7" t="n">
        <v>9</v>
      </c>
      <c r="O1064" s="7" t="n">
        <v>9</v>
      </c>
      <c r="P1064" s="7" t="n">
        <v>0</v>
      </c>
      <c r="Q1064" s="2"/>
      <c r="R1064" s="7" t="n">
        <v>3.30045</v>
      </c>
      <c r="S1064" s="5" t="s">
        <v>79</v>
      </c>
      <c r="T1064" s="5" t="s">
        <v>61</v>
      </c>
    </row>
    <row r="1065" customFormat="false" ht="15" hidden="false" customHeight="false" outlineLevel="0" collapsed="false">
      <c r="A1065" s="5" t="s">
        <v>4</v>
      </c>
      <c r="B1065" s="5" t="s">
        <v>55</v>
      </c>
      <c r="C1065" s="2" t="s">
        <v>56</v>
      </c>
      <c r="D1065" s="5" t="s">
        <v>80</v>
      </c>
      <c r="E1065" s="5" t="s">
        <v>62</v>
      </c>
      <c r="F1065" s="2" t="n">
        <v>18</v>
      </c>
      <c r="G1065" s="5" t="s">
        <v>70</v>
      </c>
      <c r="H1065" s="2" t="n">
        <v>0</v>
      </c>
      <c r="I1065" s="2" t="n">
        <v>1</v>
      </c>
      <c r="J1065" s="2" t="n">
        <v>1</v>
      </c>
      <c r="K1065" s="7" t="n">
        <v>0.8168847808</v>
      </c>
      <c r="L1065" s="7" t="n">
        <v>0.03064458121</v>
      </c>
      <c r="M1065" s="7" t="n">
        <v>0.06117971411</v>
      </c>
      <c r="N1065" s="7" t="n">
        <v>9</v>
      </c>
      <c r="O1065" s="7" t="n">
        <v>9</v>
      </c>
      <c r="P1065" s="7" t="n">
        <v>7</v>
      </c>
      <c r="Q1065" s="2"/>
      <c r="R1065" s="7" t="n">
        <v>3.846738</v>
      </c>
      <c r="S1065" s="5" t="s">
        <v>79</v>
      </c>
      <c r="T1065" s="5" t="s">
        <v>61</v>
      </c>
    </row>
    <row r="1066" customFormat="false" ht="15" hidden="false" customHeight="false" outlineLevel="0" collapsed="false">
      <c r="A1066" s="5" t="s">
        <v>4</v>
      </c>
      <c r="B1066" s="5" t="s">
        <v>55</v>
      </c>
      <c r="C1066" s="2" t="s">
        <v>56</v>
      </c>
      <c r="D1066" s="5" t="s">
        <v>80</v>
      </c>
      <c r="E1066" s="5" t="s">
        <v>58</v>
      </c>
      <c r="F1066" s="2" t="n">
        <v>19</v>
      </c>
      <c r="G1066" s="5" t="s">
        <v>67</v>
      </c>
      <c r="H1066" s="2" t="n">
        <v>1</v>
      </c>
      <c r="I1066" s="2" t="n">
        <v>1</v>
      </c>
      <c r="J1066" s="2" t="n">
        <v>1</v>
      </c>
      <c r="K1066" s="7" t="n">
        <v>1.175110707</v>
      </c>
      <c r="L1066" s="7" t="n">
        <v>0.1042839416</v>
      </c>
      <c r="M1066" s="7" t="n">
        <v>0.1297416385</v>
      </c>
      <c r="N1066" s="7" t="n">
        <v>12</v>
      </c>
      <c r="O1066" s="7" t="n">
        <v>12</v>
      </c>
      <c r="P1066" s="7" t="n">
        <v>0</v>
      </c>
      <c r="Q1066" s="2"/>
      <c r="R1066" s="7" t="n">
        <v>1.757188</v>
      </c>
      <c r="S1066" s="5" t="s">
        <v>79</v>
      </c>
      <c r="T1066" s="5" t="s">
        <v>61</v>
      </c>
    </row>
    <row r="1067" customFormat="false" ht="15" hidden="false" customHeight="false" outlineLevel="0" collapsed="false">
      <c r="A1067" s="5" t="s">
        <v>4</v>
      </c>
      <c r="B1067" s="5" t="s">
        <v>55</v>
      </c>
      <c r="C1067" s="2" t="s">
        <v>56</v>
      </c>
      <c r="D1067" s="5" t="s">
        <v>80</v>
      </c>
      <c r="E1067" s="5" t="s">
        <v>62</v>
      </c>
      <c r="F1067" s="2" t="n">
        <v>19</v>
      </c>
      <c r="G1067" s="5" t="s">
        <v>67</v>
      </c>
      <c r="H1067" s="2" t="n">
        <v>1</v>
      </c>
      <c r="I1067" s="2" t="n">
        <v>1</v>
      </c>
      <c r="J1067" s="2" t="n">
        <v>1</v>
      </c>
      <c r="K1067" s="7" t="n">
        <v>0.2215820229</v>
      </c>
      <c r="L1067" s="7" t="n">
        <v>0.03180134998</v>
      </c>
      <c r="M1067" s="7" t="n">
        <v>0.03468789345</v>
      </c>
      <c r="N1067" s="7" t="n">
        <v>12</v>
      </c>
      <c r="O1067" s="7" t="n">
        <v>12</v>
      </c>
      <c r="P1067" s="7" t="n">
        <v>11</v>
      </c>
      <c r="Q1067" s="2"/>
      <c r="R1067" s="7" t="n">
        <v>2.36041</v>
      </c>
      <c r="S1067" s="5" t="s">
        <v>79</v>
      </c>
      <c r="T1067" s="5" t="s">
        <v>61</v>
      </c>
    </row>
    <row r="1068" customFormat="false" ht="15" hidden="false" customHeight="false" outlineLevel="0" collapsed="false">
      <c r="A1068" s="5" t="s">
        <v>4</v>
      </c>
      <c r="B1068" s="5" t="s">
        <v>55</v>
      </c>
      <c r="C1068" s="2" t="s">
        <v>56</v>
      </c>
      <c r="D1068" s="5" t="s">
        <v>80</v>
      </c>
      <c r="E1068" s="5" t="s">
        <v>58</v>
      </c>
      <c r="F1068" s="2" t="n">
        <v>19</v>
      </c>
      <c r="G1068" s="5" t="s">
        <v>68</v>
      </c>
      <c r="H1068" s="2" t="n">
        <v>1</v>
      </c>
      <c r="I1068" s="2" t="n">
        <v>1</v>
      </c>
      <c r="J1068" s="2" t="n">
        <v>1</v>
      </c>
      <c r="K1068" s="7" t="n">
        <v>0.6920078703</v>
      </c>
      <c r="L1068" s="7" t="n">
        <v>0.03104804043</v>
      </c>
      <c r="M1068" s="7" t="n">
        <v>0.053690143</v>
      </c>
      <c r="N1068" s="7" t="n">
        <v>8</v>
      </c>
      <c r="O1068" s="7" t="n">
        <v>8</v>
      </c>
      <c r="P1068" s="7" t="n">
        <v>0</v>
      </c>
      <c r="Q1068" s="2"/>
      <c r="R1068" s="7" t="n">
        <v>1.856976</v>
      </c>
      <c r="S1068" s="5" t="s">
        <v>79</v>
      </c>
      <c r="T1068" s="5" t="s">
        <v>61</v>
      </c>
    </row>
    <row r="1069" customFormat="false" ht="15" hidden="false" customHeight="false" outlineLevel="0" collapsed="false">
      <c r="A1069" s="5" t="s">
        <v>4</v>
      </c>
      <c r="B1069" s="5" t="s">
        <v>55</v>
      </c>
      <c r="C1069" s="2" t="s">
        <v>56</v>
      </c>
      <c r="D1069" s="5" t="s">
        <v>80</v>
      </c>
      <c r="E1069" s="5" t="s">
        <v>62</v>
      </c>
      <c r="F1069" s="2" t="n">
        <v>19</v>
      </c>
      <c r="G1069" s="5" t="s">
        <v>68</v>
      </c>
      <c r="H1069" s="2" t="n">
        <v>1</v>
      </c>
      <c r="I1069" s="2" t="n">
        <v>1</v>
      </c>
      <c r="J1069" s="2" t="n">
        <v>1</v>
      </c>
      <c r="K1069" s="7" t="n">
        <v>0.6920078703</v>
      </c>
      <c r="L1069" s="7" t="n">
        <v>0.03104804043</v>
      </c>
      <c r="M1069" s="7" t="n">
        <v>0.053690143</v>
      </c>
      <c r="N1069" s="7" t="n">
        <v>8</v>
      </c>
      <c r="O1069" s="7" t="n">
        <v>8</v>
      </c>
      <c r="P1069" s="7" t="n">
        <v>8</v>
      </c>
      <c r="Q1069" s="2"/>
      <c r="R1069" s="7" t="n">
        <v>2.35969</v>
      </c>
      <c r="S1069" s="5" t="s">
        <v>79</v>
      </c>
      <c r="T1069" s="5" t="s">
        <v>61</v>
      </c>
    </row>
    <row r="1070" customFormat="false" ht="15" hidden="false" customHeight="false" outlineLevel="0" collapsed="false">
      <c r="A1070" s="5" t="s">
        <v>4</v>
      </c>
      <c r="B1070" s="5" t="s">
        <v>55</v>
      </c>
      <c r="C1070" s="2" t="s">
        <v>56</v>
      </c>
      <c r="D1070" s="5" t="s">
        <v>80</v>
      </c>
      <c r="E1070" s="5" t="s">
        <v>58</v>
      </c>
      <c r="F1070" s="2" t="n">
        <v>19</v>
      </c>
      <c r="G1070" s="5" t="s">
        <v>69</v>
      </c>
      <c r="H1070" s="2" t="n">
        <v>1</v>
      </c>
      <c r="I1070" s="2" t="n">
        <v>1</v>
      </c>
      <c r="J1070" s="2" t="n">
        <v>1</v>
      </c>
      <c r="K1070" s="7" t="n">
        <v>0.6076980539</v>
      </c>
      <c r="L1070" s="7" t="n">
        <v>0.05246716958</v>
      </c>
      <c r="M1070" s="7" t="n">
        <v>0.06603864548</v>
      </c>
      <c r="N1070" s="7" t="n">
        <v>5</v>
      </c>
      <c r="O1070" s="7" t="n">
        <v>5</v>
      </c>
      <c r="P1070" s="7" t="n">
        <v>0</v>
      </c>
      <c r="Q1070" s="2"/>
      <c r="R1070" s="7" t="n">
        <v>2.601768</v>
      </c>
      <c r="S1070" s="5" t="s">
        <v>79</v>
      </c>
      <c r="T1070" s="5" t="s">
        <v>61</v>
      </c>
    </row>
    <row r="1071" customFormat="false" ht="15" hidden="false" customHeight="false" outlineLevel="0" collapsed="false">
      <c r="A1071" s="5" t="s">
        <v>4</v>
      </c>
      <c r="B1071" s="5" t="s">
        <v>55</v>
      </c>
      <c r="C1071" s="2" t="s">
        <v>56</v>
      </c>
      <c r="D1071" s="5" t="s">
        <v>80</v>
      </c>
      <c r="E1071" s="5" t="s">
        <v>62</v>
      </c>
      <c r="F1071" s="2" t="n">
        <v>19</v>
      </c>
      <c r="G1071" s="5" t="s">
        <v>69</v>
      </c>
      <c r="H1071" s="2" t="n">
        <v>1</v>
      </c>
      <c r="I1071" s="2" t="n">
        <v>1</v>
      </c>
      <c r="J1071" s="2" t="n">
        <v>1</v>
      </c>
      <c r="K1071" s="7" t="n">
        <v>0.6076980539</v>
      </c>
      <c r="L1071" s="7" t="n">
        <v>0.05246716958</v>
      </c>
      <c r="M1071" s="7" t="n">
        <v>0.06603864548</v>
      </c>
      <c r="N1071" s="7" t="n">
        <v>5</v>
      </c>
      <c r="O1071" s="7" t="n">
        <v>5</v>
      </c>
      <c r="P1071" s="7" t="n">
        <v>5</v>
      </c>
      <c r="Q1071" s="2"/>
      <c r="R1071" s="7" t="n">
        <v>2.960277</v>
      </c>
      <c r="S1071" s="5" t="s">
        <v>79</v>
      </c>
      <c r="T1071" s="5" t="s">
        <v>61</v>
      </c>
    </row>
    <row r="1072" customFormat="false" ht="15" hidden="false" customHeight="false" outlineLevel="0" collapsed="false">
      <c r="A1072" s="5" t="s">
        <v>4</v>
      </c>
      <c r="B1072" s="5" t="s">
        <v>55</v>
      </c>
      <c r="C1072" s="2" t="s">
        <v>56</v>
      </c>
      <c r="D1072" s="5" t="s">
        <v>80</v>
      </c>
      <c r="E1072" s="5" t="s">
        <v>58</v>
      </c>
      <c r="F1072" s="2" t="n">
        <v>19</v>
      </c>
      <c r="G1072" s="5" t="s">
        <v>70</v>
      </c>
      <c r="H1072" s="2" t="n">
        <v>0</v>
      </c>
      <c r="I1072" s="2" t="n">
        <v>1</v>
      </c>
      <c r="J1072" s="2" t="n">
        <v>1</v>
      </c>
      <c r="K1072" s="7" t="n">
        <v>0.8320743434</v>
      </c>
      <c r="L1072" s="7" t="n">
        <v>0.04576733468</v>
      </c>
      <c r="M1072" s="7" t="n">
        <v>0.06987369355</v>
      </c>
      <c r="N1072" s="7" t="n">
        <v>9</v>
      </c>
      <c r="O1072" s="7" t="n">
        <v>9</v>
      </c>
      <c r="P1072" s="7" t="n">
        <v>0</v>
      </c>
      <c r="Q1072" s="2"/>
      <c r="R1072" s="7" t="n">
        <v>2.951725</v>
      </c>
      <c r="S1072" s="5" t="s">
        <v>79</v>
      </c>
      <c r="T1072" s="5" t="s">
        <v>61</v>
      </c>
    </row>
    <row r="1073" customFormat="false" ht="15" hidden="false" customHeight="false" outlineLevel="0" collapsed="false">
      <c r="A1073" s="5" t="s">
        <v>4</v>
      </c>
      <c r="B1073" s="5" t="s">
        <v>55</v>
      </c>
      <c r="C1073" s="2" t="s">
        <v>56</v>
      </c>
      <c r="D1073" s="5" t="s">
        <v>80</v>
      </c>
      <c r="E1073" s="5" t="s">
        <v>62</v>
      </c>
      <c r="F1073" s="2" t="n">
        <v>19</v>
      </c>
      <c r="G1073" s="5" t="s">
        <v>70</v>
      </c>
      <c r="H1073" s="2" t="n">
        <v>0</v>
      </c>
      <c r="I1073" s="2" t="n">
        <v>1</v>
      </c>
      <c r="J1073" s="2" t="n">
        <v>1</v>
      </c>
      <c r="K1073" s="7" t="n">
        <v>0.8320743434</v>
      </c>
      <c r="L1073" s="7" t="n">
        <v>0.04576733468</v>
      </c>
      <c r="M1073" s="7" t="n">
        <v>0.06987369355</v>
      </c>
      <c r="N1073" s="7" t="n">
        <v>9</v>
      </c>
      <c r="O1073" s="7" t="n">
        <v>9</v>
      </c>
      <c r="P1073" s="7" t="n">
        <v>9</v>
      </c>
      <c r="Q1073" s="2"/>
      <c r="R1073" s="7" t="n">
        <v>3.518302</v>
      </c>
      <c r="S1073" s="5" t="s">
        <v>79</v>
      </c>
      <c r="T1073" s="5" t="s">
        <v>61</v>
      </c>
    </row>
    <row r="1074" customFormat="false" ht="15" hidden="false" customHeight="false" outlineLevel="0" collapsed="false">
      <c r="A1074" s="5" t="s">
        <v>4</v>
      </c>
      <c r="B1074" s="5" t="s">
        <v>55</v>
      </c>
      <c r="C1074" s="2" t="s">
        <v>56</v>
      </c>
      <c r="D1074" s="5" t="s">
        <v>80</v>
      </c>
      <c r="E1074" s="5" t="s">
        <v>58</v>
      </c>
      <c r="F1074" s="2" t="n">
        <v>20</v>
      </c>
      <c r="G1074" s="5" t="s">
        <v>67</v>
      </c>
      <c r="H1074" s="2" t="n">
        <v>1</v>
      </c>
      <c r="I1074" s="2" t="n">
        <v>1</v>
      </c>
      <c r="J1074" s="2" t="n">
        <v>1</v>
      </c>
      <c r="K1074" s="7" t="n">
        <v>0.2179610727</v>
      </c>
      <c r="L1074" s="7" t="n">
        <v>0.02700003339</v>
      </c>
      <c r="M1074" s="7" t="n">
        <v>0.03135442082</v>
      </c>
      <c r="N1074" s="7" t="n">
        <v>9</v>
      </c>
      <c r="O1074" s="7" t="n">
        <v>9</v>
      </c>
      <c r="P1074" s="7" t="n">
        <v>0</v>
      </c>
      <c r="Q1074" s="2"/>
      <c r="R1074" s="7" t="n">
        <v>1.788544</v>
      </c>
      <c r="S1074" s="5" t="s">
        <v>79</v>
      </c>
      <c r="T1074" s="5" t="s">
        <v>61</v>
      </c>
    </row>
    <row r="1075" customFormat="false" ht="15" hidden="false" customHeight="false" outlineLevel="0" collapsed="false">
      <c r="A1075" s="5" t="s">
        <v>4</v>
      </c>
      <c r="B1075" s="5" t="s">
        <v>55</v>
      </c>
      <c r="C1075" s="2" t="s">
        <v>56</v>
      </c>
      <c r="D1075" s="5" t="s">
        <v>80</v>
      </c>
      <c r="E1075" s="5" t="s">
        <v>62</v>
      </c>
      <c r="F1075" s="2" t="n">
        <v>20</v>
      </c>
      <c r="G1075" s="5" t="s">
        <v>67</v>
      </c>
      <c r="H1075" s="2" t="n">
        <v>1</v>
      </c>
      <c r="I1075" s="2" t="n">
        <v>1</v>
      </c>
      <c r="J1075" s="2" t="n">
        <v>1</v>
      </c>
      <c r="K1075" s="7" t="n">
        <v>0.2179610727</v>
      </c>
      <c r="L1075" s="7" t="n">
        <v>0.02700003339</v>
      </c>
      <c r="M1075" s="7" t="n">
        <v>0.03135442082</v>
      </c>
      <c r="N1075" s="7" t="n">
        <v>9</v>
      </c>
      <c r="O1075" s="7" t="n">
        <v>9</v>
      </c>
      <c r="P1075" s="7" t="n">
        <v>9</v>
      </c>
      <c r="Q1075" s="2"/>
      <c r="R1075" s="7" t="n">
        <v>2.365828</v>
      </c>
      <c r="S1075" s="5" t="s">
        <v>79</v>
      </c>
      <c r="T1075" s="5" t="s">
        <v>61</v>
      </c>
    </row>
    <row r="1076" customFormat="false" ht="15" hidden="false" customHeight="false" outlineLevel="0" collapsed="false">
      <c r="A1076" s="5" t="s">
        <v>4</v>
      </c>
      <c r="B1076" s="5" t="s">
        <v>55</v>
      </c>
      <c r="C1076" s="2" t="s">
        <v>56</v>
      </c>
      <c r="D1076" s="5" t="s">
        <v>80</v>
      </c>
      <c r="E1076" s="5" t="s">
        <v>58</v>
      </c>
      <c r="F1076" s="2" t="n">
        <v>20</v>
      </c>
      <c r="G1076" s="5" t="s">
        <v>68</v>
      </c>
      <c r="H1076" s="2" t="n">
        <v>1</v>
      </c>
      <c r="I1076" s="2" t="n">
        <v>1</v>
      </c>
      <c r="J1076" s="2" t="n">
        <v>1</v>
      </c>
      <c r="K1076" s="7" t="n">
        <v>0.3547202063</v>
      </c>
      <c r="L1076" s="7" t="n">
        <v>0.01885377823</v>
      </c>
      <c r="M1076" s="7" t="n">
        <v>0.02976985758</v>
      </c>
      <c r="N1076" s="7" t="n">
        <v>9</v>
      </c>
      <c r="O1076" s="7" t="n">
        <v>9</v>
      </c>
      <c r="P1076" s="7" t="n">
        <v>0</v>
      </c>
      <c r="Q1076" s="2"/>
      <c r="R1076" s="7" t="n">
        <v>2.128266</v>
      </c>
      <c r="S1076" s="5" t="s">
        <v>79</v>
      </c>
      <c r="T1076" s="5" t="s">
        <v>61</v>
      </c>
    </row>
    <row r="1077" customFormat="false" ht="15" hidden="false" customHeight="false" outlineLevel="0" collapsed="false">
      <c r="A1077" s="5" t="s">
        <v>4</v>
      </c>
      <c r="B1077" s="5" t="s">
        <v>55</v>
      </c>
      <c r="C1077" s="2" t="s">
        <v>56</v>
      </c>
      <c r="D1077" s="5" t="s">
        <v>80</v>
      </c>
      <c r="E1077" s="5" t="s">
        <v>62</v>
      </c>
      <c r="F1077" s="2" t="n">
        <v>20</v>
      </c>
      <c r="G1077" s="5" t="s">
        <v>68</v>
      </c>
      <c r="H1077" s="2" t="n">
        <v>1</v>
      </c>
      <c r="I1077" s="2" t="n">
        <v>1</v>
      </c>
      <c r="J1077" s="2" t="n">
        <v>1</v>
      </c>
      <c r="K1077" s="7" t="n">
        <v>0.3547202063</v>
      </c>
      <c r="L1077" s="7" t="n">
        <v>0.01885377823</v>
      </c>
      <c r="M1077" s="7" t="n">
        <v>0.02976985758</v>
      </c>
      <c r="N1077" s="7" t="n">
        <v>9</v>
      </c>
      <c r="O1077" s="7" t="n">
        <v>9</v>
      </c>
      <c r="P1077" s="7" t="n">
        <v>9</v>
      </c>
      <c r="Q1077" s="2"/>
      <c r="R1077" s="7" t="n">
        <v>2.647363</v>
      </c>
      <c r="S1077" s="5" t="s">
        <v>79</v>
      </c>
      <c r="T1077" s="5" t="s">
        <v>61</v>
      </c>
    </row>
    <row r="1078" customFormat="false" ht="15" hidden="false" customHeight="false" outlineLevel="0" collapsed="false">
      <c r="A1078" s="5" t="s">
        <v>4</v>
      </c>
      <c r="B1078" s="5" t="s">
        <v>55</v>
      </c>
      <c r="C1078" s="2" t="s">
        <v>56</v>
      </c>
      <c r="D1078" s="5" t="s">
        <v>80</v>
      </c>
      <c r="E1078" s="5" t="s">
        <v>58</v>
      </c>
      <c r="F1078" s="2" t="n">
        <v>20</v>
      </c>
      <c r="G1078" s="5" t="s">
        <v>69</v>
      </c>
      <c r="H1078" s="2" t="n">
        <v>1</v>
      </c>
      <c r="I1078" s="2" t="n">
        <v>1</v>
      </c>
      <c r="J1078" s="2" t="n">
        <v>1</v>
      </c>
      <c r="K1078" s="7" t="n">
        <v>0.5810537735</v>
      </c>
      <c r="L1078" s="7" t="n">
        <v>0.04434062035</v>
      </c>
      <c r="M1078" s="7" t="n">
        <v>0.0627505475</v>
      </c>
      <c r="N1078" s="7" t="n">
        <v>3</v>
      </c>
      <c r="O1078" s="7" t="n">
        <v>3</v>
      </c>
      <c r="P1078" s="7" t="n">
        <v>0</v>
      </c>
      <c r="Q1078" s="2"/>
      <c r="R1078" s="7" t="n">
        <v>2.907879</v>
      </c>
      <c r="S1078" s="5" t="s">
        <v>79</v>
      </c>
      <c r="T1078" s="5" t="s">
        <v>61</v>
      </c>
    </row>
    <row r="1079" customFormat="false" ht="15" hidden="false" customHeight="false" outlineLevel="0" collapsed="false">
      <c r="A1079" s="5" t="s">
        <v>4</v>
      </c>
      <c r="B1079" s="5" t="s">
        <v>55</v>
      </c>
      <c r="C1079" s="2" t="s">
        <v>56</v>
      </c>
      <c r="D1079" s="5" t="s">
        <v>80</v>
      </c>
      <c r="E1079" s="5" t="s">
        <v>62</v>
      </c>
      <c r="F1079" s="2" t="n">
        <v>20</v>
      </c>
      <c r="G1079" s="5" t="s">
        <v>69</v>
      </c>
      <c r="H1079" s="2" t="n">
        <v>1</v>
      </c>
      <c r="I1079" s="2" t="n">
        <v>1</v>
      </c>
      <c r="J1079" s="2" t="n">
        <v>1</v>
      </c>
      <c r="K1079" s="7" t="n">
        <v>0.5810537735</v>
      </c>
      <c r="L1079" s="7" t="n">
        <v>0.04434062035</v>
      </c>
      <c r="M1079" s="7" t="n">
        <v>0.0627505475</v>
      </c>
      <c r="N1079" s="7" t="n">
        <v>3</v>
      </c>
      <c r="O1079" s="7" t="n">
        <v>3</v>
      </c>
      <c r="P1079" s="7" t="n">
        <v>3</v>
      </c>
      <c r="Q1079" s="2"/>
      <c r="R1079" s="7" t="n">
        <v>3.062327</v>
      </c>
      <c r="S1079" s="5" t="s">
        <v>79</v>
      </c>
      <c r="T1079" s="5" t="s">
        <v>61</v>
      </c>
    </row>
    <row r="1080" customFormat="false" ht="15" hidden="false" customHeight="false" outlineLevel="0" collapsed="false">
      <c r="A1080" s="5" t="s">
        <v>4</v>
      </c>
      <c r="B1080" s="5" t="s">
        <v>55</v>
      </c>
      <c r="C1080" s="2" t="s">
        <v>56</v>
      </c>
      <c r="D1080" s="5" t="s">
        <v>80</v>
      </c>
      <c r="E1080" s="5" t="s">
        <v>58</v>
      </c>
      <c r="F1080" s="2" t="n">
        <v>20</v>
      </c>
      <c r="G1080" s="5" t="s">
        <v>70</v>
      </c>
      <c r="H1080" s="2" t="n">
        <v>0</v>
      </c>
      <c r="I1080" s="2" t="n">
        <v>1</v>
      </c>
      <c r="J1080" s="2" t="n">
        <v>1</v>
      </c>
      <c r="K1080" s="7" t="n">
        <v>0.6728360505</v>
      </c>
      <c r="L1080" s="7" t="n">
        <v>0.05970588977</v>
      </c>
      <c r="M1080" s="7" t="n">
        <v>0.07692584991</v>
      </c>
      <c r="N1080" s="7" t="n">
        <v>5</v>
      </c>
      <c r="O1080" s="7" t="n">
        <v>5</v>
      </c>
      <c r="P1080" s="7" t="n">
        <v>0</v>
      </c>
      <c r="Q1080" s="2"/>
      <c r="R1080" s="7" t="n">
        <v>3.243747</v>
      </c>
      <c r="S1080" s="5" t="s">
        <v>79</v>
      </c>
      <c r="T1080" s="5" t="s">
        <v>61</v>
      </c>
    </row>
    <row r="1081" customFormat="false" ht="15" hidden="false" customHeight="false" outlineLevel="0" collapsed="false">
      <c r="A1081" s="5" t="s">
        <v>4</v>
      </c>
      <c r="B1081" s="5" t="s">
        <v>55</v>
      </c>
      <c r="C1081" s="2" t="s">
        <v>56</v>
      </c>
      <c r="D1081" s="5" t="s">
        <v>80</v>
      </c>
      <c r="E1081" s="5" t="s">
        <v>62</v>
      </c>
      <c r="F1081" s="2" t="n">
        <v>20</v>
      </c>
      <c r="G1081" s="5" t="s">
        <v>70</v>
      </c>
      <c r="H1081" s="2" t="n">
        <v>0</v>
      </c>
      <c r="I1081" s="2" t="n">
        <v>1</v>
      </c>
      <c r="J1081" s="2" t="n">
        <v>1</v>
      </c>
      <c r="K1081" s="7" t="n">
        <v>0.6728360505</v>
      </c>
      <c r="L1081" s="7" t="n">
        <v>0.05970588977</v>
      </c>
      <c r="M1081" s="7" t="n">
        <v>0.07692584991</v>
      </c>
      <c r="N1081" s="7" t="n">
        <v>5</v>
      </c>
      <c r="O1081" s="7" t="n">
        <v>5</v>
      </c>
      <c r="P1081" s="7" t="n">
        <v>5</v>
      </c>
      <c r="Q1081" s="2"/>
      <c r="R1081" s="7" t="n">
        <v>3.593214</v>
      </c>
      <c r="S1081" s="5" t="s">
        <v>79</v>
      </c>
      <c r="T1081" s="5" t="s">
        <v>61</v>
      </c>
    </row>
    <row r="1082" customFormat="false" ht="15" hidden="false" customHeight="false" outlineLevel="0" collapsed="false">
      <c r="A1082" s="5" t="s">
        <v>4</v>
      </c>
      <c r="B1082" s="5" t="s">
        <v>55</v>
      </c>
      <c r="C1082" s="2" t="s">
        <v>56</v>
      </c>
      <c r="D1082" s="5" t="s">
        <v>80</v>
      </c>
      <c r="E1082" s="5" t="s">
        <v>58</v>
      </c>
      <c r="F1082" s="2" t="n">
        <v>11</v>
      </c>
      <c r="G1082" s="5" t="s">
        <v>71</v>
      </c>
      <c r="H1082" s="2" t="n">
        <v>1</v>
      </c>
      <c r="I1082" s="2" t="n">
        <v>1</v>
      </c>
      <c r="J1082" s="2" t="n">
        <v>1</v>
      </c>
      <c r="K1082" s="7" t="n">
        <v>0.4544269753</v>
      </c>
      <c r="L1082" s="7" t="n">
        <v>0.03247117211</v>
      </c>
      <c r="M1082" s="7" t="n">
        <v>0.04101101612</v>
      </c>
      <c r="N1082" s="7" t="n">
        <v>12</v>
      </c>
      <c r="O1082" s="7" t="n">
        <v>12</v>
      </c>
      <c r="P1082" s="7" t="n">
        <v>0</v>
      </c>
      <c r="Q1082" s="2"/>
      <c r="R1082" s="7" t="n">
        <v>1.621577</v>
      </c>
      <c r="S1082" s="5" t="s">
        <v>79</v>
      </c>
      <c r="T1082" s="5" t="s">
        <v>61</v>
      </c>
    </row>
    <row r="1083" customFormat="false" ht="15" hidden="false" customHeight="false" outlineLevel="0" collapsed="false">
      <c r="A1083" s="5" t="s">
        <v>4</v>
      </c>
      <c r="B1083" s="5" t="s">
        <v>55</v>
      </c>
      <c r="C1083" s="2" t="s">
        <v>56</v>
      </c>
      <c r="D1083" s="5" t="s">
        <v>80</v>
      </c>
      <c r="E1083" s="5" t="s">
        <v>62</v>
      </c>
      <c r="F1083" s="2" t="n">
        <v>11</v>
      </c>
      <c r="G1083" s="5" t="s">
        <v>71</v>
      </c>
      <c r="H1083" s="2" t="n">
        <v>1</v>
      </c>
      <c r="I1083" s="2" t="n">
        <v>1</v>
      </c>
      <c r="J1083" s="2" t="n">
        <v>1</v>
      </c>
      <c r="K1083" s="7" t="n">
        <v>0.4544269753</v>
      </c>
      <c r="L1083" s="7" t="n">
        <v>0.03247117211</v>
      </c>
      <c r="M1083" s="7" t="n">
        <v>0.04101101612</v>
      </c>
      <c r="N1083" s="7" t="n">
        <v>12</v>
      </c>
      <c r="O1083" s="7" t="n">
        <v>12</v>
      </c>
      <c r="P1083" s="7" t="n">
        <v>12</v>
      </c>
      <c r="Q1083" s="2"/>
      <c r="R1083" s="7" t="n">
        <v>2.222225</v>
      </c>
      <c r="S1083" s="5" t="s">
        <v>79</v>
      </c>
      <c r="T1083" s="5" t="s">
        <v>61</v>
      </c>
    </row>
    <row r="1084" customFormat="false" ht="15" hidden="false" customHeight="false" outlineLevel="0" collapsed="false">
      <c r="A1084" s="5" t="s">
        <v>4</v>
      </c>
      <c r="B1084" s="5" t="s">
        <v>55</v>
      </c>
      <c r="C1084" s="2" t="s">
        <v>56</v>
      </c>
      <c r="D1084" s="5" t="s">
        <v>80</v>
      </c>
      <c r="E1084" s="5" t="s">
        <v>58</v>
      </c>
      <c r="F1084" s="2" t="n">
        <v>11</v>
      </c>
      <c r="G1084" s="5" t="s">
        <v>72</v>
      </c>
      <c r="H1084" s="2" t="n">
        <v>1</v>
      </c>
      <c r="I1084" s="2" t="n">
        <v>1</v>
      </c>
      <c r="J1084" s="2" t="n">
        <v>1</v>
      </c>
      <c r="K1084" s="7" t="n">
        <v>0.8360239801</v>
      </c>
      <c r="L1084" s="7" t="n">
        <v>0.09565420459</v>
      </c>
      <c r="M1084" s="7" t="n">
        <v>0.1098580443</v>
      </c>
      <c r="N1084" s="7" t="n">
        <v>9</v>
      </c>
      <c r="O1084" s="7" t="n">
        <v>9</v>
      </c>
      <c r="P1084" s="7" t="n">
        <v>0</v>
      </c>
      <c r="Q1084" s="2"/>
      <c r="R1084" s="7" t="n">
        <v>2.301522</v>
      </c>
      <c r="S1084" s="5" t="s">
        <v>79</v>
      </c>
      <c r="T1084" s="5" t="s">
        <v>61</v>
      </c>
    </row>
    <row r="1085" customFormat="false" ht="15" hidden="false" customHeight="false" outlineLevel="0" collapsed="false">
      <c r="A1085" s="5" t="s">
        <v>4</v>
      </c>
      <c r="B1085" s="5" t="s">
        <v>55</v>
      </c>
      <c r="C1085" s="2" t="s">
        <v>56</v>
      </c>
      <c r="D1085" s="5" t="s">
        <v>80</v>
      </c>
      <c r="E1085" s="5" t="s">
        <v>62</v>
      </c>
      <c r="F1085" s="2" t="n">
        <v>11</v>
      </c>
      <c r="G1085" s="5" t="s">
        <v>72</v>
      </c>
      <c r="H1085" s="2" t="n">
        <v>1</v>
      </c>
      <c r="I1085" s="2" t="n">
        <v>1</v>
      </c>
      <c r="J1085" s="2" t="n">
        <v>1</v>
      </c>
      <c r="K1085" s="7" t="n">
        <v>0.8360239801</v>
      </c>
      <c r="L1085" s="7" t="n">
        <v>0.09565420459</v>
      </c>
      <c r="M1085" s="7" t="n">
        <v>0.1098580443</v>
      </c>
      <c r="N1085" s="7" t="n">
        <v>9</v>
      </c>
      <c r="O1085" s="7" t="n">
        <v>9</v>
      </c>
      <c r="P1085" s="7" t="n">
        <v>9</v>
      </c>
      <c r="Q1085" s="2"/>
      <c r="R1085" s="7" t="n">
        <v>2.831646</v>
      </c>
      <c r="S1085" s="5" t="s">
        <v>79</v>
      </c>
      <c r="T1085" s="5" t="s">
        <v>61</v>
      </c>
    </row>
    <row r="1086" customFormat="false" ht="15" hidden="false" customHeight="false" outlineLevel="0" collapsed="false">
      <c r="A1086" s="5" t="s">
        <v>4</v>
      </c>
      <c r="B1086" s="5" t="s">
        <v>55</v>
      </c>
      <c r="C1086" s="2" t="s">
        <v>56</v>
      </c>
      <c r="D1086" s="5" t="s">
        <v>80</v>
      </c>
      <c r="E1086" s="5" t="s">
        <v>58</v>
      </c>
      <c r="F1086" s="2" t="n">
        <v>11</v>
      </c>
      <c r="G1086" s="5" t="s">
        <v>73</v>
      </c>
      <c r="H1086" s="2" t="n">
        <v>0</v>
      </c>
      <c r="I1086" s="2" t="n">
        <v>1</v>
      </c>
      <c r="J1086" s="2" t="n">
        <v>1</v>
      </c>
      <c r="K1086" s="7" t="n">
        <v>0.3328080979</v>
      </c>
      <c r="L1086" s="7" t="n">
        <v>0.07507313128</v>
      </c>
      <c r="M1086" s="7" t="n">
        <v>0.07731888501</v>
      </c>
      <c r="N1086" s="7" t="n">
        <v>10</v>
      </c>
      <c r="O1086" s="7" t="n">
        <v>10</v>
      </c>
      <c r="P1086" s="7" t="n">
        <v>0</v>
      </c>
      <c r="Q1086" s="2"/>
      <c r="R1086" s="7" t="n">
        <v>2.555908</v>
      </c>
      <c r="S1086" s="5" t="s">
        <v>79</v>
      </c>
      <c r="T1086" s="5" t="s">
        <v>61</v>
      </c>
    </row>
    <row r="1087" customFormat="false" ht="15" hidden="false" customHeight="false" outlineLevel="0" collapsed="false">
      <c r="A1087" s="5" t="s">
        <v>4</v>
      </c>
      <c r="B1087" s="5" t="s">
        <v>55</v>
      </c>
      <c r="C1087" s="2" t="s">
        <v>56</v>
      </c>
      <c r="D1087" s="5" t="s">
        <v>80</v>
      </c>
      <c r="E1087" s="5" t="s">
        <v>62</v>
      </c>
      <c r="F1087" s="2" t="n">
        <v>11</v>
      </c>
      <c r="G1087" s="5" t="s">
        <v>73</v>
      </c>
      <c r="H1087" s="2" t="n">
        <v>0</v>
      </c>
      <c r="I1087" s="2" t="n">
        <v>1</v>
      </c>
      <c r="J1087" s="2" t="n">
        <v>1</v>
      </c>
      <c r="K1087" s="7" t="n">
        <v>0.3328080979</v>
      </c>
      <c r="L1087" s="7" t="n">
        <v>0.07507313128</v>
      </c>
      <c r="M1087" s="7" t="n">
        <v>0.07731888501</v>
      </c>
      <c r="N1087" s="7" t="n">
        <v>10</v>
      </c>
      <c r="O1087" s="7" t="n">
        <v>10</v>
      </c>
      <c r="P1087" s="7" t="n">
        <v>10</v>
      </c>
      <c r="Q1087" s="2"/>
      <c r="R1087" s="7" t="n">
        <v>3.128804</v>
      </c>
      <c r="S1087" s="5" t="s">
        <v>79</v>
      </c>
      <c r="T1087" s="5" t="s">
        <v>61</v>
      </c>
    </row>
    <row r="1088" customFormat="false" ht="15" hidden="false" customHeight="false" outlineLevel="0" collapsed="false">
      <c r="A1088" s="5" t="s">
        <v>4</v>
      </c>
      <c r="B1088" s="5" t="s">
        <v>55</v>
      </c>
      <c r="C1088" s="2" t="s">
        <v>56</v>
      </c>
      <c r="D1088" s="5" t="s">
        <v>80</v>
      </c>
      <c r="E1088" s="5" t="s">
        <v>58</v>
      </c>
      <c r="F1088" s="2" t="n">
        <v>12</v>
      </c>
      <c r="G1088" s="5" t="s">
        <v>71</v>
      </c>
      <c r="H1088" s="2" t="n">
        <v>1</v>
      </c>
      <c r="I1088" s="2" t="n">
        <v>1</v>
      </c>
      <c r="J1088" s="2" t="n">
        <v>1</v>
      </c>
      <c r="K1088" s="7" t="n">
        <v>0.6166746213</v>
      </c>
      <c r="L1088" s="7" t="n">
        <v>0.02361760143</v>
      </c>
      <c r="M1088" s="7" t="n">
        <v>0.05277184369</v>
      </c>
      <c r="N1088" s="7" t="n">
        <v>9</v>
      </c>
      <c r="O1088" s="7" t="n">
        <v>9</v>
      </c>
      <c r="P1088" s="7" t="n">
        <v>0</v>
      </c>
      <c r="Q1088" s="2"/>
      <c r="R1088" s="7" t="n">
        <v>1.640424</v>
      </c>
      <c r="S1088" s="5" t="s">
        <v>79</v>
      </c>
      <c r="T1088" s="5" t="s">
        <v>61</v>
      </c>
    </row>
    <row r="1089" customFormat="false" ht="15" hidden="false" customHeight="false" outlineLevel="0" collapsed="false">
      <c r="A1089" s="5" t="s">
        <v>4</v>
      </c>
      <c r="B1089" s="5" t="s">
        <v>55</v>
      </c>
      <c r="C1089" s="2" t="s">
        <v>56</v>
      </c>
      <c r="D1089" s="5" t="s">
        <v>80</v>
      </c>
      <c r="E1089" s="5" t="s">
        <v>62</v>
      </c>
      <c r="F1089" s="2" t="n">
        <v>12</v>
      </c>
      <c r="G1089" s="5" t="s">
        <v>71</v>
      </c>
      <c r="H1089" s="2" t="n">
        <v>1</v>
      </c>
      <c r="I1089" s="2" t="n">
        <v>1</v>
      </c>
      <c r="J1089" s="2" t="n">
        <v>1</v>
      </c>
      <c r="K1089" s="7" t="n">
        <v>0.6166746213</v>
      </c>
      <c r="L1089" s="7" t="n">
        <v>0.02361760143</v>
      </c>
      <c r="M1089" s="7" t="n">
        <v>0.05277184369</v>
      </c>
      <c r="N1089" s="7" t="n">
        <v>9</v>
      </c>
      <c r="O1089" s="7" t="n">
        <v>9</v>
      </c>
      <c r="P1089" s="7" t="n">
        <v>9</v>
      </c>
      <c r="Q1089" s="2"/>
      <c r="R1089" s="7" t="n">
        <v>2.145541</v>
      </c>
      <c r="S1089" s="5" t="s">
        <v>79</v>
      </c>
      <c r="T1089" s="5" t="s">
        <v>61</v>
      </c>
    </row>
    <row r="1090" customFormat="false" ht="15" hidden="false" customHeight="false" outlineLevel="0" collapsed="false">
      <c r="A1090" s="5" t="s">
        <v>4</v>
      </c>
      <c r="B1090" s="5" t="s">
        <v>55</v>
      </c>
      <c r="C1090" s="2" t="s">
        <v>56</v>
      </c>
      <c r="D1090" s="5" t="s">
        <v>80</v>
      </c>
      <c r="E1090" s="5" t="s">
        <v>58</v>
      </c>
      <c r="F1090" s="2" t="n">
        <v>12</v>
      </c>
      <c r="G1090" s="5" t="s">
        <v>72</v>
      </c>
      <c r="H1090" s="2" t="n">
        <v>1</v>
      </c>
      <c r="I1090" s="2" t="n">
        <v>1</v>
      </c>
      <c r="J1090" s="2" t="n">
        <v>1</v>
      </c>
      <c r="K1090" s="7" t="n">
        <v>0.2378734155</v>
      </c>
      <c r="L1090" s="7" t="n">
        <v>0.03547151984</v>
      </c>
      <c r="M1090" s="7" t="n">
        <v>0.03778038765</v>
      </c>
      <c r="N1090" s="7" t="n">
        <v>6</v>
      </c>
      <c r="O1090" s="7" t="n">
        <v>6</v>
      </c>
      <c r="P1090" s="7" t="n">
        <v>0</v>
      </c>
      <c r="Q1090" s="2"/>
      <c r="R1090" s="7" t="n">
        <v>2.384435</v>
      </c>
      <c r="S1090" s="5" t="s">
        <v>79</v>
      </c>
      <c r="T1090" s="5" t="s">
        <v>61</v>
      </c>
    </row>
    <row r="1091" customFormat="false" ht="15" hidden="false" customHeight="false" outlineLevel="0" collapsed="false">
      <c r="A1091" s="5" t="s">
        <v>4</v>
      </c>
      <c r="B1091" s="5" t="s">
        <v>55</v>
      </c>
      <c r="C1091" s="2" t="s">
        <v>56</v>
      </c>
      <c r="D1091" s="5" t="s">
        <v>80</v>
      </c>
      <c r="E1091" s="5" t="s">
        <v>62</v>
      </c>
      <c r="F1091" s="2" t="n">
        <v>12</v>
      </c>
      <c r="G1091" s="5" t="s">
        <v>72</v>
      </c>
      <c r="H1091" s="2" t="n">
        <v>1</v>
      </c>
      <c r="I1091" s="2" t="n">
        <v>1</v>
      </c>
      <c r="J1091" s="2" t="n">
        <v>1</v>
      </c>
      <c r="K1091" s="7" t="n">
        <v>0.2378734155</v>
      </c>
      <c r="L1091" s="7" t="n">
        <v>0.03547151984</v>
      </c>
      <c r="M1091" s="7" t="n">
        <v>0.03778038765</v>
      </c>
      <c r="N1091" s="7" t="n">
        <v>6</v>
      </c>
      <c r="O1091" s="7" t="n">
        <v>6</v>
      </c>
      <c r="P1091" s="7" t="n">
        <v>6</v>
      </c>
      <c r="Q1091" s="2"/>
      <c r="R1091" s="7" t="n">
        <v>2.801572</v>
      </c>
      <c r="S1091" s="5" t="s">
        <v>79</v>
      </c>
      <c r="T1091" s="5" t="s">
        <v>61</v>
      </c>
    </row>
    <row r="1092" customFormat="false" ht="15" hidden="false" customHeight="false" outlineLevel="0" collapsed="false">
      <c r="A1092" s="5" t="s">
        <v>4</v>
      </c>
      <c r="B1092" s="5" t="s">
        <v>55</v>
      </c>
      <c r="C1092" s="2" t="s">
        <v>56</v>
      </c>
      <c r="D1092" s="5" t="s">
        <v>80</v>
      </c>
      <c r="E1092" s="5" t="s">
        <v>58</v>
      </c>
      <c r="F1092" s="2" t="n">
        <v>12</v>
      </c>
      <c r="G1092" s="5" t="s">
        <v>73</v>
      </c>
      <c r="H1092" s="2" t="n">
        <v>0</v>
      </c>
      <c r="I1092" s="2" t="n">
        <v>1</v>
      </c>
      <c r="J1092" s="2" t="n">
        <v>1</v>
      </c>
      <c r="K1092" s="7" t="n">
        <v>0.5112959717</v>
      </c>
      <c r="L1092" s="7" t="n">
        <v>0.1236085659</v>
      </c>
      <c r="M1092" s="7" t="n">
        <v>0.1256619868</v>
      </c>
      <c r="N1092" s="7" t="n">
        <v>8</v>
      </c>
      <c r="O1092" s="7" t="n">
        <v>8</v>
      </c>
      <c r="P1092" s="7" t="n">
        <v>0</v>
      </c>
      <c r="Q1092" s="2"/>
      <c r="R1092" s="7" t="n">
        <v>2.682274</v>
      </c>
      <c r="S1092" s="5" t="s">
        <v>79</v>
      </c>
      <c r="T1092" s="5" t="s">
        <v>61</v>
      </c>
    </row>
    <row r="1093" customFormat="false" ht="15" hidden="false" customHeight="false" outlineLevel="0" collapsed="false">
      <c r="A1093" s="5" t="s">
        <v>4</v>
      </c>
      <c r="B1093" s="5" t="s">
        <v>55</v>
      </c>
      <c r="C1093" s="2" t="s">
        <v>56</v>
      </c>
      <c r="D1093" s="5" t="s">
        <v>80</v>
      </c>
      <c r="E1093" s="5" t="s">
        <v>62</v>
      </c>
      <c r="F1093" s="2" t="n">
        <v>12</v>
      </c>
      <c r="G1093" s="5" t="s">
        <v>73</v>
      </c>
      <c r="H1093" s="2" t="n">
        <v>0</v>
      </c>
      <c r="I1093" s="2" t="n">
        <v>1</v>
      </c>
      <c r="J1093" s="2" t="n">
        <v>1</v>
      </c>
      <c r="K1093" s="7" t="n">
        <v>0.6504187377</v>
      </c>
      <c r="L1093" s="7" t="n">
        <v>0.07743873796</v>
      </c>
      <c r="M1093" s="7" t="n">
        <v>0.08741949396</v>
      </c>
      <c r="N1093" s="7" t="n">
        <v>8</v>
      </c>
      <c r="O1093" s="7" t="n">
        <v>8</v>
      </c>
      <c r="P1093" s="7" t="n">
        <v>7</v>
      </c>
      <c r="Q1093" s="2"/>
      <c r="R1093" s="7" t="n">
        <v>3.218557</v>
      </c>
      <c r="S1093" s="5" t="s">
        <v>79</v>
      </c>
      <c r="T1093" s="5" t="s">
        <v>61</v>
      </c>
    </row>
    <row r="1094" customFormat="false" ht="15" hidden="false" customHeight="false" outlineLevel="0" collapsed="false">
      <c r="A1094" s="5" t="s">
        <v>4</v>
      </c>
      <c r="B1094" s="5" t="s">
        <v>55</v>
      </c>
      <c r="C1094" s="2" t="s">
        <v>56</v>
      </c>
      <c r="D1094" s="5" t="s">
        <v>80</v>
      </c>
      <c r="E1094" s="5" t="s">
        <v>58</v>
      </c>
      <c r="F1094" s="2" t="n">
        <v>13</v>
      </c>
      <c r="G1094" s="5" t="s">
        <v>71</v>
      </c>
      <c r="H1094" s="2" t="n">
        <v>1</v>
      </c>
      <c r="I1094" s="2" t="n">
        <v>1</v>
      </c>
      <c r="J1094" s="2" t="n">
        <v>1</v>
      </c>
      <c r="K1094" s="7" t="n">
        <v>0.4341884501</v>
      </c>
      <c r="L1094" s="7" t="n">
        <v>0.02689803194</v>
      </c>
      <c r="M1094" s="7" t="n">
        <v>0.03610012263</v>
      </c>
      <c r="N1094" s="7" t="n">
        <v>9</v>
      </c>
      <c r="O1094" s="7" t="n">
        <v>9</v>
      </c>
      <c r="P1094" s="7" t="n">
        <v>0</v>
      </c>
      <c r="Q1094" s="2"/>
      <c r="R1094" s="7" t="n">
        <v>1.432577</v>
      </c>
      <c r="S1094" s="5" t="s">
        <v>79</v>
      </c>
      <c r="T1094" s="5" t="s">
        <v>61</v>
      </c>
    </row>
    <row r="1095" customFormat="false" ht="15" hidden="false" customHeight="false" outlineLevel="0" collapsed="false">
      <c r="A1095" s="5" t="s">
        <v>4</v>
      </c>
      <c r="B1095" s="5" t="s">
        <v>55</v>
      </c>
      <c r="C1095" s="2" t="s">
        <v>56</v>
      </c>
      <c r="D1095" s="5" t="s">
        <v>80</v>
      </c>
      <c r="E1095" s="5" t="s">
        <v>62</v>
      </c>
      <c r="F1095" s="2" t="n">
        <v>13</v>
      </c>
      <c r="G1095" s="5" t="s">
        <v>71</v>
      </c>
      <c r="H1095" s="2" t="n">
        <v>1</v>
      </c>
      <c r="I1095" s="2" t="n">
        <v>1</v>
      </c>
      <c r="J1095" s="2" t="n">
        <v>1</v>
      </c>
      <c r="K1095" s="7" t="n">
        <v>0.4341884501</v>
      </c>
      <c r="L1095" s="7" t="n">
        <v>0.02689803194</v>
      </c>
      <c r="M1095" s="7" t="n">
        <v>0.03610012263</v>
      </c>
      <c r="N1095" s="7" t="n">
        <v>9</v>
      </c>
      <c r="O1095" s="7" t="n">
        <v>9</v>
      </c>
      <c r="P1095" s="7" t="n">
        <v>9</v>
      </c>
      <c r="Q1095" s="2"/>
      <c r="R1095" s="7" t="n">
        <v>1.970823</v>
      </c>
      <c r="S1095" s="5" t="s">
        <v>79</v>
      </c>
      <c r="T1095" s="5" t="s">
        <v>61</v>
      </c>
    </row>
    <row r="1096" customFormat="false" ht="15" hidden="false" customHeight="false" outlineLevel="0" collapsed="false">
      <c r="A1096" s="5" t="s">
        <v>4</v>
      </c>
      <c r="B1096" s="5" t="s">
        <v>55</v>
      </c>
      <c r="C1096" s="2" t="s">
        <v>56</v>
      </c>
      <c r="D1096" s="5" t="s">
        <v>80</v>
      </c>
      <c r="E1096" s="5" t="s">
        <v>58</v>
      </c>
      <c r="F1096" s="2" t="n">
        <v>13</v>
      </c>
      <c r="G1096" s="5" t="s">
        <v>72</v>
      </c>
      <c r="H1096" s="2" t="n">
        <v>1</v>
      </c>
      <c r="I1096" s="2" t="n">
        <v>1</v>
      </c>
      <c r="J1096" s="2" t="n">
        <v>1</v>
      </c>
      <c r="K1096" s="7" t="n">
        <v>0.2948316063</v>
      </c>
      <c r="L1096" s="7" t="n">
        <v>0.06724169749</v>
      </c>
      <c r="M1096" s="7" t="n">
        <v>0.07239824141</v>
      </c>
      <c r="N1096" s="7" t="n">
        <v>12</v>
      </c>
      <c r="O1096" s="7" t="n">
        <v>12</v>
      </c>
      <c r="P1096" s="7" t="n">
        <v>0</v>
      </c>
      <c r="Q1096" s="2"/>
      <c r="R1096" s="7" t="n">
        <v>2.497932</v>
      </c>
      <c r="S1096" s="5" t="s">
        <v>79</v>
      </c>
      <c r="T1096" s="5" t="s">
        <v>61</v>
      </c>
    </row>
    <row r="1097" customFormat="false" ht="15" hidden="false" customHeight="false" outlineLevel="0" collapsed="false">
      <c r="A1097" s="5" t="s">
        <v>4</v>
      </c>
      <c r="B1097" s="5" t="s">
        <v>55</v>
      </c>
      <c r="C1097" s="2" t="s">
        <v>56</v>
      </c>
      <c r="D1097" s="5" t="s">
        <v>80</v>
      </c>
      <c r="E1097" s="5" t="s">
        <v>62</v>
      </c>
      <c r="F1097" s="2" t="n">
        <v>13</v>
      </c>
      <c r="G1097" s="5" t="s">
        <v>72</v>
      </c>
      <c r="H1097" s="2" t="n">
        <v>1</v>
      </c>
      <c r="I1097" s="2" t="n">
        <v>1</v>
      </c>
      <c r="J1097" s="2" t="n">
        <v>1</v>
      </c>
      <c r="K1097" s="7" t="n">
        <v>0.2948316063</v>
      </c>
      <c r="L1097" s="7" t="n">
        <v>0.06724169749</v>
      </c>
      <c r="M1097" s="7" t="n">
        <v>0.07239824141</v>
      </c>
      <c r="N1097" s="7" t="n">
        <v>12</v>
      </c>
      <c r="O1097" s="7" t="n">
        <v>12</v>
      </c>
      <c r="P1097" s="7" t="n">
        <v>12</v>
      </c>
      <c r="Q1097" s="2"/>
      <c r="R1097" s="7" t="n">
        <v>3.128614</v>
      </c>
      <c r="S1097" s="5" t="s">
        <v>79</v>
      </c>
      <c r="T1097" s="5" t="s">
        <v>61</v>
      </c>
    </row>
    <row r="1098" customFormat="false" ht="15" hidden="false" customHeight="false" outlineLevel="0" collapsed="false">
      <c r="A1098" s="5" t="s">
        <v>4</v>
      </c>
      <c r="B1098" s="5" t="s">
        <v>55</v>
      </c>
      <c r="C1098" s="2" t="s">
        <v>56</v>
      </c>
      <c r="D1098" s="5" t="s">
        <v>80</v>
      </c>
      <c r="E1098" s="5" t="s">
        <v>58</v>
      </c>
      <c r="F1098" s="2" t="n">
        <v>13</v>
      </c>
      <c r="G1098" s="5" t="s">
        <v>73</v>
      </c>
      <c r="H1098" s="2" t="n">
        <v>0</v>
      </c>
      <c r="I1098" s="2" t="n">
        <v>1</v>
      </c>
      <c r="J1098" s="2" t="n">
        <v>1</v>
      </c>
      <c r="K1098" s="7" t="n">
        <v>0.9536576778</v>
      </c>
      <c r="L1098" s="7" t="n">
        <v>0.2137549313</v>
      </c>
      <c r="M1098" s="7" t="n">
        <v>0.2192189033</v>
      </c>
      <c r="N1098" s="7" t="n">
        <v>7</v>
      </c>
      <c r="O1098" s="7" t="n">
        <v>7</v>
      </c>
      <c r="P1098" s="7" t="n">
        <v>0</v>
      </c>
      <c r="Q1098" s="2"/>
      <c r="R1098" s="7" t="n">
        <v>2.770144</v>
      </c>
      <c r="S1098" s="5" t="s">
        <v>79</v>
      </c>
      <c r="T1098" s="5" t="s">
        <v>61</v>
      </c>
    </row>
    <row r="1099" customFormat="false" ht="15" hidden="false" customHeight="false" outlineLevel="0" collapsed="false">
      <c r="A1099" s="5" t="s">
        <v>4</v>
      </c>
      <c r="B1099" s="5" t="s">
        <v>55</v>
      </c>
      <c r="C1099" s="2" t="s">
        <v>56</v>
      </c>
      <c r="D1099" s="5" t="s">
        <v>80</v>
      </c>
      <c r="E1099" s="5" t="s">
        <v>62</v>
      </c>
      <c r="F1099" s="2" t="n">
        <v>13</v>
      </c>
      <c r="G1099" s="5" t="s">
        <v>73</v>
      </c>
      <c r="H1099" s="2" t="n">
        <v>0</v>
      </c>
      <c r="I1099" s="2" t="n">
        <v>1</v>
      </c>
      <c r="J1099" s="2" t="n">
        <v>1</v>
      </c>
      <c r="K1099" s="7" t="n">
        <v>0.9536576778</v>
      </c>
      <c r="L1099" s="7" t="n">
        <v>0.2137549313</v>
      </c>
      <c r="M1099" s="7" t="n">
        <v>0.2192189033</v>
      </c>
      <c r="N1099" s="7" t="n">
        <v>7</v>
      </c>
      <c r="O1099" s="7" t="n">
        <v>7</v>
      </c>
      <c r="P1099" s="7" t="n">
        <v>7</v>
      </c>
      <c r="Q1099" s="2"/>
      <c r="R1099" s="7" t="n">
        <v>3.215332</v>
      </c>
      <c r="S1099" s="5" t="s">
        <v>79</v>
      </c>
      <c r="T1099" s="5" t="s">
        <v>61</v>
      </c>
    </row>
    <row r="1100" customFormat="false" ht="15" hidden="false" customHeight="false" outlineLevel="0" collapsed="false">
      <c r="A1100" s="5" t="s">
        <v>4</v>
      </c>
      <c r="B1100" s="5" t="s">
        <v>55</v>
      </c>
      <c r="C1100" s="2" t="s">
        <v>56</v>
      </c>
      <c r="D1100" s="5" t="s">
        <v>80</v>
      </c>
      <c r="E1100" s="5" t="s">
        <v>58</v>
      </c>
      <c r="F1100" s="2" t="n">
        <v>14</v>
      </c>
      <c r="G1100" s="5" t="s">
        <v>71</v>
      </c>
      <c r="H1100" s="2" t="n">
        <v>1</v>
      </c>
      <c r="I1100" s="2" t="n">
        <v>1</v>
      </c>
      <c r="J1100" s="2" t="n">
        <v>1</v>
      </c>
      <c r="K1100" s="7" t="n">
        <v>0.6579897655</v>
      </c>
      <c r="L1100" s="7" t="n">
        <v>0.02976600331</v>
      </c>
      <c r="M1100" s="7" t="n">
        <v>0.05024355185</v>
      </c>
      <c r="N1100" s="7" t="n">
        <v>7</v>
      </c>
      <c r="O1100" s="7" t="n">
        <v>7</v>
      </c>
      <c r="P1100" s="7" t="n">
        <v>0</v>
      </c>
      <c r="Q1100" s="2"/>
      <c r="R1100" s="7" t="n">
        <v>1.486097</v>
      </c>
      <c r="S1100" s="5" t="s">
        <v>79</v>
      </c>
      <c r="T1100" s="5" t="s">
        <v>61</v>
      </c>
    </row>
    <row r="1101" customFormat="false" ht="15" hidden="false" customHeight="false" outlineLevel="0" collapsed="false">
      <c r="A1101" s="5" t="s">
        <v>4</v>
      </c>
      <c r="B1101" s="5" t="s">
        <v>55</v>
      </c>
      <c r="C1101" s="2" t="s">
        <v>56</v>
      </c>
      <c r="D1101" s="5" t="s">
        <v>80</v>
      </c>
      <c r="E1101" s="5" t="s">
        <v>62</v>
      </c>
      <c r="F1101" s="2" t="n">
        <v>14</v>
      </c>
      <c r="G1101" s="5" t="s">
        <v>71</v>
      </c>
      <c r="H1101" s="2" t="n">
        <v>1</v>
      </c>
      <c r="I1101" s="2" t="n">
        <v>1</v>
      </c>
      <c r="J1101" s="2" t="n">
        <v>1</v>
      </c>
      <c r="K1101" s="7" t="n">
        <v>0.6579897655</v>
      </c>
      <c r="L1101" s="7" t="n">
        <v>0.02976600331</v>
      </c>
      <c r="M1101" s="7" t="n">
        <v>0.05024355185</v>
      </c>
      <c r="N1101" s="7" t="n">
        <v>7</v>
      </c>
      <c r="O1101" s="7" t="n">
        <v>7</v>
      </c>
      <c r="P1101" s="7" t="n">
        <v>7</v>
      </c>
      <c r="Q1101" s="2"/>
      <c r="R1101" s="7" t="n">
        <v>1.937864</v>
      </c>
      <c r="S1101" s="5" t="s">
        <v>79</v>
      </c>
      <c r="T1101" s="5" t="s">
        <v>61</v>
      </c>
    </row>
    <row r="1102" customFormat="false" ht="15" hidden="false" customHeight="false" outlineLevel="0" collapsed="false">
      <c r="A1102" s="5" t="s">
        <v>4</v>
      </c>
      <c r="B1102" s="5" t="s">
        <v>55</v>
      </c>
      <c r="C1102" s="2" t="s">
        <v>56</v>
      </c>
      <c r="D1102" s="5" t="s">
        <v>80</v>
      </c>
      <c r="E1102" s="5" t="s">
        <v>58</v>
      </c>
      <c r="F1102" s="2" t="n">
        <v>14</v>
      </c>
      <c r="G1102" s="5" t="s">
        <v>72</v>
      </c>
      <c r="H1102" s="2" t="n">
        <v>1</v>
      </c>
      <c r="I1102" s="2" t="n">
        <v>1</v>
      </c>
      <c r="J1102" s="2" t="n">
        <v>1</v>
      </c>
      <c r="K1102" s="7" t="n">
        <v>0.1521426179</v>
      </c>
      <c r="L1102" s="7" t="n">
        <v>0.05675385855</v>
      </c>
      <c r="M1102" s="7" t="n">
        <v>0.05772381536</v>
      </c>
      <c r="N1102" s="7" t="n">
        <v>8</v>
      </c>
      <c r="O1102" s="7" t="n">
        <v>8</v>
      </c>
      <c r="P1102" s="7" t="n">
        <v>0</v>
      </c>
      <c r="Q1102" s="2"/>
      <c r="R1102" s="7" t="n">
        <v>2.417213</v>
      </c>
      <c r="S1102" s="5" t="s">
        <v>79</v>
      </c>
      <c r="T1102" s="5" t="s">
        <v>61</v>
      </c>
    </row>
    <row r="1103" customFormat="false" ht="15" hidden="false" customHeight="false" outlineLevel="0" collapsed="false">
      <c r="A1103" s="5" t="s">
        <v>4</v>
      </c>
      <c r="B1103" s="5" t="s">
        <v>55</v>
      </c>
      <c r="C1103" s="2" t="s">
        <v>56</v>
      </c>
      <c r="D1103" s="5" t="s">
        <v>80</v>
      </c>
      <c r="E1103" s="5" t="s">
        <v>62</v>
      </c>
      <c r="F1103" s="2" t="n">
        <v>14</v>
      </c>
      <c r="G1103" s="5" t="s">
        <v>72</v>
      </c>
      <c r="H1103" s="2" t="n">
        <v>1</v>
      </c>
      <c r="I1103" s="2" t="n">
        <v>1</v>
      </c>
      <c r="J1103" s="2" t="n">
        <v>1</v>
      </c>
      <c r="K1103" s="7" t="n">
        <v>0.1521426179</v>
      </c>
      <c r="L1103" s="7" t="n">
        <v>0.05675385855</v>
      </c>
      <c r="M1103" s="7" t="n">
        <v>0.05772381536</v>
      </c>
      <c r="N1103" s="7" t="n">
        <v>8</v>
      </c>
      <c r="O1103" s="7" t="n">
        <v>8</v>
      </c>
      <c r="P1103" s="7" t="n">
        <v>8</v>
      </c>
      <c r="Q1103" s="2"/>
      <c r="R1103" s="7" t="n">
        <v>2.935618</v>
      </c>
      <c r="S1103" s="5" t="s">
        <v>79</v>
      </c>
      <c r="T1103" s="5" t="s">
        <v>61</v>
      </c>
    </row>
    <row r="1104" customFormat="false" ht="15" hidden="false" customHeight="false" outlineLevel="0" collapsed="false">
      <c r="A1104" s="5" t="s">
        <v>4</v>
      </c>
      <c r="B1104" s="5" t="s">
        <v>55</v>
      </c>
      <c r="C1104" s="2" t="s">
        <v>56</v>
      </c>
      <c r="D1104" s="5" t="s">
        <v>80</v>
      </c>
      <c r="E1104" s="5" t="s">
        <v>58</v>
      </c>
      <c r="F1104" s="2" t="n">
        <v>14</v>
      </c>
      <c r="G1104" s="5" t="s">
        <v>73</v>
      </c>
      <c r="H1104" s="2" t="n">
        <v>0</v>
      </c>
      <c r="I1104" s="2" t="n">
        <v>1</v>
      </c>
      <c r="J1104" s="2" t="n">
        <v>1</v>
      </c>
      <c r="K1104" s="7" t="n">
        <v>0.2946812743</v>
      </c>
      <c r="L1104" s="7" t="n">
        <v>0.1050583229</v>
      </c>
      <c r="M1104" s="7" t="n">
        <v>0.1057389239</v>
      </c>
      <c r="N1104" s="7" t="n">
        <v>11</v>
      </c>
      <c r="O1104" s="7" t="n">
        <v>11</v>
      </c>
      <c r="P1104" s="7" t="n">
        <v>0</v>
      </c>
      <c r="Q1104" s="2"/>
      <c r="R1104" s="7" t="n">
        <v>3.088915</v>
      </c>
      <c r="S1104" s="5" t="s">
        <v>79</v>
      </c>
      <c r="T1104" s="5" t="s">
        <v>61</v>
      </c>
    </row>
    <row r="1105" customFormat="false" ht="15" hidden="false" customHeight="false" outlineLevel="0" collapsed="false">
      <c r="A1105" s="5" t="s">
        <v>4</v>
      </c>
      <c r="B1105" s="5" t="s">
        <v>55</v>
      </c>
      <c r="C1105" s="2" t="s">
        <v>56</v>
      </c>
      <c r="D1105" s="5" t="s">
        <v>80</v>
      </c>
      <c r="E1105" s="5" t="s">
        <v>62</v>
      </c>
      <c r="F1105" s="2" t="n">
        <v>14</v>
      </c>
      <c r="G1105" s="5" t="s">
        <v>73</v>
      </c>
      <c r="H1105" s="2" t="n">
        <v>0</v>
      </c>
      <c r="I1105" s="2" t="n">
        <v>1</v>
      </c>
      <c r="J1105" s="2" t="n">
        <v>1</v>
      </c>
      <c r="K1105" s="7" t="n">
        <v>0.2946812743</v>
      </c>
      <c r="L1105" s="7" t="n">
        <v>0.1050583229</v>
      </c>
      <c r="M1105" s="7" t="n">
        <v>0.1057389239</v>
      </c>
      <c r="N1105" s="7" t="n">
        <v>11</v>
      </c>
      <c r="O1105" s="7" t="n">
        <v>11</v>
      </c>
      <c r="P1105" s="7" t="n">
        <v>11</v>
      </c>
      <c r="Q1105" s="2"/>
      <c r="R1105" s="7" t="n">
        <v>3.702813</v>
      </c>
      <c r="S1105" s="5" t="s">
        <v>79</v>
      </c>
      <c r="T1105" s="5" t="s">
        <v>61</v>
      </c>
    </row>
    <row r="1106" customFormat="false" ht="15" hidden="false" customHeight="false" outlineLevel="0" collapsed="false">
      <c r="A1106" s="5" t="s">
        <v>4</v>
      </c>
      <c r="B1106" s="5" t="s">
        <v>55</v>
      </c>
      <c r="C1106" s="2" t="s">
        <v>56</v>
      </c>
      <c r="D1106" s="5" t="s">
        <v>80</v>
      </c>
      <c r="E1106" s="5" t="s">
        <v>58</v>
      </c>
      <c r="F1106" s="2" t="n">
        <v>15</v>
      </c>
      <c r="G1106" s="5" t="s">
        <v>71</v>
      </c>
      <c r="H1106" s="2" t="n">
        <v>1</v>
      </c>
      <c r="I1106" s="2" t="n">
        <v>1</v>
      </c>
      <c r="J1106" s="2" t="n">
        <v>1</v>
      </c>
      <c r="K1106" s="7" t="n">
        <v>0.3280409883</v>
      </c>
      <c r="L1106" s="7" t="n">
        <v>0.0351992386</v>
      </c>
      <c r="M1106" s="7" t="n">
        <v>0.03974328441</v>
      </c>
      <c r="N1106" s="7" t="n">
        <v>10</v>
      </c>
      <c r="O1106" s="7" t="n">
        <v>10</v>
      </c>
      <c r="P1106" s="7" t="n">
        <v>0</v>
      </c>
      <c r="Q1106" s="2"/>
      <c r="R1106" s="7" t="n">
        <v>1.469953</v>
      </c>
      <c r="S1106" s="5" t="s">
        <v>79</v>
      </c>
      <c r="T1106" s="5" t="s">
        <v>61</v>
      </c>
    </row>
    <row r="1107" customFormat="false" ht="15" hidden="false" customHeight="false" outlineLevel="0" collapsed="false">
      <c r="A1107" s="5" t="s">
        <v>4</v>
      </c>
      <c r="B1107" s="5" t="s">
        <v>55</v>
      </c>
      <c r="C1107" s="2" t="s">
        <v>56</v>
      </c>
      <c r="D1107" s="5" t="s">
        <v>80</v>
      </c>
      <c r="E1107" s="5" t="s">
        <v>62</v>
      </c>
      <c r="F1107" s="2" t="n">
        <v>15</v>
      </c>
      <c r="G1107" s="5" t="s">
        <v>71</v>
      </c>
      <c r="H1107" s="2" t="n">
        <v>1</v>
      </c>
      <c r="I1107" s="2" t="n">
        <v>1</v>
      </c>
      <c r="J1107" s="2" t="n">
        <v>1</v>
      </c>
      <c r="K1107" s="7" t="n">
        <v>0.3280409883</v>
      </c>
      <c r="L1107" s="7" t="n">
        <v>0.0351992386</v>
      </c>
      <c r="M1107" s="7" t="n">
        <v>0.03974328441</v>
      </c>
      <c r="N1107" s="7" t="n">
        <v>10</v>
      </c>
      <c r="O1107" s="7" t="n">
        <v>10</v>
      </c>
      <c r="P1107" s="7" t="n">
        <v>10</v>
      </c>
      <c r="Q1107" s="2"/>
      <c r="R1107" s="7" t="n">
        <v>2.014678</v>
      </c>
      <c r="S1107" s="5" t="s">
        <v>79</v>
      </c>
      <c r="T1107" s="5" t="s">
        <v>61</v>
      </c>
    </row>
    <row r="1108" customFormat="false" ht="15" hidden="false" customHeight="false" outlineLevel="0" collapsed="false">
      <c r="A1108" s="5" t="s">
        <v>4</v>
      </c>
      <c r="B1108" s="5" t="s">
        <v>55</v>
      </c>
      <c r="C1108" s="2" t="s">
        <v>56</v>
      </c>
      <c r="D1108" s="5" t="s">
        <v>80</v>
      </c>
      <c r="E1108" s="5" t="s">
        <v>58</v>
      </c>
      <c r="F1108" s="2" t="n">
        <v>15</v>
      </c>
      <c r="G1108" s="5" t="s">
        <v>72</v>
      </c>
      <c r="H1108" s="2" t="n">
        <v>1</v>
      </c>
      <c r="I1108" s="2" t="n">
        <v>1</v>
      </c>
      <c r="J1108" s="2" t="n">
        <v>1</v>
      </c>
      <c r="K1108" s="7" t="n">
        <v>0.1693247904</v>
      </c>
      <c r="L1108" s="7" t="n">
        <v>0.05436582838</v>
      </c>
      <c r="M1108" s="7" t="n">
        <v>0.05534991836</v>
      </c>
      <c r="N1108" s="7" t="n">
        <v>9</v>
      </c>
      <c r="O1108" s="7" t="n">
        <v>9</v>
      </c>
      <c r="P1108" s="7" t="n">
        <v>0</v>
      </c>
      <c r="Q1108" s="2"/>
      <c r="R1108" s="7" t="n">
        <v>2.155085</v>
      </c>
      <c r="S1108" s="5" t="s">
        <v>79</v>
      </c>
      <c r="T1108" s="5" t="s">
        <v>61</v>
      </c>
    </row>
    <row r="1109" customFormat="false" ht="15" hidden="false" customHeight="false" outlineLevel="0" collapsed="false">
      <c r="A1109" s="5" t="s">
        <v>4</v>
      </c>
      <c r="B1109" s="5" t="s">
        <v>55</v>
      </c>
      <c r="C1109" s="2" t="s">
        <v>56</v>
      </c>
      <c r="D1109" s="5" t="s">
        <v>80</v>
      </c>
      <c r="E1109" s="5" t="s">
        <v>62</v>
      </c>
      <c r="F1109" s="2" t="n">
        <v>15</v>
      </c>
      <c r="G1109" s="5" t="s">
        <v>72</v>
      </c>
      <c r="H1109" s="2" t="n">
        <v>1</v>
      </c>
      <c r="I1109" s="2" t="n">
        <v>1</v>
      </c>
      <c r="J1109" s="2" t="n">
        <v>1</v>
      </c>
      <c r="K1109" s="7" t="n">
        <v>0.4042871651</v>
      </c>
      <c r="L1109" s="7" t="n">
        <v>0.06481943106</v>
      </c>
      <c r="M1109" s="7" t="n">
        <v>0.07017371018</v>
      </c>
      <c r="N1109" s="7" t="n">
        <v>9</v>
      </c>
      <c r="O1109" s="7" t="n">
        <v>9</v>
      </c>
      <c r="P1109" s="7" t="n">
        <v>8</v>
      </c>
      <c r="Q1109" s="2"/>
      <c r="R1109" s="7" t="n">
        <v>2.691778</v>
      </c>
      <c r="S1109" s="5" t="s">
        <v>79</v>
      </c>
      <c r="T1109" s="5" t="s">
        <v>61</v>
      </c>
    </row>
    <row r="1110" customFormat="false" ht="15" hidden="false" customHeight="false" outlineLevel="0" collapsed="false">
      <c r="A1110" s="5" t="s">
        <v>4</v>
      </c>
      <c r="B1110" s="5" t="s">
        <v>55</v>
      </c>
      <c r="C1110" s="2" t="s">
        <v>56</v>
      </c>
      <c r="D1110" s="5" t="s">
        <v>80</v>
      </c>
      <c r="E1110" s="5" t="s">
        <v>58</v>
      </c>
      <c r="F1110" s="2" t="n">
        <v>15</v>
      </c>
      <c r="G1110" s="5" t="s">
        <v>73</v>
      </c>
      <c r="H1110" s="2" t="n">
        <v>0</v>
      </c>
      <c r="I1110" s="2" t="n">
        <v>1</v>
      </c>
      <c r="J1110" s="2" t="n">
        <v>0</v>
      </c>
      <c r="K1110" s="7" t="n">
        <v>2.520893158</v>
      </c>
      <c r="L1110" s="7" t="n">
        <v>0.4397983297</v>
      </c>
      <c r="M1110" s="7" t="n">
        <v>0.4631691113</v>
      </c>
      <c r="N1110" s="7" t="n">
        <v>4</v>
      </c>
      <c r="O1110" s="7" t="n">
        <v>4</v>
      </c>
      <c r="P1110" s="7" t="n">
        <v>0</v>
      </c>
      <c r="Q1110" s="2"/>
      <c r="R1110" s="7" t="n">
        <v>3.266257</v>
      </c>
      <c r="S1110" s="5" t="s">
        <v>79</v>
      </c>
      <c r="T1110" s="5" t="s">
        <v>61</v>
      </c>
    </row>
    <row r="1111" customFormat="false" ht="15" hidden="false" customHeight="false" outlineLevel="0" collapsed="false">
      <c r="A1111" s="5" t="s">
        <v>4</v>
      </c>
      <c r="B1111" s="5" t="s">
        <v>55</v>
      </c>
      <c r="C1111" s="2" t="s">
        <v>56</v>
      </c>
      <c r="D1111" s="5" t="s">
        <v>80</v>
      </c>
      <c r="E1111" s="5" t="s">
        <v>62</v>
      </c>
      <c r="F1111" s="2" t="n">
        <v>15</v>
      </c>
      <c r="G1111" s="5" t="s">
        <v>73</v>
      </c>
      <c r="H1111" s="2" t="n">
        <v>0</v>
      </c>
      <c r="I1111" s="2" t="n">
        <v>1</v>
      </c>
      <c r="J1111" s="2" t="n">
        <v>0</v>
      </c>
      <c r="K1111" s="7" t="n">
        <v>2.520893158</v>
      </c>
      <c r="L1111" s="7" t="n">
        <v>0.4397983297</v>
      </c>
      <c r="M1111" s="7" t="n">
        <v>0.4631691113</v>
      </c>
      <c r="N1111" s="7" t="n">
        <v>4</v>
      </c>
      <c r="O1111" s="7" t="n">
        <v>4</v>
      </c>
      <c r="P1111" s="7" t="n">
        <v>4</v>
      </c>
      <c r="Q1111" s="2"/>
      <c r="R1111" s="7" t="n">
        <v>5.371399</v>
      </c>
      <c r="S1111" s="5" t="s">
        <v>79</v>
      </c>
      <c r="T1111" s="5" t="s">
        <v>61</v>
      </c>
    </row>
    <row r="1112" customFormat="false" ht="15" hidden="false" customHeight="false" outlineLevel="0" collapsed="false">
      <c r="A1112" s="5" t="s">
        <v>4</v>
      </c>
      <c r="B1112" s="5" t="s">
        <v>55</v>
      </c>
      <c r="C1112" s="2" t="s">
        <v>56</v>
      </c>
      <c r="D1112" s="5" t="s">
        <v>80</v>
      </c>
      <c r="E1112" s="5" t="s">
        <v>58</v>
      </c>
      <c r="F1112" s="2" t="n">
        <v>16</v>
      </c>
      <c r="G1112" s="5" t="s">
        <v>71</v>
      </c>
      <c r="H1112" s="2" t="n">
        <v>1</v>
      </c>
      <c r="I1112" s="2" t="n">
        <v>1</v>
      </c>
      <c r="J1112" s="2" t="n">
        <v>1</v>
      </c>
      <c r="K1112" s="7" t="n">
        <v>1.316657573</v>
      </c>
      <c r="L1112" s="7" t="n">
        <v>0.02475888691</v>
      </c>
      <c r="M1112" s="7" t="n">
        <v>0.07824510741</v>
      </c>
      <c r="N1112" s="7" t="n">
        <v>9</v>
      </c>
      <c r="O1112" s="7" t="n">
        <v>9</v>
      </c>
      <c r="P1112" s="7" t="n">
        <v>0</v>
      </c>
      <c r="Q1112" s="2"/>
      <c r="R1112" s="7" t="n">
        <v>1.579484</v>
      </c>
      <c r="S1112" s="5" t="s">
        <v>79</v>
      </c>
      <c r="T1112" s="5" t="s">
        <v>61</v>
      </c>
    </row>
    <row r="1113" customFormat="false" ht="15" hidden="false" customHeight="false" outlineLevel="0" collapsed="false">
      <c r="A1113" s="5" t="s">
        <v>4</v>
      </c>
      <c r="B1113" s="5" t="s">
        <v>55</v>
      </c>
      <c r="C1113" s="2" t="s">
        <v>56</v>
      </c>
      <c r="D1113" s="5" t="s">
        <v>80</v>
      </c>
      <c r="E1113" s="5" t="s">
        <v>62</v>
      </c>
      <c r="F1113" s="2" t="n">
        <v>16</v>
      </c>
      <c r="G1113" s="5" t="s">
        <v>71</v>
      </c>
      <c r="H1113" s="2" t="n">
        <v>1</v>
      </c>
      <c r="I1113" s="2" t="n">
        <v>1</v>
      </c>
      <c r="J1113" s="2" t="n">
        <v>1</v>
      </c>
      <c r="K1113" s="7" t="n">
        <v>1.316657573</v>
      </c>
      <c r="L1113" s="7" t="n">
        <v>0.02475888691</v>
      </c>
      <c r="M1113" s="7" t="n">
        <v>0.07824510741</v>
      </c>
      <c r="N1113" s="7" t="n">
        <v>9</v>
      </c>
      <c r="O1113" s="7" t="n">
        <v>9</v>
      </c>
      <c r="P1113" s="7" t="n">
        <v>9</v>
      </c>
      <c r="Q1113" s="2"/>
      <c r="R1113" s="7" t="n">
        <v>2.113573</v>
      </c>
      <c r="S1113" s="5" t="s">
        <v>79</v>
      </c>
      <c r="T1113" s="5" t="s">
        <v>61</v>
      </c>
    </row>
    <row r="1114" customFormat="false" ht="15" hidden="false" customHeight="false" outlineLevel="0" collapsed="false">
      <c r="A1114" s="5" t="s">
        <v>4</v>
      </c>
      <c r="B1114" s="5" t="s">
        <v>55</v>
      </c>
      <c r="C1114" s="2" t="s">
        <v>56</v>
      </c>
      <c r="D1114" s="5" t="s">
        <v>80</v>
      </c>
      <c r="E1114" s="5" t="s">
        <v>58</v>
      </c>
      <c r="F1114" s="2" t="n">
        <v>16</v>
      </c>
      <c r="G1114" s="5" t="s">
        <v>72</v>
      </c>
      <c r="H1114" s="2" t="n">
        <v>1</v>
      </c>
      <c r="I1114" s="2" t="n">
        <v>1</v>
      </c>
      <c r="J1114" s="2" t="n">
        <v>1</v>
      </c>
      <c r="K1114" s="7" t="n">
        <v>1.383300064</v>
      </c>
      <c r="L1114" s="7" t="n">
        <v>0.3588491596</v>
      </c>
      <c r="M1114" s="7" t="n">
        <v>0.3635571483</v>
      </c>
      <c r="N1114" s="7" t="n">
        <v>4</v>
      </c>
      <c r="O1114" s="7" t="n">
        <v>4</v>
      </c>
      <c r="P1114" s="7" t="n">
        <v>0</v>
      </c>
      <c r="Q1114" s="2"/>
      <c r="R1114" s="7" t="n">
        <v>2.478483</v>
      </c>
      <c r="S1114" s="5" t="s">
        <v>79</v>
      </c>
      <c r="T1114" s="5" t="s">
        <v>61</v>
      </c>
    </row>
    <row r="1115" customFormat="false" ht="15" hidden="false" customHeight="false" outlineLevel="0" collapsed="false">
      <c r="A1115" s="5" t="s">
        <v>4</v>
      </c>
      <c r="B1115" s="5" t="s">
        <v>55</v>
      </c>
      <c r="C1115" s="2" t="s">
        <v>56</v>
      </c>
      <c r="D1115" s="5" t="s">
        <v>80</v>
      </c>
      <c r="E1115" s="5" t="s">
        <v>62</v>
      </c>
      <c r="F1115" s="2" t="n">
        <v>16</v>
      </c>
      <c r="G1115" s="5" t="s">
        <v>72</v>
      </c>
      <c r="H1115" s="2" t="n">
        <v>1</v>
      </c>
      <c r="I1115" s="2" t="n">
        <v>1</v>
      </c>
      <c r="J1115" s="2" t="n">
        <v>1</v>
      </c>
      <c r="K1115" s="7" t="n">
        <v>1.383300064</v>
      </c>
      <c r="L1115" s="7" t="n">
        <v>0.3588491596</v>
      </c>
      <c r="M1115" s="7" t="n">
        <v>0.3635571483</v>
      </c>
      <c r="N1115" s="7" t="n">
        <v>4</v>
      </c>
      <c r="O1115" s="7" t="n">
        <v>4</v>
      </c>
      <c r="P1115" s="7" t="n">
        <v>4</v>
      </c>
      <c r="Q1115" s="2"/>
      <c r="R1115" s="7" t="n">
        <v>2.743284</v>
      </c>
      <c r="S1115" s="5" t="s">
        <v>79</v>
      </c>
      <c r="T1115" s="5" t="s">
        <v>61</v>
      </c>
    </row>
    <row r="1116" customFormat="false" ht="15" hidden="false" customHeight="false" outlineLevel="0" collapsed="false">
      <c r="A1116" s="5" t="s">
        <v>4</v>
      </c>
      <c r="B1116" s="5" t="s">
        <v>55</v>
      </c>
      <c r="C1116" s="2" t="s">
        <v>56</v>
      </c>
      <c r="D1116" s="5" t="s">
        <v>80</v>
      </c>
      <c r="E1116" s="5" t="s">
        <v>58</v>
      </c>
      <c r="F1116" s="2" t="n">
        <v>16</v>
      </c>
      <c r="G1116" s="5" t="s">
        <v>73</v>
      </c>
      <c r="H1116" s="2" t="n">
        <v>0</v>
      </c>
      <c r="I1116" s="2" t="n">
        <v>1</v>
      </c>
      <c r="J1116" s="2" t="n">
        <v>1</v>
      </c>
      <c r="K1116" s="7" t="n">
        <v>0.4228594193</v>
      </c>
      <c r="L1116" s="7" t="n">
        <v>0.0733258946</v>
      </c>
      <c r="M1116" s="7" t="n">
        <v>0.07803517402</v>
      </c>
      <c r="N1116" s="7" t="n">
        <v>10</v>
      </c>
      <c r="O1116" s="7" t="n">
        <v>10</v>
      </c>
      <c r="P1116" s="7" t="n">
        <v>0</v>
      </c>
      <c r="Q1116" s="2"/>
      <c r="R1116" s="7" t="n">
        <v>2.806527</v>
      </c>
      <c r="S1116" s="5" t="s">
        <v>79</v>
      </c>
      <c r="T1116" s="5" t="s">
        <v>61</v>
      </c>
    </row>
    <row r="1117" customFormat="false" ht="15" hidden="false" customHeight="false" outlineLevel="0" collapsed="false">
      <c r="A1117" s="5" t="s">
        <v>4</v>
      </c>
      <c r="B1117" s="5" t="s">
        <v>55</v>
      </c>
      <c r="C1117" s="2" t="s">
        <v>56</v>
      </c>
      <c r="D1117" s="5" t="s">
        <v>80</v>
      </c>
      <c r="E1117" s="5" t="s">
        <v>62</v>
      </c>
      <c r="F1117" s="2" t="n">
        <v>16</v>
      </c>
      <c r="G1117" s="5" t="s">
        <v>73</v>
      </c>
      <c r="H1117" s="2" t="n">
        <v>0</v>
      </c>
      <c r="I1117" s="2" t="n">
        <v>1</v>
      </c>
      <c r="J1117" s="2" t="n">
        <v>1</v>
      </c>
      <c r="K1117" s="7" t="n">
        <v>0.4228594193</v>
      </c>
      <c r="L1117" s="7" t="n">
        <v>0.0733258946</v>
      </c>
      <c r="M1117" s="7" t="n">
        <v>0.07803517402</v>
      </c>
      <c r="N1117" s="7" t="n">
        <v>10</v>
      </c>
      <c r="O1117" s="7" t="n">
        <v>10</v>
      </c>
      <c r="P1117" s="7" t="n">
        <v>10</v>
      </c>
      <c r="Q1117" s="2"/>
      <c r="R1117" s="7" t="n">
        <v>3.353457</v>
      </c>
      <c r="S1117" s="5" t="s">
        <v>79</v>
      </c>
      <c r="T1117" s="5" t="s">
        <v>61</v>
      </c>
    </row>
    <row r="1118" customFormat="false" ht="15" hidden="false" customHeight="false" outlineLevel="0" collapsed="false">
      <c r="A1118" s="5" t="s">
        <v>4</v>
      </c>
      <c r="B1118" s="5" t="s">
        <v>55</v>
      </c>
      <c r="C1118" s="2" t="s">
        <v>56</v>
      </c>
      <c r="D1118" s="5" t="s">
        <v>80</v>
      </c>
      <c r="E1118" s="5" t="s">
        <v>58</v>
      </c>
      <c r="F1118" s="2" t="n">
        <v>17</v>
      </c>
      <c r="G1118" s="5" t="s">
        <v>71</v>
      </c>
      <c r="H1118" s="2" t="n">
        <v>1</v>
      </c>
      <c r="I1118" s="2" t="n">
        <v>1</v>
      </c>
      <c r="J1118" s="2" t="n">
        <v>1</v>
      </c>
      <c r="K1118" s="7" t="n">
        <v>0.3420977555</v>
      </c>
      <c r="L1118" s="7" t="n">
        <v>0.03808300257</v>
      </c>
      <c r="M1118" s="7" t="n">
        <v>0.04494657962</v>
      </c>
      <c r="N1118" s="7" t="n">
        <v>13</v>
      </c>
      <c r="O1118" s="7" t="n">
        <v>13</v>
      </c>
      <c r="P1118" s="7" t="n">
        <v>0</v>
      </c>
      <c r="Q1118" s="2"/>
      <c r="R1118" s="7" t="n">
        <v>1.877095</v>
      </c>
      <c r="S1118" s="5" t="s">
        <v>79</v>
      </c>
      <c r="T1118" s="5" t="s">
        <v>61</v>
      </c>
    </row>
    <row r="1119" customFormat="false" ht="15" hidden="false" customHeight="false" outlineLevel="0" collapsed="false">
      <c r="A1119" s="5" t="s">
        <v>4</v>
      </c>
      <c r="B1119" s="5" t="s">
        <v>55</v>
      </c>
      <c r="C1119" s="2" t="s">
        <v>56</v>
      </c>
      <c r="D1119" s="5" t="s">
        <v>80</v>
      </c>
      <c r="E1119" s="5" t="s">
        <v>62</v>
      </c>
      <c r="F1119" s="2" t="n">
        <v>17</v>
      </c>
      <c r="G1119" s="5" t="s">
        <v>71</v>
      </c>
      <c r="H1119" s="2" t="n">
        <v>1</v>
      </c>
      <c r="I1119" s="2" t="n">
        <v>1</v>
      </c>
      <c r="J1119" s="2" t="n">
        <v>1</v>
      </c>
      <c r="K1119" s="7" t="n">
        <v>0.3420977555</v>
      </c>
      <c r="L1119" s="7" t="n">
        <v>0.03808300257</v>
      </c>
      <c r="M1119" s="7" t="n">
        <v>0.04494657962</v>
      </c>
      <c r="N1119" s="7" t="n">
        <v>13</v>
      </c>
      <c r="O1119" s="7" t="n">
        <v>13</v>
      </c>
      <c r="P1119" s="7" t="n">
        <v>13</v>
      </c>
      <c r="Q1119" s="2"/>
      <c r="R1119" s="7" t="n">
        <v>2.563129</v>
      </c>
      <c r="S1119" s="5" t="s">
        <v>79</v>
      </c>
      <c r="T1119" s="5" t="s">
        <v>61</v>
      </c>
    </row>
    <row r="1120" customFormat="false" ht="15" hidden="false" customHeight="false" outlineLevel="0" collapsed="false">
      <c r="A1120" s="5" t="s">
        <v>4</v>
      </c>
      <c r="B1120" s="5" t="s">
        <v>55</v>
      </c>
      <c r="C1120" s="2" t="s">
        <v>56</v>
      </c>
      <c r="D1120" s="5" t="s">
        <v>80</v>
      </c>
      <c r="E1120" s="5" t="s">
        <v>58</v>
      </c>
      <c r="F1120" s="2" t="n">
        <v>17</v>
      </c>
      <c r="G1120" s="5" t="s">
        <v>72</v>
      </c>
      <c r="H1120" s="2" t="n">
        <v>1</v>
      </c>
      <c r="I1120" s="2" t="n">
        <v>1</v>
      </c>
      <c r="J1120" s="2" t="n">
        <v>1</v>
      </c>
      <c r="K1120" s="7" t="n">
        <v>0.8475617904</v>
      </c>
      <c r="L1120" s="7" t="n">
        <v>0.1786316846</v>
      </c>
      <c r="M1120" s="7" t="n">
        <v>0.1834333156</v>
      </c>
      <c r="N1120" s="7" t="n">
        <v>5</v>
      </c>
      <c r="O1120" s="7" t="n">
        <v>5</v>
      </c>
      <c r="P1120" s="7" t="n">
        <v>0</v>
      </c>
      <c r="Q1120" s="2"/>
      <c r="R1120" s="7" t="n">
        <v>2.276074</v>
      </c>
      <c r="S1120" s="5" t="s">
        <v>79</v>
      </c>
      <c r="T1120" s="5" t="s">
        <v>61</v>
      </c>
    </row>
    <row r="1121" customFormat="false" ht="15" hidden="false" customHeight="false" outlineLevel="0" collapsed="false">
      <c r="A1121" s="5" t="s">
        <v>4</v>
      </c>
      <c r="B1121" s="5" t="s">
        <v>55</v>
      </c>
      <c r="C1121" s="2" t="s">
        <v>56</v>
      </c>
      <c r="D1121" s="5" t="s">
        <v>80</v>
      </c>
      <c r="E1121" s="5" t="s">
        <v>62</v>
      </c>
      <c r="F1121" s="2" t="n">
        <v>17</v>
      </c>
      <c r="G1121" s="5" t="s">
        <v>72</v>
      </c>
      <c r="H1121" s="2" t="n">
        <v>1</v>
      </c>
      <c r="I1121" s="2" t="n">
        <v>1</v>
      </c>
      <c r="J1121" s="2" t="n">
        <v>1</v>
      </c>
      <c r="K1121" s="7" t="n">
        <v>0.8475617904</v>
      </c>
      <c r="L1121" s="7" t="n">
        <v>0.1786316846</v>
      </c>
      <c r="M1121" s="7" t="n">
        <v>0.1834333156</v>
      </c>
      <c r="N1121" s="7" t="n">
        <v>5</v>
      </c>
      <c r="O1121" s="7" t="n">
        <v>5</v>
      </c>
      <c r="P1121" s="7" t="n">
        <v>5</v>
      </c>
      <c r="Q1121" s="2"/>
      <c r="R1121" s="7" t="n">
        <v>2.635495</v>
      </c>
      <c r="S1121" s="5" t="s">
        <v>79</v>
      </c>
      <c r="T1121" s="5" t="s">
        <v>61</v>
      </c>
    </row>
    <row r="1122" customFormat="false" ht="15" hidden="false" customHeight="false" outlineLevel="0" collapsed="false">
      <c r="A1122" s="5" t="s">
        <v>4</v>
      </c>
      <c r="B1122" s="5" t="s">
        <v>55</v>
      </c>
      <c r="C1122" s="2" t="s">
        <v>56</v>
      </c>
      <c r="D1122" s="5" t="s">
        <v>80</v>
      </c>
      <c r="E1122" s="5" t="s">
        <v>58</v>
      </c>
      <c r="F1122" s="2" t="n">
        <v>17</v>
      </c>
      <c r="G1122" s="5" t="s">
        <v>73</v>
      </c>
      <c r="H1122" s="2" t="n">
        <v>0</v>
      </c>
      <c r="I1122" s="2" t="n">
        <v>1</v>
      </c>
      <c r="J1122" s="2" t="n">
        <v>1</v>
      </c>
      <c r="K1122" s="7" t="n">
        <v>0.4389811486</v>
      </c>
      <c r="L1122" s="7" t="n">
        <v>0.08123659257</v>
      </c>
      <c r="M1122" s="7" t="n">
        <v>0.08678767926</v>
      </c>
      <c r="N1122" s="7" t="n">
        <v>7</v>
      </c>
      <c r="O1122" s="7" t="n">
        <v>7</v>
      </c>
      <c r="P1122" s="7" t="n">
        <v>0</v>
      </c>
      <c r="Q1122" s="2"/>
      <c r="R1122" s="7" t="n">
        <v>2.785727</v>
      </c>
      <c r="S1122" s="5" t="s">
        <v>79</v>
      </c>
      <c r="T1122" s="5" t="s">
        <v>61</v>
      </c>
    </row>
    <row r="1123" customFormat="false" ht="15" hidden="false" customHeight="false" outlineLevel="0" collapsed="false">
      <c r="A1123" s="5" t="s">
        <v>4</v>
      </c>
      <c r="B1123" s="5" t="s">
        <v>55</v>
      </c>
      <c r="C1123" s="2" t="s">
        <v>56</v>
      </c>
      <c r="D1123" s="5" t="s">
        <v>80</v>
      </c>
      <c r="E1123" s="5" t="s">
        <v>62</v>
      </c>
      <c r="F1123" s="2" t="n">
        <v>17</v>
      </c>
      <c r="G1123" s="5" t="s">
        <v>73</v>
      </c>
      <c r="H1123" s="2" t="n">
        <v>0</v>
      </c>
      <c r="I1123" s="2" t="n">
        <v>1</v>
      </c>
      <c r="J1123" s="2" t="n">
        <v>1</v>
      </c>
      <c r="K1123" s="7" t="n">
        <v>0.4389811486</v>
      </c>
      <c r="L1123" s="7" t="n">
        <v>0.08123659257</v>
      </c>
      <c r="M1123" s="7" t="n">
        <v>0.08678767926</v>
      </c>
      <c r="N1123" s="7" t="n">
        <v>7</v>
      </c>
      <c r="O1123" s="7" t="n">
        <v>7</v>
      </c>
      <c r="P1123" s="7" t="n">
        <v>7</v>
      </c>
      <c r="Q1123" s="2"/>
      <c r="R1123" s="7" t="n">
        <v>3.279367</v>
      </c>
      <c r="S1123" s="5" t="s">
        <v>79</v>
      </c>
      <c r="T1123" s="5" t="s">
        <v>61</v>
      </c>
    </row>
    <row r="1124" customFormat="false" ht="15" hidden="false" customHeight="false" outlineLevel="0" collapsed="false">
      <c r="A1124" s="5" t="s">
        <v>4</v>
      </c>
      <c r="B1124" s="5" t="s">
        <v>55</v>
      </c>
      <c r="C1124" s="2" t="s">
        <v>56</v>
      </c>
      <c r="D1124" s="5" t="s">
        <v>80</v>
      </c>
      <c r="E1124" s="5" t="s">
        <v>58</v>
      </c>
      <c r="F1124" s="2" t="n">
        <v>18</v>
      </c>
      <c r="G1124" s="5" t="s">
        <v>71</v>
      </c>
      <c r="H1124" s="2" t="n">
        <v>1</v>
      </c>
      <c r="I1124" s="2" t="n">
        <v>1</v>
      </c>
      <c r="J1124" s="2" t="n">
        <v>1</v>
      </c>
      <c r="K1124" s="7" t="n">
        <v>0.3707802747</v>
      </c>
      <c r="L1124" s="7" t="n">
        <v>0.04383358343</v>
      </c>
      <c r="M1124" s="7" t="n">
        <v>0.05208495949</v>
      </c>
      <c r="N1124" s="7" t="n">
        <v>12</v>
      </c>
      <c r="O1124" s="7" t="n">
        <v>12</v>
      </c>
      <c r="P1124" s="7" t="n">
        <v>0</v>
      </c>
      <c r="Q1124" s="2"/>
      <c r="R1124" s="7" t="n">
        <v>1.605803</v>
      </c>
      <c r="S1124" s="5" t="s">
        <v>79</v>
      </c>
      <c r="T1124" s="5" t="s">
        <v>61</v>
      </c>
    </row>
    <row r="1125" customFormat="false" ht="15" hidden="false" customHeight="false" outlineLevel="0" collapsed="false">
      <c r="A1125" s="5" t="s">
        <v>4</v>
      </c>
      <c r="B1125" s="5" t="s">
        <v>55</v>
      </c>
      <c r="C1125" s="2" t="s">
        <v>56</v>
      </c>
      <c r="D1125" s="5" t="s">
        <v>80</v>
      </c>
      <c r="E1125" s="5" t="s">
        <v>62</v>
      </c>
      <c r="F1125" s="2" t="n">
        <v>18</v>
      </c>
      <c r="G1125" s="5" t="s">
        <v>71</v>
      </c>
      <c r="H1125" s="2" t="n">
        <v>1</v>
      </c>
      <c r="I1125" s="2" t="n">
        <v>1</v>
      </c>
      <c r="J1125" s="2" t="n">
        <v>1</v>
      </c>
      <c r="K1125" s="7" t="n">
        <v>0.3707802747</v>
      </c>
      <c r="L1125" s="7" t="n">
        <v>0.04383358343</v>
      </c>
      <c r="M1125" s="7" t="n">
        <v>0.05208495949</v>
      </c>
      <c r="N1125" s="7" t="n">
        <v>12</v>
      </c>
      <c r="O1125" s="7" t="n">
        <v>12</v>
      </c>
      <c r="P1125" s="7" t="n">
        <v>12</v>
      </c>
      <c r="Q1125" s="2"/>
      <c r="R1125" s="7" t="n">
        <v>2.205319</v>
      </c>
      <c r="S1125" s="5" t="s">
        <v>79</v>
      </c>
      <c r="T1125" s="5" t="s">
        <v>61</v>
      </c>
    </row>
    <row r="1126" customFormat="false" ht="15" hidden="false" customHeight="false" outlineLevel="0" collapsed="false">
      <c r="A1126" s="5" t="s">
        <v>4</v>
      </c>
      <c r="B1126" s="5" t="s">
        <v>55</v>
      </c>
      <c r="C1126" s="2" t="s">
        <v>56</v>
      </c>
      <c r="D1126" s="5" t="s">
        <v>80</v>
      </c>
      <c r="E1126" s="5" t="s">
        <v>58</v>
      </c>
      <c r="F1126" s="2" t="n">
        <v>18</v>
      </c>
      <c r="G1126" s="5" t="s">
        <v>72</v>
      </c>
      <c r="H1126" s="2" t="n">
        <v>1</v>
      </c>
      <c r="I1126" s="2" t="n">
        <v>1</v>
      </c>
      <c r="J1126" s="2" t="n">
        <v>1</v>
      </c>
      <c r="K1126" s="7" t="n">
        <v>0.5402163462</v>
      </c>
      <c r="L1126" s="7" t="n">
        <v>0.1390246259</v>
      </c>
      <c r="M1126" s="7" t="n">
        <v>0.1422431925</v>
      </c>
      <c r="N1126" s="7" t="n">
        <v>10</v>
      </c>
      <c r="O1126" s="7" t="n">
        <v>10</v>
      </c>
      <c r="P1126" s="7" t="n">
        <v>0</v>
      </c>
      <c r="Q1126" s="2"/>
      <c r="R1126" s="7" t="n">
        <v>3.012863</v>
      </c>
      <c r="S1126" s="5" t="s">
        <v>79</v>
      </c>
      <c r="T1126" s="5" t="s">
        <v>61</v>
      </c>
    </row>
    <row r="1127" customFormat="false" ht="15" hidden="false" customHeight="false" outlineLevel="0" collapsed="false">
      <c r="A1127" s="5" t="s">
        <v>4</v>
      </c>
      <c r="B1127" s="5" t="s">
        <v>55</v>
      </c>
      <c r="C1127" s="2" t="s">
        <v>56</v>
      </c>
      <c r="D1127" s="5" t="s">
        <v>80</v>
      </c>
      <c r="E1127" s="5" t="s">
        <v>62</v>
      </c>
      <c r="F1127" s="2" t="n">
        <v>18</v>
      </c>
      <c r="G1127" s="5" t="s">
        <v>72</v>
      </c>
      <c r="H1127" s="2" t="n">
        <v>1</v>
      </c>
      <c r="I1127" s="2" t="n">
        <v>1</v>
      </c>
      <c r="J1127" s="2" t="n">
        <v>1</v>
      </c>
      <c r="K1127" s="7" t="n">
        <v>0.5402163462</v>
      </c>
      <c r="L1127" s="7" t="n">
        <v>0.1390246259</v>
      </c>
      <c r="M1127" s="7" t="n">
        <v>0.1422431925</v>
      </c>
      <c r="N1127" s="7" t="n">
        <v>10</v>
      </c>
      <c r="O1127" s="7" t="n">
        <v>10</v>
      </c>
      <c r="P1127" s="7" t="n">
        <v>10</v>
      </c>
      <c r="Q1127" s="2"/>
      <c r="R1127" s="7" t="n">
        <v>3.594983</v>
      </c>
      <c r="S1127" s="5" t="s">
        <v>79</v>
      </c>
      <c r="T1127" s="5" t="s">
        <v>61</v>
      </c>
    </row>
    <row r="1128" customFormat="false" ht="15" hidden="false" customHeight="false" outlineLevel="0" collapsed="false">
      <c r="A1128" s="5" t="s">
        <v>4</v>
      </c>
      <c r="B1128" s="5" t="s">
        <v>55</v>
      </c>
      <c r="C1128" s="2" t="s">
        <v>56</v>
      </c>
      <c r="D1128" s="5" t="s">
        <v>80</v>
      </c>
      <c r="E1128" s="5" t="s">
        <v>58</v>
      </c>
      <c r="F1128" s="2" t="n">
        <v>18</v>
      </c>
      <c r="G1128" s="5" t="s">
        <v>73</v>
      </c>
      <c r="H1128" s="2" t="n">
        <v>0</v>
      </c>
      <c r="I1128" s="2" t="n">
        <v>1</v>
      </c>
      <c r="J1128" s="2" t="n">
        <v>1</v>
      </c>
      <c r="K1128" s="7" t="n">
        <v>0.1575563062</v>
      </c>
      <c r="L1128" s="7" t="n">
        <v>0.01767546833</v>
      </c>
      <c r="M1128" s="7" t="n">
        <v>0.02179643537</v>
      </c>
      <c r="N1128" s="7" t="n">
        <v>7</v>
      </c>
      <c r="O1128" s="7" t="n">
        <v>7</v>
      </c>
      <c r="P1128" s="7" t="n">
        <v>0</v>
      </c>
      <c r="Q1128" s="2"/>
      <c r="R1128" s="7" t="n">
        <v>2.904061</v>
      </c>
      <c r="S1128" s="5" t="s">
        <v>79</v>
      </c>
      <c r="T1128" s="5" t="s">
        <v>61</v>
      </c>
    </row>
    <row r="1129" customFormat="false" ht="15" hidden="false" customHeight="false" outlineLevel="0" collapsed="false">
      <c r="A1129" s="5" t="s">
        <v>4</v>
      </c>
      <c r="B1129" s="5" t="s">
        <v>55</v>
      </c>
      <c r="C1129" s="2" t="s">
        <v>56</v>
      </c>
      <c r="D1129" s="5" t="s">
        <v>80</v>
      </c>
      <c r="E1129" s="5" t="s">
        <v>62</v>
      </c>
      <c r="F1129" s="2" t="n">
        <v>18</v>
      </c>
      <c r="G1129" s="5" t="s">
        <v>73</v>
      </c>
      <c r="H1129" s="2" t="n">
        <v>0</v>
      </c>
      <c r="I1129" s="2" t="n">
        <v>1</v>
      </c>
      <c r="J1129" s="2" t="n">
        <v>1</v>
      </c>
      <c r="K1129" s="7" t="n">
        <v>0.1575563062</v>
      </c>
      <c r="L1129" s="7" t="n">
        <v>0.01767546833</v>
      </c>
      <c r="M1129" s="7" t="n">
        <v>0.02179643537</v>
      </c>
      <c r="N1129" s="7" t="n">
        <v>7</v>
      </c>
      <c r="O1129" s="7" t="n">
        <v>7</v>
      </c>
      <c r="P1129" s="7" t="n">
        <v>7</v>
      </c>
      <c r="Q1129" s="2"/>
      <c r="R1129" s="7" t="n">
        <v>3.401617</v>
      </c>
      <c r="S1129" s="5" t="s">
        <v>79</v>
      </c>
      <c r="T1129" s="5" t="s">
        <v>61</v>
      </c>
    </row>
    <row r="1130" customFormat="false" ht="15" hidden="false" customHeight="false" outlineLevel="0" collapsed="false">
      <c r="A1130" s="5" t="s">
        <v>4</v>
      </c>
      <c r="B1130" s="5" t="s">
        <v>55</v>
      </c>
      <c r="C1130" s="2" t="s">
        <v>56</v>
      </c>
      <c r="D1130" s="5" t="s">
        <v>80</v>
      </c>
      <c r="E1130" s="5" t="s">
        <v>58</v>
      </c>
      <c r="F1130" s="2" t="n">
        <v>19</v>
      </c>
      <c r="G1130" s="5" t="s">
        <v>71</v>
      </c>
      <c r="H1130" s="2" t="n">
        <v>1</v>
      </c>
      <c r="I1130" s="2" t="n">
        <v>1</v>
      </c>
      <c r="J1130" s="2" t="n">
        <v>1</v>
      </c>
      <c r="K1130" s="7" t="n">
        <v>0.7100487629</v>
      </c>
      <c r="L1130" s="7" t="n">
        <v>0.02605091804</v>
      </c>
      <c r="M1130" s="7" t="n">
        <v>0.05726898341</v>
      </c>
      <c r="N1130" s="7" t="n">
        <v>13</v>
      </c>
      <c r="O1130" s="7" t="n">
        <v>13</v>
      </c>
      <c r="P1130" s="7" t="n">
        <v>0</v>
      </c>
      <c r="Q1130" s="2"/>
      <c r="R1130" s="7" t="n">
        <v>1.661687</v>
      </c>
      <c r="S1130" s="5" t="s">
        <v>79</v>
      </c>
      <c r="T1130" s="5" t="s">
        <v>61</v>
      </c>
    </row>
    <row r="1131" customFormat="false" ht="15" hidden="false" customHeight="false" outlineLevel="0" collapsed="false">
      <c r="A1131" s="5" t="s">
        <v>4</v>
      </c>
      <c r="B1131" s="5" t="s">
        <v>55</v>
      </c>
      <c r="C1131" s="2" t="s">
        <v>56</v>
      </c>
      <c r="D1131" s="5" t="s">
        <v>80</v>
      </c>
      <c r="E1131" s="5" t="s">
        <v>62</v>
      </c>
      <c r="F1131" s="2" t="n">
        <v>19</v>
      </c>
      <c r="G1131" s="5" t="s">
        <v>71</v>
      </c>
      <c r="H1131" s="2" t="n">
        <v>1</v>
      </c>
      <c r="I1131" s="2" t="n">
        <v>1</v>
      </c>
      <c r="J1131" s="2" t="n">
        <v>1</v>
      </c>
      <c r="K1131" s="7" t="n">
        <v>0.7100487629</v>
      </c>
      <c r="L1131" s="7" t="n">
        <v>0.02605091804</v>
      </c>
      <c r="M1131" s="7" t="n">
        <v>0.05726898341</v>
      </c>
      <c r="N1131" s="7" t="n">
        <v>13</v>
      </c>
      <c r="O1131" s="7" t="n">
        <v>13</v>
      </c>
      <c r="P1131" s="7" t="n">
        <v>13</v>
      </c>
      <c r="Q1131" s="2"/>
      <c r="R1131" s="7" t="n">
        <v>2.343304</v>
      </c>
      <c r="S1131" s="5" t="s">
        <v>79</v>
      </c>
      <c r="T1131" s="5" t="s">
        <v>61</v>
      </c>
    </row>
    <row r="1132" customFormat="false" ht="15" hidden="false" customHeight="false" outlineLevel="0" collapsed="false">
      <c r="A1132" s="5" t="s">
        <v>4</v>
      </c>
      <c r="B1132" s="5" t="s">
        <v>55</v>
      </c>
      <c r="C1132" s="2" t="s">
        <v>56</v>
      </c>
      <c r="D1132" s="5" t="s">
        <v>80</v>
      </c>
      <c r="E1132" s="5" t="s">
        <v>58</v>
      </c>
      <c r="F1132" s="2" t="n">
        <v>19</v>
      </c>
      <c r="G1132" s="5" t="s">
        <v>72</v>
      </c>
      <c r="H1132" s="2" t="n">
        <v>1</v>
      </c>
      <c r="I1132" s="2" t="n">
        <v>1</v>
      </c>
      <c r="J1132" s="2" t="n">
        <v>1</v>
      </c>
      <c r="K1132" s="7" t="n">
        <v>0.7941798612</v>
      </c>
      <c r="L1132" s="7" t="n">
        <v>0.1643832505</v>
      </c>
      <c r="M1132" s="7" t="n">
        <v>0.1720366568</v>
      </c>
      <c r="N1132" s="7" t="n">
        <v>8</v>
      </c>
      <c r="O1132" s="7" t="n">
        <v>8</v>
      </c>
      <c r="P1132" s="7" t="n">
        <v>0</v>
      </c>
      <c r="Q1132" s="2"/>
      <c r="R1132" s="7" t="n">
        <v>2.255765</v>
      </c>
      <c r="S1132" s="5" t="s">
        <v>79</v>
      </c>
      <c r="T1132" s="5" t="s">
        <v>61</v>
      </c>
    </row>
    <row r="1133" customFormat="false" ht="15" hidden="false" customHeight="false" outlineLevel="0" collapsed="false">
      <c r="A1133" s="5" t="s">
        <v>4</v>
      </c>
      <c r="B1133" s="5" t="s">
        <v>55</v>
      </c>
      <c r="C1133" s="2" t="s">
        <v>56</v>
      </c>
      <c r="D1133" s="5" t="s">
        <v>80</v>
      </c>
      <c r="E1133" s="5" t="s">
        <v>62</v>
      </c>
      <c r="F1133" s="2" t="n">
        <v>19</v>
      </c>
      <c r="G1133" s="5" t="s">
        <v>72</v>
      </c>
      <c r="H1133" s="2" t="n">
        <v>1</v>
      </c>
      <c r="I1133" s="2" t="n">
        <v>1</v>
      </c>
      <c r="J1133" s="2" t="n">
        <v>1</v>
      </c>
      <c r="K1133" s="7" t="n">
        <v>0.7941798612</v>
      </c>
      <c r="L1133" s="7" t="n">
        <v>0.1643832505</v>
      </c>
      <c r="M1133" s="7" t="n">
        <v>0.1720366568</v>
      </c>
      <c r="N1133" s="7" t="n">
        <v>8</v>
      </c>
      <c r="O1133" s="7" t="n">
        <v>8</v>
      </c>
      <c r="P1133" s="7" t="n">
        <v>8</v>
      </c>
      <c r="Q1133" s="2"/>
      <c r="R1133" s="7" t="n">
        <v>2.849873</v>
      </c>
      <c r="S1133" s="5" t="s">
        <v>79</v>
      </c>
      <c r="T1133" s="5" t="s">
        <v>61</v>
      </c>
    </row>
    <row r="1134" customFormat="false" ht="15" hidden="false" customHeight="false" outlineLevel="0" collapsed="false">
      <c r="A1134" s="5" t="s">
        <v>4</v>
      </c>
      <c r="B1134" s="5" t="s">
        <v>55</v>
      </c>
      <c r="C1134" s="2" t="s">
        <v>56</v>
      </c>
      <c r="D1134" s="5" t="s">
        <v>80</v>
      </c>
      <c r="E1134" s="5" t="s">
        <v>58</v>
      </c>
      <c r="F1134" s="2" t="n">
        <v>19</v>
      </c>
      <c r="G1134" s="5" t="s">
        <v>73</v>
      </c>
      <c r="H1134" s="2" t="n">
        <v>0</v>
      </c>
      <c r="I1134" s="2" t="n">
        <v>1</v>
      </c>
      <c r="J1134" s="2" t="n">
        <v>1</v>
      </c>
      <c r="K1134" s="7" t="n">
        <v>0.343510163</v>
      </c>
      <c r="L1134" s="7" t="n">
        <v>0.06867258232</v>
      </c>
      <c r="M1134" s="7" t="n">
        <v>0.07110632094</v>
      </c>
      <c r="N1134" s="7" t="n">
        <v>8</v>
      </c>
      <c r="O1134" s="7" t="n">
        <v>8</v>
      </c>
      <c r="P1134" s="7" t="n">
        <v>0</v>
      </c>
      <c r="Q1134" s="2"/>
      <c r="R1134" s="7" t="n">
        <v>2.641895</v>
      </c>
      <c r="S1134" s="5" t="s">
        <v>79</v>
      </c>
      <c r="T1134" s="5" t="s">
        <v>61</v>
      </c>
    </row>
    <row r="1135" customFormat="false" ht="15" hidden="false" customHeight="false" outlineLevel="0" collapsed="false">
      <c r="A1135" s="5" t="s">
        <v>4</v>
      </c>
      <c r="B1135" s="5" t="s">
        <v>55</v>
      </c>
      <c r="C1135" s="2" t="s">
        <v>56</v>
      </c>
      <c r="D1135" s="5" t="s">
        <v>80</v>
      </c>
      <c r="E1135" s="5" t="s">
        <v>62</v>
      </c>
      <c r="F1135" s="2" t="n">
        <v>19</v>
      </c>
      <c r="G1135" s="5" t="s">
        <v>73</v>
      </c>
      <c r="H1135" s="2" t="n">
        <v>0</v>
      </c>
      <c r="I1135" s="2" t="n">
        <v>1</v>
      </c>
      <c r="J1135" s="2" t="n">
        <v>1</v>
      </c>
      <c r="K1135" s="7" t="n">
        <v>0.343510163</v>
      </c>
      <c r="L1135" s="7" t="n">
        <v>0.06867258232</v>
      </c>
      <c r="M1135" s="7" t="n">
        <v>0.07110632094</v>
      </c>
      <c r="N1135" s="7" t="n">
        <v>8</v>
      </c>
      <c r="O1135" s="7" t="n">
        <v>8</v>
      </c>
      <c r="P1135" s="7" t="n">
        <v>8</v>
      </c>
      <c r="Q1135" s="2"/>
      <c r="R1135" s="7" t="n">
        <v>3.174794</v>
      </c>
      <c r="S1135" s="5" t="s">
        <v>79</v>
      </c>
      <c r="T1135" s="5" t="s">
        <v>61</v>
      </c>
    </row>
    <row r="1136" customFormat="false" ht="15" hidden="false" customHeight="false" outlineLevel="0" collapsed="false">
      <c r="A1136" s="5" t="s">
        <v>4</v>
      </c>
      <c r="B1136" s="5" t="s">
        <v>55</v>
      </c>
      <c r="C1136" s="2" t="s">
        <v>56</v>
      </c>
      <c r="D1136" s="5" t="s">
        <v>80</v>
      </c>
      <c r="E1136" s="5" t="s">
        <v>58</v>
      </c>
      <c r="F1136" s="2" t="n">
        <v>20</v>
      </c>
      <c r="G1136" s="5" t="s">
        <v>71</v>
      </c>
      <c r="H1136" s="2" t="n">
        <v>1</v>
      </c>
      <c r="I1136" s="2" t="n">
        <v>1</v>
      </c>
      <c r="J1136" s="2" t="n">
        <v>1</v>
      </c>
      <c r="K1136" s="7" t="n">
        <v>0.311187125</v>
      </c>
      <c r="L1136" s="7" t="n">
        <v>0.02533544958</v>
      </c>
      <c r="M1136" s="7" t="n">
        <v>0.03331492924</v>
      </c>
      <c r="N1136" s="7" t="n">
        <v>10</v>
      </c>
      <c r="O1136" s="7" t="n">
        <v>10</v>
      </c>
      <c r="P1136" s="7" t="n">
        <v>0</v>
      </c>
      <c r="Q1136" s="2"/>
      <c r="R1136" s="7" t="n">
        <v>1.691762</v>
      </c>
      <c r="S1136" s="5" t="s">
        <v>79</v>
      </c>
      <c r="T1136" s="5" t="s">
        <v>61</v>
      </c>
    </row>
    <row r="1137" customFormat="false" ht="15" hidden="false" customHeight="false" outlineLevel="0" collapsed="false">
      <c r="A1137" s="5" t="s">
        <v>4</v>
      </c>
      <c r="B1137" s="5" t="s">
        <v>55</v>
      </c>
      <c r="C1137" s="2" t="s">
        <v>56</v>
      </c>
      <c r="D1137" s="5" t="s">
        <v>80</v>
      </c>
      <c r="E1137" s="5" t="s">
        <v>62</v>
      </c>
      <c r="F1137" s="2" t="n">
        <v>20</v>
      </c>
      <c r="G1137" s="5" t="s">
        <v>71</v>
      </c>
      <c r="H1137" s="2" t="n">
        <v>1</v>
      </c>
      <c r="I1137" s="2" t="n">
        <v>1</v>
      </c>
      <c r="J1137" s="2" t="n">
        <v>1</v>
      </c>
      <c r="K1137" s="7" t="n">
        <v>0.311187125</v>
      </c>
      <c r="L1137" s="7" t="n">
        <v>0.02533544958</v>
      </c>
      <c r="M1137" s="7" t="n">
        <v>0.03331492924</v>
      </c>
      <c r="N1137" s="7" t="n">
        <v>10</v>
      </c>
      <c r="O1137" s="7" t="n">
        <v>10</v>
      </c>
      <c r="P1137" s="7" t="n">
        <v>10</v>
      </c>
      <c r="Q1137" s="2"/>
      <c r="R1137" s="7" t="n">
        <v>2.23821</v>
      </c>
      <c r="S1137" s="5" t="s">
        <v>79</v>
      </c>
      <c r="T1137" s="5" t="s">
        <v>61</v>
      </c>
    </row>
    <row r="1138" customFormat="false" ht="15" hidden="false" customHeight="false" outlineLevel="0" collapsed="false">
      <c r="A1138" s="5" t="s">
        <v>4</v>
      </c>
      <c r="B1138" s="5" t="s">
        <v>55</v>
      </c>
      <c r="C1138" s="2" t="s">
        <v>56</v>
      </c>
      <c r="D1138" s="5" t="s">
        <v>80</v>
      </c>
      <c r="E1138" s="5" t="s">
        <v>58</v>
      </c>
      <c r="F1138" s="2" t="n">
        <v>20</v>
      </c>
      <c r="G1138" s="5" t="s">
        <v>72</v>
      </c>
      <c r="H1138" s="2" t="n">
        <v>1</v>
      </c>
      <c r="I1138" s="2" t="n">
        <v>1</v>
      </c>
      <c r="J1138" s="2" t="n">
        <v>1</v>
      </c>
      <c r="K1138" s="7" t="n">
        <v>0.3824834109</v>
      </c>
      <c r="L1138" s="7" t="n">
        <v>0.08413469625</v>
      </c>
      <c r="M1138" s="7" t="n">
        <v>0.08753226124</v>
      </c>
      <c r="N1138" s="7" t="n">
        <v>12</v>
      </c>
      <c r="O1138" s="7" t="n">
        <v>12</v>
      </c>
      <c r="P1138" s="7" t="n">
        <v>0</v>
      </c>
      <c r="Q1138" s="2"/>
      <c r="R1138" s="7" t="n">
        <v>2.595338</v>
      </c>
      <c r="S1138" s="5" t="s">
        <v>79</v>
      </c>
      <c r="T1138" s="5" t="s">
        <v>61</v>
      </c>
    </row>
    <row r="1139" customFormat="false" ht="15" hidden="false" customHeight="false" outlineLevel="0" collapsed="false">
      <c r="A1139" s="5" t="s">
        <v>4</v>
      </c>
      <c r="B1139" s="5" t="s">
        <v>55</v>
      </c>
      <c r="C1139" s="2" t="s">
        <v>56</v>
      </c>
      <c r="D1139" s="5" t="s">
        <v>80</v>
      </c>
      <c r="E1139" s="5" t="s">
        <v>62</v>
      </c>
      <c r="F1139" s="2" t="n">
        <v>20</v>
      </c>
      <c r="G1139" s="5" t="s">
        <v>72</v>
      </c>
      <c r="H1139" s="2" t="n">
        <v>1</v>
      </c>
      <c r="I1139" s="2" t="n">
        <v>1</v>
      </c>
      <c r="J1139" s="2" t="n">
        <v>1</v>
      </c>
      <c r="K1139" s="7" t="n">
        <v>0.3824834109</v>
      </c>
      <c r="L1139" s="7" t="n">
        <v>0.08413469625</v>
      </c>
      <c r="M1139" s="7" t="n">
        <v>0.08753226124</v>
      </c>
      <c r="N1139" s="7" t="n">
        <v>12</v>
      </c>
      <c r="O1139" s="7" t="n">
        <v>12</v>
      </c>
      <c r="P1139" s="7" t="n">
        <v>12</v>
      </c>
      <c r="Q1139" s="2"/>
      <c r="R1139" s="7" t="n">
        <v>3.2116</v>
      </c>
      <c r="S1139" s="5" t="s">
        <v>79</v>
      </c>
      <c r="T1139" s="5" t="s">
        <v>61</v>
      </c>
    </row>
    <row r="1140" customFormat="false" ht="15" hidden="false" customHeight="false" outlineLevel="0" collapsed="false">
      <c r="A1140" s="5" t="s">
        <v>4</v>
      </c>
      <c r="B1140" s="5" t="s">
        <v>55</v>
      </c>
      <c r="C1140" s="2" t="s">
        <v>56</v>
      </c>
      <c r="D1140" s="5" t="s">
        <v>80</v>
      </c>
      <c r="E1140" s="5" t="s">
        <v>58</v>
      </c>
      <c r="F1140" s="2" t="n">
        <v>20</v>
      </c>
      <c r="G1140" s="5" t="s">
        <v>73</v>
      </c>
      <c r="H1140" s="2" t="n">
        <v>0</v>
      </c>
      <c r="I1140" s="2" t="n">
        <v>1</v>
      </c>
      <c r="J1140" s="2" t="n">
        <v>0</v>
      </c>
      <c r="K1140" s="7" t="n">
        <v>2.566695504</v>
      </c>
      <c r="L1140" s="7" t="n">
        <v>0.6274877358</v>
      </c>
      <c r="M1140" s="7" t="n">
        <v>0.6387266313</v>
      </c>
      <c r="N1140" s="7" t="n">
        <v>6</v>
      </c>
      <c r="O1140" s="7" t="n">
        <v>6</v>
      </c>
      <c r="P1140" s="7" t="n">
        <v>0</v>
      </c>
      <c r="Q1140" s="2"/>
      <c r="R1140" s="7" t="n">
        <v>2.911474</v>
      </c>
      <c r="S1140" s="5" t="s">
        <v>79</v>
      </c>
      <c r="T1140" s="5" t="s">
        <v>61</v>
      </c>
    </row>
    <row r="1141" customFormat="false" ht="15" hidden="false" customHeight="false" outlineLevel="0" collapsed="false">
      <c r="A1141" s="5" t="s">
        <v>4</v>
      </c>
      <c r="B1141" s="5" t="s">
        <v>55</v>
      </c>
      <c r="C1141" s="2" t="s">
        <v>56</v>
      </c>
      <c r="D1141" s="5" t="s">
        <v>80</v>
      </c>
      <c r="E1141" s="5" t="s">
        <v>62</v>
      </c>
      <c r="F1141" s="2" t="n">
        <v>20</v>
      </c>
      <c r="G1141" s="5" t="s">
        <v>73</v>
      </c>
      <c r="H1141" s="2" t="n">
        <v>0</v>
      </c>
      <c r="I1141" s="2" t="n">
        <v>1</v>
      </c>
      <c r="J1141" s="2" t="n">
        <v>0</v>
      </c>
      <c r="K1141" s="7" t="n">
        <v>2.566695504</v>
      </c>
      <c r="L1141" s="7" t="n">
        <v>0.6274877358</v>
      </c>
      <c r="M1141" s="7" t="n">
        <v>0.6387266313</v>
      </c>
      <c r="N1141" s="7" t="n">
        <v>6</v>
      </c>
      <c r="O1141" s="7" t="n">
        <v>6</v>
      </c>
      <c r="P1141" s="7" t="n">
        <v>6</v>
      </c>
      <c r="Q1141" s="2"/>
      <c r="R1141" s="7" t="n">
        <v>3.320008</v>
      </c>
      <c r="S1141" s="5" t="s">
        <v>79</v>
      </c>
      <c r="T1141" s="5" t="s">
        <v>61</v>
      </c>
    </row>
    <row r="1142" customFormat="false" ht="15" hidden="false" customHeight="false" outlineLevel="0" collapsed="false">
      <c r="A1142" s="5" t="s">
        <v>4</v>
      </c>
      <c r="B1142" s="5" t="s">
        <v>55</v>
      </c>
      <c r="C1142" s="2" t="s">
        <v>56</v>
      </c>
      <c r="D1142" s="5" t="s">
        <v>80</v>
      </c>
      <c r="E1142" s="5" t="s">
        <v>58</v>
      </c>
      <c r="F1142" s="2" t="n">
        <v>11</v>
      </c>
      <c r="G1142" s="5" t="s">
        <v>74</v>
      </c>
      <c r="H1142" s="2" t="n">
        <v>1</v>
      </c>
      <c r="I1142" s="2" t="n">
        <v>1</v>
      </c>
      <c r="J1142" s="2" t="n">
        <v>1</v>
      </c>
      <c r="K1142" s="7" t="n">
        <v>0.7232485362</v>
      </c>
      <c r="L1142" s="7" t="n">
        <v>0.08825356996</v>
      </c>
      <c r="M1142" s="7" t="n">
        <v>0.1013819757</v>
      </c>
      <c r="N1142" s="7" t="n">
        <v>10</v>
      </c>
      <c r="O1142" s="7" t="n">
        <v>10</v>
      </c>
      <c r="P1142" s="7" t="n">
        <v>0</v>
      </c>
      <c r="Q1142" s="2"/>
      <c r="R1142" s="7" t="n">
        <v>2.59692</v>
      </c>
      <c r="S1142" s="5" t="s">
        <v>79</v>
      </c>
      <c r="T1142" s="5" t="s">
        <v>61</v>
      </c>
    </row>
    <row r="1143" customFormat="false" ht="15" hidden="false" customHeight="false" outlineLevel="0" collapsed="false">
      <c r="A1143" s="5" t="s">
        <v>4</v>
      </c>
      <c r="B1143" s="5" t="s">
        <v>55</v>
      </c>
      <c r="C1143" s="2" t="s">
        <v>56</v>
      </c>
      <c r="D1143" s="5" t="s">
        <v>80</v>
      </c>
      <c r="E1143" s="5" t="s">
        <v>62</v>
      </c>
      <c r="F1143" s="2" t="n">
        <v>11</v>
      </c>
      <c r="G1143" s="5" t="s">
        <v>74</v>
      </c>
      <c r="H1143" s="2" t="n">
        <v>1</v>
      </c>
      <c r="I1143" s="2" t="n">
        <v>1</v>
      </c>
      <c r="J1143" s="2" t="n">
        <v>1</v>
      </c>
      <c r="K1143" s="7" t="n">
        <v>0.7232485362</v>
      </c>
      <c r="L1143" s="7" t="n">
        <v>0.08825356996</v>
      </c>
      <c r="M1143" s="7" t="n">
        <v>0.1013819757</v>
      </c>
      <c r="N1143" s="7" t="n">
        <v>10</v>
      </c>
      <c r="O1143" s="7" t="n">
        <v>10</v>
      </c>
      <c r="P1143" s="7" t="n">
        <v>10</v>
      </c>
      <c r="Q1143" s="2"/>
      <c r="R1143" s="7" t="n">
        <v>3.198129</v>
      </c>
      <c r="S1143" s="5" t="s">
        <v>79</v>
      </c>
      <c r="T1143" s="5" t="s">
        <v>61</v>
      </c>
    </row>
    <row r="1144" customFormat="false" ht="15" hidden="false" customHeight="false" outlineLevel="0" collapsed="false">
      <c r="A1144" s="5" t="s">
        <v>4</v>
      </c>
      <c r="B1144" s="5" t="s">
        <v>55</v>
      </c>
      <c r="C1144" s="2" t="s">
        <v>56</v>
      </c>
      <c r="D1144" s="5" t="s">
        <v>80</v>
      </c>
      <c r="E1144" s="5" t="s">
        <v>58</v>
      </c>
      <c r="F1144" s="2" t="n">
        <v>11</v>
      </c>
      <c r="G1144" s="5" t="s">
        <v>75</v>
      </c>
      <c r="H1144" s="2" t="n">
        <v>1</v>
      </c>
      <c r="I1144" s="2" t="n">
        <v>1</v>
      </c>
      <c r="J1144" s="2" t="n">
        <v>1</v>
      </c>
      <c r="K1144" s="7" t="n">
        <v>0.1424526113</v>
      </c>
      <c r="L1144" s="7" t="n">
        <v>0.06283476453</v>
      </c>
      <c r="M1144" s="7" t="n">
        <v>0.06291835354</v>
      </c>
      <c r="N1144" s="7" t="n">
        <v>15</v>
      </c>
      <c r="O1144" s="7" t="n">
        <v>15</v>
      </c>
      <c r="P1144" s="7" t="n">
        <v>0</v>
      </c>
      <c r="Q1144" s="2"/>
      <c r="R1144" s="7" t="n">
        <v>2.693812</v>
      </c>
      <c r="S1144" s="5" t="s">
        <v>79</v>
      </c>
      <c r="T1144" s="5" t="s">
        <v>61</v>
      </c>
    </row>
    <row r="1145" customFormat="false" ht="15" hidden="false" customHeight="false" outlineLevel="0" collapsed="false">
      <c r="A1145" s="5" t="s">
        <v>4</v>
      </c>
      <c r="B1145" s="5" t="s">
        <v>55</v>
      </c>
      <c r="C1145" s="2" t="s">
        <v>56</v>
      </c>
      <c r="D1145" s="5" t="s">
        <v>80</v>
      </c>
      <c r="E1145" s="5" t="s">
        <v>62</v>
      </c>
      <c r="F1145" s="2" t="n">
        <v>11</v>
      </c>
      <c r="G1145" s="5" t="s">
        <v>75</v>
      </c>
      <c r="H1145" s="2" t="n">
        <v>1</v>
      </c>
      <c r="I1145" s="2" t="n">
        <v>1</v>
      </c>
      <c r="J1145" s="2" t="n">
        <v>1</v>
      </c>
      <c r="K1145" s="7" t="n">
        <v>0.1424526113</v>
      </c>
      <c r="L1145" s="7" t="n">
        <v>0.06283476453</v>
      </c>
      <c r="M1145" s="7" t="n">
        <v>0.06291835354</v>
      </c>
      <c r="N1145" s="7" t="n">
        <v>15</v>
      </c>
      <c r="O1145" s="7" t="n">
        <v>15</v>
      </c>
      <c r="P1145" s="7" t="n">
        <v>15</v>
      </c>
      <c r="Q1145" s="2"/>
      <c r="R1145" s="7" t="n">
        <v>3.456359</v>
      </c>
      <c r="S1145" s="5" t="s">
        <v>79</v>
      </c>
      <c r="T1145" s="5" t="s">
        <v>61</v>
      </c>
    </row>
    <row r="1146" customFormat="false" ht="15" hidden="false" customHeight="false" outlineLevel="0" collapsed="false">
      <c r="A1146" s="5" t="s">
        <v>4</v>
      </c>
      <c r="B1146" s="5" t="s">
        <v>55</v>
      </c>
      <c r="C1146" s="2" t="s">
        <v>56</v>
      </c>
      <c r="D1146" s="5" t="s">
        <v>80</v>
      </c>
      <c r="E1146" s="5" t="s">
        <v>58</v>
      </c>
      <c r="F1146" s="2" t="n">
        <v>12</v>
      </c>
      <c r="G1146" s="5" t="s">
        <v>74</v>
      </c>
      <c r="H1146" s="2" t="n">
        <v>1</v>
      </c>
      <c r="I1146" s="2" t="n">
        <v>1</v>
      </c>
      <c r="J1146" s="2" t="n">
        <v>1</v>
      </c>
      <c r="K1146" s="7" t="n">
        <v>0.3593115486</v>
      </c>
      <c r="L1146" s="7" t="n">
        <v>0.09006336377</v>
      </c>
      <c r="M1146" s="7" t="n">
        <v>0.09315605582</v>
      </c>
      <c r="N1146" s="7" t="n">
        <v>14</v>
      </c>
      <c r="O1146" s="7" t="n">
        <v>14</v>
      </c>
      <c r="P1146" s="7" t="n">
        <v>0</v>
      </c>
      <c r="Q1146" s="2"/>
      <c r="R1146" s="7" t="n">
        <v>2.782605</v>
      </c>
      <c r="S1146" s="5" t="s">
        <v>79</v>
      </c>
      <c r="T1146" s="5" t="s">
        <v>61</v>
      </c>
    </row>
    <row r="1147" customFormat="false" ht="15" hidden="false" customHeight="false" outlineLevel="0" collapsed="false">
      <c r="A1147" s="5" t="s">
        <v>4</v>
      </c>
      <c r="B1147" s="5" t="s">
        <v>55</v>
      </c>
      <c r="C1147" s="2" t="s">
        <v>56</v>
      </c>
      <c r="D1147" s="5" t="s">
        <v>80</v>
      </c>
      <c r="E1147" s="5" t="s">
        <v>62</v>
      </c>
      <c r="F1147" s="2" t="n">
        <v>12</v>
      </c>
      <c r="G1147" s="5" t="s">
        <v>74</v>
      </c>
      <c r="H1147" s="2" t="n">
        <v>1</v>
      </c>
      <c r="I1147" s="2" t="n">
        <v>1</v>
      </c>
      <c r="J1147" s="2" t="n">
        <v>1</v>
      </c>
      <c r="K1147" s="7" t="n">
        <v>0.3593115486</v>
      </c>
      <c r="L1147" s="7" t="n">
        <v>0.09006336377</v>
      </c>
      <c r="M1147" s="7" t="n">
        <v>0.09315605582</v>
      </c>
      <c r="N1147" s="7" t="n">
        <v>14</v>
      </c>
      <c r="O1147" s="7" t="n">
        <v>14</v>
      </c>
      <c r="P1147" s="7" t="n">
        <v>14</v>
      </c>
      <c r="Q1147" s="2"/>
      <c r="R1147" s="7" t="n">
        <v>3.448319</v>
      </c>
      <c r="S1147" s="5" t="s">
        <v>79</v>
      </c>
      <c r="T1147" s="5" t="s">
        <v>61</v>
      </c>
    </row>
    <row r="1148" customFormat="false" ht="15" hidden="false" customHeight="false" outlineLevel="0" collapsed="false">
      <c r="A1148" s="5" t="s">
        <v>4</v>
      </c>
      <c r="B1148" s="5" t="s">
        <v>55</v>
      </c>
      <c r="C1148" s="2" t="s">
        <v>56</v>
      </c>
      <c r="D1148" s="5" t="s">
        <v>80</v>
      </c>
      <c r="E1148" s="5" t="s">
        <v>58</v>
      </c>
      <c r="F1148" s="2" t="n">
        <v>12</v>
      </c>
      <c r="G1148" s="5" t="s">
        <v>75</v>
      </c>
      <c r="H1148" s="2" t="n">
        <v>1</v>
      </c>
      <c r="I1148" s="2" t="n">
        <v>1</v>
      </c>
      <c r="J1148" s="2" t="n">
        <v>1</v>
      </c>
      <c r="K1148" s="7" t="n">
        <v>0.07549025469</v>
      </c>
      <c r="L1148" s="7" t="n">
        <v>0.04217848862</v>
      </c>
      <c r="M1148" s="7" t="n">
        <v>0.0425325009</v>
      </c>
      <c r="N1148" s="7" t="n">
        <v>17</v>
      </c>
      <c r="O1148" s="7" t="n">
        <v>17</v>
      </c>
      <c r="P1148" s="7" t="n">
        <v>0</v>
      </c>
      <c r="Q1148" s="2"/>
      <c r="R1148" s="7" t="n">
        <v>3.221374</v>
      </c>
      <c r="S1148" s="5" t="s">
        <v>79</v>
      </c>
      <c r="T1148" s="5" t="s">
        <v>61</v>
      </c>
    </row>
    <row r="1149" customFormat="false" ht="15" hidden="false" customHeight="false" outlineLevel="0" collapsed="false">
      <c r="A1149" s="5" t="s">
        <v>4</v>
      </c>
      <c r="B1149" s="5" t="s">
        <v>55</v>
      </c>
      <c r="C1149" s="2" t="s">
        <v>56</v>
      </c>
      <c r="D1149" s="5" t="s">
        <v>80</v>
      </c>
      <c r="E1149" s="5" t="s">
        <v>62</v>
      </c>
      <c r="F1149" s="2" t="n">
        <v>12</v>
      </c>
      <c r="G1149" s="5" t="s">
        <v>75</v>
      </c>
      <c r="H1149" s="2" t="n">
        <v>1</v>
      </c>
      <c r="I1149" s="2" t="n">
        <v>1</v>
      </c>
      <c r="J1149" s="2" t="n">
        <v>1</v>
      </c>
      <c r="K1149" s="7" t="n">
        <v>0.07549025469</v>
      </c>
      <c r="L1149" s="7" t="n">
        <v>0.04217848862</v>
      </c>
      <c r="M1149" s="7" t="n">
        <v>0.0425325009</v>
      </c>
      <c r="N1149" s="7" t="n">
        <v>17</v>
      </c>
      <c r="O1149" s="7" t="n">
        <v>17</v>
      </c>
      <c r="P1149" s="7" t="n">
        <v>17</v>
      </c>
      <c r="Q1149" s="2"/>
      <c r="R1149" s="7" t="n">
        <v>3.90893</v>
      </c>
      <c r="S1149" s="5" t="s">
        <v>79</v>
      </c>
      <c r="T1149" s="5" t="s">
        <v>61</v>
      </c>
    </row>
    <row r="1150" customFormat="false" ht="15" hidden="false" customHeight="false" outlineLevel="0" collapsed="false">
      <c r="A1150" s="5" t="s">
        <v>4</v>
      </c>
      <c r="B1150" s="5" t="s">
        <v>55</v>
      </c>
      <c r="C1150" s="2" t="s">
        <v>56</v>
      </c>
      <c r="D1150" s="5" t="s">
        <v>80</v>
      </c>
      <c r="E1150" s="5" t="s">
        <v>58</v>
      </c>
      <c r="F1150" s="2" t="n">
        <v>13</v>
      </c>
      <c r="G1150" s="5" t="s">
        <v>74</v>
      </c>
      <c r="H1150" s="2" t="n">
        <v>1</v>
      </c>
      <c r="I1150" s="2" t="n">
        <v>1</v>
      </c>
      <c r="J1150" s="2" t="n">
        <v>1</v>
      </c>
      <c r="K1150" s="7" t="n">
        <v>0.4353333851</v>
      </c>
      <c r="L1150" s="7" t="n">
        <v>0.08933523978</v>
      </c>
      <c r="M1150" s="7" t="n">
        <v>0.09412812393</v>
      </c>
      <c r="N1150" s="7" t="n">
        <v>10</v>
      </c>
      <c r="O1150" s="7" t="n">
        <v>10</v>
      </c>
      <c r="P1150" s="7" t="n">
        <v>0</v>
      </c>
      <c r="Q1150" s="2"/>
      <c r="R1150" s="7" t="n">
        <v>2.389713</v>
      </c>
      <c r="S1150" s="5" t="s">
        <v>79</v>
      </c>
      <c r="T1150" s="5" t="s">
        <v>61</v>
      </c>
    </row>
    <row r="1151" customFormat="false" ht="15" hidden="false" customHeight="false" outlineLevel="0" collapsed="false">
      <c r="A1151" s="5" t="s">
        <v>4</v>
      </c>
      <c r="B1151" s="5" t="s">
        <v>55</v>
      </c>
      <c r="C1151" s="2" t="s">
        <v>56</v>
      </c>
      <c r="D1151" s="5" t="s">
        <v>80</v>
      </c>
      <c r="E1151" s="5" t="s">
        <v>62</v>
      </c>
      <c r="F1151" s="2" t="n">
        <v>13</v>
      </c>
      <c r="G1151" s="5" t="s">
        <v>74</v>
      </c>
      <c r="H1151" s="2" t="n">
        <v>1</v>
      </c>
      <c r="I1151" s="2" t="n">
        <v>1</v>
      </c>
      <c r="J1151" s="2" t="n">
        <v>1</v>
      </c>
      <c r="K1151" s="7" t="n">
        <v>0.4353333851</v>
      </c>
      <c r="L1151" s="7" t="n">
        <v>0.08933523978</v>
      </c>
      <c r="M1151" s="7" t="n">
        <v>0.09412812393</v>
      </c>
      <c r="N1151" s="7" t="n">
        <v>10</v>
      </c>
      <c r="O1151" s="7" t="n">
        <v>10</v>
      </c>
      <c r="P1151" s="7" t="n">
        <v>10</v>
      </c>
      <c r="Q1151" s="2"/>
      <c r="R1151" s="7" t="n">
        <v>2.936532</v>
      </c>
      <c r="S1151" s="5" t="s">
        <v>79</v>
      </c>
      <c r="T1151" s="5" t="s">
        <v>61</v>
      </c>
    </row>
    <row r="1152" customFormat="false" ht="15" hidden="false" customHeight="false" outlineLevel="0" collapsed="false">
      <c r="A1152" s="5" t="s">
        <v>4</v>
      </c>
      <c r="B1152" s="5" t="s">
        <v>55</v>
      </c>
      <c r="C1152" s="2" t="s">
        <v>56</v>
      </c>
      <c r="D1152" s="5" t="s">
        <v>80</v>
      </c>
      <c r="E1152" s="5" t="s">
        <v>58</v>
      </c>
      <c r="F1152" s="2" t="n">
        <v>13</v>
      </c>
      <c r="G1152" s="5" t="s">
        <v>75</v>
      </c>
      <c r="H1152" s="2" t="n">
        <v>1</v>
      </c>
      <c r="I1152" s="2" t="n">
        <v>1</v>
      </c>
      <c r="J1152" s="2" t="n">
        <v>1</v>
      </c>
      <c r="K1152" s="7" t="n">
        <v>0.1206481416</v>
      </c>
      <c r="L1152" s="7" t="n">
        <v>0.05568498996</v>
      </c>
      <c r="M1152" s="7" t="n">
        <v>0.05663099792</v>
      </c>
      <c r="N1152" s="7" t="n">
        <v>15</v>
      </c>
      <c r="O1152" s="7" t="n">
        <v>15</v>
      </c>
      <c r="P1152" s="7" t="n">
        <v>0</v>
      </c>
      <c r="Q1152" s="2"/>
      <c r="R1152" s="7" t="n">
        <v>2.801261</v>
      </c>
      <c r="S1152" s="5" t="s">
        <v>79</v>
      </c>
      <c r="T1152" s="5" t="s">
        <v>61</v>
      </c>
    </row>
    <row r="1153" customFormat="false" ht="15" hidden="false" customHeight="false" outlineLevel="0" collapsed="false">
      <c r="A1153" s="5" t="s">
        <v>4</v>
      </c>
      <c r="B1153" s="5" t="s">
        <v>55</v>
      </c>
      <c r="C1153" s="2" t="s">
        <v>56</v>
      </c>
      <c r="D1153" s="5" t="s">
        <v>80</v>
      </c>
      <c r="E1153" s="5" t="s">
        <v>62</v>
      </c>
      <c r="F1153" s="2" t="n">
        <v>13</v>
      </c>
      <c r="G1153" s="5" t="s">
        <v>75</v>
      </c>
      <c r="H1153" s="2" t="n">
        <v>1</v>
      </c>
      <c r="I1153" s="2" t="n">
        <v>1</v>
      </c>
      <c r="J1153" s="2" t="n">
        <v>1</v>
      </c>
      <c r="K1153" s="7" t="n">
        <v>0.1206481416</v>
      </c>
      <c r="L1153" s="7" t="n">
        <v>0.05568498996</v>
      </c>
      <c r="M1153" s="7" t="n">
        <v>0.05663099792</v>
      </c>
      <c r="N1153" s="7" t="n">
        <v>15</v>
      </c>
      <c r="O1153" s="7" t="n">
        <v>15</v>
      </c>
      <c r="P1153" s="7" t="n">
        <v>15</v>
      </c>
      <c r="Q1153" s="2"/>
      <c r="R1153" s="7" t="n">
        <v>3.512604</v>
      </c>
      <c r="S1153" s="5" t="s">
        <v>79</v>
      </c>
      <c r="T1153" s="5" t="s">
        <v>61</v>
      </c>
    </row>
    <row r="1154" customFormat="false" ht="15" hidden="false" customHeight="false" outlineLevel="0" collapsed="false">
      <c r="A1154" s="5" t="s">
        <v>4</v>
      </c>
      <c r="B1154" s="5" t="s">
        <v>55</v>
      </c>
      <c r="C1154" s="2" t="s">
        <v>56</v>
      </c>
      <c r="D1154" s="5" t="s">
        <v>80</v>
      </c>
      <c r="E1154" s="5" t="s">
        <v>58</v>
      </c>
      <c r="F1154" s="2" t="n">
        <v>14</v>
      </c>
      <c r="G1154" s="5" t="s">
        <v>74</v>
      </c>
      <c r="H1154" s="2" t="n">
        <v>1</v>
      </c>
      <c r="I1154" s="2" t="n">
        <v>1</v>
      </c>
      <c r="J1154" s="2" t="n">
        <v>1</v>
      </c>
      <c r="K1154" s="7" t="n">
        <v>0.3662394074</v>
      </c>
      <c r="L1154" s="7" t="n">
        <v>0.07340605434</v>
      </c>
      <c r="M1154" s="7" t="n">
        <v>0.07772010177</v>
      </c>
      <c r="N1154" s="7" t="n">
        <v>12</v>
      </c>
      <c r="O1154" s="7" t="n">
        <v>12</v>
      </c>
      <c r="P1154" s="7" t="n">
        <v>0</v>
      </c>
      <c r="Q1154" s="2"/>
      <c r="R1154" s="7" t="n">
        <v>2.522369</v>
      </c>
      <c r="S1154" s="5" t="s">
        <v>79</v>
      </c>
      <c r="T1154" s="5" t="s">
        <v>61</v>
      </c>
    </row>
    <row r="1155" customFormat="false" ht="15" hidden="false" customHeight="false" outlineLevel="0" collapsed="false">
      <c r="A1155" s="5" t="s">
        <v>4</v>
      </c>
      <c r="B1155" s="5" t="s">
        <v>55</v>
      </c>
      <c r="C1155" s="2" t="s">
        <v>56</v>
      </c>
      <c r="D1155" s="5" t="s">
        <v>80</v>
      </c>
      <c r="E1155" s="5" t="s">
        <v>62</v>
      </c>
      <c r="F1155" s="2" t="n">
        <v>14</v>
      </c>
      <c r="G1155" s="5" t="s">
        <v>74</v>
      </c>
      <c r="H1155" s="2" t="n">
        <v>1</v>
      </c>
      <c r="I1155" s="2" t="n">
        <v>1</v>
      </c>
      <c r="J1155" s="2" t="n">
        <v>1</v>
      </c>
      <c r="K1155" s="7" t="n">
        <v>0.3662394074</v>
      </c>
      <c r="L1155" s="7" t="n">
        <v>0.07340605434</v>
      </c>
      <c r="M1155" s="7" t="n">
        <v>0.07772010177</v>
      </c>
      <c r="N1155" s="7" t="n">
        <v>12</v>
      </c>
      <c r="O1155" s="7" t="n">
        <v>12</v>
      </c>
      <c r="P1155" s="7" t="n">
        <v>12</v>
      </c>
      <c r="Q1155" s="2"/>
      <c r="R1155" s="7" t="n">
        <v>3.130278</v>
      </c>
      <c r="S1155" s="5" t="s">
        <v>79</v>
      </c>
      <c r="T1155" s="5" t="s">
        <v>61</v>
      </c>
    </row>
    <row r="1156" customFormat="false" ht="15" hidden="false" customHeight="false" outlineLevel="0" collapsed="false">
      <c r="A1156" s="5" t="s">
        <v>4</v>
      </c>
      <c r="B1156" s="5" t="s">
        <v>55</v>
      </c>
      <c r="C1156" s="2" t="s">
        <v>56</v>
      </c>
      <c r="D1156" s="5" t="s">
        <v>80</v>
      </c>
      <c r="E1156" s="5" t="s">
        <v>58</v>
      </c>
      <c r="F1156" s="2" t="n">
        <v>14</v>
      </c>
      <c r="G1156" s="5" t="s">
        <v>75</v>
      </c>
      <c r="H1156" s="2" t="n">
        <v>1</v>
      </c>
      <c r="I1156" s="2" t="n">
        <v>1</v>
      </c>
      <c r="J1156" s="2" t="n">
        <v>1</v>
      </c>
      <c r="K1156" s="7" t="n">
        <v>0.1646639802</v>
      </c>
      <c r="L1156" s="7" t="n">
        <v>0.0710091183</v>
      </c>
      <c r="M1156" s="7" t="n">
        <v>0.07214710651</v>
      </c>
      <c r="N1156" s="7" t="n">
        <v>17</v>
      </c>
      <c r="O1156" s="7" t="n">
        <v>17</v>
      </c>
      <c r="P1156" s="7" t="n">
        <v>0</v>
      </c>
      <c r="Q1156" s="2"/>
      <c r="R1156" s="7" t="n">
        <v>3.056019</v>
      </c>
      <c r="S1156" s="5" t="s">
        <v>79</v>
      </c>
      <c r="T1156" s="5" t="s">
        <v>61</v>
      </c>
    </row>
    <row r="1157" customFormat="false" ht="15" hidden="false" customHeight="false" outlineLevel="0" collapsed="false">
      <c r="A1157" s="5" t="s">
        <v>4</v>
      </c>
      <c r="B1157" s="5" t="s">
        <v>55</v>
      </c>
      <c r="C1157" s="2" t="s">
        <v>56</v>
      </c>
      <c r="D1157" s="5" t="s">
        <v>80</v>
      </c>
      <c r="E1157" s="5" t="s">
        <v>62</v>
      </c>
      <c r="F1157" s="2" t="n">
        <v>14</v>
      </c>
      <c r="G1157" s="5" t="s">
        <v>75</v>
      </c>
      <c r="H1157" s="2" t="n">
        <v>1</v>
      </c>
      <c r="I1157" s="2" t="n">
        <v>1</v>
      </c>
      <c r="J1157" s="2" t="n">
        <v>1</v>
      </c>
      <c r="K1157" s="7" t="n">
        <v>0.1646639802</v>
      </c>
      <c r="L1157" s="7" t="n">
        <v>0.0710091183</v>
      </c>
      <c r="M1157" s="7" t="n">
        <v>0.07214710651</v>
      </c>
      <c r="N1157" s="7" t="n">
        <v>17</v>
      </c>
      <c r="O1157" s="7" t="n">
        <v>17</v>
      </c>
      <c r="P1157" s="7" t="n">
        <v>16</v>
      </c>
      <c r="Q1157" s="2"/>
      <c r="R1157" s="7" t="n">
        <v>3.749695</v>
      </c>
      <c r="S1157" s="5" t="s">
        <v>79</v>
      </c>
      <c r="T1157" s="5" t="s">
        <v>61</v>
      </c>
    </row>
    <row r="1158" customFormat="false" ht="15" hidden="false" customHeight="false" outlineLevel="0" collapsed="false">
      <c r="A1158" s="5" t="s">
        <v>4</v>
      </c>
      <c r="B1158" s="5" t="s">
        <v>55</v>
      </c>
      <c r="C1158" s="2" t="s">
        <v>56</v>
      </c>
      <c r="D1158" s="5" t="s">
        <v>80</v>
      </c>
      <c r="E1158" s="5" t="s">
        <v>58</v>
      </c>
      <c r="F1158" s="2" t="n">
        <v>15</v>
      </c>
      <c r="G1158" s="5" t="s">
        <v>74</v>
      </c>
      <c r="H1158" s="2" t="n">
        <v>1</v>
      </c>
      <c r="I1158" s="2" t="n">
        <v>1</v>
      </c>
      <c r="J1158" s="2" t="n">
        <v>1</v>
      </c>
      <c r="K1158" s="7" t="n">
        <v>1.190313833</v>
      </c>
      <c r="L1158" s="7" t="n">
        <v>0.1032496197</v>
      </c>
      <c r="M1158" s="7" t="n">
        <v>0.1290796485</v>
      </c>
      <c r="N1158" s="7" t="n">
        <v>12</v>
      </c>
      <c r="O1158" s="7" t="n">
        <v>12</v>
      </c>
      <c r="P1158" s="7" t="n">
        <v>0</v>
      </c>
      <c r="Q1158" s="2"/>
      <c r="R1158" s="7" t="n">
        <v>2.379908</v>
      </c>
      <c r="S1158" s="5" t="s">
        <v>79</v>
      </c>
      <c r="T1158" s="5" t="s">
        <v>61</v>
      </c>
    </row>
    <row r="1159" customFormat="false" ht="15" hidden="false" customHeight="false" outlineLevel="0" collapsed="false">
      <c r="A1159" s="5" t="s">
        <v>4</v>
      </c>
      <c r="B1159" s="5" t="s">
        <v>55</v>
      </c>
      <c r="C1159" s="2" t="s">
        <v>56</v>
      </c>
      <c r="D1159" s="5" t="s">
        <v>80</v>
      </c>
      <c r="E1159" s="5" t="s">
        <v>62</v>
      </c>
      <c r="F1159" s="2" t="n">
        <v>15</v>
      </c>
      <c r="G1159" s="5" t="s">
        <v>74</v>
      </c>
      <c r="H1159" s="2" t="n">
        <v>1</v>
      </c>
      <c r="I1159" s="2" t="n">
        <v>1</v>
      </c>
      <c r="J1159" s="2" t="n">
        <v>1</v>
      </c>
      <c r="K1159" s="7" t="n">
        <v>0.5318427316</v>
      </c>
      <c r="L1159" s="7" t="n">
        <v>0.09328195094</v>
      </c>
      <c r="M1159" s="7" t="n">
        <v>0.1001041161</v>
      </c>
      <c r="N1159" s="7" t="n">
        <v>12</v>
      </c>
      <c r="O1159" s="7" t="n">
        <v>12</v>
      </c>
      <c r="P1159" s="7" t="n">
        <v>11</v>
      </c>
      <c r="Q1159" s="2"/>
      <c r="R1159" s="7" t="n">
        <v>3.001507</v>
      </c>
      <c r="S1159" s="5" t="s">
        <v>79</v>
      </c>
      <c r="T1159" s="5" t="s">
        <v>61</v>
      </c>
    </row>
    <row r="1160" customFormat="false" ht="15" hidden="false" customHeight="false" outlineLevel="0" collapsed="false">
      <c r="A1160" s="5" t="s">
        <v>4</v>
      </c>
      <c r="B1160" s="5" t="s">
        <v>55</v>
      </c>
      <c r="C1160" s="2" t="s">
        <v>56</v>
      </c>
      <c r="D1160" s="5" t="s">
        <v>80</v>
      </c>
      <c r="E1160" s="5" t="s">
        <v>58</v>
      </c>
      <c r="F1160" s="2" t="n">
        <v>15</v>
      </c>
      <c r="G1160" s="5" t="s">
        <v>75</v>
      </c>
      <c r="H1160" s="2" t="n">
        <v>1</v>
      </c>
      <c r="I1160" s="2" t="n">
        <v>1</v>
      </c>
      <c r="J1160" s="2" t="n">
        <v>1</v>
      </c>
      <c r="K1160" s="7" t="n">
        <v>0.1123501236</v>
      </c>
      <c r="L1160" s="7" t="n">
        <v>0.04222623362</v>
      </c>
      <c r="M1160" s="7" t="n">
        <v>0.04250139014</v>
      </c>
      <c r="N1160" s="7" t="n">
        <v>16</v>
      </c>
      <c r="O1160" s="7" t="n">
        <v>16</v>
      </c>
      <c r="P1160" s="7" t="n">
        <v>0</v>
      </c>
      <c r="Q1160" s="2"/>
      <c r="R1160" s="7" t="n">
        <v>3.085142</v>
      </c>
      <c r="S1160" s="5" t="s">
        <v>79</v>
      </c>
      <c r="T1160" s="5" t="s">
        <v>61</v>
      </c>
    </row>
    <row r="1161" customFormat="false" ht="15" hidden="false" customHeight="false" outlineLevel="0" collapsed="false">
      <c r="A1161" s="5" t="s">
        <v>4</v>
      </c>
      <c r="B1161" s="5" t="s">
        <v>55</v>
      </c>
      <c r="C1161" s="2" t="s">
        <v>56</v>
      </c>
      <c r="D1161" s="5" t="s">
        <v>80</v>
      </c>
      <c r="E1161" s="5" t="s">
        <v>62</v>
      </c>
      <c r="F1161" s="2" t="n">
        <v>15</v>
      </c>
      <c r="G1161" s="5" t="s">
        <v>75</v>
      </c>
      <c r="H1161" s="2" t="n">
        <v>1</v>
      </c>
      <c r="I1161" s="2" t="n">
        <v>1</v>
      </c>
      <c r="J1161" s="2" t="n">
        <v>1</v>
      </c>
      <c r="K1161" s="7" t="n">
        <v>0.1123501236</v>
      </c>
      <c r="L1161" s="7" t="n">
        <v>0.04222623362</v>
      </c>
      <c r="M1161" s="7" t="n">
        <v>0.04250139014</v>
      </c>
      <c r="N1161" s="7" t="n">
        <v>16</v>
      </c>
      <c r="O1161" s="7" t="n">
        <v>16</v>
      </c>
      <c r="P1161" s="7" t="n">
        <v>16</v>
      </c>
      <c r="Q1161" s="2"/>
      <c r="R1161" s="7" t="n">
        <v>3.738488</v>
      </c>
      <c r="S1161" s="5" t="s">
        <v>79</v>
      </c>
      <c r="T1161" s="5" t="s">
        <v>61</v>
      </c>
    </row>
    <row r="1162" customFormat="false" ht="15" hidden="false" customHeight="false" outlineLevel="0" collapsed="false">
      <c r="A1162" s="5" t="s">
        <v>4</v>
      </c>
      <c r="B1162" s="5" t="s">
        <v>55</v>
      </c>
      <c r="C1162" s="2" t="s">
        <v>56</v>
      </c>
      <c r="D1162" s="5" t="s">
        <v>80</v>
      </c>
      <c r="E1162" s="5" t="s">
        <v>58</v>
      </c>
      <c r="F1162" s="2" t="n">
        <v>16</v>
      </c>
      <c r="G1162" s="5" t="s">
        <v>74</v>
      </c>
      <c r="H1162" s="2" t="n">
        <v>1</v>
      </c>
      <c r="I1162" s="2" t="n">
        <v>1</v>
      </c>
      <c r="J1162" s="2" t="n">
        <v>1</v>
      </c>
      <c r="K1162" s="7" t="n">
        <v>1.082846653</v>
      </c>
      <c r="L1162" s="7" t="n">
        <v>0.1686084539</v>
      </c>
      <c r="M1162" s="7" t="n">
        <v>0.1835974198</v>
      </c>
      <c r="N1162" s="7" t="n">
        <v>3</v>
      </c>
      <c r="O1162" s="7" t="n">
        <v>3</v>
      </c>
      <c r="P1162" s="7" t="n">
        <v>0</v>
      </c>
      <c r="Q1162" s="2"/>
      <c r="R1162" s="7" t="n">
        <v>2.548267</v>
      </c>
      <c r="S1162" s="5" t="s">
        <v>79</v>
      </c>
      <c r="T1162" s="5" t="s">
        <v>61</v>
      </c>
    </row>
    <row r="1163" customFormat="false" ht="15" hidden="false" customHeight="false" outlineLevel="0" collapsed="false">
      <c r="A1163" s="5" t="s">
        <v>4</v>
      </c>
      <c r="B1163" s="5" t="s">
        <v>55</v>
      </c>
      <c r="C1163" s="2" t="s">
        <v>56</v>
      </c>
      <c r="D1163" s="5" t="s">
        <v>80</v>
      </c>
      <c r="E1163" s="5" t="s">
        <v>62</v>
      </c>
      <c r="F1163" s="2" t="n">
        <v>16</v>
      </c>
      <c r="G1163" s="5" t="s">
        <v>74</v>
      </c>
      <c r="H1163" s="2" t="n">
        <v>1</v>
      </c>
      <c r="I1163" s="2" t="n">
        <v>1</v>
      </c>
      <c r="J1163" s="2" t="n">
        <v>1</v>
      </c>
      <c r="K1163" s="7" t="n">
        <v>1.082846653</v>
      </c>
      <c r="L1163" s="7" t="n">
        <v>0.1686084539</v>
      </c>
      <c r="M1163" s="7" t="n">
        <v>0.1835974198</v>
      </c>
      <c r="N1163" s="7" t="n">
        <v>3</v>
      </c>
      <c r="O1163" s="7" t="n">
        <v>3</v>
      </c>
      <c r="P1163" s="7" t="n">
        <v>3</v>
      </c>
      <c r="Q1163" s="2"/>
      <c r="R1163" s="7" t="n">
        <v>2.718058</v>
      </c>
      <c r="S1163" s="5" t="s">
        <v>79</v>
      </c>
      <c r="T1163" s="5" t="s">
        <v>61</v>
      </c>
    </row>
    <row r="1164" customFormat="false" ht="15" hidden="false" customHeight="false" outlineLevel="0" collapsed="false">
      <c r="A1164" s="5" t="s">
        <v>4</v>
      </c>
      <c r="B1164" s="5" t="s">
        <v>55</v>
      </c>
      <c r="C1164" s="2" t="s">
        <v>56</v>
      </c>
      <c r="D1164" s="5" t="s">
        <v>80</v>
      </c>
      <c r="E1164" s="5" t="s">
        <v>58</v>
      </c>
      <c r="F1164" s="2" t="n">
        <v>16</v>
      </c>
      <c r="G1164" s="5" t="s">
        <v>75</v>
      </c>
      <c r="H1164" s="2" t="n">
        <v>1</v>
      </c>
      <c r="I1164" s="2" t="n">
        <v>1</v>
      </c>
      <c r="J1164" s="2" t="n">
        <v>1</v>
      </c>
      <c r="K1164" s="7" t="n">
        <v>0.1284170309</v>
      </c>
      <c r="L1164" s="7" t="n">
        <v>0.02318090345</v>
      </c>
      <c r="M1164" s="7" t="n">
        <v>0.02452600456</v>
      </c>
      <c r="N1164" s="7" t="n">
        <v>12</v>
      </c>
      <c r="O1164" s="7" t="n">
        <v>12</v>
      </c>
      <c r="P1164" s="7" t="n">
        <v>0</v>
      </c>
      <c r="Q1164" s="2"/>
      <c r="R1164" s="7" t="n">
        <v>2.907097</v>
      </c>
      <c r="S1164" s="5" t="s">
        <v>79</v>
      </c>
      <c r="T1164" s="5" t="s">
        <v>61</v>
      </c>
    </row>
    <row r="1165" customFormat="false" ht="15" hidden="false" customHeight="false" outlineLevel="0" collapsed="false">
      <c r="A1165" s="5" t="s">
        <v>4</v>
      </c>
      <c r="B1165" s="5" t="s">
        <v>55</v>
      </c>
      <c r="C1165" s="2" t="s">
        <v>56</v>
      </c>
      <c r="D1165" s="5" t="s">
        <v>80</v>
      </c>
      <c r="E1165" s="5" t="s">
        <v>62</v>
      </c>
      <c r="F1165" s="2" t="n">
        <v>16</v>
      </c>
      <c r="G1165" s="5" t="s">
        <v>75</v>
      </c>
      <c r="H1165" s="2" t="n">
        <v>1</v>
      </c>
      <c r="I1165" s="2" t="n">
        <v>1</v>
      </c>
      <c r="J1165" s="2" t="n">
        <v>1</v>
      </c>
      <c r="K1165" s="7" t="n">
        <v>0.1284170309</v>
      </c>
      <c r="L1165" s="7" t="n">
        <v>0.02318090345</v>
      </c>
      <c r="M1165" s="7" t="n">
        <v>0.02452600456</v>
      </c>
      <c r="N1165" s="7" t="n">
        <v>12</v>
      </c>
      <c r="O1165" s="7" t="n">
        <v>12</v>
      </c>
      <c r="P1165" s="7" t="n">
        <v>12</v>
      </c>
      <c r="Q1165" s="2"/>
      <c r="R1165" s="7" t="n">
        <v>3.485942</v>
      </c>
      <c r="S1165" s="5" t="s">
        <v>79</v>
      </c>
      <c r="T1165" s="5" t="s">
        <v>61</v>
      </c>
    </row>
    <row r="1166" customFormat="false" ht="15" hidden="false" customHeight="false" outlineLevel="0" collapsed="false">
      <c r="A1166" s="5" t="s">
        <v>4</v>
      </c>
      <c r="B1166" s="5" t="s">
        <v>55</v>
      </c>
      <c r="C1166" s="2" t="s">
        <v>56</v>
      </c>
      <c r="D1166" s="5" t="s">
        <v>80</v>
      </c>
      <c r="E1166" s="5" t="s">
        <v>58</v>
      </c>
      <c r="F1166" s="2" t="n">
        <v>17</v>
      </c>
      <c r="G1166" s="5" t="s">
        <v>74</v>
      </c>
      <c r="H1166" s="2" t="n">
        <v>1</v>
      </c>
      <c r="I1166" s="2" t="n">
        <v>1</v>
      </c>
      <c r="J1166" s="2" t="n">
        <v>1</v>
      </c>
      <c r="K1166" s="7" t="n">
        <v>0.4364725119</v>
      </c>
      <c r="L1166" s="7" t="n">
        <v>0.09645939676</v>
      </c>
      <c r="M1166" s="7" t="n">
        <v>0.1017517856</v>
      </c>
      <c r="N1166" s="7" t="n">
        <v>10</v>
      </c>
      <c r="O1166" s="7" t="n">
        <v>10</v>
      </c>
      <c r="P1166" s="7" t="n">
        <v>0</v>
      </c>
      <c r="Q1166" s="2"/>
      <c r="R1166" s="7" t="n">
        <v>2.465204</v>
      </c>
      <c r="S1166" s="5" t="s">
        <v>79</v>
      </c>
      <c r="T1166" s="5" t="s">
        <v>61</v>
      </c>
    </row>
    <row r="1167" customFormat="false" ht="15" hidden="false" customHeight="false" outlineLevel="0" collapsed="false">
      <c r="A1167" s="5" t="s">
        <v>4</v>
      </c>
      <c r="B1167" s="5" t="s">
        <v>55</v>
      </c>
      <c r="C1167" s="2" t="s">
        <v>56</v>
      </c>
      <c r="D1167" s="5" t="s">
        <v>80</v>
      </c>
      <c r="E1167" s="5" t="s">
        <v>62</v>
      </c>
      <c r="F1167" s="2" t="n">
        <v>17</v>
      </c>
      <c r="G1167" s="5" t="s">
        <v>74</v>
      </c>
      <c r="H1167" s="2" t="n">
        <v>1</v>
      </c>
      <c r="I1167" s="2" t="n">
        <v>1</v>
      </c>
      <c r="J1167" s="2" t="n">
        <v>1</v>
      </c>
      <c r="K1167" s="7" t="n">
        <v>0.4364725119</v>
      </c>
      <c r="L1167" s="7" t="n">
        <v>0.09645939676</v>
      </c>
      <c r="M1167" s="7" t="n">
        <v>0.1017517856</v>
      </c>
      <c r="N1167" s="7" t="n">
        <v>10</v>
      </c>
      <c r="O1167" s="7" t="n">
        <v>10</v>
      </c>
      <c r="P1167" s="7" t="n">
        <v>10</v>
      </c>
      <c r="Q1167" s="2"/>
      <c r="R1167" s="7" t="n">
        <v>3.007344</v>
      </c>
      <c r="S1167" s="5" t="s">
        <v>79</v>
      </c>
      <c r="T1167" s="5" t="s">
        <v>61</v>
      </c>
    </row>
    <row r="1168" customFormat="false" ht="15" hidden="false" customHeight="false" outlineLevel="0" collapsed="false">
      <c r="A1168" s="5" t="s">
        <v>4</v>
      </c>
      <c r="B1168" s="5" t="s">
        <v>55</v>
      </c>
      <c r="C1168" s="2" t="s">
        <v>56</v>
      </c>
      <c r="D1168" s="5" t="s">
        <v>80</v>
      </c>
      <c r="E1168" s="5" t="s">
        <v>58</v>
      </c>
      <c r="F1168" s="2" t="n">
        <v>17</v>
      </c>
      <c r="G1168" s="5" t="s">
        <v>75</v>
      </c>
      <c r="H1168" s="2" t="n">
        <v>1</v>
      </c>
      <c r="I1168" s="2" t="n">
        <v>1</v>
      </c>
      <c r="J1168" s="2" t="n">
        <v>1</v>
      </c>
      <c r="K1168" s="7" t="n">
        <v>0.1118976139</v>
      </c>
      <c r="L1168" s="7" t="n">
        <v>0.07741275518</v>
      </c>
      <c r="M1168" s="7" t="n">
        <v>0.07840669183</v>
      </c>
      <c r="N1168" s="7" t="n">
        <v>12</v>
      </c>
      <c r="O1168" s="7" t="n">
        <v>12</v>
      </c>
      <c r="P1168" s="7" t="n">
        <v>0</v>
      </c>
      <c r="Q1168" s="2"/>
      <c r="R1168" s="7" t="n">
        <v>2.994155</v>
      </c>
      <c r="S1168" s="5" t="s">
        <v>79</v>
      </c>
      <c r="T1168" s="5" t="s">
        <v>61</v>
      </c>
    </row>
    <row r="1169" customFormat="false" ht="15" hidden="false" customHeight="false" outlineLevel="0" collapsed="false">
      <c r="A1169" s="5" t="s">
        <v>4</v>
      </c>
      <c r="B1169" s="5" t="s">
        <v>55</v>
      </c>
      <c r="C1169" s="2" t="s">
        <v>56</v>
      </c>
      <c r="D1169" s="5" t="s">
        <v>80</v>
      </c>
      <c r="E1169" s="5" t="s">
        <v>62</v>
      </c>
      <c r="F1169" s="2" t="n">
        <v>17</v>
      </c>
      <c r="G1169" s="5" t="s">
        <v>75</v>
      </c>
      <c r="H1169" s="2" t="n">
        <v>1</v>
      </c>
      <c r="I1169" s="2" t="n">
        <v>1</v>
      </c>
      <c r="J1169" s="2" t="n">
        <v>1</v>
      </c>
      <c r="K1169" s="7" t="n">
        <v>0.1118976139</v>
      </c>
      <c r="L1169" s="7" t="n">
        <v>0.07741275518</v>
      </c>
      <c r="M1169" s="7" t="n">
        <v>0.07840669183</v>
      </c>
      <c r="N1169" s="7" t="n">
        <v>12</v>
      </c>
      <c r="O1169" s="7" t="n">
        <v>12</v>
      </c>
      <c r="P1169" s="7" t="n">
        <v>12</v>
      </c>
      <c r="Q1169" s="2"/>
      <c r="R1169" s="7" t="n">
        <v>3.580682</v>
      </c>
      <c r="S1169" s="5" t="s">
        <v>79</v>
      </c>
      <c r="T1169" s="5" t="s">
        <v>61</v>
      </c>
    </row>
    <row r="1170" customFormat="false" ht="15" hidden="false" customHeight="false" outlineLevel="0" collapsed="false">
      <c r="A1170" s="5" t="s">
        <v>4</v>
      </c>
      <c r="B1170" s="5" t="s">
        <v>55</v>
      </c>
      <c r="C1170" s="2" t="s">
        <v>56</v>
      </c>
      <c r="D1170" s="5" t="s">
        <v>80</v>
      </c>
      <c r="E1170" s="5" t="s">
        <v>58</v>
      </c>
      <c r="F1170" s="2" t="n">
        <v>18</v>
      </c>
      <c r="G1170" s="5" t="s">
        <v>74</v>
      </c>
      <c r="H1170" s="2" t="n">
        <v>1</v>
      </c>
      <c r="I1170" s="2" t="n">
        <v>1</v>
      </c>
      <c r="J1170" s="2" t="n">
        <v>1</v>
      </c>
      <c r="K1170" s="7" t="n">
        <v>0.3708308497</v>
      </c>
      <c r="L1170" s="7" t="n">
        <v>0.09501926525</v>
      </c>
      <c r="M1170" s="7" t="n">
        <v>0.09833705283</v>
      </c>
      <c r="N1170" s="7" t="n">
        <v>7</v>
      </c>
      <c r="O1170" s="7" t="n">
        <v>7</v>
      </c>
      <c r="P1170" s="7" t="n">
        <v>0</v>
      </c>
      <c r="Q1170" s="2"/>
      <c r="R1170" s="7" t="n">
        <v>2.545292</v>
      </c>
      <c r="S1170" s="5" t="s">
        <v>79</v>
      </c>
      <c r="T1170" s="5" t="s">
        <v>61</v>
      </c>
    </row>
    <row r="1171" customFormat="false" ht="15" hidden="false" customHeight="false" outlineLevel="0" collapsed="false">
      <c r="A1171" s="5" t="s">
        <v>4</v>
      </c>
      <c r="B1171" s="5" t="s">
        <v>55</v>
      </c>
      <c r="C1171" s="2" t="s">
        <v>56</v>
      </c>
      <c r="D1171" s="5" t="s">
        <v>80</v>
      </c>
      <c r="E1171" s="5" t="s">
        <v>62</v>
      </c>
      <c r="F1171" s="2" t="n">
        <v>18</v>
      </c>
      <c r="G1171" s="5" t="s">
        <v>74</v>
      </c>
      <c r="H1171" s="2" t="n">
        <v>1</v>
      </c>
      <c r="I1171" s="2" t="n">
        <v>1</v>
      </c>
      <c r="J1171" s="2" t="n">
        <v>1</v>
      </c>
      <c r="K1171" s="7" t="n">
        <v>0.3708308497</v>
      </c>
      <c r="L1171" s="7" t="n">
        <v>0.09501926525</v>
      </c>
      <c r="M1171" s="7" t="n">
        <v>0.09833705283</v>
      </c>
      <c r="N1171" s="7" t="n">
        <v>7</v>
      </c>
      <c r="O1171" s="7" t="n">
        <v>7</v>
      </c>
      <c r="P1171" s="7" t="n">
        <v>7</v>
      </c>
      <c r="Q1171" s="2"/>
      <c r="R1171" s="7" t="n">
        <v>3.138027</v>
      </c>
      <c r="S1171" s="5" t="s">
        <v>79</v>
      </c>
      <c r="T1171" s="5" t="s">
        <v>61</v>
      </c>
    </row>
    <row r="1172" customFormat="false" ht="15" hidden="false" customHeight="false" outlineLevel="0" collapsed="false">
      <c r="A1172" s="5" t="s">
        <v>4</v>
      </c>
      <c r="B1172" s="5" t="s">
        <v>55</v>
      </c>
      <c r="C1172" s="2" t="s">
        <v>56</v>
      </c>
      <c r="D1172" s="5" t="s">
        <v>80</v>
      </c>
      <c r="E1172" s="5" t="s">
        <v>58</v>
      </c>
      <c r="F1172" s="2" t="n">
        <v>18</v>
      </c>
      <c r="G1172" s="5" t="s">
        <v>75</v>
      </c>
      <c r="H1172" s="2" t="n">
        <v>1</v>
      </c>
      <c r="I1172" s="2" t="n">
        <v>1</v>
      </c>
      <c r="J1172" s="2" t="n">
        <v>1</v>
      </c>
      <c r="K1172" s="7" t="n">
        <v>0.1504048022</v>
      </c>
      <c r="L1172" s="7" t="n">
        <v>0.07059207004</v>
      </c>
      <c r="M1172" s="7" t="n">
        <v>0.07058347842</v>
      </c>
      <c r="N1172" s="7" t="n">
        <v>8</v>
      </c>
      <c r="O1172" s="7" t="n">
        <v>8</v>
      </c>
      <c r="P1172" s="7" t="n">
        <v>0</v>
      </c>
      <c r="Q1172" s="2"/>
      <c r="R1172" s="7" t="n">
        <v>3.290352</v>
      </c>
      <c r="S1172" s="5" t="s">
        <v>79</v>
      </c>
      <c r="T1172" s="5" t="s">
        <v>61</v>
      </c>
    </row>
    <row r="1173" customFormat="false" ht="15" hidden="false" customHeight="false" outlineLevel="0" collapsed="false">
      <c r="A1173" s="5" t="s">
        <v>4</v>
      </c>
      <c r="B1173" s="5" t="s">
        <v>55</v>
      </c>
      <c r="C1173" s="2" t="s">
        <v>56</v>
      </c>
      <c r="D1173" s="5" t="s">
        <v>80</v>
      </c>
      <c r="E1173" s="5" t="s">
        <v>62</v>
      </c>
      <c r="F1173" s="2" t="n">
        <v>18</v>
      </c>
      <c r="G1173" s="5" t="s">
        <v>75</v>
      </c>
      <c r="H1173" s="2" t="n">
        <v>1</v>
      </c>
      <c r="I1173" s="2" t="n">
        <v>1</v>
      </c>
      <c r="J1173" s="2" t="n">
        <v>1</v>
      </c>
      <c r="K1173" s="7" t="n">
        <v>0.1504048022</v>
      </c>
      <c r="L1173" s="7" t="n">
        <v>0.07059207004</v>
      </c>
      <c r="M1173" s="7" t="n">
        <v>0.07058347842</v>
      </c>
      <c r="N1173" s="7" t="n">
        <v>8</v>
      </c>
      <c r="O1173" s="7" t="n">
        <v>8</v>
      </c>
      <c r="P1173" s="7" t="n">
        <v>8</v>
      </c>
      <c r="Q1173" s="2"/>
      <c r="R1173" s="7" t="n">
        <v>3.780427</v>
      </c>
      <c r="S1173" s="5" t="s">
        <v>79</v>
      </c>
      <c r="T1173" s="5" t="s">
        <v>61</v>
      </c>
    </row>
    <row r="1174" customFormat="false" ht="15" hidden="false" customHeight="false" outlineLevel="0" collapsed="false">
      <c r="A1174" s="5" t="s">
        <v>4</v>
      </c>
      <c r="B1174" s="5" t="s">
        <v>55</v>
      </c>
      <c r="C1174" s="2" t="s">
        <v>56</v>
      </c>
      <c r="D1174" s="5" t="s">
        <v>80</v>
      </c>
      <c r="E1174" s="5" t="s">
        <v>58</v>
      </c>
      <c r="F1174" s="2" t="n">
        <v>19</v>
      </c>
      <c r="G1174" s="5" t="s">
        <v>74</v>
      </c>
      <c r="H1174" s="2" t="n">
        <v>1</v>
      </c>
      <c r="I1174" s="2" t="n">
        <v>1</v>
      </c>
      <c r="J1174" s="2" t="n">
        <v>1</v>
      </c>
      <c r="K1174" s="7" t="n">
        <v>0.5015738746</v>
      </c>
      <c r="L1174" s="7" t="n">
        <v>0.1349365872</v>
      </c>
      <c r="M1174" s="7" t="n">
        <v>0.1398423298</v>
      </c>
      <c r="N1174" s="7" t="n">
        <v>6</v>
      </c>
      <c r="O1174" s="7" t="n">
        <v>6</v>
      </c>
      <c r="P1174" s="7" t="n">
        <v>0</v>
      </c>
      <c r="Q1174" s="2"/>
      <c r="R1174" s="7" t="n">
        <v>2.432095</v>
      </c>
      <c r="S1174" s="5" t="s">
        <v>79</v>
      </c>
      <c r="T1174" s="5" t="s">
        <v>61</v>
      </c>
    </row>
    <row r="1175" customFormat="false" ht="15" hidden="false" customHeight="false" outlineLevel="0" collapsed="false">
      <c r="A1175" s="5" t="s">
        <v>4</v>
      </c>
      <c r="B1175" s="5" t="s">
        <v>55</v>
      </c>
      <c r="C1175" s="2" t="s">
        <v>56</v>
      </c>
      <c r="D1175" s="5" t="s">
        <v>80</v>
      </c>
      <c r="E1175" s="5" t="s">
        <v>62</v>
      </c>
      <c r="F1175" s="2" t="n">
        <v>19</v>
      </c>
      <c r="G1175" s="5" t="s">
        <v>74</v>
      </c>
      <c r="H1175" s="2" t="n">
        <v>1</v>
      </c>
      <c r="I1175" s="2" t="n">
        <v>1</v>
      </c>
      <c r="J1175" s="2" t="n">
        <v>1</v>
      </c>
      <c r="K1175" s="7" t="n">
        <v>0.5015738746</v>
      </c>
      <c r="L1175" s="7" t="n">
        <v>0.1349365872</v>
      </c>
      <c r="M1175" s="7" t="n">
        <v>0.1398423298</v>
      </c>
      <c r="N1175" s="7" t="n">
        <v>6</v>
      </c>
      <c r="O1175" s="7" t="n">
        <v>6</v>
      </c>
      <c r="P1175" s="7" t="n">
        <v>6</v>
      </c>
      <c r="Q1175" s="2"/>
      <c r="R1175" s="7" t="n">
        <v>2.825556</v>
      </c>
      <c r="S1175" s="5" t="s">
        <v>79</v>
      </c>
      <c r="T1175" s="5" t="s">
        <v>61</v>
      </c>
    </row>
    <row r="1176" customFormat="false" ht="15" hidden="false" customHeight="false" outlineLevel="0" collapsed="false">
      <c r="A1176" s="5" t="s">
        <v>4</v>
      </c>
      <c r="B1176" s="5" t="s">
        <v>55</v>
      </c>
      <c r="C1176" s="2" t="s">
        <v>56</v>
      </c>
      <c r="D1176" s="5" t="s">
        <v>80</v>
      </c>
      <c r="E1176" s="5" t="s">
        <v>58</v>
      </c>
      <c r="F1176" s="2" t="n">
        <v>19</v>
      </c>
      <c r="G1176" s="5" t="s">
        <v>75</v>
      </c>
      <c r="H1176" s="2" t="n">
        <v>1</v>
      </c>
      <c r="I1176" s="2" t="n">
        <v>1</v>
      </c>
      <c r="J1176" s="2" t="n">
        <v>1</v>
      </c>
      <c r="K1176" s="7" t="n">
        <v>0.04403269266</v>
      </c>
      <c r="L1176" s="7" t="n">
        <v>0.06214308359</v>
      </c>
      <c r="M1176" s="7" t="n">
        <v>0.0621937098</v>
      </c>
      <c r="N1176" s="7" t="n">
        <v>13</v>
      </c>
      <c r="O1176" s="7" t="n">
        <v>13</v>
      </c>
      <c r="P1176" s="7" t="n">
        <v>0</v>
      </c>
      <c r="Q1176" s="2"/>
      <c r="R1176" s="7" t="n">
        <v>3.099292</v>
      </c>
      <c r="S1176" s="5" t="s">
        <v>79</v>
      </c>
      <c r="T1176" s="5" t="s">
        <v>61</v>
      </c>
    </row>
    <row r="1177" customFormat="false" ht="15" hidden="false" customHeight="false" outlineLevel="0" collapsed="false">
      <c r="A1177" s="5" t="s">
        <v>4</v>
      </c>
      <c r="B1177" s="5" t="s">
        <v>55</v>
      </c>
      <c r="C1177" s="2" t="s">
        <v>56</v>
      </c>
      <c r="D1177" s="5" t="s">
        <v>80</v>
      </c>
      <c r="E1177" s="5" t="s">
        <v>62</v>
      </c>
      <c r="F1177" s="2" t="n">
        <v>19</v>
      </c>
      <c r="G1177" s="5" t="s">
        <v>75</v>
      </c>
      <c r="H1177" s="2" t="n">
        <v>1</v>
      </c>
      <c r="I1177" s="2" t="n">
        <v>1</v>
      </c>
      <c r="J1177" s="2" t="n">
        <v>1</v>
      </c>
      <c r="K1177" s="7" t="n">
        <v>0.04403269266</v>
      </c>
      <c r="L1177" s="7" t="n">
        <v>0.06214308359</v>
      </c>
      <c r="M1177" s="7" t="n">
        <v>0.0621937098</v>
      </c>
      <c r="N1177" s="7" t="n">
        <v>13</v>
      </c>
      <c r="O1177" s="7" t="n">
        <v>13</v>
      </c>
      <c r="P1177" s="7" t="n">
        <v>13</v>
      </c>
      <c r="Q1177" s="2"/>
      <c r="R1177" s="7" t="n">
        <v>3.711065</v>
      </c>
      <c r="S1177" s="5" t="s">
        <v>79</v>
      </c>
      <c r="T1177" s="5" t="s">
        <v>61</v>
      </c>
    </row>
    <row r="1178" customFormat="false" ht="15" hidden="false" customHeight="false" outlineLevel="0" collapsed="false">
      <c r="A1178" s="5" t="s">
        <v>4</v>
      </c>
      <c r="B1178" s="5" t="s">
        <v>55</v>
      </c>
      <c r="C1178" s="2" t="s">
        <v>56</v>
      </c>
      <c r="D1178" s="5" t="s">
        <v>80</v>
      </c>
      <c r="E1178" s="5" t="s">
        <v>58</v>
      </c>
      <c r="F1178" s="2" t="n">
        <v>20</v>
      </c>
      <c r="G1178" s="5" t="s">
        <v>74</v>
      </c>
      <c r="H1178" s="2" t="n">
        <v>1</v>
      </c>
      <c r="I1178" s="2" t="n">
        <v>1</v>
      </c>
      <c r="J1178" s="2" t="n">
        <v>1</v>
      </c>
      <c r="K1178" s="7" t="n">
        <v>1.036050057</v>
      </c>
      <c r="L1178" s="7" t="n">
        <v>0.07872348286</v>
      </c>
      <c r="M1178" s="7" t="n">
        <v>0.1039864225</v>
      </c>
      <c r="N1178" s="7" t="n">
        <v>8</v>
      </c>
      <c r="O1178" s="7" t="n">
        <v>8</v>
      </c>
      <c r="P1178" s="7" t="n">
        <v>0</v>
      </c>
      <c r="Q1178" s="2"/>
      <c r="R1178" s="7" t="n">
        <v>2.764125</v>
      </c>
      <c r="S1178" s="5" t="s">
        <v>79</v>
      </c>
      <c r="T1178" s="5" t="s">
        <v>61</v>
      </c>
    </row>
    <row r="1179" customFormat="false" ht="15" hidden="false" customHeight="false" outlineLevel="0" collapsed="false">
      <c r="A1179" s="5" t="s">
        <v>4</v>
      </c>
      <c r="B1179" s="5" t="s">
        <v>55</v>
      </c>
      <c r="C1179" s="2" t="s">
        <v>56</v>
      </c>
      <c r="D1179" s="5" t="s">
        <v>80</v>
      </c>
      <c r="E1179" s="5" t="s">
        <v>62</v>
      </c>
      <c r="F1179" s="2" t="n">
        <v>20</v>
      </c>
      <c r="G1179" s="5" t="s">
        <v>74</v>
      </c>
      <c r="H1179" s="2" t="n">
        <v>1</v>
      </c>
      <c r="I1179" s="2" t="n">
        <v>1</v>
      </c>
      <c r="J1179" s="2" t="n">
        <v>1</v>
      </c>
      <c r="K1179" s="7" t="n">
        <v>0.466548962</v>
      </c>
      <c r="L1179" s="7" t="n">
        <v>0.1004569724</v>
      </c>
      <c r="M1179" s="7" t="n">
        <v>0.1057379667</v>
      </c>
      <c r="N1179" s="7" t="n">
        <v>8</v>
      </c>
      <c r="O1179" s="7" t="n">
        <v>8</v>
      </c>
      <c r="P1179" s="7" t="n">
        <v>7</v>
      </c>
      <c r="Q1179" s="2"/>
      <c r="R1179" s="7" t="n">
        <v>3.256603</v>
      </c>
      <c r="S1179" s="5" t="s">
        <v>79</v>
      </c>
      <c r="T1179" s="5" t="s">
        <v>61</v>
      </c>
    </row>
    <row r="1180" customFormat="false" ht="15" hidden="false" customHeight="false" outlineLevel="0" collapsed="false">
      <c r="A1180" s="5" t="s">
        <v>4</v>
      </c>
      <c r="B1180" s="5" t="s">
        <v>55</v>
      </c>
      <c r="C1180" s="2" t="s">
        <v>56</v>
      </c>
      <c r="D1180" s="5" t="s">
        <v>80</v>
      </c>
      <c r="E1180" s="5" t="s">
        <v>58</v>
      </c>
      <c r="F1180" s="2" t="n">
        <v>20</v>
      </c>
      <c r="G1180" s="5" t="s">
        <v>75</v>
      </c>
      <c r="H1180" s="2" t="n">
        <v>1</v>
      </c>
      <c r="I1180" s="2" t="n">
        <v>1</v>
      </c>
      <c r="J1180" s="2" t="n">
        <v>1</v>
      </c>
      <c r="K1180" s="7" t="n">
        <v>0.05008605131</v>
      </c>
      <c r="L1180" s="7" t="n">
        <v>0.05904418387</v>
      </c>
      <c r="M1180" s="7" t="n">
        <v>0.05903040848</v>
      </c>
      <c r="N1180" s="7" t="n">
        <v>12</v>
      </c>
      <c r="O1180" s="7" t="n">
        <v>12</v>
      </c>
      <c r="P1180" s="7" t="n">
        <v>0</v>
      </c>
      <c r="Q1180" s="2"/>
      <c r="R1180" s="7" t="n">
        <v>3.265628</v>
      </c>
      <c r="S1180" s="5" t="s">
        <v>79</v>
      </c>
      <c r="T1180" s="5" t="s">
        <v>61</v>
      </c>
    </row>
    <row r="1181" customFormat="false" ht="15" hidden="false" customHeight="false" outlineLevel="0" collapsed="false">
      <c r="A1181" s="5" t="s">
        <v>4</v>
      </c>
      <c r="B1181" s="5" t="s">
        <v>55</v>
      </c>
      <c r="C1181" s="2" t="s">
        <v>56</v>
      </c>
      <c r="D1181" s="5" t="s">
        <v>80</v>
      </c>
      <c r="E1181" s="5" t="s">
        <v>62</v>
      </c>
      <c r="F1181" s="2" t="n">
        <v>20</v>
      </c>
      <c r="G1181" s="5" t="s">
        <v>75</v>
      </c>
      <c r="H1181" s="2" t="n">
        <v>1</v>
      </c>
      <c r="I1181" s="2" t="n">
        <v>1</v>
      </c>
      <c r="J1181" s="2" t="n">
        <v>1</v>
      </c>
      <c r="K1181" s="7" t="n">
        <v>0.05008605131</v>
      </c>
      <c r="L1181" s="7" t="n">
        <v>0.05904418387</v>
      </c>
      <c r="M1181" s="7" t="n">
        <v>0.05903040848</v>
      </c>
      <c r="N1181" s="7" t="n">
        <v>12</v>
      </c>
      <c r="O1181" s="7" t="n">
        <v>12</v>
      </c>
      <c r="P1181" s="7" t="n">
        <v>12</v>
      </c>
      <c r="Q1181" s="2"/>
      <c r="R1181" s="7" t="n">
        <v>3.852415</v>
      </c>
      <c r="S1181" s="5" t="s">
        <v>79</v>
      </c>
      <c r="T1181" s="5" t="s">
        <v>61</v>
      </c>
    </row>
    <row r="1182" customFormat="false" ht="15" hidden="false" customHeight="false" outlineLevel="0" collapsed="false">
      <c r="A1182" s="5" t="s">
        <v>4</v>
      </c>
      <c r="B1182" s="5" t="s">
        <v>55</v>
      </c>
      <c r="C1182" s="2" t="s">
        <v>56</v>
      </c>
      <c r="D1182" s="5" t="s">
        <v>80</v>
      </c>
      <c r="E1182" s="5" t="s">
        <v>58</v>
      </c>
      <c r="F1182" s="2" t="n">
        <v>11</v>
      </c>
      <c r="G1182" s="5" t="s">
        <v>76</v>
      </c>
      <c r="H1182" s="2" t="n">
        <v>1</v>
      </c>
      <c r="I1182" s="2" t="n">
        <v>1</v>
      </c>
      <c r="J1182" s="2" t="n">
        <v>1</v>
      </c>
      <c r="K1182" s="7" t="n">
        <v>0.3595891123</v>
      </c>
      <c r="L1182" s="7" t="n">
        <v>0.01829172328</v>
      </c>
      <c r="M1182" s="7" t="n">
        <v>0.02752294439</v>
      </c>
      <c r="N1182" s="7" t="n">
        <v>16</v>
      </c>
      <c r="O1182" s="7" t="n">
        <v>16</v>
      </c>
      <c r="P1182" s="7" t="n">
        <v>0</v>
      </c>
      <c r="Q1182" s="2"/>
      <c r="R1182" s="7" t="n">
        <v>3.820849</v>
      </c>
      <c r="S1182" s="5" t="s">
        <v>79</v>
      </c>
      <c r="T1182" s="5" t="s">
        <v>61</v>
      </c>
    </row>
    <row r="1183" customFormat="false" ht="15" hidden="false" customHeight="false" outlineLevel="0" collapsed="false">
      <c r="A1183" s="5" t="s">
        <v>4</v>
      </c>
      <c r="B1183" s="5" t="s">
        <v>55</v>
      </c>
      <c r="C1183" s="2" t="s">
        <v>56</v>
      </c>
      <c r="D1183" s="5" t="s">
        <v>80</v>
      </c>
      <c r="E1183" s="5" t="s">
        <v>62</v>
      </c>
      <c r="F1183" s="2" t="n">
        <v>11</v>
      </c>
      <c r="G1183" s="5" t="s">
        <v>76</v>
      </c>
      <c r="H1183" s="2" t="n">
        <v>1</v>
      </c>
      <c r="I1183" s="2" t="n">
        <v>1</v>
      </c>
      <c r="J1183" s="2" t="n">
        <v>1</v>
      </c>
      <c r="K1183" s="7" t="n">
        <v>0.3595891123</v>
      </c>
      <c r="L1183" s="7" t="n">
        <v>0.01829172328</v>
      </c>
      <c r="M1183" s="7" t="n">
        <v>0.02752294439</v>
      </c>
      <c r="N1183" s="7" t="n">
        <v>16</v>
      </c>
      <c r="O1183" s="7" t="n">
        <v>16</v>
      </c>
      <c r="P1183" s="7" t="n">
        <v>16</v>
      </c>
      <c r="Q1183" s="2"/>
      <c r="R1183" s="7" t="n">
        <v>4.511079</v>
      </c>
      <c r="S1183" s="5" t="s">
        <v>79</v>
      </c>
      <c r="T1183" s="5" t="s">
        <v>61</v>
      </c>
    </row>
    <row r="1184" customFormat="false" ht="15" hidden="false" customHeight="false" outlineLevel="0" collapsed="false">
      <c r="A1184" s="5" t="s">
        <v>4</v>
      </c>
      <c r="B1184" s="5" t="s">
        <v>55</v>
      </c>
      <c r="C1184" s="2" t="s">
        <v>56</v>
      </c>
      <c r="D1184" s="5" t="s">
        <v>80</v>
      </c>
      <c r="E1184" s="5" t="s">
        <v>58</v>
      </c>
      <c r="F1184" s="2" t="n">
        <v>12</v>
      </c>
      <c r="G1184" s="5" t="s">
        <v>76</v>
      </c>
      <c r="H1184" s="2" t="n">
        <v>1</v>
      </c>
      <c r="I1184" s="2" t="n">
        <v>1</v>
      </c>
      <c r="J1184" s="2" t="n">
        <v>0</v>
      </c>
      <c r="K1184" s="7" t="n">
        <v>5.121760905</v>
      </c>
      <c r="L1184" s="7" t="n">
        <v>0.545101377</v>
      </c>
      <c r="M1184" s="7" t="n">
        <v>0.6142831859</v>
      </c>
      <c r="N1184" s="7" t="n">
        <v>5</v>
      </c>
      <c r="O1184" s="7" t="n">
        <v>5</v>
      </c>
      <c r="P1184" s="7" t="n">
        <v>0</v>
      </c>
      <c r="Q1184" s="2"/>
      <c r="R1184" s="7" t="n">
        <v>4.3898</v>
      </c>
      <c r="S1184" s="5" t="s">
        <v>79</v>
      </c>
      <c r="T1184" s="5" t="s">
        <v>61</v>
      </c>
    </row>
    <row r="1185" customFormat="false" ht="15" hidden="false" customHeight="false" outlineLevel="0" collapsed="false">
      <c r="A1185" s="5" t="s">
        <v>4</v>
      </c>
      <c r="B1185" s="5" t="s">
        <v>55</v>
      </c>
      <c r="C1185" s="2" t="s">
        <v>56</v>
      </c>
      <c r="D1185" s="5" t="s">
        <v>80</v>
      </c>
      <c r="E1185" s="5" t="s">
        <v>62</v>
      </c>
      <c r="F1185" s="2" t="n">
        <v>12</v>
      </c>
      <c r="G1185" s="5" t="s">
        <v>76</v>
      </c>
      <c r="H1185" s="2" t="n">
        <v>1</v>
      </c>
      <c r="I1185" s="2" t="n">
        <v>1</v>
      </c>
      <c r="J1185" s="2" t="n">
        <v>0</v>
      </c>
      <c r="K1185" s="7" t="n">
        <v>5.121760905</v>
      </c>
      <c r="L1185" s="7" t="n">
        <v>0.545101377</v>
      </c>
      <c r="M1185" s="7" t="n">
        <v>0.6142831859</v>
      </c>
      <c r="N1185" s="7" t="n">
        <v>5</v>
      </c>
      <c r="O1185" s="7" t="n">
        <v>5</v>
      </c>
      <c r="P1185" s="7" t="n">
        <v>5</v>
      </c>
      <c r="Q1185" s="2"/>
      <c r="R1185" s="7" t="n">
        <v>4.841959</v>
      </c>
      <c r="S1185" s="5" t="s">
        <v>79</v>
      </c>
      <c r="T1185" s="5" t="s">
        <v>61</v>
      </c>
    </row>
    <row r="1186" customFormat="false" ht="15" hidden="false" customHeight="false" outlineLevel="0" collapsed="false">
      <c r="A1186" s="5" t="s">
        <v>4</v>
      </c>
      <c r="B1186" s="5" t="s">
        <v>55</v>
      </c>
      <c r="C1186" s="2" t="s">
        <v>56</v>
      </c>
      <c r="D1186" s="5" t="s">
        <v>80</v>
      </c>
      <c r="E1186" s="5" t="s">
        <v>58</v>
      </c>
      <c r="F1186" s="2" t="n">
        <v>13</v>
      </c>
      <c r="G1186" s="5" t="s">
        <v>76</v>
      </c>
      <c r="H1186" s="2" t="n">
        <v>1</v>
      </c>
      <c r="I1186" s="2" t="n">
        <v>1</v>
      </c>
      <c r="J1186" s="2" t="n">
        <v>1</v>
      </c>
      <c r="K1186" s="7" t="n">
        <v>0.1794508636</v>
      </c>
      <c r="L1186" s="7" t="n">
        <v>0.06728427167</v>
      </c>
      <c r="M1186" s="7" t="n">
        <v>0.06933208749</v>
      </c>
      <c r="N1186" s="7" t="n">
        <v>12</v>
      </c>
      <c r="O1186" s="7" t="n">
        <v>12</v>
      </c>
      <c r="P1186" s="7" t="n">
        <v>0</v>
      </c>
      <c r="Q1186" s="2"/>
      <c r="R1186" s="7" t="n">
        <v>3.841731</v>
      </c>
      <c r="S1186" s="5" t="s">
        <v>79</v>
      </c>
      <c r="T1186" s="5" t="s">
        <v>61</v>
      </c>
    </row>
    <row r="1187" customFormat="false" ht="15" hidden="false" customHeight="false" outlineLevel="0" collapsed="false">
      <c r="A1187" s="5" t="s">
        <v>4</v>
      </c>
      <c r="B1187" s="5" t="s">
        <v>55</v>
      </c>
      <c r="C1187" s="2" t="s">
        <v>56</v>
      </c>
      <c r="D1187" s="5" t="s">
        <v>80</v>
      </c>
      <c r="E1187" s="5" t="s">
        <v>62</v>
      </c>
      <c r="F1187" s="2" t="n">
        <v>13</v>
      </c>
      <c r="G1187" s="5" t="s">
        <v>76</v>
      </c>
      <c r="H1187" s="2" t="n">
        <v>1</v>
      </c>
      <c r="I1187" s="2" t="n">
        <v>1</v>
      </c>
      <c r="J1187" s="2" t="n">
        <v>1</v>
      </c>
      <c r="K1187" s="7" t="n">
        <v>0.2390163566</v>
      </c>
      <c r="L1187" s="7" t="n">
        <v>0.01042331152</v>
      </c>
      <c r="M1187" s="7" t="n">
        <v>0.01928783805</v>
      </c>
      <c r="N1187" s="7" t="n">
        <v>12</v>
      </c>
      <c r="O1187" s="7" t="n">
        <v>12</v>
      </c>
      <c r="P1187" s="7" t="n">
        <v>11</v>
      </c>
      <c r="Q1187" s="2"/>
      <c r="R1187" s="7" t="n">
        <v>4.466635</v>
      </c>
      <c r="S1187" s="5" t="s">
        <v>79</v>
      </c>
      <c r="T1187" s="5" t="s">
        <v>61</v>
      </c>
    </row>
    <row r="1188" customFormat="false" ht="15" hidden="false" customHeight="false" outlineLevel="0" collapsed="false">
      <c r="A1188" s="5" t="s">
        <v>4</v>
      </c>
      <c r="B1188" s="5" t="s">
        <v>55</v>
      </c>
      <c r="C1188" s="2" t="s">
        <v>56</v>
      </c>
      <c r="D1188" s="5" t="s">
        <v>80</v>
      </c>
      <c r="E1188" s="5" t="s">
        <v>58</v>
      </c>
      <c r="F1188" s="2" t="n">
        <v>14</v>
      </c>
      <c r="G1188" s="5" t="s">
        <v>76</v>
      </c>
      <c r="H1188" s="2" t="n">
        <v>1</v>
      </c>
      <c r="I1188" s="2" t="n">
        <v>1</v>
      </c>
      <c r="J1188" s="2" t="n">
        <v>1</v>
      </c>
      <c r="K1188" s="7" t="n">
        <v>0.4851381821</v>
      </c>
      <c r="L1188" s="7" t="n">
        <v>0.06711527694</v>
      </c>
      <c r="M1188" s="7" t="n">
        <v>0.07504540284</v>
      </c>
      <c r="N1188" s="7" t="n">
        <v>10</v>
      </c>
      <c r="O1188" s="7" t="n">
        <v>10</v>
      </c>
      <c r="P1188" s="7" t="n">
        <v>0</v>
      </c>
      <c r="Q1188" s="2"/>
      <c r="R1188" s="7" t="n">
        <v>4.079001</v>
      </c>
      <c r="S1188" s="5" t="s">
        <v>79</v>
      </c>
      <c r="T1188" s="5" t="s">
        <v>61</v>
      </c>
    </row>
    <row r="1189" customFormat="false" ht="15" hidden="false" customHeight="false" outlineLevel="0" collapsed="false">
      <c r="A1189" s="5" t="s">
        <v>4</v>
      </c>
      <c r="B1189" s="5" t="s">
        <v>55</v>
      </c>
      <c r="C1189" s="2" t="s">
        <v>56</v>
      </c>
      <c r="D1189" s="5" t="s">
        <v>80</v>
      </c>
      <c r="E1189" s="5" t="s">
        <v>62</v>
      </c>
      <c r="F1189" s="2" t="n">
        <v>14</v>
      </c>
      <c r="G1189" s="5" t="s">
        <v>76</v>
      </c>
      <c r="H1189" s="2" t="n">
        <v>1</v>
      </c>
      <c r="I1189" s="2" t="n">
        <v>1</v>
      </c>
      <c r="J1189" s="2" t="n">
        <v>1</v>
      </c>
      <c r="K1189" s="7" t="n">
        <v>0.4851381821</v>
      </c>
      <c r="L1189" s="7" t="n">
        <v>0.06711527694</v>
      </c>
      <c r="M1189" s="7" t="n">
        <v>0.07504540284</v>
      </c>
      <c r="N1189" s="7" t="n">
        <v>10</v>
      </c>
      <c r="O1189" s="7" t="n">
        <v>10</v>
      </c>
      <c r="P1189" s="7" t="n">
        <v>10</v>
      </c>
      <c r="Q1189" s="2"/>
      <c r="R1189" s="7" t="n">
        <v>4.603056</v>
      </c>
      <c r="S1189" s="5" t="s">
        <v>79</v>
      </c>
      <c r="T1189" s="5" t="s">
        <v>61</v>
      </c>
    </row>
    <row r="1190" customFormat="false" ht="15" hidden="false" customHeight="false" outlineLevel="0" collapsed="false">
      <c r="A1190" s="5" t="s">
        <v>4</v>
      </c>
      <c r="B1190" s="5" t="s">
        <v>55</v>
      </c>
      <c r="C1190" s="2" t="s">
        <v>56</v>
      </c>
      <c r="D1190" s="5" t="s">
        <v>80</v>
      </c>
      <c r="E1190" s="5" t="s">
        <v>58</v>
      </c>
      <c r="F1190" s="2" t="n">
        <v>15</v>
      </c>
      <c r="G1190" s="5" t="s">
        <v>76</v>
      </c>
      <c r="H1190" s="2" t="n">
        <v>1</v>
      </c>
      <c r="I1190" s="2" t="n">
        <v>1</v>
      </c>
      <c r="J1190" s="2" t="n">
        <v>1</v>
      </c>
      <c r="K1190" s="7" t="n">
        <v>0.3785271685</v>
      </c>
      <c r="L1190" s="7" t="n">
        <v>0.02854753944</v>
      </c>
      <c r="M1190" s="7" t="n">
        <v>0.03710655624</v>
      </c>
      <c r="N1190" s="7" t="n">
        <v>11</v>
      </c>
      <c r="O1190" s="7" t="n">
        <v>11</v>
      </c>
      <c r="P1190" s="7" t="n">
        <v>0</v>
      </c>
      <c r="Q1190" s="2"/>
      <c r="R1190" s="7" t="n">
        <v>3.931774</v>
      </c>
      <c r="S1190" s="5" t="s">
        <v>79</v>
      </c>
      <c r="T1190" s="5" t="s">
        <v>61</v>
      </c>
    </row>
    <row r="1191" customFormat="false" ht="15" hidden="false" customHeight="false" outlineLevel="0" collapsed="false">
      <c r="A1191" s="5" t="s">
        <v>4</v>
      </c>
      <c r="B1191" s="5" t="s">
        <v>55</v>
      </c>
      <c r="C1191" s="2" t="s">
        <v>56</v>
      </c>
      <c r="D1191" s="5" t="s">
        <v>80</v>
      </c>
      <c r="E1191" s="5" t="s">
        <v>62</v>
      </c>
      <c r="F1191" s="2" t="n">
        <v>15</v>
      </c>
      <c r="G1191" s="5" t="s">
        <v>76</v>
      </c>
      <c r="H1191" s="2" t="n">
        <v>1</v>
      </c>
      <c r="I1191" s="2" t="n">
        <v>1</v>
      </c>
      <c r="J1191" s="2" t="n">
        <v>1</v>
      </c>
      <c r="K1191" s="7" t="n">
        <v>0.3785271685</v>
      </c>
      <c r="L1191" s="7" t="n">
        <v>0.02854753944</v>
      </c>
      <c r="M1191" s="7" t="n">
        <v>0.03710655624</v>
      </c>
      <c r="N1191" s="7" t="n">
        <v>11</v>
      </c>
      <c r="O1191" s="7" t="n">
        <v>11</v>
      </c>
      <c r="P1191" s="7" t="n">
        <v>11</v>
      </c>
      <c r="Q1191" s="2"/>
      <c r="R1191" s="7" t="n">
        <v>4.552642</v>
      </c>
      <c r="S1191" s="5" t="s">
        <v>79</v>
      </c>
      <c r="T1191" s="5" t="s">
        <v>61</v>
      </c>
    </row>
    <row r="1192" customFormat="false" ht="15" hidden="false" customHeight="false" outlineLevel="0" collapsed="false">
      <c r="A1192" s="5" t="s">
        <v>4</v>
      </c>
      <c r="B1192" s="5" t="s">
        <v>55</v>
      </c>
      <c r="C1192" s="2" t="s">
        <v>56</v>
      </c>
      <c r="D1192" s="5" t="s">
        <v>80</v>
      </c>
      <c r="E1192" s="5" t="s">
        <v>58</v>
      </c>
      <c r="F1192" s="2" t="n">
        <v>16</v>
      </c>
      <c r="G1192" s="5" t="s">
        <v>76</v>
      </c>
      <c r="H1192" s="2" t="n">
        <v>1</v>
      </c>
      <c r="I1192" s="2" t="n">
        <v>1</v>
      </c>
      <c r="J1192" s="2" t="n">
        <v>1</v>
      </c>
      <c r="K1192" s="7" t="n">
        <v>0.5082300743</v>
      </c>
      <c r="L1192" s="7" t="n">
        <v>0.03675952028</v>
      </c>
      <c r="M1192" s="7" t="n">
        <v>0.05247613991</v>
      </c>
      <c r="N1192" s="7" t="n">
        <v>9</v>
      </c>
      <c r="O1192" s="7" t="n">
        <v>9</v>
      </c>
      <c r="P1192" s="7" t="n">
        <v>0</v>
      </c>
      <c r="Q1192" s="2"/>
      <c r="R1192" s="7" t="n">
        <v>3.826037</v>
      </c>
      <c r="S1192" s="5" t="s">
        <v>79</v>
      </c>
      <c r="T1192" s="5" t="s">
        <v>61</v>
      </c>
    </row>
    <row r="1193" customFormat="false" ht="15" hidden="false" customHeight="false" outlineLevel="0" collapsed="false">
      <c r="A1193" s="5" t="s">
        <v>4</v>
      </c>
      <c r="B1193" s="5" t="s">
        <v>55</v>
      </c>
      <c r="C1193" s="2" t="s">
        <v>56</v>
      </c>
      <c r="D1193" s="5" t="s">
        <v>80</v>
      </c>
      <c r="E1193" s="5" t="s">
        <v>62</v>
      </c>
      <c r="F1193" s="2" t="n">
        <v>16</v>
      </c>
      <c r="G1193" s="5" t="s">
        <v>76</v>
      </c>
      <c r="H1193" s="2" t="n">
        <v>1</v>
      </c>
      <c r="I1193" s="2" t="n">
        <v>1</v>
      </c>
      <c r="J1193" s="2" t="n">
        <v>1</v>
      </c>
      <c r="K1193" s="7" t="n">
        <v>0.5082300743</v>
      </c>
      <c r="L1193" s="7" t="n">
        <v>0.03675952028</v>
      </c>
      <c r="M1193" s="7" t="n">
        <v>0.05247613991</v>
      </c>
      <c r="N1193" s="7" t="n">
        <v>9</v>
      </c>
      <c r="O1193" s="7" t="n">
        <v>9</v>
      </c>
      <c r="P1193" s="7" t="n">
        <v>9</v>
      </c>
      <c r="Q1193" s="2"/>
      <c r="R1193" s="7" t="n">
        <v>4.366406</v>
      </c>
      <c r="S1193" s="5" t="s">
        <v>79</v>
      </c>
      <c r="T1193" s="5" t="s">
        <v>61</v>
      </c>
    </row>
    <row r="1194" customFormat="false" ht="15" hidden="false" customHeight="false" outlineLevel="0" collapsed="false">
      <c r="A1194" s="5" t="s">
        <v>4</v>
      </c>
      <c r="B1194" s="5" t="s">
        <v>55</v>
      </c>
      <c r="C1194" s="2" t="s">
        <v>56</v>
      </c>
      <c r="D1194" s="5" t="s">
        <v>80</v>
      </c>
      <c r="E1194" s="5" t="s">
        <v>58</v>
      </c>
      <c r="F1194" s="2" t="n">
        <v>17</v>
      </c>
      <c r="G1194" s="5" t="s">
        <v>76</v>
      </c>
      <c r="H1194" s="2" t="n">
        <v>1</v>
      </c>
      <c r="I1194" s="2" t="n">
        <v>1</v>
      </c>
      <c r="J1194" s="2" t="n">
        <v>1</v>
      </c>
      <c r="K1194" s="7" t="n">
        <v>1.051525553</v>
      </c>
      <c r="L1194" s="7" t="n">
        <v>0.04067302196</v>
      </c>
      <c r="M1194" s="7" t="n">
        <v>0.07548837543</v>
      </c>
      <c r="N1194" s="7" t="n">
        <v>13</v>
      </c>
      <c r="O1194" s="7" t="n">
        <v>13</v>
      </c>
      <c r="P1194" s="7" t="n">
        <v>0</v>
      </c>
      <c r="Q1194" s="2"/>
      <c r="R1194" s="7" t="n">
        <v>3.81457</v>
      </c>
      <c r="S1194" s="5" t="s">
        <v>79</v>
      </c>
      <c r="T1194" s="5" t="s">
        <v>61</v>
      </c>
    </row>
    <row r="1195" customFormat="false" ht="15" hidden="false" customHeight="false" outlineLevel="0" collapsed="false">
      <c r="A1195" s="5" t="s">
        <v>4</v>
      </c>
      <c r="B1195" s="5" t="s">
        <v>55</v>
      </c>
      <c r="C1195" s="2" t="s">
        <v>56</v>
      </c>
      <c r="D1195" s="5" t="s">
        <v>80</v>
      </c>
      <c r="E1195" s="5" t="s">
        <v>62</v>
      </c>
      <c r="F1195" s="2" t="n">
        <v>17</v>
      </c>
      <c r="G1195" s="5" t="s">
        <v>76</v>
      </c>
      <c r="H1195" s="2" t="n">
        <v>1</v>
      </c>
      <c r="I1195" s="2" t="n">
        <v>1</v>
      </c>
      <c r="J1195" s="2" t="n">
        <v>1</v>
      </c>
      <c r="K1195" s="7" t="n">
        <v>0.1502820553</v>
      </c>
      <c r="L1195" s="7" t="n">
        <v>0.03462484717</v>
      </c>
      <c r="M1195" s="7" t="n">
        <v>0.03508919414</v>
      </c>
      <c r="N1195" s="7" t="n">
        <v>13</v>
      </c>
      <c r="O1195" s="7" t="n">
        <v>13</v>
      </c>
      <c r="P1195" s="7" t="n">
        <v>12</v>
      </c>
      <c r="Q1195" s="2"/>
      <c r="R1195" s="7" t="n">
        <v>4.47766</v>
      </c>
      <c r="S1195" s="5" t="s">
        <v>79</v>
      </c>
      <c r="T1195" s="5" t="s">
        <v>61</v>
      </c>
    </row>
    <row r="1196" customFormat="false" ht="15" hidden="false" customHeight="false" outlineLevel="0" collapsed="false">
      <c r="A1196" s="5" t="s">
        <v>4</v>
      </c>
      <c r="B1196" s="5" t="s">
        <v>55</v>
      </c>
      <c r="C1196" s="2" t="s">
        <v>56</v>
      </c>
      <c r="D1196" s="5" t="s">
        <v>80</v>
      </c>
      <c r="E1196" s="5" t="s">
        <v>58</v>
      </c>
      <c r="F1196" s="2" t="n">
        <v>18</v>
      </c>
      <c r="G1196" s="5" t="s">
        <v>76</v>
      </c>
      <c r="H1196" s="2" t="n">
        <v>1</v>
      </c>
      <c r="I1196" s="2" t="n">
        <v>1</v>
      </c>
      <c r="J1196" s="2" t="n">
        <v>1</v>
      </c>
      <c r="K1196" s="7" t="n">
        <v>0.4161153627</v>
      </c>
      <c r="L1196" s="7" t="n">
        <v>0.05765870052</v>
      </c>
      <c r="M1196" s="7" t="n">
        <v>0.06531822584</v>
      </c>
      <c r="N1196" s="7" t="n">
        <v>13</v>
      </c>
      <c r="O1196" s="7" t="n">
        <v>13</v>
      </c>
      <c r="P1196" s="7" t="n">
        <v>0</v>
      </c>
      <c r="Q1196" s="2"/>
      <c r="R1196" s="7" t="n">
        <v>4.022174</v>
      </c>
      <c r="S1196" s="5" t="s">
        <v>79</v>
      </c>
      <c r="T1196" s="5" t="s">
        <v>61</v>
      </c>
    </row>
    <row r="1197" customFormat="false" ht="15" hidden="false" customHeight="false" outlineLevel="0" collapsed="false">
      <c r="A1197" s="5" t="s">
        <v>4</v>
      </c>
      <c r="B1197" s="5" t="s">
        <v>55</v>
      </c>
      <c r="C1197" s="2" t="s">
        <v>56</v>
      </c>
      <c r="D1197" s="5" t="s">
        <v>80</v>
      </c>
      <c r="E1197" s="5" t="s">
        <v>62</v>
      </c>
      <c r="F1197" s="2" t="n">
        <v>18</v>
      </c>
      <c r="G1197" s="5" t="s">
        <v>76</v>
      </c>
      <c r="H1197" s="2" t="n">
        <v>1</v>
      </c>
      <c r="I1197" s="2" t="n">
        <v>1</v>
      </c>
      <c r="J1197" s="2" t="n">
        <v>1</v>
      </c>
      <c r="K1197" s="7" t="n">
        <v>0.4161153627</v>
      </c>
      <c r="L1197" s="7" t="n">
        <v>0.05765870052</v>
      </c>
      <c r="M1197" s="7" t="n">
        <v>0.06531822584</v>
      </c>
      <c r="N1197" s="7" t="n">
        <v>13</v>
      </c>
      <c r="O1197" s="7" t="n">
        <v>13</v>
      </c>
      <c r="P1197" s="7" t="n">
        <v>13</v>
      </c>
      <c r="Q1197" s="2"/>
      <c r="R1197" s="7" t="n">
        <v>4.652185</v>
      </c>
      <c r="S1197" s="5" t="s">
        <v>79</v>
      </c>
      <c r="T1197" s="5" t="s">
        <v>61</v>
      </c>
    </row>
    <row r="1198" customFormat="false" ht="15" hidden="false" customHeight="false" outlineLevel="0" collapsed="false">
      <c r="A1198" s="5" t="s">
        <v>4</v>
      </c>
      <c r="B1198" s="5" t="s">
        <v>55</v>
      </c>
      <c r="C1198" s="2" t="s">
        <v>56</v>
      </c>
      <c r="D1198" s="5" t="s">
        <v>80</v>
      </c>
      <c r="E1198" s="5" t="s">
        <v>58</v>
      </c>
      <c r="F1198" s="2" t="n">
        <v>19</v>
      </c>
      <c r="G1198" s="5" t="s">
        <v>76</v>
      </c>
      <c r="H1198" s="2" t="n">
        <v>1</v>
      </c>
      <c r="I1198" s="2" t="n">
        <v>1</v>
      </c>
      <c r="J1198" s="2" t="n">
        <v>1</v>
      </c>
      <c r="K1198" s="7" t="n">
        <v>0.9673840792</v>
      </c>
      <c r="L1198" s="7" t="n">
        <v>0.05854601149</v>
      </c>
      <c r="M1198" s="7" t="n">
        <v>0.08844129771</v>
      </c>
      <c r="N1198" s="7" t="n">
        <v>11</v>
      </c>
      <c r="O1198" s="7" t="n">
        <v>11</v>
      </c>
      <c r="P1198" s="7" t="n">
        <v>0</v>
      </c>
      <c r="Q1198" s="2"/>
      <c r="R1198" s="7" t="n">
        <v>3.591638</v>
      </c>
      <c r="S1198" s="5" t="s">
        <v>79</v>
      </c>
      <c r="T1198" s="5" t="s">
        <v>61</v>
      </c>
    </row>
    <row r="1199" customFormat="false" ht="15" hidden="false" customHeight="false" outlineLevel="0" collapsed="false">
      <c r="A1199" s="5" t="s">
        <v>4</v>
      </c>
      <c r="B1199" s="5" t="s">
        <v>55</v>
      </c>
      <c r="C1199" s="2" t="s">
        <v>56</v>
      </c>
      <c r="D1199" s="5" t="s">
        <v>80</v>
      </c>
      <c r="E1199" s="5" t="s">
        <v>62</v>
      </c>
      <c r="F1199" s="2" t="n">
        <v>19</v>
      </c>
      <c r="G1199" s="5" t="s">
        <v>76</v>
      </c>
      <c r="H1199" s="2" t="n">
        <v>1</v>
      </c>
      <c r="I1199" s="2" t="n">
        <v>1</v>
      </c>
      <c r="J1199" s="2" t="n">
        <v>1</v>
      </c>
      <c r="K1199" s="7" t="n">
        <v>0.1435310022</v>
      </c>
      <c r="L1199" s="7" t="n">
        <v>0.01220137021</v>
      </c>
      <c r="M1199" s="7" t="n">
        <v>0.01808372827</v>
      </c>
      <c r="N1199" s="7" t="n">
        <v>11</v>
      </c>
      <c r="O1199" s="7" t="n">
        <v>11</v>
      </c>
      <c r="P1199" s="7" t="n">
        <v>10</v>
      </c>
      <c r="Q1199" s="2"/>
      <c r="R1199" s="7" t="n">
        <v>4.17498</v>
      </c>
      <c r="S1199" s="5" t="s">
        <v>79</v>
      </c>
      <c r="T1199" s="5" t="s">
        <v>61</v>
      </c>
    </row>
    <row r="1200" customFormat="false" ht="15" hidden="false" customHeight="false" outlineLevel="0" collapsed="false">
      <c r="A1200" s="5" t="s">
        <v>4</v>
      </c>
      <c r="B1200" s="5" t="s">
        <v>55</v>
      </c>
      <c r="C1200" s="2" t="s">
        <v>56</v>
      </c>
      <c r="D1200" s="5" t="s">
        <v>80</v>
      </c>
      <c r="E1200" s="5" t="s">
        <v>58</v>
      </c>
      <c r="F1200" s="2" t="n">
        <v>20</v>
      </c>
      <c r="G1200" s="5" t="s">
        <v>76</v>
      </c>
      <c r="H1200" s="2" t="n">
        <v>1</v>
      </c>
      <c r="I1200" s="2" t="n">
        <v>1</v>
      </c>
      <c r="J1200" s="2" t="n">
        <v>1</v>
      </c>
      <c r="K1200" s="7" t="n">
        <v>0.4212258697</v>
      </c>
      <c r="L1200" s="7" t="n">
        <v>0.05319912735</v>
      </c>
      <c r="M1200" s="7" t="n">
        <v>0.05987192303</v>
      </c>
      <c r="N1200" s="7" t="n">
        <v>15</v>
      </c>
      <c r="O1200" s="7" t="n">
        <v>15</v>
      </c>
      <c r="P1200" s="7" t="n">
        <v>0</v>
      </c>
      <c r="Q1200" s="2"/>
      <c r="R1200" s="7" t="n">
        <v>4.136814</v>
      </c>
      <c r="S1200" s="5" t="s">
        <v>79</v>
      </c>
      <c r="T1200" s="5" t="s">
        <v>61</v>
      </c>
    </row>
    <row r="1201" customFormat="false" ht="15" hidden="false" customHeight="false" outlineLevel="0" collapsed="false">
      <c r="A1201" s="5" t="s">
        <v>4</v>
      </c>
      <c r="B1201" s="5" t="s">
        <v>55</v>
      </c>
      <c r="C1201" s="2" t="s">
        <v>56</v>
      </c>
      <c r="D1201" s="5" t="s">
        <v>80</v>
      </c>
      <c r="E1201" s="5" t="s">
        <v>62</v>
      </c>
      <c r="F1201" s="2" t="n">
        <v>20</v>
      </c>
      <c r="G1201" s="5" t="s">
        <v>76</v>
      </c>
      <c r="H1201" s="2" t="n">
        <v>1</v>
      </c>
      <c r="I1201" s="2" t="n">
        <v>1</v>
      </c>
      <c r="J1201" s="2" t="n">
        <v>1</v>
      </c>
      <c r="K1201" s="7" t="n">
        <v>0.4212258697</v>
      </c>
      <c r="L1201" s="7" t="n">
        <v>0.05319912735</v>
      </c>
      <c r="M1201" s="7" t="n">
        <v>0.05987192303</v>
      </c>
      <c r="N1201" s="7" t="n">
        <v>15</v>
      </c>
      <c r="O1201" s="7" t="n">
        <v>15</v>
      </c>
      <c r="P1201" s="7" t="n">
        <v>15</v>
      </c>
      <c r="Q1201" s="2"/>
      <c r="R1201" s="7" t="n">
        <v>4.826804</v>
      </c>
      <c r="S1201" s="5" t="s">
        <v>79</v>
      </c>
      <c r="T1201" s="5" t="s">
        <v>61</v>
      </c>
    </row>
    <row r="1202" customFormat="false" ht="15" hidden="false" customHeight="false" outlineLevel="0" collapsed="false">
      <c r="A1202" s="5" t="s">
        <v>4</v>
      </c>
      <c r="B1202" s="5" t="s">
        <v>55</v>
      </c>
      <c r="C1202" s="2" t="s">
        <v>56</v>
      </c>
      <c r="D1202" s="5" t="s">
        <v>81</v>
      </c>
      <c r="E1202" s="5" t="s">
        <v>58</v>
      </c>
      <c r="F1202" s="2" t="n">
        <v>11</v>
      </c>
      <c r="G1202" s="5" t="s">
        <v>59</v>
      </c>
      <c r="H1202" s="2" t="n">
        <v>1</v>
      </c>
      <c r="I1202" s="2" t="n">
        <v>1</v>
      </c>
      <c r="J1202" s="2" t="n">
        <v>1</v>
      </c>
      <c r="K1202" s="7" t="n">
        <v>0.5372715191</v>
      </c>
      <c r="L1202" s="7" t="n">
        <v>0.08824360959</v>
      </c>
      <c r="M1202" s="7" t="n">
        <v>0.09280504917</v>
      </c>
      <c r="N1202" s="7" t="n">
        <v>4</v>
      </c>
      <c r="O1202" s="7" t="n">
        <v>4</v>
      </c>
      <c r="P1202" s="7" t="n">
        <v>0</v>
      </c>
      <c r="Q1202" s="2"/>
      <c r="R1202" s="7" t="n">
        <v>1.535169</v>
      </c>
      <c r="S1202" s="5" t="s">
        <v>82</v>
      </c>
      <c r="T1202" s="5" t="s">
        <v>61</v>
      </c>
    </row>
    <row r="1203" customFormat="false" ht="15" hidden="false" customHeight="false" outlineLevel="0" collapsed="false">
      <c r="A1203" s="5" t="s">
        <v>4</v>
      </c>
      <c r="B1203" s="5" t="s">
        <v>55</v>
      </c>
      <c r="C1203" s="2" t="s">
        <v>56</v>
      </c>
      <c r="D1203" s="5" t="s">
        <v>81</v>
      </c>
      <c r="E1203" s="5" t="s">
        <v>62</v>
      </c>
      <c r="F1203" s="2" t="n">
        <v>11</v>
      </c>
      <c r="G1203" s="5" t="s">
        <v>59</v>
      </c>
      <c r="H1203" s="2" t="n">
        <v>1</v>
      </c>
      <c r="I1203" s="2" t="n">
        <v>1</v>
      </c>
      <c r="J1203" s="2" t="n">
        <v>1</v>
      </c>
      <c r="K1203" s="7" t="n">
        <v>0.5372715191</v>
      </c>
      <c r="L1203" s="7" t="n">
        <v>0.08824360959</v>
      </c>
      <c r="M1203" s="7" t="n">
        <v>0.09280504917</v>
      </c>
      <c r="N1203" s="7" t="n">
        <v>4</v>
      </c>
      <c r="O1203" s="7" t="n">
        <v>4</v>
      </c>
      <c r="P1203" s="7" t="n">
        <v>4</v>
      </c>
      <c r="Q1203" s="2"/>
      <c r="R1203" s="7" t="n">
        <v>1.831177</v>
      </c>
      <c r="S1203" s="5" t="s">
        <v>82</v>
      </c>
      <c r="T1203" s="5" t="s">
        <v>61</v>
      </c>
    </row>
    <row r="1204" customFormat="false" ht="15" hidden="false" customHeight="false" outlineLevel="0" collapsed="false">
      <c r="A1204" s="5" t="s">
        <v>4</v>
      </c>
      <c r="B1204" s="5" t="s">
        <v>55</v>
      </c>
      <c r="C1204" s="2" t="s">
        <v>56</v>
      </c>
      <c r="D1204" s="5" t="s">
        <v>81</v>
      </c>
      <c r="E1204" s="5" t="s">
        <v>58</v>
      </c>
      <c r="F1204" s="2" t="n">
        <v>11</v>
      </c>
      <c r="G1204" s="5" t="s">
        <v>63</v>
      </c>
      <c r="H1204" s="2" t="n">
        <v>1</v>
      </c>
      <c r="I1204" s="2" t="n">
        <v>1</v>
      </c>
      <c r="J1204" s="2" t="n">
        <v>1</v>
      </c>
      <c r="K1204" s="7" t="n">
        <v>0.4779795928</v>
      </c>
      <c r="L1204" s="7" t="n">
        <v>0.06318819325</v>
      </c>
      <c r="M1204" s="7" t="n">
        <v>0.06946040132</v>
      </c>
      <c r="N1204" s="7" t="n">
        <v>9</v>
      </c>
      <c r="O1204" s="7" t="n">
        <v>9</v>
      </c>
      <c r="P1204" s="7" t="n">
        <v>0</v>
      </c>
      <c r="Q1204" s="2"/>
      <c r="R1204" s="7" t="n">
        <v>1.27191</v>
      </c>
      <c r="S1204" s="5" t="s">
        <v>82</v>
      </c>
      <c r="T1204" s="5" t="s">
        <v>61</v>
      </c>
    </row>
    <row r="1205" customFormat="false" ht="15" hidden="false" customHeight="false" outlineLevel="0" collapsed="false">
      <c r="A1205" s="5" t="s">
        <v>4</v>
      </c>
      <c r="B1205" s="5" t="s">
        <v>55</v>
      </c>
      <c r="C1205" s="2" t="s">
        <v>56</v>
      </c>
      <c r="D1205" s="5" t="s">
        <v>81</v>
      </c>
      <c r="E1205" s="5" t="s">
        <v>62</v>
      </c>
      <c r="F1205" s="2" t="n">
        <v>11</v>
      </c>
      <c r="G1205" s="5" t="s">
        <v>63</v>
      </c>
      <c r="H1205" s="2" t="n">
        <v>1</v>
      </c>
      <c r="I1205" s="2" t="n">
        <v>1</v>
      </c>
      <c r="J1205" s="2" t="n">
        <v>1</v>
      </c>
      <c r="K1205" s="7" t="n">
        <v>0.4779795928</v>
      </c>
      <c r="L1205" s="7" t="n">
        <v>0.06318819325</v>
      </c>
      <c r="M1205" s="7" t="n">
        <v>0.06946040132</v>
      </c>
      <c r="N1205" s="7" t="n">
        <v>9</v>
      </c>
      <c r="O1205" s="7" t="n">
        <v>9</v>
      </c>
      <c r="P1205" s="7" t="n">
        <v>9</v>
      </c>
      <c r="Q1205" s="2"/>
      <c r="R1205" s="7" t="n">
        <v>1.801071</v>
      </c>
      <c r="S1205" s="5" t="s">
        <v>82</v>
      </c>
      <c r="T1205" s="5" t="s">
        <v>61</v>
      </c>
    </row>
    <row r="1206" customFormat="false" ht="15" hidden="false" customHeight="false" outlineLevel="0" collapsed="false">
      <c r="A1206" s="5" t="s">
        <v>4</v>
      </c>
      <c r="B1206" s="5" t="s">
        <v>55</v>
      </c>
      <c r="C1206" s="2" t="s">
        <v>56</v>
      </c>
      <c r="D1206" s="5" t="s">
        <v>81</v>
      </c>
      <c r="E1206" s="5" t="s">
        <v>58</v>
      </c>
      <c r="F1206" s="2" t="n">
        <v>11</v>
      </c>
      <c r="G1206" s="5" t="s">
        <v>64</v>
      </c>
      <c r="H1206" s="2" t="n">
        <v>0</v>
      </c>
      <c r="I1206" s="2" t="n">
        <v>1</v>
      </c>
      <c r="J1206" s="2" t="n">
        <v>0</v>
      </c>
      <c r="K1206" s="7" t="n">
        <v>2.457527212</v>
      </c>
      <c r="L1206" s="7" t="n">
        <v>0.6747930048</v>
      </c>
      <c r="M1206" s="7" t="n">
        <v>0.6930446474</v>
      </c>
      <c r="N1206" s="7" t="n">
        <v>3</v>
      </c>
      <c r="O1206" s="7" t="n">
        <v>3</v>
      </c>
      <c r="P1206" s="7" t="n">
        <v>0</v>
      </c>
      <c r="Q1206" s="2"/>
      <c r="R1206" s="7" t="n">
        <v>1.28608</v>
      </c>
      <c r="S1206" s="5" t="s">
        <v>82</v>
      </c>
      <c r="T1206" s="5" t="s">
        <v>61</v>
      </c>
    </row>
    <row r="1207" customFormat="false" ht="15" hidden="false" customHeight="false" outlineLevel="0" collapsed="false">
      <c r="A1207" s="5" t="s">
        <v>4</v>
      </c>
      <c r="B1207" s="5" t="s">
        <v>55</v>
      </c>
      <c r="C1207" s="2" t="s">
        <v>56</v>
      </c>
      <c r="D1207" s="5" t="s">
        <v>81</v>
      </c>
      <c r="E1207" s="5" t="s">
        <v>62</v>
      </c>
      <c r="F1207" s="2" t="n">
        <v>11</v>
      </c>
      <c r="G1207" s="5" t="s">
        <v>64</v>
      </c>
      <c r="H1207" s="2" t="n">
        <v>0</v>
      </c>
      <c r="I1207" s="2" t="n">
        <v>1</v>
      </c>
      <c r="J1207" s="2" t="n">
        <v>0</v>
      </c>
      <c r="K1207" s="7" t="n">
        <v>2.457527212</v>
      </c>
      <c r="L1207" s="7" t="n">
        <v>0.6747930048</v>
      </c>
      <c r="M1207" s="7" t="n">
        <v>0.6930446474</v>
      </c>
      <c r="N1207" s="7" t="n">
        <v>3</v>
      </c>
      <c r="O1207" s="7" t="n">
        <v>3</v>
      </c>
      <c r="P1207" s="7" t="n">
        <v>3</v>
      </c>
      <c r="Q1207" s="2"/>
      <c r="R1207" s="7" t="n">
        <v>1.443163</v>
      </c>
      <c r="S1207" s="5" t="s">
        <v>82</v>
      </c>
      <c r="T1207" s="5" t="s">
        <v>61</v>
      </c>
    </row>
    <row r="1208" customFormat="false" ht="15" hidden="false" customHeight="false" outlineLevel="0" collapsed="false">
      <c r="A1208" s="5" t="s">
        <v>4</v>
      </c>
      <c r="B1208" s="5" t="s">
        <v>55</v>
      </c>
      <c r="C1208" s="2" t="s">
        <v>56</v>
      </c>
      <c r="D1208" s="5" t="s">
        <v>81</v>
      </c>
      <c r="E1208" s="5" t="s">
        <v>58</v>
      </c>
      <c r="F1208" s="2" t="n">
        <v>11</v>
      </c>
      <c r="G1208" s="5" t="s">
        <v>65</v>
      </c>
      <c r="H1208" s="2" t="n">
        <v>0</v>
      </c>
      <c r="I1208" s="2" t="n">
        <v>1</v>
      </c>
      <c r="J1208" s="2" t="n">
        <v>0</v>
      </c>
      <c r="K1208" s="7" t="n">
        <v>2.86105037</v>
      </c>
      <c r="L1208" s="7" t="n">
        <v>0.9988766867</v>
      </c>
      <c r="M1208" s="7" t="n">
        <v>1.008111393</v>
      </c>
      <c r="N1208" s="7" t="n">
        <v>5</v>
      </c>
      <c r="O1208" s="7" t="n">
        <v>5</v>
      </c>
      <c r="P1208" s="7" t="n">
        <v>0</v>
      </c>
      <c r="Q1208" s="2"/>
      <c r="R1208" s="7" t="n">
        <v>2.237436</v>
      </c>
      <c r="S1208" s="5" t="s">
        <v>82</v>
      </c>
      <c r="T1208" s="5" t="s">
        <v>61</v>
      </c>
    </row>
    <row r="1209" customFormat="false" ht="15" hidden="false" customHeight="false" outlineLevel="0" collapsed="false">
      <c r="A1209" s="5" t="s">
        <v>4</v>
      </c>
      <c r="B1209" s="5" t="s">
        <v>55</v>
      </c>
      <c r="C1209" s="2" t="s">
        <v>56</v>
      </c>
      <c r="D1209" s="5" t="s">
        <v>81</v>
      </c>
      <c r="E1209" s="5" t="s">
        <v>62</v>
      </c>
      <c r="F1209" s="2" t="n">
        <v>11</v>
      </c>
      <c r="G1209" s="5" t="s">
        <v>65</v>
      </c>
      <c r="H1209" s="2" t="n">
        <v>0</v>
      </c>
      <c r="I1209" s="2" t="n">
        <v>1</v>
      </c>
      <c r="J1209" s="2" t="n">
        <v>1</v>
      </c>
      <c r="K1209" s="7" t="n">
        <v>0.6048311385</v>
      </c>
      <c r="L1209" s="7" t="n">
        <v>0.1688915981</v>
      </c>
      <c r="M1209" s="7" t="n">
        <v>0.1706404541</v>
      </c>
      <c r="N1209" s="7" t="n">
        <v>5</v>
      </c>
      <c r="O1209" s="7" t="n">
        <v>5</v>
      </c>
      <c r="P1209" s="7" t="n">
        <v>4</v>
      </c>
      <c r="Q1209" s="2"/>
      <c r="R1209" s="7" t="n">
        <v>2.600854</v>
      </c>
      <c r="S1209" s="5" t="s">
        <v>82</v>
      </c>
      <c r="T1209" s="5" t="s">
        <v>61</v>
      </c>
    </row>
    <row r="1210" customFormat="false" ht="15" hidden="false" customHeight="false" outlineLevel="0" collapsed="false">
      <c r="A1210" s="5" t="s">
        <v>4</v>
      </c>
      <c r="B1210" s="5" t="s">
        <v>55</v>
      </c>
      <c r="C1210" s="2" t="s">
        <v>56</v>
      </c>
      <c r="D1210" s="5" t="s">
        <v>81</v>
      </c>
      <c r="E1210" s="5" t="s">
        <v>58</v>
      </c>
      <c r="F1210" s="2" t="n">
        <v>11</v>
      </c>
      <c r="G1210" s="5" t="s">
        <v>66</v>
      </c>
      <c r="H1210" s="2" t="n">
        <v>0</v>
      </c>
      <c r="I1210" s="2" t="n">
        <v>1</v>
      </c>
      <c r="J1210" s="2" t="n">
        <v>0</v>
      </c>
      <c r="K1210" s="7" t="n">
        <v>8.483242902</v>
      </c>
      <c r="L1210" s="7" t="n">
        <v>3.66536448</v>
      </c>
      <c r="M1210" s="7" t="n">
        <v>3.647827206</v>
      </c>
      <c r="N1210" s="7" t="n">
        <v>3</v>
      </c>
      <c r="O1210" s="7" t="n">
        <v>3</v>
      </c>
      <c r="P1210" s="7" t="n">
        <v>0</v>
      </c>
      <c r="Q1210" s="2"/>
      <c r="R1210" s="7" t="n">
        <v>2.077951</v>
      </c>
      <c r="S1210" s="5" t="s">
        <v>82</v>
      </c>
      <c r="T1210" s="5" t="s">
        <v>61</v>
      </c>
    </row>
    <row r="1211" customFormat="false" ht="15" hidden="false" customHeight="false" outlineLevel="0" collapsed="false">
      <c r="A1211" s="5" t="s">
        <v>4</v>
      </c>
      <c r="B1211" s="5" t="s">
        <v>55</v>
      </c>
      <c r="C1211" s="2" t="s">
        <v>56</v>
      </c>
      <c r="D1211" s="5" t="s">
        <v>81</v>
      </c>
      <c r="E1211" s="5" t="s">
        <v>62</v>
      </c>
      <c r="F1211" s="2" t="n">
        <v>11</v>
      </c>
      <c r="G1211" s="5" t="s">
        <v>66</v>
      </c>
      <c r="H1211" s="2" t="n">
        <v>0</v>
      </c>
      <c r="I1211" s="2" t="n">
        <v>1</v>
      </c>
      <c r="J1211" s="2" t="n">
        <v>0</v>
      </c>
      <c r="K1211" s="7" t="n">
        <v>8.483242902</v>
      </c>
      <c r="L1211" s="7" t="n">
        <v>3.66536448</v>
      </c>
      <c r="M1211" s="7" t="n">
        <v>3.647827206</v>
      </c>
      <c r="N1211" s="7" t="n">
        <v>3</v>
      </c>
      <c r="O1211" s="7" t="n">
        <v>3</v>
      </c>
      <c r="P1211" s="7" t="n">
        <v>3</v>
      </c>
      <c r="Q1211" s="2"/>
      <c r="R1211" s="7" t="n">
        <v>2.467226</v>
      </c>
      <c r="S1211" s="5" t="s">
        <v>82</v>
      </c>
      <c r="T1211" s="5" t="s">
        <v>61</v>
      </c>
    </row>
    <row r="1212" customFormat="false" ht="15" hidden="false" customHeight="false" outlineLevel="0" collapsed="false">
      <c r="A1212" s="5" t="s">
        <v>4</v>
      </c>
      <c r="B1212" s="5" t="s">
        <v>55</v>
      </c>
      <c r="C1212" s="2" t="s">
        <v>56</v>
      </c>
      <c r="D1212" s="5" t="s">
        <v>81</v>
      </c>
      <c r="E1212" s="5" t="s">
        <v>58</v>
      </c>
      <c r="F1212" s="2" t="n">
        <v>12</v>
      </c>
      <c r="G1212" s="5" t="s">
        <v>59</v>
      </c>
      <c r="H1212" s="2" t="n">
        <v>1</v>
      </c>
      <c r="I1212" s="2" t="n">
        <v>1</v>
      </c>
      <c r="J1212" s="2" t="n">
        <v>1</v>
      </c>
      <c r="K1212" s="7" t="n">
        <v>0.4166586066</v>
      </c>
      <c r="L1212" s="7" t="n">
        <v>0.07766286381</v>
      </c>
      <c r="M1212" s="7" t="n">
        <v>0.08323591941</v>
      </c>
      <c r="N1212" s="7" t="n">
        <v>3</v>
      </c>
      <c r="O1212" s="7" t="n">
        <v>3</v>
      </c>
      <c r="P1212" s="7" t="n">
        <v>0</v>
      </c>
      <c r="Q1212" s="2"/>
      <c r="R1212" s="7" t="n">
        <v>1.629378</v>
      </c>
      <c r="S1212" s="5" t="s">
        <v>82</v>
      </c>
      <c r="T1212" s="5" t="s">
        <v>61</v>
      </c>
    </row>
    <row r="1213" customFormat="false" ht="15" hidden="false" customHeight="false" outlineLevel="0" collapsed="false">
      <c r="A1213" s="5" t="s">
        <v>4</v>
      </c>
      <c r="B1213" s="5" t="s">
        <v>55</v>
      </c>
      <c r="C1213" s="2" t="s">
        <v>56</v>
      </c>
      <c r="D1213" s="5" t="s">
        <v>81</v>
      </c>
      <c r="E1213" s="5" t="s">
        <v>62</v>
      </c>
      <c r="F1213" s="2" t="n">
        <v>12</v>
      </c>
      <c r="G1213" s="5" t="s">
        <v>59</v>
      </c>
      <c r="H1213" s="2" t="n">
        <v>1</v>
      </c>
      <c r="I1213" s="2" t="n">
        <v>1</v>
      </c>
      <c r="J1213" s="2" t="n">
        <v>1</v>
      </c>
      <c r="K1213" s="7" t="n">
        <v>0.4166586066</v>
      </c>
      <c r="L1213" s="7" t="n">
        <v>0.07766286381</v>
      </c>
      <c r="M1213" s="7" t="n">
        <v>0.08323591941</v>
      </c>
      <c r="N1213" s="7" t="n">
        <v>3</v>
      </c>
      <c r="O1213" s="7" t="n">
        <v>3</v>
      </c>
      <c r="P1213" s="7" t="n">
        <v>3</v>
      </c>
      <c r="Q1213" s="2"/>
      <c r="R1213" s="7" t="n">
        <v>1.795494</v>
      </c>
      <c r="S1213" s="5" t="s">
        <v>82</v>
      </c>
      <c r="T1213" s="5" t="s">
        <v>61</v>
      </c>
    </row>
    <row r="1214" customFormat="false" ht="15" hidden="false" customHeight="false" outlineLevel="0" collapsed="false">
      <c r="A1214" s="5" t="s">
        <v>4</v>
      </c>
      <c r="B1214" s="5" t="s">
        <v>55</v>
      </c>
      <c r="C1214" s="2" t="s">
        <v>56</v>
      </c>
      <c r="D1214" s="5" t="s">
        <v>81</v>
      </c>
      <c r="E1214" s="5" t="s">
        <v>58</v>
      </c>
      <c r="F1214" s="2" t="n">
        <v>12</v>
      </c>
      <c r="G1214" s="5" t="s">
        <v>63</v>
      </c>
      <c r="H1214" s="2" t="n">
        <v>1</v>
      </c>
      <c r="I1214" s="2" t="n">
        <v>1</v>
      </c>
      <c r="J1214" s="2" t="n">
        <v>1</v>
      </c>
      <c r="K1214" s="7" t="n">
        <v>1.054959408</v>
      </c>
      <c r="L1214" s="7" t="n">
        <v>0.1528652833</v>
      </c>
      <c r="M1214" s="7" t="n">
        <v>0.1703574123</v>
      </c>
      <c r="N1214" s="7" t="n">
        <v>7</v>
      </c>
      <c r="O1214" s="7" t="n">
        <v>7</v>
      </c>
      <c r="P1214" s="7" t="n">
        <v>0</v>
      </c>
      <c r="Q1214" s="2"/>
      <c r="R1214" s="7" t="n">
        <v>1.215356</v>
      </c>
      <c r="S1214" s="5" t="s">
        <v>82</v>
      </c>
      <c r="T1214" s="5" t="s">
        <v>61</v>
      </c>
    </row>
    <row r="1215" customFormat="false" ht="15" hidden="false" customHeight="false" outlineLevel="0" collapsed="false">
      <c r="A1215" s="5" t="s">
        <v>4</v>
      </c>
      <c r="B1215" s="5" t="s">
        <v>55</v>
      </c>
      <c r="C1215" s="2" t="s">
        <v>56</v>
      </c>
      <c r="D1215" s="5" t="s">
        <v>81</v>
      </c>
      <c r="E1215" s="5" t="s">
        <v>62</v>
      </c>
      <c r="F1215" s="2" t="n">
        <v>12</v>
      </c>
      <c r="G1215" s="5" t="s">
        <v>63</v>
      </c>
      <c r="H1215" s="2" t="n">
        <v>1</v>
      </c>
      <c r="I1215" s="2" t="n">
        <v>1</v>
      </c>
      <c r="J1215" s="2" t="n">
        <v>1</v>
      </c>
      <c r="K1215" s="7" t="n">
        <v>1.054959408</v>
      </c>
      <c r="L1215" s="7" t="n">
        <v>0.1528652833</v>
      </c>
      <c r="M1215" s="7" t="n">
        <v>0.1703574123</v>
      </c>
      <c r="N1215" s="7" t="n">
        <v>7</v>
      </c>
      <c r="O1215" s="7" t="n">
        <v>7</v>
      </c>
      <c r="P1215" s="7" t="n">
        <v>7</v>
      </c>
      <c r="Q1215" s="2"/>
      <c r="R1215" s="7" t="n">
        <v>1.765989</v>
      </c>
      <c r="S1215" s="5" t="s">
        <v>82</v>
      </c>
      <c r="T1215" s="5" t="s">
        <v>61</v>
      </c>
    </row>
    <row r="1216" customFormat="false" ht="15" hidden="false" customHeight="false" outlineLevel="0" collapsed="false">
      <c r="A1216" s="5" t="s">
        <v>4</v>
      </c>
      <c r="B1216" s="5" t="s">
        <v>55</v>
      </c>
      <c r="C1216" s="2" t="s">
        <v>56</v>
      </c>
      <c r="D1216" s="5" t="s">
        <v>81</v>
      </c>
      <c r="E1216" s="5" t="s">
        <v>58</v>
      </c>
      <c r="F1216" s="2" t="n">
        <v>12</v>
      </c>
      <c r="G1216" s="5" t="s">
        <v>64</v>
      </c>
      <c r="H1216" s="2" t="n">
        <v>0</v>
      </c>
      <c r="I1216" s="2" t="n">
        <v>1</v>
      </c>
      <c r="J1216" s="2" t="n">
        <v>1</v>
      </c>
      <c r="K1216" s="7" t="n">
        <v>0.4102386104</v>
      </c>
      <c r="L1216" s="7" t="n">
        <v>0.05637292939</v>
      </c>
      <c r="M1216" s="7" t="n">
        <v>0.06146476778</v>
      </c>
      <c r="N1216" s="7" t="n">
        <v>9</v>
      </c>
      <c r="O1216" s="7" t="n">
        <v>9</v>
      </c>
      <c r="P1216" s="7" t="n">
        <v>0</v>
      </c>
      <c r="Q1216" s="2"/>
      <c r="R1216" s="7" t="n">
        <v>1.722916</v>
      </c>
      <c r="S1216" s="5" t="s">
        <v>82</v>
      </c>
      <c r="T1216" s="5" t="s">
        <v>61</v>
      </c>
    </row>
    <row r="1217" customFormat="false" ht="15" hidden="false" customHeight="false" outlineLevel="0" collapsed="false">
      <c r="A1217" s="5" t="s">
        <v>4</v>
      </c>
      <c r="B1217" s="5" t="s">
        <v>55</v>
      </c>
      <c r="C1217" s="2" t="s">
        <v>56</v>
      </c>
      <c r="D1217" s="5" t="s">
        <v>81</v>
      </c>
      <c r="E1217" s="5" t="s">
        <v>62</v>
      </c>
      <c r="F1217" s="2" t="n">
        <v>12</v>
      </c>
      <c r="G1217" s="5" t="s">
        <v>64</v>
      </c>
      <c r="H1217" s="2" t="n">
        <v>0</v>
      </c>
      <c r="I1217" s="2" t="n">
        <v>1</v>
      </c>
      <c r="J1217" s="2" t="n">
        <v>1</v>
      </c>
      <c r="K1217" s="7" t="n">
        <v>0.4102386104</v>
      </c>
      <c r="L1217" s="7" t="n">
        <v>0.05637292939</v>
      </c>
      <c r="M1217" s="7" t="n">
        <v>0.06146476778</v>
      </c>
      <c r="N1217" s="7" t="n">
        <v>9</v>
      </c>
      <c r="O1217" s="7" t="n">
        <v>9</v>
      </c>
      <c r="P1217" s="7" t="n">
        <v>9</v>
      </c>
      <c r="Q1217" s="2"/>
      <c r="R1217" s="7" t="n">
        <v>2.247281</v>
      </c>
      <c r="S1217" s="5" t="s">
        <v>82</v>
      </c>
      <c r="T1217" s="5" t="s">
        <v>61</v>
      </c>
    </row>
    <row r="1218" customFormat="false" ht="15" hidden="false" customHeight="false" outlineLevel="0" collapsed="false">
      <c r="A1218" s="5" t="s">
        <v>4</v>
      </c>
      <c r="B1218" s="5" t="s">
        <v>55</v>
      </c>
      <c r="C1218" s="2" t="s">
        <v>56</v>
      </c>
      <c r="D1218" s="5" t="s">
        <v>81</v>
      </c>
      <c r="E1218" s="5" t="s">
        <v>58</v>
      </c>
      <c r="F1218" s="2" t="n">
        <v>12</v>
      </c>
      <c r="G1218" s="5" t="s">
        <v>65</v>
      </c>
      <c r="H1218" s="2" t="n">
        <v>0</v>
      </c>
      <c r="I1218" s="2" t="n">
        <v>0</v>
      </c>
      <c r="J1218" s="2" t="n">
        <v>0</v>
      </c>
      <c r="K1218" s="2"/>
      <c r="L1218" s="2"/>
      <c r="M1218" s="2"/>
      <c r="N1218" s="7" t="n">
        <v>2</v>
      </c>
      <c r="O1218" s="7" t="n">
        <v>2</v>
      </c>
      <c r="P1218" s="7" t="n">
        <v>0</v>
      </c>
      <c r="Q1218" s="2"/>
      <c r="R1218" s="7" t="n">
        <v>2.408881</v>
      </c>
      <c r="S1218" s="5" t="s">
        <v>82</v>
      </c>
      <c r="T1218" s="5" t="s">
        <v>61</v>
      </c>
    </row>
    <row r="1219" customFormat="false" ht="15" hidden="false" customHeight="false" outlineLevel="0" collapsed="false">
      <c r="A1219" s="5" t="s">
        <v>4</v>
      </c>
      <c r="B1219" s="5" t="s">
        <v>55</v>
      </c>
      <c r="C1219" s="2" t="s">
        <v>56</v>
      </c>
      <c r="D1219" s="5" t="s">
        <v>81</v>
      </c>
      <c r="E1219" s="5" t="s">
        <v>62</v>
      </c>
      <c r="F1219" s="2" t="n">
        <v>12</v>
      </c>
      <c r="G1219" s="5" t="s">
        <v>65</v>
      </c>
      <c r="H1219" s="2" t="n">
        <v>0</v>
      </c>
      <c r="I1219" s="2" t="n">
        <v>0</v>
      </c>
      <c r="J1219" s="2" t="n">
        <v>0</v>
      </c>
      <c r="K1219" s="2"/>
      <c r="L1219" s="2"/>
      <c r="M1219" s="2"/>
      <c r="N1219" s="7" t="n">
        <v>2</v>
      </c>
      <c r="O1219" s="7" t="n">
        <v>2</v>
      </c>
      <c r="P1219" s="7" t="n">
        <v>0</v>
      </c>
      <c r="Q1219" s="2"/>
      <c r="R1219" s="7" t="n">
        <v>2.408881</v>
      </c>
      <c r="S1219" s="5" t="s">
        <v>82</v>
      </c>
      <c r="T1219" s="5" t="s">
        <v>61</v>
      </c>
    </row>
    <row r="1220" customFormat="false" ht="15" hidden="false" customHeight="false" outlineLevel="0" collapsed="false">
      <c r="A1220" s="5" t="s">
        <v>4</v>
      </c>
      <c r="B1220" s="5" t="s">
        <v>55</v>
      </c>
      <c r="C1220" s="2" t="s">
        <v>56</v>
      </c>
      <c r="D1220" s="5" t="s">
        <v>81</v>
      </c>
      <c r="E1220" s="5" t="s">
        <v>58</v>
      </c>
      <c r="F1220" s="2" t="n">
        <v>12</v>
      </c>
      <c r="G1220" s="5" t="s">
        <v>66</v>
      </c>
      <c r="H1220" s="2" t="n">
        <v>0</v>
      </c>
      <c r="I1220" s="2" t="n">
        <v>1</v>
      </c>
      <c r="J1220" s="2" t="n">
        <v>1</v>
      </c>
      <c r="K1220" s="7" t="n">
        <v>1.036471132</v>
      </c>
      <c r="L1220" s="7" t="n">
        <v>0.1104121672</v>
      </c>
      <c r="M1220" s="7" t="n">
        <v>0.1256253865</v>
      </c>
      <c r="N1220" s="7" t="n">
        <v>5</v>
      </c>
      <c r="O1220" s="7" t="n">
        <v>5</v>
      </c>
      <c r="P1220" s="7" t="n">
        <v>0</v>
      </c>
      <c r="Q1220" s="2"/>
      <c r="R1220" s="7" t="n">
        <v>2.136007</v>
      </c>
      <c r="S1220" s="5" t="s">
        <v>82</v>
      </c>
      <c r="T1220" s="5" t="s">
        <v>61</v>
      </c>
    </row>
    <row r="1221" customFormat="false" ht="15" hidden="false" customHeight="false" outlineLevel="0" collapsed="false">
      <c r="A1221" s="5" t="s">
        <v>4</v>
      </c>
      <c r="B1221" s="5" t="s">
        <v>55</v>
      </c>
      <c r="C1221" s="2" t="s">
        <v>56</v>
      </c>
      <c r="D1221" s="5" t="s">
        <v>81</v>
      </c>
      <c r="E1221" s="5" t="s">
        <v>62</v>
      </c>
      <c r="F1221" s="2" t="n">
        <v>12</v>
      </c>
      <c r="G1221" s="5" t="s">
        <v>66</v>
      </c>
      <c r="H1221" s="2" t="n">
        <v>0</v>
      </c>
      <c r="I1221" s="2" t="n">
        <v>1</v>
      </c>
      <c r="J1221" s="2" t="n">
        <v>1</v>
      </c>
      <c r="K1221" s="7" t="n">
        <v>1.036471132</v>
      </c>
      <c r="L1221" s="7" t="n">
        <v>0.1104121672</v>
      </c>
      <c r="M1221" s="7" t="n">
        <v>0.1256253865</v>
      </c>
      <c r="N1221" s="7" t="n">
        <v>5</v>
      </c>
      <c r="O1221" s="7" t="n">
        <v>5</v>
      </c>
      <c r="P1221" s="7" t="n">
        <v>5</v>
      </c>
      <c r="Q1221" s="2"/>
      <c r="R1221" s="7" t="n">
        <v>2.489499</v>
      </c>
      <c r="S1221" s="5" t="s">
        <v>82</v>
      </c>
      <c r="T1221" s="5" t="s">
        <v>61</v>
      </c>
    </row>
    <row r="1222" customFormat="false" ht="15" hidden="false" customHeight="false" outlineLevel="0" collapsed="false">
      <c r="A1222" s="5" t="s">
        <v>4</v>
      </c>
      <c r="B1222" s="5" t="s">
        <v>55</v>
      </c>
      <c r="C1222" s="2" t="s">
        <v>56</v>
      </c>
      <c r="D1222" s="5" t="s">
        <v>81</v>
      </c>
      <c r="E1222" s="5" t="s">
        <v>58</v>
      </c>
      <c r="F1222" s="2" t="n">
        <v>13</v>
      </c>
      <c r="G1222" s="5" t="s">
        <v>59</v>
      </c>
      <c r="H1222" s="2" t="n">
        <v>1</v>
      </c>
      <c r="I1222" s="2" t="n">
        <v>1</v>
      </c>
      <c r="J1222" s="2" t="n">
        <v>1</v>
      </c>
      <c r="K1222" s="7" t="n">
        <v>0.1755863367</v>
      </c>
      <c r="L1222" s="7" t="n">
        <v>0.0463586624</v>
      </c>
      <c r="M1222" s="7" t="n">
        <v>0.04709194329</v>
      </c>
      <c r="N1222" s="7" t="n">
        <v>7</v>
      </c>
      <c r="O1222" s="7" t="n">
        <v>7</v>
      </c>
      <c r="P1222" s="7" t="n">
        <v>0</v>
      </c>
      <c r="Q1222" s="2"/>
      <c r="R1222" s="7" t="n">
        <v>1.476913</v>
      </c>
      <c r="S1222" s="5" t="s">
        <v>82</v>
      </c>
      <c r="T1222" s="5" t="s">
        <v>61</v>
      </c>
    </row>
    <row r="1223" customFormat="false" ht="15" hidden="false" customHeight="false" outlineLevel="0" collapsed="false">
      <c r="A1223" s="5" t="s">
        <v>4</v>
      </c>
      <c r="B1223" s="5" t="s">
        <v>55</v>
      </c>
      <c r="C1223" s="2" t="s">
        <v>56</v>
      </c>
      <c r="D1223" s="5" t="s">
        <v>81</v>
      </c>
      <c r="E1223" s="5" t="s">
        <v>62</v>
      </c>
      <c r="F1223" s="2" t="n">
        <v>13</v>
      </c>
      <c r="G1223" s="5" t="s">
        <v>59</v>
      </c>
      <c r="H1223" s="2" t="n">
        <v>1</v>
      </c>
      <c r="I1223" s="2" t="n">
        <v>1</v>
      </c>
      <c r="J1223" s="2" t="n">
        <v>1</v>
      </c>
      <c r="K1223" s="7" t="n">
        <v>0.1755863367</v>
      </c>
      <c r="L1223" s="7" t="n">
        <v>0.0463586624</v>
      </c>
      <c r="M1223" s="7" t="n">
        <v>0.04709194329</v>
      </c>
      <c r="N1223" s="7" t="n">
        <v>7</v>
      </c>
      <c r="O1223" s="7" t="n">
        <v>7</v>
      </c>
      <c r="P1223" s="7" t="n">
        <v>7</v>
      </c>
      <c r="Q1223" s="2"/>
      <c r="R1223" s="7" t="n">
        <v>1.929031</v>
      </c>
      <c r="S1223" s="5" t="s">
        <v>82</v>
      </c>
      <c r="T1223" s="5" t="s">
        <v>61</v>
      </c>
    </row>
    <row r="1224" customFormat="false" ht="15" hidden="false" customHeight="false" outlineLevel="0" collapsed="false">
      <c r="A1224" s="5" t="s">
        <v>4</v>
      </c>
      <c r="B1224" s="5" t="s">
        <v>55</v>
      </c>
      <c r="C1224" s="2" t="s">
        <v>56</v>
      </c>
      <c r="D1224" s="5" t="s">
        <v>81</v>
      </c>
      <c r="E1224" s="5" t="s">
        <v>58</v>
      </c>
      <c r="F1224" s="2" t="n">
        <v>13</v>
      </c>
      <c r="G1224" s="5" t="s">
        <v>63</v>
      </c>
      <c r="H1224" s="2" t="n">
        <v>1</v>
      </c>
      <c r="I1224" s="2" t="n">
        <v>1</v>
      </c>
      <c r="J1224" s="2" t="n">
        <v>1</v>
      </c>
      <c r="K1224" s="7" t="n">
        <v>0.9776462196</v>
      </c>
      <c r="L1224" s="7" t="n">
        <v>0.0930640727</v>
      </c>
      <c r="M1224" s="7" t="n">
        <v>0.1072507024</v>
      </c>
      <c r="N1224" s="7" t="n">
        <v>8</v>
      </c>
      <c r="O1224" s="7" t="n">
        <v>8</v>
      </c>
      <c r="P1224" s="7" t="n">
        <v>0</v>
      </c>
      <c r="Q1224" s="2"/>
      <c r="R1224" s="7" t="n">
        <v>1.330416</v>
      </c>
      <c r="S1224" s="5" t="s">
        <v>82</v>
      </c>
      <c r="T1224" s="5" t="s">
        <v>61</v>
      </c>
    </row>
    <row r="1225" customFormat="false" ht="15" hidden="false" customHeight="false" outlineLevel="0" collapsed="false">
      <c r="A1225" s="5" t="s">
        <v>4</v>
      </c>
      <c r="B1225" s="5" t="s">
        <v>55</v>
      </c>
      <c r="C1225" s="2" t="s">
        <v>56</v>
      </c>
      <c r="D1225" s="5" t="s">
        <v>81</v>
      </c>
      <c r="E1225" s="5" t="s">
        <v>62</v>
      </c>
      <c r="F1225" s="2" t="n">
        <v>13</v>
      </c>
      <c r="G1225" s="5" t="s">
        <v>63</v>
      </c>
      <c r="H1225" s="2" t="n">
        <v>1</v>
      </c>
      <c r="I1225" s="2" t="n">
        <v>1</v>
      </c>
      <c r="J1225" s="2" t="n">
        <v>1</v>
      </c>
      <c r="K1225" s="7" t="n">
        <v>0.9776462196</v>
      </c>
      <c r="L1225" s="7" t="n">
        <v>0.0930640727</v>
      </c>
      <c r="M1225" s="7" t="n">
        <v>0.1072507024</v>
      </c>
      <c r="N1225" s="7" t="n">
        <v>8</v>
      </c>
      <c r="O1225" s="7" t="n">
        <v>8</v>
      </c>
      <c r="P1225" s="7" t="n">
        <v>8</v>
      </c>
      <c r="Q1225" s="2"/>
      <c r="R1225" s="7" t="n">
        <v>1.856794</v>
      </c>
      <c r="S1225" s="5" t="s">
        <v>82</v>
      </c>
      <c r="T1225" s="5" t="s">
        <v>61</v>
      </c>
    </row>
    <row r="1226" customFormat="false" ht="15" hidden="false" customHeight="false" outlineLevel="0" collapsed="false">
      <c r="A1226" s="5" t="s">
        <v>4</v>
      </c>
      <c r="B1226" s="5" t="s">
        <v>55</v>
      </c>
      <c r="C1226" s="2" t="s">
        <v>56</v>
      </c>
      <c r="D1226" s="5" t="s">
        <v>81</v>
      </c>
      <c r="E1226" s="5" t="s">
        <v>58</v>
      </c>
      <c r="F1226" s="2" t="n">
        <v>13</v>
      </c>
      <c r="G1226" s="5" t="s">
        <v>64</v>
      </c>
      <c r="H1226" s="2" t="n">
        <v>0</v>
      </c>
      <c r="I1226" s="2" t="n">
        <v>1</v>
      </c>
      <c r="J1226" s="2" t="n">
        <v>1</v>
      </c>
      <c r="K1226" s="7" t="n">
        <v>0.9250579075</v>
      </c>
      <c r="L1226" s="7" t="n">
        <v>0.09711685466</v>
      </c>
      <c r="M1226" s="7" t="n">
        <v>0.1140690373</v>
      </c>
      <c r="N1226" s="7" t="n">
        <v>6</v>
      </c>
      <c r="O1226" s="7" t="n">
        <v>6</v>
      </c>
      <c r="P1226" s="7" t="n">
        <v>0</v>
      </c>
      <c r="Q1226" s="2"/>
      <c r="R1226" s="7" t="n">
        <v>1.390224</v>
      </c>
      <c r="S1226" s="5" t="s">
        <v>82</v>
      </c>
      <c r="T1226" s="5" t="s">
        <v>61</v>
      </c>
    </row>
    <row r="1227" customFormat="false" ht="15" hidden="false" customHeight="false" outlineLevel="0" collapsed="false">
      <c r="A1227" s="5" t="s">
        <v>4</v>
      </c>
      <c r="B1227" s="5" t="s">
        <v>55</v>
      </c>
      <c r="C1227" s="2" t="s">
        <v>56</v>
      </c>
      <c r="D1227" s="5" t="s">
        <v>81</v>
      </c>
      <c r="E1227" s="5" t="s">
        <v>62</v>
      </c>
      <c r="F1227" s="2" t="n">
        <v>13</v>
      </c>
      <c r="G1227" s="5" t="s">
        <v>64</v>
      </c>
      <c r="H1227" s="2" t="n">
        <v>0</v>
      </c>
      <c r="I1227" s="2" t="n">
        <v>1</v>
      </c>
      <c r="J1227" s="2" t="n">
        <v>1</v>
      </c>
      <c r="K1227" s="7" t="n">
        <v>0.9250579075</v>
      </c>
      <c r="L1227" s="7" t="n">
        <v>0.09711685466</v>
      </c>
      <c r="M1227" s="7" t="n">
        <v>0.1140690373</v>
      </c>
      <c r="N1227" s="7" t="n">
        <v>6</v>
      </c>
      <c r="O1227" s="7" t="n">
        <v>6</v>
      </c>
      <c r="P1227" s="7" t="n">
        <v>6</v>
      </c>
      <c r="Q1227" s="2"/>
      <c r="R1227" s="7" t="n">
        <v>1.799139</v>
      </c>
      <c r="S1227" s="5" t="s">
        <v>82</v>
      </c>
      <c r="T1227" s="5" t="s">
        <v>61</v>
      </c>
    </row>
    <row r="1228" customFormat="false" ht="15" hidden="false" customHeight="false" outlineLevel="0" collapsed="false">
      <c r="A1228" s="5" t="s">
        <v>4</v>
      </c>
      <c r="B1228" s="5" t="s">
        <v>55</v>
      </c>
      <c r="C1228" s="2" t="s">
        <v>56</v>
      </c>
      <c r="D1228" s="5" t="s">
        <v>81</v>
      </c>
      <c r="E1228" s="5" t="s">
        <v>58</v>
      </c>
      <c r="F1228" s="2" t="n">
        <v>13</v>
      </c>
      <c r="G1228" s="5" t="s">
        <v>65</v>
      </c>
      <c r="H1228" s="2" t="n">
        <v>0</v>
      </c>
      <c r="I1228" s="2" t="n">
        <v>1</v>
      </c>
      <c r="J1228" s="2" t="n">
        <v>1</v>
      </c>
      <c r="K1228" s="7" t="n">
        <v>0.7288509828</v>
      </c>
      <c r="L1228" s="7" t="n">
        <v>0.1908483965</v>
      </c>
      <c r="M1228" s="7" t="n">
        <v>0.1951676905</v>
      </c>
      <c r="N1228" s="7" t="n">
        <v>6</v>
      </c>
      <c r="O1228" s="7" t="n">
        <v>6</v>
      </c>
      <c r="P1228" s="7" t="n">
        <v>0</v>
      </c>
      <c r="Q1228" s="2"/>
      <c r="R1228" s="7" t="n">
        <v>2.53767</v>
      </c>
      <c r="S1228" s="5" t="s">
        <v>82</v>
      </c>
      <c r="T1228" s="5" t="s">
        <v>61</v>
      </c>
    </row>
    <row r="1229" customFormat="false" ht="15" hidden="false" customHeight="false" outlineLevel="0" collapsed="false">
      <c r="A1229" s="5" t="s">
        <v>4</v>
      </c>
      <c r="B1229" s="5" t="s">
        <v>55</v>
      </c>
      <c r="C1229" s="2" t="s">
        <v>56</v>
      </c>
      <c r="D1229" s="5" t="s">
        <v>81</v>
      </c>
      <c r="E1229" s="5" t="s">
        <v>62</v>
      </c>
      <c r="F1229" s="2" t="n">
        <v>13</v>
      </c>
      <c r="G1229" s="5" t="s">
        <v>65</v>
      </c>
      <c r="H1229" s="2" t="n">
        <v>0</v>
      </c>
      <c r="I1229" s="2" t="n">
        <v>1</v>
      </c>
      <c r="J1229" s="2" t="n">
        <v>1</v>
      </c>
      <c r="K1229" s="7" t="n">
        <v>0.7288509828</v>
      </c>
      <c r="L1229" s="7" t="n">
        <v>0.1908483965</v>
      </c>
      <c r="M1229" s="7" t="n">
        <v>0.1951676905</v>
      </c>
      <c r="N1229" s="7" t="n">
        <v>6</v>
      </c>
      <c r="O1229" s="7" t="n">
        <v>6</v>
      </c>
      <c r="P1229" s="7" t="n">
        <v>6</v>
      </c>
      <c r="Q1229" s="2"/>
      <c r="R1229" s="7" t="n">
        <v>2.936029</v>
      </c>
      <c r="S1229" s="5" t="s">
        <v>82</v>
      </c>
      <c r="T1229" s="5" t="s">
        <v>61</v>
      </c>
    </row>
    <row r="1230" customFormat="false" ht="15" hidden="false" customHeight="false" outlineLevel="0" collapsed="false">
      <c r="A1230" s="5" t="s">
        <v>4</v>
      </c>
      <c r="B1230" s="5" t="s">
        <v>55</v>
      </c>
      <c r="C1230" s="2" t="s">
        <v>56</v>
      </c>
      <c r="D1230" s="5" t="s">
        <v>81</v>
      </c>
      <c r="E1230" s="5" t="s">
        <v>58</v>
      </c>
      <c r="F1230" s="2" t="n">
        <v>13</v>
      </c>
      <c r="G1230" s="5" t="s">
        <v>66</v>
      </c>
      <c r="H1230" s="2" t="n">
        <v>0</v>
      </c>
      <c r="I1230" s="2" t="n">
        <v>1</v>
      </c>
      <c r="J1230" s="2" t="n">
        <v>1</v>
      </c>
      <c r="K1230" s="7" t="n">
        <v>0.6743702748</v>
      </c>
      <c r="L1230" s="7" t="n">
        <v>0.092021882</v>
      </c>
      <c r="M1230" s="7" t="n">
        <v>0.09969387664</v>
      </c>
      <c r="N1230" s="7" t="n">
        <v>6</v>
      </c>
      <c r="O1230" s="7" t="n">
        <v>6</v>
      </c>
      <c r="P1230" s="7" t="n">
        <v>0</v>
      </c>
      <c r="Q1230" s="2"/>
      <c r="R1230" s="7" t="n">
        <v>2.2672</v>
      </c>
      <c r="S1230" s="5" t="s">
        <v>82</v>
      </c>
      <c r="T1230" s="5" t="s">
        <v>61</v>
      </c>
    </row>
    <row r="1231" customFormat="false" ht="15" hidden="false" customHeight="false" outlineLevel="0" collapsed="false">
      <c r="A1231" s="5" t="s">
        <v>4</v>
      </c>
      <c r="B1231" s="5" t="s">
        <v>55</v>
      </c>
      <c r="C1231" s="2" t="s">
        <v>56</v>
      </c>
      <c r="D1231" s="5" t="s">
        <v>81</v>
      </c>
      <c r="E1231" s="5" t="s">
        <v>62</v>
      </c>
      <c r="F1231" s="2" t="n">
        <v>13</v>
      </c>
      <c r="G1231" s="5" t="s">
        <v>66</v>
      </c>
      <c r="H1231" s="2" t="n">
        <v>0</v>
      </c>
      <c r="I1231" s="2" t="n">
        <v>1</v>
      </c>
      <c r="J1231" s="2" t="n">
        <v>1</v>
      </c>
      <c r="K1231" s="7" t="n">
        <v>0.6743702748</v>
      </c>
      <c r="L1231" s="7" t="n">
        <v>0.092021882</v>
      </c>
      <c r="M1231" s="7" t="n">
        <v>0.09969387664</v>
      </c>
      <c r="N1231" s="7" t="n">
        <v>6</v>
      </c>
      <c r="O1231" s="7" t="n">
        <v>6</v>
      </c>
      <c r="P1231" s="7" t="n">
        <v>6</v>
      </c>
      <c r="Q1231" s="2"/>
      <c r="R1231" s="7" t="n">
        <v>2.666711</v>
      </c>
      <c r="S1231" s="5" t="s">
        <v>82</v>
      </c>
      <c r="T1231" s="5" t="s">
        <v>61</v>
      </c>
    </row>
    <row r="1232" customFormat="false" ht="15" hidden="false" customHeight="false" outlineLevel="0" collapsed="false">
      <c r="A1232" s="5" t="s">
        <v>4</v>
      </c>
      <c r="B1232" s="5" t="s">
        <v>55</v>
      </c>
      <c r="C1232" s="2" t="s">
        <v>56</v>
      </c>
      <c r="D1232" s="5" t="s">
        <v>81</v>
      </c>
      <c r="E1232" s="5" t="s">
        <v>58</v>
      </c>
      <c r="F1232" s="2" t="n">
        <v>14</v>
      </c>
      <c r="G1232" s="5" t="s">
        <v>59</v>
      </c>
      <c r="H1232" s="2" t="n">
        <v>1</v>
      </c>
      <c r="I1232" s="2" t="n">
        <v>1</v>
      </c>
      <c r="J1232" s="2" t="n">
        <v>1</v>
      </c>
      <c r="K1232" s="7" t="n">
        <v>0.2078850269</v>
      </c>
      <c r="L1232" s="7" t="n">
        <v>0.04932073604</v>
      </c>
      <c r="M1232" s="7" t="n">
        <v>0.05023944114</v>
      </c>
      <c r="N1232" s="7" t="n">
        <v>7</v>
      </c>
      <c r="O1232" s="7" t="n">
        <v>7</v>
      </c>
      <c r="P1232" s="7" t="n">
        <v>0</v>
      </c>
      <c r="Q1232" s="2"/>
      <c r="R1232" s="7" t="n">
        <v>1.530622</v>
      </c>
      <c r="S1232" s="5" t="s">
        <v>82</v>
      </c>
      <c r="T1232" s="5" t="s">
        <v>61</v>
      </c>
    </row>
    <row r="1233" customFormat="false" ht="15" hidden="false" customHeight="false" outlineLevel="0" collapsed="false">
      <c r="A1233" s="5" t="s">
        <v>4</v>
      </c>
      <c r="B1233" s="5" t="s">
        <v>55</v>
      </c>
      <c r="C1233" s="2" t="s">
        <v>56</v>
      </c>
      <c r="D1233" s="5" t="s">
        <v>81</v>
      </c>
      <c r="E1233" s="5" t="s">
        <v>62</v>
      </c>
      <c r="F1233" s="2" t="n">
        <v>14</v>
      </c>
      <c r="G1233" s="5" t="s">
        <v>59</v>
      </c>
      <c r="H1233" s="2" t="n">
        <v>1</v>
      </c>
      <c r="I1233" s="2" t="n">
        <v>1</v>
      </c>
      <c r="J1233" s="2" t="n">
        <v>1</v>
      </c>
      <c r="K1233" s="7" t="n">
        <v>0.2078850269</v>
      </c>
      <c r="L1233" s="7" t="n">
        <v>0.04932073604</v>
      </c>
      <c r="M1233" s="7" t="n">
        <v>0.05023944114</v>
      </c>
      <c r="N1233" s="7" t="n">
        <v>7</v>
      </c>
      <c r="O1233" s="7" t="n">
        <v>7</v>
      </c>
      <c r="P1233" s="7" t="n">
        <v>7</v>
      </c>
      <c r="Q1233" s="2"/>
      <c r="R1233" s="7" t="n">
        <v>2.20526</v>
      </c>
      <c r="S1233" s="5" t="s">
        <v>82</v>
      </c>
      <c r="T1233" s="5" t="s">
        <v>61</v>
      </c>
    </row>
    <row r="1234" customFormat="false" ht="15" hidden="false" customHeight="false" outlineLevel="0" collapsed="false">
      <c r="A1234" s="5" t="s">
        <v>4</v>
      </c>
      <c r="B1234" s="5" t="s">
        <v>55</v>
      </c>
      <c r="C1234" s="2" t="s">
        <v>56</v>
      </c>
      <c r="D1234" s="5" t="s">
        <v>81</v>
      </c>
      <c r="E1234" s="5" t="s">
        <v>58</v>
      </c>
      <c r="F1234" s="2" t="n">
        <v>14</v>
      </c>
      <c r="G1234" s="5" t="s">
        <v>63</v>
      </c>
      <c r="H1234" s="2" t="n">
        <v>1</v>
      </c>
      <c r="I1234" s="2" t="n">
        <v>1</v>
      </c>
      <c r="J1234" s="2" t="n">
        <v>1</v>
      </c>
      <c r="K1234" s="7" t="n">
        <v>0.969760046</v>
      </c>
      <c r="L1234" s="7" t="n">
        <v>0.08844531331</v>
      </c>
      <c r="M1234" s="7" t="n">
        <v>0.1072863153</v>
      </c>
      <c r="N1234" s="7" t="n">
        <v>9</v>
      </c>
      <c r="O1234" s="7" t="n">
        <v>9</v>
      </c>
      <c r="P1234" s="7" t="n">
        <v>0</v>
      </c>
      <c r="Q1234" s="2"/>
      <c r="R1234" s="7" t="n">
        <v>1.273442</v>
      </c>
      <c r="S1234" s="5" t="s">
        <v>82</v>
      </c>
      <c r="T1234" s="5" t="s">
        <v>61</v>
      </c>
    </row>
    <row r="1235" customFormat="false" ht="15" hidden="false" customHeight="false" outlineLevel="0" collapsed="false">
      <c r="A1235" s="5" t="s">
        <v>4</v>
      </c>
      <c r="B1235" s="5" t="s">
        <v>55</v>
      </c>
      <c r="C1235" s="2" t="s">
        <v>56</v>
      </c>
      <c r="D1235" s="5" t="s">
        <v>81</v>
      </c>
      <c r="E1235" s="5" t="s">
        <v>62</v>
      </c>
      <c r="F1235" s="2" t="n">
        <v>14</v>
      </c>
      <c r="G1235" s="5" t="s">
        <v>63</v>
      </c>
      <c r="H1235" s="2" t="n">
        <v>1</v>
      </c>
      <c r="I1235" s="2" t="n">
        <v>1</v>
      </c>
      <c r="J1235" s="2" t="n">
        <v>1</v>
      </c>
      <c r="K1235" s="7" t="n">
        <v>0.969760046</v>
      </c>
      <c r="L1235" s="7" t="n">
        <v>0.08844531331</v>
      </c>
      <c r="M1235" s="7" t="n">
        <v>0.1072863153</v>
      </c>
      <c r="N1235" s="7" t="n">
        <v>9</v>
      </c>
      <c r="O1235" s="7" t="n">
        <v>9</v>
      </c>
      <c r="P1235" s="7" t="n">
        <v>9</v>
      </c>
      <c r="Q1235" s="2"/>
      <c r="R1235" s="7" t="n">
        <v>1.83427</v>
      </c>
      <c r="S1235" s="5" t="s">
        <v>82</v>
      </c>
      <c r="T1235" s="5" t="s">
        <v>61</v>
      </c>
    </row>
    <row r="1236" customFormat="false" ht="15" hidden="false" customHeight="false" outlineLevel="0" collapsed="false">
      <c r="A1236" s="5" t="s">
        <v>4</v>
      </c>
      <c r="B1236" s="5" t="s">
        <v>55</v>
      </c>
      <c r="C1236" s="2" t="s">
        <v>56</v>
      </c>
      <c r="D1236" s="5" t="s">
        <v>81</v>
      </c>
      <c r="E1236" s="5" t="s">
        <v>58</v>
      </c>
      <c r="F1236" s="2" t="n">
        <v>14</v>
      </c>
      <c r="G1236" s="5" t="s">
        <v>64</v>
      </c>
      <c r="H1236" s="2" t="n">
        <v>0</v>
      </c>
      <c r="I1236" s="2" t="n">
        <v>1</v>
      </c>
      <c r="J1236" s="2" t="n">
        <v>1</v>
      </c>
      <c r="K1236" s="7" t="n">
        <v>0.4990982683</v>
      </c>
      <c r="L1236" s="7" t="n">
        <v>0.06538977878</v>
      </c>
      <c r="M1236" s="7" t="n">
        <v>0.07233989427</v>
      </c>
      <c r="N1236" s="7" t="n">
        <v>10</v>
      </c>
      <c r="O1236" s="7" t="n">
        <v>10</v>
      </c>
      <c r="P1236" s="7" t="n">
        <v>0</v>
      </c>
      <c r="Q1236" s="2"/>
      <c r="R1236" s="7" t="n">
        <v>1.734604</v>
      </c>
      <c r="S1236" s="5" t="s">
        <v>82</v>
      </c>
      <c r="T1236" s="5" t="s">
        <v>61</v>
      </c>
    </row>
    <row r="1237" customFormat="false" ht="15" hidden="false" customHeight="false" outlineLevel="0" collapsed="false">
      <c r="A1237" s="5" t="s">
        <v>4</v>
      </c>
      <c r="B1237" s="5" t="s">
        <v>55</v>
      </c>
      <c r="C1237" s="2" t="s">
        <v>56</v>
      </c>
      <c r="D1237" s="5" t="s">
        <v>81</v>
      </c>
      <c r="E1237" s="5" t="s">
        <v>62</v>
      </c>
      <c r="F1237" s="2" t="n">
        <v>14</v>
      </c>
      <c r="G1237" s="5" t="s">
        <v>64</v>
      </c>
      <c r="H1237" s="2" t="n">
        <v>0</v>
      </c>
      <c r="I1237" s="2" t="n">
        <v>1</v>
      </c>
      <c r="J1237" s="2" t="n">
        <v>1</v>
      </c>
      <c r="K1237" s="7" t="n">
        <v>0.4990982683</v>
      </c>
      <c r="L1237" s="7" t="n">
        <v>0.06538977878</v>
      </c>
      <c r="M1237" s="7" t="n">
        <v>0.07233989427</v>
      </c>
      <c r="N1237" s="7" t="n">
        <v>10</v>
      </c>
      <c r="O1237" s="7" t="n">
        <v>10</v>
      </c>
      <c r="P1237" s="7" t="n">
        <v>10</v>
      </c>
      <c r="Q1237" s="2"/>
      <c r="R1237" s="7" t="n">
        <v>2.281502</v>
      </c>
      <c r="S1237" s="5" t="s">
        <v>82</v>
      </c>
      <c r="T1237" s="5" t="s">
        <v>61</v>
      </c>
    </row>
    <row r="1238" customFormat="false" ht="15" hidden="false" customHeight="false" outlineLevel="0" collapsed="false">
      <c r="A1238" s="5" t="s">
        <v>4</v>
      </c>
      <c r="B1238" s="5" t="s">
        <v>55</v>
      </c>
      <c r="C1238" s="2" t="s">
        <v>56</v>
      </c>
      <c r="D1238" s="5" t="s">
        <v>81</v>
      </c>
      <c r="E1238" s="5" t="s">
        <v>58</v>
      </c>
      <c r="F1238" s="2" t="n">
        <v>14</v>
      </c>
      <c r="G1238" s="5" t="s">
        <v>65</v>
      </c>
      <c r="H1238" s="2" t="n">
        <v>0</v>
      </c>
      <c r="I1238" s="2" t="n">
        <v>1</v>
      </c>
      <c r="J1238" s="2" t="n">
        <v>1</v>
      </c>
      <c r="K1238" s="7" t="n">
        <v>1.154872273</v>
      </c>
      <c r="L1238" s="7" t="n">
        <v>0.2819624165</v>
      </c>
      <c r="M1238" s="7" t="n">
        <v>0.2946619076</v>
      </c>
      <c r="N1238" s="7" t="n">
        <v>3</v>
      </c>
      <c r="O1238" s="7" t="n">
        <v>3</v>
      </c>
      <c r="P1238" s="7" t="n">
        <v>0</v>
      </c>
      <c r="Q1238" s="2"/>
      <c r="R1238" s="7" t="n">
        <v>2.264807</v>
      </c>
      <c r="S1238" s="5" t="s">
        <v>82</v>
      </c>
      <c r="T1238" s="5" t="s">
        <v>61</v>
      </c>
    </row>
    <row r="1239" customFormat="false" ht="15" hidden="false" customHeight="false" outlineLevel="0" collapsed="false">
      <c r="A1239" s="5" t="s">
        <v>4</v>
      </c>
      <c r="B1239" s="5" t="s">
        <v>55</v>
      </c>
      <c r="C1239" s="2" t="s">
        <v>56</v>
      </c>
      <c r="D1239" s="5" t="s">
        <v>81</v>
      </c>
      <c r="E1239" s="5" t="s">
        <v>62</v>
      </c>
      <c r="F1239" s="2" t="n">
        <v>14</v>
      </c>
      <c r="G1239" s="5" t="s">
        <v>65</v>
      </c>
      <c r="H1239" s="2" t="n">
        <v>0</v>
      </c>
      <c r="I1239" s="2" t="n">
        <v>1</v>
      </c>
      <c r="J1239" s="2" t="n">
        <v>1</v>
      </c>
      <c r="K1239" s="7" t="n">
        <v>1.154872273</v>
      </c>
      <c r="L1239" s="7" t="n">
        <v>0.2819624165</v>
      </c>
      <c r="M1239" s="7" t="n">
        <v>0.2946619076</v>
      </c>
      <c r="N1239" s="7" t="n">
        <v>3</v>
      </c>
      <c r="O1239" s="7" t="n">
        <v>3</v>
      </c>
      <c r="P1239" s="7" t="n">
        <v>3</v>
      </c>
      <c r="Q1239" s="2"/>
      <c r="R1239" s="7" t="n">
        <v>2.453756</v>
      </c>
      <c r="S1239" s="5" t="s">
        <v>82</v>
      </c>
      <c r="T1239" s="5" t="s">
        <v>61</v>
      </c>
    </row>
    <row r="1240" customFormat="false" ht="15" hidden="false" customHeight="false" outlineLevel="0" collapsed="false">
      <c r="A1240" s="5" t="s">
        <v>4</v>
      </c>
      <c r="B1240" s="5" t="s">
        <v>55</v>
      </c>
      <c r="C1240" s="2" t="s">
        <v>56</v>
      </c>
      <c r="D1240" s="5" t="s">
        <v>81</v>
      </c>
      <c r="E1240" s="5" t="s">
        <v>58</v>
      </c>
      <c r="F1240" s="2" t="n">
        <v>14</v>
      </c>
      <c r="G1240" s="5" t="s">
        <v>66</v>
      </c>
      <c r="H1240" s="2" t="n">
        <v>0</v>
      </c>
      <c r="I1240" s="2" t="n">
        <v>1</v>
      </c>
      <c r="J1240" s="2" t="n">
        <v>1</v>
      </c>
      <c r="K1240" s="7" t="n">
        <v>0.8267810217</v>
      </c>
      <c r="L1240" s="7" t="n">
        <v>0.07901449409</v>
      </c>
      <c r="M1240" s="7" t="n">
        <v>0.09290221864</v>
      </c>
      <c r="N1240" s="7" t="n">
        <v>7</v>
      </c>
      <c r="O1240" s="7" t="n">
        <v>7</v>
      </c>
      <c r="P1240" s="7" t="n">
        <v>0</v>
      </c>
      <c r="Q1240" s="2"/>
      <c r="R1240" s="7" t="n">
        <v>2.38834</v>
      </c>
      <c r="S1240" s="5" t="s">
        <v>82</v>
      </c>
      <c r="T1240" s="5" t="s">
        <v>61</v>
      </c>
    </row>
    <row r="1241" customFormat="false" ht="15" hidden="false" customHeight="false" outlineLevel="0" collapsed="false">
      <c r="A1241" s="5" t="s">
        <v>4</v>
      </c>
      <c r="B1241" s="5" t="s">
        <v>55</v>
      </c>
      <c r="C1241" s="2" t="s">
        <v>56</v>
      </c>
      <c r="D1241" s="5" t="s">
        <v>81</v>
      </c>
      <c r="E1241" s="5" t="s">
        <v>62</v>
      </c>
      <c r="F1241" s="2" t="n">
        <v>14</v>
      </c>
      <c r="G1241" s="5" t="s">
        <v>66</v>
      </c>
      <c r="H1241" s="2" t="n">
        <v>0</v>
      </c>
      <c r="I1241" s="2" t="n">
        <v>1</v>
      </c>
      <c r="J1241" s="2" t="n">
        <v>1</v>
      </c>
      <c r="K1241" s="7" t="n">
        <v>0.8267810217</v>
      </c>
      <c r="L1241" s="7" t="n">
        <v>0.07901449409</v>
      </c>
      <c r="M1241" s="7" t="n">
        <v>0.09290221864</v>
      </c>
      <c r="N1241" s="7" t="n">
        <v>7</v>
      </c>
      <c r="O1241" s="7" t="n">
        <v>7</v>
      </c>
      <c r="P1241" s="7" t="n">
        <v>7</v>
      </c>
      <c r="Q1241" s="2"/>
      <c r="R1241" s="7" t="n">
        <v>2.868158</v>
      </c>
      <c r="S1241" s="5" t="s">
        <v>82</v>
      </c>
      <c r="T1241" s="5" t="s">
        <v>61</v>
      </c>
    </row>
    <row r="1242" customFormat="false" ht="15" hidden="false" customHeight="false" outlineLevel="0" collapsed="false">
      <c r="A1242" s="5" t="s">
        <v>4</v>
      </c>
      <c r="B1242" s="5" t="s">
        <v>55</v>
      </c>
      <c r="C1242" s="2" t="s">
        <v>56</v>
      </c>
      <c r="D1242" s="5" t="s">
        <v>81</v>
      </c>
      <c r="E1242" s="5" t="s">
        <v>58</v>
      </c>
      <c r="F1242" s="2" t="n">
        <v>15</v>
      </c>
      <c r="G1242" s="5" t="s">
        <v>59</v>
      </c>
      <c r="H1242" s="2" t="n">
        <v>1</v>
      </c>
      <c r="I1242" s="2" t="n">
        <v>1</v>
      </c>
      <c r="J1242" s="2" t="n">
        <v>1</v>
      </c>
      <c r="K1242" s="7" t="n">
        <v>0.5450911267</v>
      </c>
      <c r="L1242" s="7" t="n">
        <v>0.06813071385</v>
      </c>
      <c r="M1242" s="7" t="n">
        <v>0.07652585648</v>
      </c>
      <c r="N1242" s="7" t="n">
        <v>7</v>
      </c>
      <c r="O1242" s="7" t="n">
        <v>7</v>
      </c>
      <c r="P1242" s="7" t="n">
        <v>0</v>
      </c>
      <c r="Q1242" s="2"/>
      <c r="R1242" s="7" t="n">
        <v>1.446758</v>
      </c>
      <c r="S1242" s="5" t="s">
        <v>82</v>
      </c>
      <c r="T1242" s="5" t="s">
        <v>61</v>
      </c>
    </row>
    <row r="1243" customFormat="false" ht="15" hidden="false" customHeight="false" outlineLevel="0" collapsed="false">
      <c r="A1243" s="5" t="s">
        <v>4</v>
      </c>
      <c r="B1243" s="5" t="s">
        <v>55</v>
      </c>
      <c r="C1243" s="2" t="s">
        <v>56</v>
      </c>
      <c r="D1243" s="5" t="s">
        <v>81</v>
      </c>
      <c r="E1243" s="5" t="s">
        <v>62</v>
      </c>
      <c r="F1243" s="2" t="n">
        <v>15</v>
      </c>
      <c r="G1243" s="5" t="s">
        <v>59</v>
      </c>
      <c r="H1243" s="2" t="n">
        <v>1</v>
      </c>
      <c r="I1243" s="2" t="n">
        <v>1</v>
      </c>
      <c r="J1243" s="2" t="n">
        <v>1</v>
      </c>
      <c r="K1243" s="7" t="n">
        <v>0.5450911267</v>
      </c>
      <c r="L1243" s="7" t="n">
        <v>0.06813071385</v>
      </c>
      <c r="M1243" s="7" t="n">
        <v>0.07652585648</v>
      </c>
      <c r="N1243" s="7" t="n">
        <v>7</v>
      </c>
      <c r="O1243" s="7" t="n">
        <v>7</v>
      </c>
      <c r="P1243" s="7" t="n">
        <v>7</v>
      </c>
      <c r="Q1243" s="2"/>
      <c r="R1243" s="7" t="n">
        <v>1.907569</v>
      </c>
      <c r="S1243" s="5" t="s">
        <v>82</v>
      </c>
      <c r="T1243" s="5" t="s">
        <v>61</v>
      </c>
    </row>
    <row r="1244" customFormat="false" ht="15" hidden="false" customHeight="false" outlineLevel="0" collapsed="false">
      <c r="A1244" s="5" t="s">
        <v>4</v>
      </c>
      <c r="B1244" s="5" t="s">
        <v>55</v>
      </c>
      <c r="C1244" s="2" t="s">
        <v>56</v>
      </c>
      <c r="D1244" s="5" t="s">
        <v>81</v>
      </c>
      <c r="E1244" s="5" t="s">
        <v>58</v>
      </c>
      <c r="F1244" s="2" t="n">
        <v>15</v>
      </c>
      <c r="G1244" s="5" t="s">
        <v>63</v>
      </c>
      <c r="H1244" s="2" t="n">
        <v>1</v>
      </c>
      <c r="I1244" s="2" t="n">
        <v>1</v>
      </c>
      <c r="J1244" s="2" t="n">
        <v>1</v>
      </c>
      <c r="K1244" s="7" t="n">
        <v>0.3961024105</v>
      </c>
      <c r="L1244" s="7" t="n">
        <v>0.03073883273</v>
      </c>
      <c r="M1244" s="7" t="n">
        <v>0.0376926502</v>
      </c>
      <c r="N1244" s="7" t="n">
        <v>11</v>
      </c>
      <c r="O1244" s="7" t="n">
        <v>11</v>
      </c>
      <c r="P1244" s="7" t="n">
        <v>0</v>
      </c>
      <c r="Q1244" s="2"/>
      <c r="R1244" s="7" t="n">
        <v>1.180835</v>
      </c>
      <c r="S1244" s="5" t="s">
        <v>82</v>
      </c>
      <c r="T1244" s="5" t="s">
        <v>61</v>
      </c>
    </row>
    <row r="1245" customFormat="false" ht="15" hidden="false" customHeight="false" outlineLevel="0" collapsed="false">
      <c r="A1245" s="5" t="s">
        <v>4</v>
      </c>
      <c r="B1245" s="5" t="s">
        <v>55</v>
      </c>
      <c r="C1245" s="2" t="s">
        <v>56</v>
      </c>
      <c r="D1245" s="5" t="s">
        <v>81</v>
      </c>
      <c r="E1245" s="5" t="s">
        <v>62</v>
      </c>
      <c r="F1245" s="2" t="n">
        <v>15</v>
      </c>
      <c r="G1245" s="5" t="s">
        <v>63</v>
      </c>
      <c r="H1245" s="2" t="n">
        <v>1</v>
      </c>
      <c r="I1245" s="2" t="n">
        <v>1</v>
      </c>
      <c r="J1245" s="2" t="n">
        <v>1</v>
      </c>
      <c r="K1245" s="7" t="n">
        <v>0.3961024105</v>
      </c>
      <c r="L1245" s="7" t="n">
        <v>0.03073883273</v>
      </c>
      <c r="M1245" s="7" t="n">
        <v>0.0376926502</v>
      </c>
      <c r="N1245" s="7" t="n">
        <v>11</v>
      </c>
      <c r="O1245" s="7" t="n">
        <v>11</v>
      </c>
      <c r="P1245" s="7" t="n">
        <v>11</v>
      </c>
      <c r="Q1245" s="2"/>
      <c r="R1245" s="7" t="n">
        <v>1.802153</v>
      </c>
      <c r="S1245" s="5" t="s">
        <v>82</v>
      </c>
      <c r="T1245" s="5" t="s">
        <v>61</v>
      </c>
    </row>
    <row r="1246" customFormat="false" ht="15" hidden="false" customHeight="false" outlineLevel="0" collapsed="false">
      <c r="A1246" s="5" t="s">
        <v>4</v>
      </c>
      <c r="B1246" s="5" t="s">
        <v>55</v>
      </c>
      <c r="C1246" s="2" t="s">
        <v>56</v>
      </c>
      <c r="D1246" s="5" t="s">
        <v>81</v>
      </c>
      <c r="E1246" s="5" t="s">
        <v>58</v>
      </c>
      <c r="F1246" s="2" t="n">
        <v>15</v>
      </c>
      <c r="G1246" s="5" t="s">
        <v>64</v>
      </c>
      <c r="H1246" s="2" t="n">
        <v>0</v>
      </c>
      <c r="I1246" s="2" t="n">
        <v>0</v>
      </c>
      <c r="J1246" s="2" t="n">
        <v>0</v>
      </c>
      <c r="K1246" s="2"/>
      <c r="L1246" s="2"/>
      <c r="M1246" s="2"/>
      <c r="N1246" s="7" t="n">
        <v>2</v>
      </c>
      <c r="O1246" s="7" t="n">
        <v>2</v>
      </c>
      <c r="P1246" s="7" t="n">
        <v>0</v>
      </c>
      <c r="Q1246" s="2"/>
      <c r="R1246" s="7" t="n">
        <v>1.324347</v>
      </c>
      <c r="S1246" s="5" t="s">
        <v>82</v>
      </c>
      <c r="T1246" s="5" t="s">
        <v>61</v>
      </c>
    </row>
    <row r="1247" customFormat="false" ht="15" hidden="false" customHeight="false" outlineLevel="0" collapsed="false">
      <c r="A1247" s="5" t="s">
        <v>4</v>
      </c>
      <c r="B1247" s="5" t="s">
        <v>55</v>
      </c>
      <c r="C1247" s="2" t="s">
        <v>56</v>
      </c>
      <c r="D1247" s="5" t="s">
        <v>81</v>
      </c>
      <c r="E1247" s="5" t="s">
        <v>62</v>
      </c>
      <c r="F1247" s="2" t="n">
        <v>15</v>
      </c>
      <c r="G1247" s="5" t="s">
        <v>64</v>
      </c>
      <c r="H1247" s="2" t="n">
        <v>0</v>
      </c>
      <c r="I1247" s="2" t="n">
        <v>0</v>
      </c>
      <c r="J1247" s="2" t="n">
        <v>0</v>
      </c>
      <c r="K1247" s="2"/>
      <c r="L1247" s="2"/>
      <c r="M1247" s="2"/>
      <c r="N1247" s="7" t="n">
        <v>2</v>
      </c>
      <c r="O1247" s="7" t="n">
        <v>2</v>
      </c>
      <c r="P1247" s="7" t="n">
        <v>0</v>
      </c>
      <c r="Q1247" s="2"/>
      <c r="R1247" s="7" t="n">
        <v>1.324498</v>
      </c>
      <c r="S1247" s="5" t="s">
        <v>82</v>
      </c>
      <c r="T1247" s="5" t="s">
        <v>61</v>
      </c>
    </row>
    <row r="1248" customFormat="false" ht="15" hidden="false" customHeight="false" outlineLevel="0" collapsed="false">
      <c r="A1248" s="5" t="s">
        <v>4</v>
      </c>
      <c r="B1248" s="5" t="s">
        <v>55</v>
      </c>
      <c r="C1248" s="2" t="s">
        <v>56</v>
      </c>
      <c r="D1248" s="5" t="s">
        <v>81</v>
      </c>
      <c r="E1248" s="5" t="s">
        <v>58</v>
      </c>
      <c r="F1248" s="2" t="n">
        <v>15</v>
      </c>
      <c r="G1248" s="5" t="s">
        <v>65</v>
      </c>
      <c r="H1248" s="2" t="n">
        <v>0</v>
      </c>
      <c r="I1248" s="2" t="n">
        <v>0</v>
      </c>
      <c r="J1248" s="2" t="n">
        <v>0</v>
      </c>
      <c r="K1248" s="2"/>
      <c r="L1248" s="2"/>
      <c r="M1248" s="2"/>
      <c r="N1248" s="7" t="n">
        <v>1</v>
      </c>
      <c r="O1248" s="7" t="n">
        <v>1</v>
      </c>
      <c r="P1248" s="7" t="n">
        <v>0</v>
      </c>
      <c r="Q1248" s="2"/>
      <c r="R1248" s="7" t="n">
        <v>2.132732</v>
      </c>
      <c r="S1248" s="5" t="s">
        <v>82</v>
      </c>
      <c r="T1248" s="5" t="s">
        <v>61</v>
      </c>
    </row>
    <row r="1249" customFormat="false" ht="15" hidden="false" customHeight="false" outlineLevel="0" collapsed="false">
      <c r="A1249" s="5" t="s">
        <v>4</v>
      </c>
      <c r="B1249" s="5" t="s">
        <v>55</v>
      </c>
      <c r="C1249" s="2" t="s">
        <v>56</v>
      </c>
      <c r="D1249" s="5" t="s">
        <v>81</v>
      </c>
      <c r="E1249" s="5" t="s">
        <v>62</v>
      </c>
      <c r="F1249" s="2" t="n">
        <v>15</v>
      </c>
      <c r="G1249" s="5" t="s">
        <v>65</v>
      </c>
      <c r="H1249" s="2" t="n">
        <v>0</v>
      </c>
      <c r="I1249" s="2" t="n">
        <v>0</v>
      </c>
      <c r="J1249" s="2" t="n">
        <v>0</v>
      </c>
      <c r="K1249" s="2"/>
      <c r="L1249" s="2"/>
      <c r="M1249" s="2"/>
      <c r="N1249" s="7" t="n">
        <v>1</v>
      </c>
      <c r="O1249" s="7" t="n">
        <v>1</v>
      </c>
      <c r="P1249" s="7" t="n">
        <v>0</v>
      </c>
      <c r="Q1249" s="2"/>
      <c r="R1249" s="7" t="n">
        <v>2.132561</v>
      </c>
      <c r="S1249" s="5" t="s">
        <v>82</v>
      </c>
      <c r="T1249" s="5" t="s">
        <v>61</v>
      </c>
    </row>
    <row r="1250" customFormat="false" ht="15" hidden="false" customHeight="false" outlineLevel="0" collapsed="false">
      <c r="A1250" s="5" t="s">
        <v>4</v>
      </c>
      <c r="B1250" s="5" t="s">
        <v>55</v>
      </c>
      <c r="C1250" s="2" t="s">
        <v>56</v>
      </c>
      <c r="D1250" s="5" t="s">
        <v>81</v>
      </c>
      <c r="E1250" s="5" t="s">
        <v>58</v>
      </c>
      <c r="F1250" s="2" t="n">
        <v>15</v>
      </c>
      <c r="G1250" s="5" t="s">
        <v>66</v>
      </c>
      <c r="H1250" s="2" t="n">
        <v>0</v>
      </c>
      <c r="I1250" s="2" t="n">
        <v>1</v>
      </c>
      <c r="J1250" s="2" t="n">
        <v>0</v>
      </c>
      <c r="K1250" s="7" t="n">
        <v>3.589860402</v>
      </c>
      <c r="L1250" s="7" t="n">
        <v>0.2124914847</v>
      </c>
      <c r="M1250" s="7" t="n">
        <v>0.2964401179</v>
      </c>
      <c r="N1250" s="7" t="n">
        <v>5</v>
      </c>
      <c r="O1250" s="7" t="n">
        <v>5</v>
      </c>
      <c r="P1250" s="7" t="n">
        <v>0</v>
      </c>
      <c r="Q1250" s="2"/>
      <c r="R1250" s="7" t="n">
        <v>2.429501</v>
      </c>
      <c r="S1250" s="5" t="s">
        <v>82</v>
      </c>
      <c r="T1250" s="5" t="s">
        <v>61</v>
      </c>
    </row>
    <row r="1251" customFormat="false" ht="15" hidden="false" customHeight="false" outlineLevel="0" collapsed="false">
      <c r="A1251" s="5" t="s">
        <v>4</v>
      </c>
      <c r="B1251" s="5" t="s">
        <v>55</v>
      </c>
      <c r="C1251" s="2" t="s">
        <v>56</v>
      </c>
      <c r="D1251" s="5" t="s">
        <v>81</v>
      </c>
      <c r="E1251" s="5" t="s">
        <v>62</v>
      </c>
      <c r="F1251" s="2" t="n">
        <v>15</v>
      </c>
      <c r="G1251" s="5" t="s">
        <v>66</v>
      </c>
      <c r="H1251" s="2" t="n">
        <v>0</v>
      </c>
      <c r="I1251" s="2" t="n">
        <v>1</v>
      </c>
      <c r="J1251" s="2" t="n">
        <v>1</v>
      </c>
      <c r="K1251" s="7" t="n">
        <v>1.126932722</v>
      </c>
      <c r="L1251" s="7" t="n">
        <v>0.06732838011</v>
      </c>
      <c r="M1251" s="7" t="n">
        <v>0.09637449242</v>
      </c>
      <c r="N1251" s="7" t="n">
        <v>5</v>
      </c>
      <c r="O1251" s="7" t="n">
        <v>5</v>
      </c>
      <c r="P1251" s="7" t="n">
        <v>4</v>
      </c>
      <c r="Q1251" s="2"/>
      <c r="R1251" s="7" t="n">
        <v>2.803594</v>
      </c>
      <c r="S1251" s="5" t="s">
        <v>82</v>
      </c>
      <c r="T1251" s="5" t="s">
        <v>61</v>
      </c>
    </row>
    <row r="1252" customFormat="false" ht="15" hidden="false" customHeight="false" outlineLevel="0" collapsed="false">
      <c r="A1252" s="5" t="s">
        <v>4</v>
      </c>
      <c r="B1252" s="5" t="s">
        <v>55</v>
      </c>
      <c r="C1252" s="2" t="s">
        <v>56</v>
      </c>
      <c r="D1252" s="5" t="s">
        <v>81</v>
      </c>
      <c r="E1252" s="5" t="s">
        <v>58</v>
      </c>
      <c r="F1252" s="2" t="n">
        <v>16</v>
      </c>
      <c r="G1252" s="5" t="s">
        <v>59</v>
      </c>
      <c r="H1252" s="2" t="n">
        <v>1</v>
      </c>
      <c r="I1252" s="2" t="n">
        <v>1</v>
      </c>
      <c r="J1252" s="2" t="n">
        <v>1</v>
      </c>
      <c r="K1252" s="7" t="n">
        <v>0.3778503202</v>
      </c>
      <c r="L1252" s="7" t="n">
        <v>0.06369000282</v>
      </c>
      <c r="M1252" s="7" t="n">
        <v>0.06723061222</v>
      </c>
      <c r="N1252" s="7" t="n">
        <v>7</v>
      </c>
      <c r="O1252" s="7" t="n">
        <v>7</v>
      </c>
      <c r="P1252" s="7" t="n">
        <v>0</v>
      </c>
      <c r="Q1252" s="2"/>
      <c r="R1252" s="7" t="n">
        <v>1.503843</v>
      </c>
      <c r="S1252" s="5" t="s">
        <v>82</v>
      </c>
      <c r="T1252" s="5" t="s">
        <v>61</v>
      </c>
    </row>
    <row r="1253" customFormat="false" ht="15" hidden="false" customHeight="false" outlineLevel="0" collapsed="false">
      <c r="A1253" s="5" t="s">
        <v>4</v>
      </c>
      <c r="B1253" s="5" t="s">
        <v>55</v>
      </c>
      <c r="C1253" s="2" t="s">
        <v>56</v>
      </c>
      <c r="D1253" s="5" t="s">
        <v>81</v>
      </c>
      <c r="E1253" s="5" t="s">
        <v>62</v>
      </c>
      <c r="F1253" s="2" t="n">
        <v>16</v>
      </c>
      <c r="G1253" s="5" t="s">
        <v>59</v>
      </c>
      <c r="H1253" s="2" t="n">
        <v>1</v>
      </c>
      <c r="I1253" s="2" t="n">
        <v>1</v>
      </c>
      <c r="J1253" s="2" t="n">
        <v>1</v>
      </c>
      <c r="K1253" s="7" t="n">
        <v>0.3778503202</v>
      </c>
      <c r="L1253" s="7" t="n">
        <v>0.06369000282</v>
      </c>
      <c r="M1253" s="7" t="n">
        <v>0.06723061222</v>
      </c>
      <c r="N1253" s="7" t="n">
        <v>7</v>
      </c>
      <c r="O1253" s="7" t="n">
        <v>7</v>
      </c>
      <c r="P1253" s="7" t="n">
        <v>7</v>
      </c>
      <c r="Q1253" s="2"/>
      <c r="R1253" s="7" t="n">
        <v>1.976802</v>
      </c>
      <c r="S1253" s="5" t="s">
        <v>82</v>
      </c>
      <c r="T1253" s="5" t="s">
        <v>61</v>
      </c>
    </row>
    <row r="1254" customFormat="false" ht="15" hidden="false" customHeight="false" outlineLevel="0" collapsed="false">
      <c r="A1254" s="5" t="s">
        <v>4</v>
      </c>
      <c r="B1254" s="5" t="s">
        <v>55</v>
      </c>
      <c r="C1254" s="2" t="s">
        <v>56</v>
      </c>
      <c r="D1254" s="5" t="s">
        <v>81</v>
      </c>
      <c r="E1254" s="5" t="s">
        <v>58</v>
      </c>
      <c r="F1254" s="2" t="n">
        <v>16</v>
      </c>
      <c r="G1254" s="5" t="s">
        <v>63</v>
      </c>
      <c r="H1254" s="2" t="n">
        <v>1</v>
      </c>
      <c r="I1254" s="2" t="n">
        <v>1</v>
      </c>
      <c r="J1254" s="2" t="n">
        <v>1</v>
      </c>
      <c r="K1254" s="7" t="n">
        <v>0.7710124582</v>
      </c>
      <c r="L1254" s="7" t="n">
        <v>0.0439643639</v>
      </c>
      <c r="M1254" s="7" t="n">
        <v>0.06091168044</v>
      </c>
      <c r="N1254" s="7" t="n">
        <v>9</v>
      </c>
      <c r="O1254" s="7" t="n">
        <v>9</v>
      </c>
      <c r="P1254" s="7" t="n">
        <v>0</v>
      </c>
      <c r="Q1254" s="2"/>
      <c r="R1254" s="7" t="n">
        <v>1.291609</v>
      </c>
      <c r="S1254" s="5" t="s">
        <v>82</v>
      </c>
      <c r="T1254" s="5" t="s">
        <v>61</v>
      </c>
    </row>
    <row r="1255" customFormat="false" ht="15" hidden="false" customHeight="false" outlineLevel="0" collapsed="false">
      <c r="A1255" s="5" t="s">
        <v>4</v>
      </c>
      <c r="B1255" s="5" t="s">
        <v>55</v>
      </c>
      <c r="C1255" s="2" t="s">
        <v>56</v>
      </c>
      <c r="D1255" s="5" t="s">
        <v>81</v>
      </c>
      <c r="E1255" s="5" t="s">
        <v>62</v>
      </c>
      <c r="F1255" s="2" t="n">
        <v>16</v>
      </c>
      <c r="G1255" s="5" t="s">
        <v>63</v>
      </c>
      <c r="H1255" s="2" t="n">
        <v>1</v>
      </c>
      <c r="I1255" s="2" t="n">
        <v>1</v>
      </c>
      <c r="J1255" s="2" t="n">
        <v>1</v>
      </c>
      <c r="K1255" s="7" t="n">
        <v>0.7710124582</v>
      </c>
      <c r="L1255" s="7" t="n">
        <v>0.0439643639</v>
      </c>
      <c r="M1255" s="7" t="n">
        <v>0.06091168044</v>
      </c>
      <c r="N1255" s="7" t="n">
        <v>9</v>
      </c>
      <c r="O1255" s="7" t="n">
        <v>9</v>
      </c>
      <c r="P1255" s="7" t="n">
        <v>9</v>
      </c>
      <c r="Q1255" s="2"/>
      <c r="R1255" s="7" t="n">
        <v>1.89443</v>
      </c>
      <c r="S1255" s="5" t="s">
        <v>82</v>
      </c>
      <c r="T1255" s="5" t="s">
        <v>61</v>
      </c>
    </row>
    <row r="1256" customFormat="false" ht="15" hidden="false" customHeight="false" outlineLevel="0" collapsed="false">
      <c r="A1256" s="5" t="s">
        <v>4</v>
      </c>
      <c r="B1256" s="5" t="s">
        <v>55</v>
      </c>
      <c r="C1256" s="2" t="s">
        <v>56</v>
      </c>
      <c r="D1256" s="5" t="s">
        <v>81</v>
      </c>
      <c r="E1256" s="5" t="s">
        <v>58</v>
      </c>
      <c r="F1256" s="2" t="n">
        <v>16</v>
      </c>
      <c r="G1256" s="5" t="s">
        <v>64</v>
      </c>
      <c r="H1256" s="2" t="n">
        <v>0</v>
      </c>
      <c r="I1256" s="2" t="n">
        <v>0</v>
      </c>
      <c r="J1256" s="2" t="n">
        <v>0</v>
      </c>
      <c r="K1256" s="2"/>
      <c r="L1256" s="2"/>
      <c r="M1256" s="2"/>
      <c r="N1256" s="7" t="n">
        <v>1</v>
      </c>
      <c r="O1256" s="7" t="n">
        <v>1</v>
      </c>
      <c r="P1256" s="7" t="n">
        <v>0</v>
      </c>
      <c r="Q1256" s="2"/>
      <c r="R1256" s="7" t="n">
        <v>1.374472</v>
      </c>
      <c r="S1256" s="5" t="s">
        <v>82</v>
      </c>
      <c r="T1256" s="5" t="s">
        <v>61</v>
      </c>
    </row>
    <row r="1257" customFormat="false" ht="15" hidden="false" customHeight="false" outlineLevel="0" collapsed="false">
      <c r="A1257" s="5" t="s">
        <v>4</v>
      </c>
      <c r="B1257" s="5" t="s">
        <v>55</v>
      </c>
      <c r="C1257" s="2" t="s">
        <v>56</v>
      </c>
      <c r="D1257" s="5" t="s">
        <v>81</v>
      </c>
      <c r="E1257" s="5" t="s">
        <v>62</v>
      </c>
      <c r="F1257" s="2" t="n">
        <v>16</v>
      </c>
      <c r="G1257" s="5" t="s">
        <v>64</v>
      </c>
      <c r="H1257" s="2" t="n">
        <v>0</v>
      </c>
      <c r="I1257" s="2" t="n">
        <v>0</v>
      </c>
      <c r="J1257" s="2" t="n">
        <v>0</v>
      </c>
      <c r="K1257" s="2"/>
      <c r="L1257" s="2"/>
      <c r="M1257" s="2"/>
      <c r="N1257" s="7" t="n">
        <v>1</v>
      </c>
      <c r="O1257" s="7" t="n">
        <v>1</v>
      </c>
      <c r="P1257" s="7" t="n">
        <v>0</v>
      </c>
      <c r="Q1257" s="2"/>
      <c r="R1257" s="7" t="n">
        <v>1.374632</v>
      </c>
      <c r="S1257" s="5" t="s">
        <v>82</v>
      </c>
      <c r="T1257" s="5" t="s">
        <v>61</v>
      </c>
    </row>
    <row r="1258" customFormat="false" ht="15" hidden="false" customHeight="false" outlineLevel="0" collapsed="false">
      <c r="A1258" s="5" t="s">
        <v>4</v>
      </c>
      <c r="B1258" s="5" t="s">
        <v>55</v>
      </c>
      <c r="C1258" s="2" t="s">
        <v>56</v>
      </c>
      <c r="D1258" s="5" t="s">
        <v>81</v>
      </c>
      <c r="E1258" s="5" t="s">
        <v>58</v>
      </c>
      <c r="F1258" s="2" t="n">
        <v>16</v>
      </c>
      <c r="G1258" s="5" t="s">
        <v>65</v>
      </c>
      <c r="H1258" s="2" t="n">
        <v>0</v>
      </c>
      <c r="I1258" s="2" t="n">
        <v>1</v>
      </c>
      <c r="J1258" s="2" t="n">
        <v>1</v>
      </c>
      <c r="K1258" s="7" t="n">
        <v>0.5888078952</v>
      </c>
      <c r="L1258" s="7" t="n">
        <v>0.0874289498</v>
      </c>
      <c r="M1258" s="7" t="n">
        <v>0.09423676844</v>
      </c>
      <c r="N1258" s="7" t="n">
        <v>8</v>
      </c>
      <c r="O1258" s="7" t="n">
        <v>8</v>
      </c>
      <c r="P1258" s="7" t="n">
        <v>0</v>
      </c>
      <c r="Q1258" s="2"/>
      <c r="R1258" s="7" t="n">
        <v>2.095698</v>
      </c>
      <c r="S1258" s="5" t="s">
        <v>82</v>
      </c>
      <c r="T1258" s="5" t="s">
        <v>61</v>
      </c>
    </row>
    <row r="1259" customFormat="false" ht="15" hidden="false" customHeight="false" outlineLevel="0" collapsed="false">
      <c r="A1259" s="5" t="s">
        <v>4</v>
      </c>
      <c r="B1259" s="5" t="s">
        <v>55</v>
      </c>
      <c r="C1259" s="2" t="s">
        <v>56</v>
      </c>
      <c r="D1259" s="5" t="s">
        <v>81</v>
      </c>
      <c r="E1259" s="5" t="s">
        <v>62</v>
      </c>
      <c r="F1259" s="2" t="n">
        <v>16</v>
      </c>
      <c r="G1259" s="5" t="s">
        <v>65</v>
      </c>
      <c r="H1259" s="2" t="n">
        <v>0</v>
      </c>
      <c r="I1259" s="2" t="n">
        <v>1</v>
      </c>
      <c r="J1259" s="2" t="n">
        <v>1</v>
      </c>
      <c r="K1259" s="7" t="n">
        <v>0.5888078952</v>
      </c>
      <c r="L1259" s="7" t="n">
        <v>0.0874289498</v>
      </c>
      <c r="M1259" s="7" t="n">
        <v>0.09423676844</v>
      </c>
      <c r="N1259" s="7" t="n">
        <v>8</v>
      </c>
      <c r="O1259" s="7" t="n">
        <v>8</v>
      </c>
      <c r="P1259" s="7" t="n">
        <v>8</v>
      </c>
      <c r="Q1259" s="2"/>
      <c r="R1259" s="7" t="n">
        <v>2.591811</v>
      </c>
      <c r="S1259" s="5" t="s">
        <v>82</v>
      </c>
      <c r="T1259" s="5" t="s">
        <v>61</v>
      </c>
    </row>
    <row r="1260" customFormat="false" ht="15" hidden="false" customHeight="false" outlineLevel="0" collapsed="false">
      <c r="A1260" s="5" t="s">
        <v>4</v>
      </c>
      <c r="B1260" s="5" t="s">
        <v>55</v>
      </c>
      <c r="C1260" s="2" t="s">
        <v>56</v>
      </c>
      <c r="D1260" s="5" t="s">
        <v>81</v>
      </c>
      <c r="E1260" s="5" t="s">
        <v>58</v>
      </c>
      <c r="F1260" s="2" t="n">
        <v>16</v>
      </c>
      <c r="G1260" s="5" t="s">
        <v>66</v>
      </c>
      <c r="H1260" s="2" t="n">
        <v>0</v>
      </c>
      <c r="I1260" s="2" t="n">
        <v>0</v>
      </c>
      <c r="J1260" s="2" t="n">
        <v>0</v>
      </c>
      <c r="K1260" s="2"/>
      <c r="L1260" s="2"/>
      <c r="M1260" s="2"/>
      <c r="N1260" s="7" t="n">
        <v>0</v>
      </c>
      <c r="O1260" s="7" t="n">
        <v>0</v>
      </c>
      <c r="P1260" s="7" t="n">
        <v>0</v>
      </c>
      <c r="Q1260" s="2"/>
      <c r="R1260" s="7" t="n">
        <v>2.342472</v>
      </c>
      <c r="S1260" s="5" t="s">
        <v>82</v>
      </c>
      <c r="T1260" s="5" t="s">
        <v>61</v>
      </c>
    </row>
    <row r="1261" customFormat="false" ht="15" hidden="false" customHeight="false" outlineLevel="0" collapsed="false">
      <c r="A1261" s="5" t="s">
        <v>4</v>
      </c>
      <c r="B1261" s="5" t="s">
        <v>55</v>
      </c>
      <c r="C1261" s="2" t="s">
        <v>56</v>
      </c>
      <c r="D1261" s="5" t="s">
        <v>81</v>
      </c>
      <c r="E1261" s="5" t="s">
        <v>62</v>
      </c>
      <c r="F1261" s="2" t="n">
        <v>16</v>
      </c>
      <c r="G1261" s="5" t="s">
        <v>66</v>
      </c>
      <c r="H1261" s="2" t="n">
        <v>0</v>
      </c>
      <c r="I1261" s="2" t="n">
        <v>0</v>
      </c>
      <c r="J1261" s="2" t="n">
        <v>0</v>
      </c>
      <c r="K1261" s="2"/>
      <c r="L1261" s="2"/>
      <c r="M1261" s="2"/>
      <c r="N1261" s="7" t="n">
        <v>0</v>
      </c>
      <c r="O1261" s="7" t="n">
        <v>0</v>
      </c>
      <c r="P1261" s="7" t="n">
        <v>0</v>
      </c>
      <c r="Q1261" s="2"/>
      <c r="R1261" s="7" t="n">
        <v>2.342603</v>
      </c>
      <c r="S1261" s="5" t="s">
        <v>82</v>
      </c>
      <c r="T1261" s="5" t="s">
        <v>61</v>
      </c>
    </row>
    <row r="1262" customFormat="false" ht="15" hidden="false" customHeight="false" outlineLevel="0" collapsed="false">
      <c r="A1262" s="5" t="s">
        <v>4</v>
      </c>
      <c r="B1262" s="5" t="s">
        <v>55</v>
      </c>
      <c r="C1262" s="2" t="s">
        <v>56</v>
      </c>
      <c r="D1262" s="5" t="s">
        <v>81</v>
      </c>
      <c r="E1262" s="5" t="s">
        <v>58</v>
      </c>
      <c r="F1262" s="2" t="n">
        <v>17</v>
      </c>
      <c r="G1262" s="5" t="s">
        <v>59</v>
      </c>
      <c r="H1262" s="2" t="n">
        <v>1</v>
      </c>
      <c r="I1262" s="2" t="n">
        <v>1</v>
      </c>
      <c r="J1262" s="2" t="n">
        <v>1</v>
      </c>
      <c r="K1262" s="7" t="n">
        <v>1.701935423</v>
      </c>
      <c r="L1262" s="7" t="n">
        <v>0.2348050327</v>
      </c>
      <c r="M1262" s="7" t="n">
        <v>0.2623215998</v>
      </c>
      <c r="N1262" s="7" t="n">
        <v>4</v>
      </c>
      <c r="O1262" s="7" t="n">
        <v>4</v>
      </c>
      <c r="P1262" s="7" t="n">
        <v>0</v>
      </c>
      <c r="Q1262" s="2"/>
      <c r="R1262" s="7" t="n">
        <v>1.641065</v>
      </c>
      <c r="S1262" s="5" t="s">
        <v>82</v>
      </c>
      <c r="T1262" s="5" t="s">
        <v>61</v>
      </c>
    </row>
    <row r="1263" customFormat="false" ht="15" hidden="false" customHeight="false" outlineLevel="0" collapsed="false">
      <c r="A1263" s="5" t="s">
        <v>4</v>
      </c>
      <c r="B1263" s="5" t="s">
        <v>55</v>
      </c>
      <c r="C1263" s="2" t="s">
        <v>56</v>
      </c>
      <c r="D1263" s="5" t="s">
        <v>81</v>
      </c>
      <c r="E1263" s="5" t="s">
        <v>62</v>
      </c>
      <c r="F1263" s="2" t="n">
        <v>17</v>
      </c>
      <c r="G1263" s="5" t="s">
        <v>59</v>
      </c>
      <c r="H1263" s="2" t="n">
        <v>1</v>
      </c>
      <c r="I1263" s="2" t="n">
        <v>1</v>
      </c>
      <c r="J1263" s="2" t="n">
        <v>1</v>
      </c>
      <c r="K1263" s="7" t="n">
        <v>1.701935423</v>
      </c>
      <c r="L1263" s="7" t="n">
        <v>0.2348050327</v>
      </c>
      <c r="M1263" s="7" t="n">
        <v>0.2623215998</v>
      </c>
      <c r="N1263" s="7" t="n">
        <v>4</v>
      </c>
      <c r="O1263" s="7" t="n">
        <v>4</v>
      </c>
      <c r="P1263" s="7" t="n">
        <v>4</v>
      </c>
      <c r="Q1263" s="2"/>
      <c r="R1263" s="7" t="n">
        <v>1.911595</v>
      </c>
      <c r="S1263" s="5" t="s">
        <v>82</v>
      </c>
      <c r="T1263" s="5" t="s">
        <v>61</v>
      </c>
    </row>
    <row r="1264" customFormat="false" ht="15" hidden="false" customHeight="false" outlineLevel="0" collapsed="false">
      <c r="A1264" s="5" t="s">
        <v>4</v>
      </c>
      <c r="B1264" s="5" t="s">
        <v>55</v>
      </c>
      <c r="C1264" s="2" t="s">
        <v>56</v>
      </c>
      <c r="D1264" s="5" t="s">
        <v>81</v>
      </c>
      <c r="E1264" s="5" t="s">
        <v>58</v>
      </c>
      <c r="F1264" s="2" t="n">
        <v>17</v>
      </c>
      <c r="G1264" s="5" t="s">
        <v>63</v>
      </c>
      <c r="H1264" s="2" t="n">
        <v>1</v>
      </c>
      <c r="I1264" s="2" t="n">
        <v>1</v>
      </c>
      <c r="J1264" s="2" t="n">
        <v>1</v>
      </c>
      <c r="K1264" s="7" t="n">
        <v>0.5455497505</v>
      </c>
      <c r="L1264" s="7" t="n">
        <v>0.03062196697</v>
      </c>
      <c r="M1264" s="7" t="n">
        <v>0.0426013921</v>
      </c>
      <c r="N1264" s="7" t="n">
        <v>9</v>
      </c>
      <c r="O1264" s="7" t="n">
        <v>9</v>
      </c>
      <c r="P1264" s="7" t="n">
        <v>0</v>
      </c>
      <c r="Q1264" s="2"/>
      <c r="R1264" s="7" t="n">
        <v>1.279861</v>
      </c>
      <c r="S1264" s="5" t="s">
        <v>82</v>
      </c>
      <c r="T1264" s="5" t="s">
        <v>61</v>
      </c>
    </row>
    <row r="1265" customFormat="false" ht="15" hidden="false" customHeight="false" outlineLevel="0" collapsed="false">
      <c r="A1265" s="5" t="s">
        <v>4</v>
      </c>
      <c r="B1265" s="5" t="s">
        <v>55</v>
      </c>
      <c r="C1265" s="2" t="s">
        <v>56</v>
      </c>
      <c r="D1265" s="5" t="s">
        <v>81</v>
      </c>
      <c r="E1265" s="5" t="s">
        <v>62</v>
      </c>
      <c r="F1265" s="2" t="n">
        <v>17</v>
      </c>
      <c r="G1265" s="5" t="s">
        <v>63</v>
      </c>
      <c r="H1265" s="2" t="n">
        <v>1</v>
      </c>
      <c r="I1265" s="2" t="n">
        <v>1</v>
      </c>
      <c r="J1265" s="2" t="n">
        <v>1</v>
      </c>
      <c r="K1265" s="7" t="n">
        <v>0.5455497505</v>
      </c>
      <c r="L1265" s="7" t="n">
        <v>0.03062196697</v>
      </c>
      <c r="M1265" s="7" t="n">
        <v>0.0426013921</v>
      </c>
      <c r="N1265" s="7" t="n">
        <v>9</v>
      </c>
      <c r="O1265" s="7" t="n">
        <v>9</v>
      </c>
      <c r="P1265" s="7" t="n">
        <v>9</v>
      </c>
      <c r="Q1265" s="2"/>
      <c r="R1265" s="7" t="n">
        <v>2.004672</v>
      </c>
      <c r="S1265" s="5" t="s">
        <v>82</v>
      </c>
      <c r="T1265" s="5" t="s">
        <v>61</v>
      </c>
    </row>
    <row r="1266" customFormat="false" ht="15" hidden="false" customHeight="false" outlineLevel="0" collapsed="false">
      <c r="A1266" s="5" t="s">
        <v>4</v>
      </c>
      <c r="B1266" s="5" t="s">
        <v>55</v>
      </c>
      <c r="C1266" s="2" t="s">
        <v>56</v>
      </c>
      <c r="D1266" s="5" t="s">
        <v>81</v>
      </c>
      <c r="E1266" s="5" t="s">
        <v>58</v>
      </c>
      <c r="F1266" s="2" t="n">
        <v>17</v>
      </c>
      <c r="G1266" s="5" t="s">
        <v>64</v>
      </c>
      <c r="H1266" s="2" t="n">
        <v>0</v>
      </c>
      <c r="I1266" s="2" t="n">
        <v>1</v>
      </c>
      <c r="J1266" s="2" t="n">
        <v>1</v>
      </c>
      <c r="K1266" s="7" t="n">
        <v>1.28115063</v>
      </c>
      <c r="L1266" s="7" t="n">
        <v>0.302323577</v>
      </c>
      <c r="M1266" s="7" t="n">
        <v>0.3092540468</v>
      </c>
      <c r="N1266" s="7" t="n">
        <v>4</v>
      </c>
      <c r="O1266" s="7" t="n">
        <v>4</v>
      </c>
      <c r="P1266" s="7" t="n">
        <v>0</v>
      </c>
      <c r="Q1266" s="2"/>
      <c r="R1266" s="7" t="n">
        <v>1.422012</v>
      </c>
      <c r="S1266" s="5" t="s">
        <v>82</v>
      </c>
      <c r="T1266" s="5" t="s">
        <v>61</v>
      </c>
    </row>
    <row r="1267" customFormat="false" ht="15" hidden="false" customHeight="false" outlineLevel="0" collapsed="false">
      <c r="A1267" s="5" t="s">
        <v>4</v>
      </c>
      <c r="B1267" s="5" t="s">
        <v>55</v>
      </c>
      <c r="C1267" s="2" t="s">
        <v>56</v>
      </c>
      <c r="D1267" s="5" t="s">
        <v>81</v>
      </c>
      <c r="E1267" s="5" t="s">
        <v>62</v>
      </c>
      <c r="F1267" s="2" t="n">
        <v>17</v>
      </c>
      <c r="G1267" s="5" t="s">
        <v>64</v>
      </c>
      <c r="H1267" s="2" t="n">
        <v>0</v>
      </c>
      <c r="I1267" s="2" t="n">
        <v>1</v>
      </c>
      <c r="J1267" s="2" t="n">
        <v>1</v>
      </c>
      <c r="K1267" s="7" t="n">
        <v>1.28115063</v>
      </c>
      <c r="L1267" s="7" t="n">
        <v>0.302323577</v>
      </c>
      <c r="M1267" s="7" t="n">
        <v>0.3092540468</v>
      </c>
      <c r="N1267" s="7" t="n">
        <v>4</v>
      </c>
      <c r="O1267" s="7" t="n">
        <v>4</v>
      </c>
      <c r="P1267" s="7" t="n">
        <v>4</v>
      </c>
      <c r="Q1267" s="2"/>
      <c r="R1267" s="7" t="n">
        <v>1.690368</v>
      </c>
      <c r="S1267" s="5" t="s">
        <v>82</v>
      </c>
      <c r="T1267" s="5" t="s">
        <v>61</v>
      </c>
    </row>
    <row r="1268" customFormat="false" ht="15" hidden="false" customHeight="false" outlineLevel="0" collapsed="false">
      <c r="A1268" s="5" t="s">
        <v>4</v>
      </c>
      <c r="B1268" s="5" t="s">
        <v>55</v>
      </c>
      <c r="C1268" s="2" t="s">
        <v>56</v>
      </c>
      <c r="D1268" s="5" t="s">
        <v>81</v>
      </c>
      <c r="E1268" s="5" t="s">
        <v>58</v>
      </c>
      <c r="F1268" s="2" t="n">
        <v>17</v>
      </c>
      <c r="G1268" s="5" t="s">
        <v>65</v>
      </c>
      <c r="H1268" s="2" t="n">
        <v>0</v>
      </c>
      <c r="I1268" s="2" t="n">
        <v>0</v>
      </c>
      <c r="J1268" s="2" t="n">
        <v>0</v>
      </c>
      <c r="K1268" s="2"/>
      <c r="L1268" s="2"/>
      <c r="M1268" s="2"/>
      <c r="N1268" s="7" t="n">
        <v>2</v>
      </c>
      <c r="O1268" s="7" t="n">
        <v>2</v>
      </c>
      <c r="P1268" s="7" t="n">
        <v>0</v>
      </c>
      <c r="Q1268" s="2"/>
      <c r="R1268" s="7" t="n">
        <v>2.343202</v>
      </c>
      <c r="S1268" s="5" t="s">
        <v>82</v>
      </c>
      <c r="T1268" s="5" t="s">
        <v>61</v>
      </c>
    </row>
    <row r="1269" customFormat="false" ht="15" hidden="false" customHeight="false" outlineLevel="0" collapsed="false">
      <c r="A1269" s="5" t="s">
        <v>4</v>
      </c>
      <c r="B1269" s="5" t="s">
        <v>55</v>
      </c>
      <c r="C1269" s="2" t="s">
        <v>56</v>
      </c>
      <c r="D1269" s="5" t="s">
        <v>81</v>
      </c>
      <c r="E1269" s="5" t="s">
        <v>62</v>
      </c>
      <c r="F1269" s="2" t="n">
        <v>17</v>
      </c>
      <c r="G1269" s="5" t="s">
        <v>65</v>
      </c>
      <c r="H1269" s="2" t="n">
        <v>0</v>
      </c>
      <c r="I1269" s="2" t="n">
        <v>0</v>
      </c>
      <c r="J1269" s="2" t="n">
        <v>0</v>
      </c>
      <c r="K1269" s="2"/>
      <c r="L1269" s="2"/>
      <c r="M1269" s="2"/>
      <c r="N1269" s="7" t="n">
        <v>2</v>
      </c>
      <c r="O1269" s="7" t="n">
        <v>2</v>
      </c>
      <c r="P1269" s="7" t="n">
        <v>0</v>
      </c>
      <c r="Q1269" s="2"/>
      <c r="R1269" s="7" t="n">
        <v>2.343083</v>
      </c>
      <c r="S1269" s="5" t="s">
        <v>82</v>
      </c>
      <c r="T1269" s="5" t="s">
        <v>61</v>
      </c>
    </row>
    <row r="1270" customFormat="false" ht="15" hidden="false" customHeight="false" outlineLevel="0" collapsed="false">
      <c r="A1270" s="5" t="s">
        <v>4</v>
      </c>
      <c r="B1270" s="5" t="s">
        <v>55</v>
      </c>
      <c r="C1270" s="2" t="s">
        <v>56</v>
      </c>
      <c r="D1270" s="5" t="s">
        <v>81</v>
      </c>
      <c r="E1270" s="5" t="s">
        <v>58</v>
      </c>
      <c r="F1270" s="2" t="n">
        <v>17</v>
      </c>
      <c r="G1270" s="5" t="s">
        <v>66</v>
      </c>
      <c r="H1270" s="2" t="n">
        <v>0</v>
      </c>
      <c r="I1270" s="2" t="n">
        <v>1</v>
      </c>
      <c r="J1270" s="2" t="n">
        <v>1</v>
      </c>
      <c r="K1270" s="7" t="n">
        <v>1.478709127</v>
      </c>
      <c r="L1270" s="7" t="n">
        <v>0.08426151148</v>
      </c>
      <c r="M1270" s="7" t="n">
        <v>0.1289836014</v>
      </c>
      <c r="N1270" s="7" t="n">
        <v>5</v>
      </c>
      <c r="O1270" s="7" t="n">
        <v>5</v>
      </c>
      <c r="P1270" s="7" t="n">
        <v>0</v>
      </c>
      <c r="Q1270" s="2"/>
      <c r="R1270" s="7" t="n">
        <v>2.463</v>
      </c>
      <c r="S1270" s="5" t="s">
        <v>82</v>
      </c>
      <c r="T1270" s="5" t="s">
        <v>61</v>
      </c>
    </row>
    <row r="1271" customFormat="false" ht="15" hidden="false" customHeight="false" outlineLevel="0" collapsed="false">
      <c r="A1271" s="5" t="s">
        <v>4</v>
      </c>
      <c r="B1271" s="5" t="s">
        <v>55</v>
      </c>
      <c r="C1271" s="2" t="s">
        <v>56</v>
      </c>
      <c r="D1271" s="5" t="s">
        <v>81</v>
      </c>
      <c r="E1271" s="5" t="s">
        <v>62</v>
      </c>
      <c r="F1271" s="2" t="n">
        <v>17</v>
      </c>
      <c r="G1271" s="5" t="s">
        <v>66</v>
      </c>
      <c r="H1271" s="2" t="n">
        <v>0</v>
      </c>
      <c r="I1271" s="2" t="n">
        <v>1</v>
      </c>
      <c r="J1271" s="2" t="n">
        <v>1</v>
      </c>
      <c r="K1271" s="7" t="n">
        <v>1.478709127</v>
      </c>
      <c r="L1271" s="7" t="n">
        <v>0.08426151148</v>
      </c>
      <c r="M1271" s="7" t="n">
        <v>0.1289836014</v>
      </c>
      <c r="N1271" s="7" t="n">
        <v>5</v>
      </c>
      <c r="O1271" s="7" t="n">
        <v>5</v>
      </c>
      <c r="P1271" s="7" t="n">
        <v>5</v>
      </c>
      <c r="Q1271" s="2"/>
      <c r="R1271" s="7" t="n">
        <v>2.783384</v>
      </c>
      <c r="S1271" s="5" t="s">
        <v>82</v>
      </c>
      <c r="T1271" s="5" t="s">
        <v>61</v>
      </c>
    </row>
    <row r="1272" customFormat="false" ht="15" hidden="false" customHeight="false" outlineLevel="0" collapsed="false">
      <c r="A1272" s="5" t="s">
        <v>4</v>
      </c>
      <c r="B1272" s="5" t="s">
        <v>55</v>
      </c>
      <c r="C1272" s="2" t="s">
        <v>56</v>
      </c>
      <c r="D1272" s="5" t="s">
        <v>81</v>
      </c>
      <c r="E1272" s="5" t="s">
        <v>58</v>
      </c>
      <c r="F1272" s="2" t="n">
        <v>18</v>
      </c>
      <c r="G1272" s="5" t="s">
        <v>59</v>
      </c>
      <c r="H1272" s="2" t="n">
        <v>1</v>
      </c>
      <c r="I1272" s="2" t="n">
        <v>1</v>
      </c>
      <c r="J1272" s="2" t="n">
        <v>1</v>
      </c>
      <c r="K1272" s="7" t="n">
        <v>0.3236273739</v>
      </c>
      <c r="L1272" s="7" t="n">
        <v>0.03900921782</v>
      </c>
      <c r="M1272" s="7" t="n">
        <v>0.04328129077</v>
      </c>
      <c r="N1272" s="7" t="n">
        <v>4</v>
      </c>
      <c r="O1272" s="7" t="n">
        <v>4</v>
      </c>
      <c r="P1272" s="7" t="n">
        <v>0</v>
      </c>
      <c r="Q1272" s="2"/>
      <c r="R1272" s="7" t="n">
        <v>1.744428</v>
      </c>
      <c r="S1272" s="5" t="s">
        <v>82</v>
      </c>
      <c r="T1272" s="5" t="s">
        <v>61</v>
      </c>
    </row>
    <row r="1273" customFormat="false" ht="15" hidden="false" customHeight="false" outlineLevel="0" collapsed="false">
      <c r="A1273" s="5" t="s">
        <v>4</v>
      </c>
      <c r="B1273" s="5" t="s">
        <v>55</v>
      </c>
      <c r="C1273" s="2" t="s">
        <v>56</v>
      </c>
      <c r="D1273" s="5" t="s">
        <v>81</v>
      </c>
      <c r="E1273" s="5" t="s">
        <v>62</v>
      </c>
      <c r="F1273" s="2" t="n">
        <v>18</v>
      </c>
      <c r="G1273" s="5" t="s">
        <v>59</v>
      </c>
      <c r="H1273" s="2" t="n">
        <v>1</v>
      </c>
      <c r="I1273" s="2" t="n">
        <v>1</v>
      </c>
      <c r="J1273" s="2" t="n">
        <v>1</v>
      </c>
      <c r="K1273" s="7" t="n">
        <v>0.3236273739</v>
      </c>
      <c r="L1273" s="7" t="n">
        <v>0.03900921782</v>
      </c>
      <c r="M1273" s="7" t="n">
        <v>0.04328129077</v>
      </c>
      <c r="N1273" s="7" t="n">
        <v>4</v>
      </c>
      <c r="O1273" s="7" t="n">
        <v>4</v>
      </c>
      <c r="P1273" s="7" t="n">
        <v>4</v>
      </c>
      <c r="Q1273" s="2"/>
      <c r="R1273" s="7" t="n">
        <v>2.067726</v>
      </c>
      <c r="S1273" s="5" t="s">
        <v>82</v>
      </c>
      <c r="T1273" s="5" t="s">
        <v>61</v>
      </c>
    </row>
    <row r="1274" customFormat="false" ht="15" hidden="false" customHeight="false" outlineLevel="0" collapsed="false">
      <c r="A1274" s="5" t="s">
        <v>4</v>
      </c>
      <c r="B1274" s="5" t="s">
        <v>55</v>
      </c>
      <c r="C1274" s="2" t="s">
        <v>56</v>
      </c>
      <c r="D1274" s="5" t="s">
        <v>81</v>
      </c>
      <c r="E1274" s="5" t="s">
        <v>58</v>
      </c>
      <c r="F1274" s="2" t="n">
        <v>18</v>
      </c>
      <c r="G1274" s="5" t="s">
        <v>63</v>
      </c>
      <c r="H1274" s="2" t="n">
        <v>1</v>
      </c>
      <c r="I1274" s="2" t="n">
        <v>1</v>
      </c>
      <c r="J1274" s="2" t="n">
        <v>1</v>
      </c>
      <c r="K1274" s="7" t="n">
        <v>0.6807975338</v>
      </c>
      <c r="L1274" s="7" t="n">
        <v>0.02404900655</v>
      </c>
      <c r="M1274" s="7" t="n">
        <v>0.04743077085</v>
      </c>
      <c r="N1274" s="7" t="n">
        <v>8</v>
      </c>
      <c r="O1274" s="7" t="n">
        <v>8</v>
      </c>
      <c r="P1274" s="7" t="n">
        <v>0</v>
      </c>
      <c r="Q1274" s="2"/>
      <c r="R1274" s="7" t="n">
        <v>1.283557</v>
      </c>
      <c r="S1274" s="5" t="s">
        <v>82</v>
      </c>
      <c r="T1274" s="5" t="s">
        <v>61</v>
      </c>
    </row>
    <row r="1275" customFormat="false" ht="15" hidden="false" customHeight="false" outlineLevel="0" collapsed="false">
      <c r="A1275" s="5" t="s">
        <v>4</v>
      </c>
      <c r="B1275" s="5" t="s">
        <v>55</v>
      </c>
      <c r="C1275" s="2" t="s">
        <v>56</v>
      </c>
      <c r="D1275" s="5" t="s">
        <v>81</v>
      </c>
      <c r="E1275" s="5" t="s">
        <v>62</v>
      </c>
      <c r="F1275" s="2" t="n">
        <v>18</v>
      </c>
      <c r="G1275" s="5" t="s">
        <v>63</v>
      </c>
      <c r="H1275" s="2" t="n">
        <v>1</v>
      </c>
      <c r="I1275" s="2" t="n">
        <v>1</v>
      </c>
      <c r="J1275" s="2" t="n">
        <v>1</v>
      </c>
      <c r="K1275" s="7" t="n">
        <v>0.6807975338</v>
      </c>
      <c r="L1275" s="7" t="n">
        <v>0.02404900655</v>
      </c>
      <c r="M1275" s="7" t="n">
        <v>0.04743077085</v>
      </c>
      <c r="N1275" s="7" t="n">
        <v>8</v>
      </c>
      <c r="O1275" s="7" t="n">
        <v>8</v>
      </c>
      <c r="P1275" s="7" t="n">
        <v>8</v>
      </c>
      <c r="Q1275" s="2"/>
      <c r="R1275" s="7" t="n">
        <v>1.913128</v>
      </c>
      <c r="S1275" s="5" t="s">
        <v>82</v>
      </c>
      <c r="T1275" s="5" t="s">
        <v>61</v>
      </c>
    </row>
    <row r="1276" customFormat="false" ht="15" hidden="false" customHeight="false" outlineLevel="0" collapsed="false">
      <c r="A1276" s="5" t="s">
        <v>4</v>
      </c>
      <c r="B1276" s="5" t="s">
        <v>55</v>
      </c>
      <c r="C1276" s="2" t="s">
        <v>56</v>
      </c>
      <c r="D1276" s="5" t="s">
        <v>81</v>
      </c>
      <c r="E1276" s="5" t="s">
        <v>58</v>
      </c>
      <c r="F1276" s="2" t="n">
        <v>18</v>
      </c>
      <c r="G1276" s="5" t="s">
        <v>64</v>
      </c>
      <c r="H1276" s="2" t="n">
        <v>0</v>
      </c>
      <c r="I1276" s="2" t="n">
        <v>0</v>
      </c>
      <c r="J1276" s="2" t="n">
        <v>0</v>
      </c>
      <c r="K1276" s="2"/>
      <c r="L1276" s="2"/>
      <c r="M1276" s="2"/>
      <c r="N1276" s="7" t="n">
        <v>1</v>
      </c>
      <c r="O1276" s="7" t="n">
        <v>1</v>
      </c>
      <c r="P1276" s="7" t="n">
        <v>0</v>
      </c>
      <c r="Q1276" s="2"/>
      <c r="R1276" s="7" t="n">
        <v>1.228525</v>
      </c>
      <c r="S1276" s="5" t="s">
        <v>82</v>
      </c>
      <c r="T1276" s="5" t="s">
        <v>61</v>
      </c>
    </row>
    <row r="1277" customFormat="false" ht="15" hidden="false" customHeight="false" outlineLevel="0" collapsed="false">
      <c r="A1277" s="5" t="s">
        <v>4</v>
      </c>
      <c r="B1277" s="5" t="s">
        <v>55</v>
      </c>
      <c r="C1277" s="2" t="s">
        <v>56</v>
      </c>
      <c r="D1277" s="5" t="s">
        <v>81</v>
      </c>
      <c r="E1277" s="5" t="s">
        <v>62</v>
      </c>
      <c r="F1277" s="2" t="n">
        <v>18</v>
      </c>
      <c r="G1277" s="5" t="s">
        <v>64</v>
      </c>
      <c r="H1277" s="2" t="n">
        <v>0</v>
      </c>
      <c r="I1277" s="2" t="n">
        <v>0</v>
      </c>
      <c r="J1277" s="2" t="n">
        <v>0</v>
      </c>
      <c r="K1277" s="2"/>
      <c r="L1277" s="2"/>
      <c r="M1277" s="2"/>
      <c r="N1277" s="7" t="n">
        <v>1</v>
      </c>
      <c r="O1277" s="7" t="n">
        <v>1</v>
      </c>
      <c r="P1277" s="7" t="n">
        <v>0</v>
      </c>
      <c r="Q1277" s="2"/>
      <c r="R1277" s="7" t="n">
        <v>1.228676</v>
      </c>
      <c r="S1277" s="5" t="s">
        <v>82</v>
      </c>
      <c r="T1277" s="5" t="s">
        <v>61</v>
      </c>
    </row>
    <row r="1278" customFormat="false" ht="15" hidden="false" customHeight="false" outlineLevel="0" collapsed="false">
      <c r="A1278" s="5" t="s">
        <v>4</v>
      </c>
      <c r="B1278" s="5" t="s">
        <v>55</v>
      </c>
      <c r="C1278" s="2" t="s">
        <v>56</v>
      </c>
      <c r="D1278" s="5" t="s">
        <v>81</v>
      </c>
      <c r="E1278" s="5" t="s">
        <v>58</v>
      </c>
      <c r="F1278" s="2" t="n">
        <v>18</v>
      </c>
      <c r="G1278" s="5" t="s">
        <v>65</v>
      </c>
      <c r="H1278" s="2" t="n">
        <v>0</v>
      </c>
      <c r="I1278" s="2" t="n">
        <v>1</v>
      </c>
      <c r="J1278" s="2" t="n">
        <v>1</v>
      </c>
      <c r="K1278" s="7" t="n">
        <v>0.601370804</v>
      </c>
      <c r="L1278" s="7" t="n">
        <v>0.1820158015</v>
      </c>
      <c r="M1278" s="7" t="n">
        <v>0.1836113488</v>
      </c>
      <c r="N1278" s="7" t="n">
        <v>3</v>
      </c>
      <c r="O1278" s="7" t="n">
        <v>3</v>
      </c>
      <c r="P1278" s="7" t="n">
        <v>0</v>
      </c>
      <c r="Q1278" s="2"/>
      <c r="R1278" s="7" t="n">
        <v>2.328863</v>
      </c>
      <c r="S1278" s="5" t="s">
        <v>82</v>
      </c>
      <c r="T1278" s="5" t="s">
        <v>61</v>
      </c>
    </row>
    <row r="1279" customFormat="false" ht="15" hidden="false" customHeight="false" outlineLevel="0" collapsed="false">
      <c r="A1279" s="5" t="s">
        <v>4</v>
      </c>
      <c r="B1279" s="5" t="s">
        <v>55</v>
      </c>
      <c r="C1279" s="2" t="s">
        <v>56</v>
      </c>
      <c r="D1279" s="5" t="s">
        <v>81</v>
      </c>
      <c r="E1279" s="5" t="s">
        <v>62</v>
      </c>
      <c r="F1279" s="2" t="n">
        <v>18</v>
      </c>
      <c r="G1279" s="5" t="s">
        <v>65</v>
      </c>
      <c r="H1279" s="2" t="n">
        <v>0</v>
      </c>
      <c r="I1279" s="2" t="n">
        <v>1</v>
      </c>
      <c r="J1279" s="2" t="n">
        <v>1</v>
      </c>
      <c r="K1279" s="7" t="n">
        <v>0.601370804</v>
      </c>
      <c r="L1279" s="7" t="n">
        <v>0.1820158015</v>
      </c>
      <c r="M1279" s="7" t="n">
        <v>0.1836113488</v>
      </c>
      <c r="N1279" s="7" t="n">
        <v>3</v>
      </c>
      <c r="O1279" s="7" t="n">
        <v>3</v>
      </c>
      <c r="P1279" s="7" t="n">
        <v>3</v>
      </c>
      <c r="Q1279" s="2"/>
      <c r="R1279" s="7" t="n">
        <v>2.504342</v>
      </c>
      <c r="S1279" s="5" t="s">
        <v>82</v>
      </c>
      <c r="T1279" s="5" t="s">
        <v>61</v>
      </c>
    </row>
    <row r="1280" customFormat="false" ht="15" hidden="false" customHeight="false" outlineLevel="0" collapsed="false">
      <c r="A1280" s="5" t="s">
        <v>4</v>
      </c>
      <c r="B1280" s="5" t="s">
        <v>55</v>
      </c>
      <c r="C1280" s="2" t="s">
        <v>56</v>
      </c>
      <c r="D1280" s="5" t="s">
        <v>81</v>
      </c>
      <c r="E1280" s="5" t="s">
        <v>58</v>
      </c>
      <c r="F1280" s="2" t="n">
        <v>18</v>
      </c>
      <c r="G1280" s="5" t="s">
        <v>66</v>
      </c>
      <c r="H1280" s="2" t="n">
        <v>0</v>
      </c>
      <c r="I1280" s="2" t="n">
        <v>1</v>
      </c>
      <c r="J1280" s="2" t="n">
        <v>1</v>
      </c>
      <c r="K1280" s="7" t="n">
        <v>0.3260496846</v>
      </c>
      <c r="L1280" s="7" t="n">
        <v>0.04215782607</v>
      </c>
      <c r="M1280" s="7" t="n">
        <v>0.04715403718</v>
      </c>
      <c r="N1280" s="7" t="n">
        <v>6</v>
      </c>
      <c r="O1280" s="7" t="n">
        <v>6</v>
      </c>
      <c r="P1280" s="7" t="n">
        <v>0</v>
      </c>
      <c r="Q1280" s="2"/>
      <c r="R1280" s="7" t="n">
        <v>2.340829</v>
      </c>
      <c r="S1280" s="5" t="s">
        <v>82</v>
      </c>
      <c r="T1280" s="5" t="s">
        <v>61</v>
      </c>
    </row>
    <row r="1281" customFormat="false" ht="15" hidden="false" customHeight="false" outlineLevel="0" collapsed="false">
      <c r="A1281" s="5" t="s">
        <v>4</v>
      </c>
      <c r="B1281" s="5" t="s">
        <v>55</v>
      </c>
      <c r="C1281" s="2" t="s">
        <v>56</v>
      </c>
      <c r="D1281" s="5" t="s">
        <v>81</v>
      </c>
      <c r="E1281" s="5" t="s">
        <v>62</v>
      </c>
      <c r="F1281" s="2" t="n">
        <v>18</v>
      </c>
      <c r="G1281" s="5" t="s">
        <v>66</v>
      </c>
      <c r="H1281" s="2" t="n">
        <v>0</v>
      </c>
      <c r="I1281" s="2" t="n">
        <v>1</v>
      </c>
      <c r="J1281" s="2" t="n">
        <v>1</v>
      </c>
      <c r="K1281" s="7" t="n">
        <v>0.3260496846</v>
      </c>
      <c r="L1281" s="7" t="n">
        <v>0.04215782607</v>
      </c>
      <c r="M1281" s="7" t="n">
        <v>0.04715403718</v>
      </c>
      <c r="N1281" s="7" t="n">
        <v>6</v>
      </c>
      <c r="O1281" s="7" t="n">
        <v>6</v>
      </c>
      <c r="P1281" s="7" t="n">
        <v>6</v>
      </c>
      <c r="Q1281" s="2"/>
      <c r="R1281" s="7" t="n">
        <v>2.842752</v>
      </c>
      <c r="S1281" s="5" t="s">
        <v>82</v>
      </c>
      <c r="T1281" s="5" t="s">
        <v>61</v>
      </c>
    </row>
    <row r="1282" customFormat="false" ht="15" hidden="false" customHeight="false" outlineLevel="0" collapsed="false">
      <c r="A1282" s="5" t="s">
        <v>4</v>
      </c>
      <c r="B1282" s="5" t="s">
        <v>55</v>
      </c>
      <c r="C1282" s="2" t="s">
        <v>56</v>
      </c>
      <c r="D1282" s="5" t="s">
        <v>81</v>
      </c>
      <c r="E1282" s="5" t="s">
        <v>58</v>
      </c>
      <c r="F1282" s="2" t="n">
        <v>19</v>
      </c>
      <c r="G1282" s="5" t="s">
        <v>59</v>
      </c>
      <c r="H1282" s="2" t="n">
        <v>1</v>
      </c>
      <c r="I1282" s="2" t="n">
        <v>1</v>
      </c>
      <c r="J1282" s="2" t="n">
        <v>1</v>
      </c>
      <c r="K1282" s="7" t="n">
        <v>0.4338476066</v>
      </c>
      <c r="L1282" s="7" t="n">
        <v>0.07009830239</v>
      </c>
      <c r="M1282" s="7" t="n">
        <v>0.0757129932</v>
      </c>
      <c r="N1282" s="7" t="n">
        <v>11</v>
      </c>
      <c r="O1282" s="7" t="n">
        <v>11</v>
      </c>
      <c r="P1282" s="7" t="n">
        <v>0</v>
      </c>
      <c r="Q1282" s="2"/>
      <c r="R1282" s="7" t="n">
        <v>1.444425</v>
      </c>
      <c r="S1282" s="5" t="s">
        <v>82</v>
      </c>
      <c r="T1282" s="5" t="s">
        <v>61</v>
      </c>
    </row>
    <row r="1283" customFormat="false" ht="15" hidden="false" customHeight="false" outlineLevel="0" collapsed="false">
      <c r="A1283" s="5" t="s">
        <v>4</v>
      </c>
      <c r="B1283" s="5" t="s">
        <v>55</v>
      </c>
      <c r="C1283" s="2" t="s">
        <v>56</v>
      </c>
      <c r="D1283" s="5" t="s">
        <v>81</v>
      </c>
      <c r="E1283" s="5" t="s">
        <v>62</v>
      </c>
      <c r="F1283" s="2" t="n">
        <v>19</v>
      </c>
      <c r="G1283" s="5" t="s">
        <v>59</v>
      </c>
      <c r="H1283" s="2" t="n">
        <v>1</v>
      </c>
      <c r="I1283" s="2" t="n">
        <v>1</v>
      </c>
      <c r="J1283" s="2" t="n">
        <v>1</v>
      </c>
      <c r="K1283" s="7" t="n">
        <v>0.4338476066</v>
      </c>
      <c r="L1283" s="7" t="n">
        <v>0.07009830239</v>
      </c>
      <c r="M1283" s="7" t="n">
        <v>0.0757129932</v>
      </c>
      <c r="N1283" s="7" t="n">
        <v>11</v>
      </c>
      <c r="O1283" s="7" t="n">
        <v>11</v>
      </c>
      <c r="P1283" s="7" t="n">
        <v>11</v>
      </c>
      <c r="Q1283" s="2"/>
      <c r="R1283" s="7" t="n">
        <v>1.994348</v>
      </c>
      <c r="S1283" s="5" t="s">
        <v>82</v>
      </c>
      <c r="T1283" s="5" t="s">
        <v>61</v>
      </c>
    </row>
    <row r="1284" customFormat="false" ht="15" hidden="false" customHeight="false" outlineLevel="0" collapsed="false">
      <c r="A1284" s="5" t="s">
        <v>4</v>
      </c>
      <c r="B1284" s="5" t="s">
        <v>55</v>
      </c>
      <c r="C1284" s="2" t="s">
        <v>56</v>
      </c>
      <c r="D1284" s="5" t="s">
        <v>81</v>
      </c>
      <c r="E1284" s="5" t="s">
        <v>58</v>
      </c>
      <c r="F1284" s="2" t="n">
        <v>19</v>
      </c>
      <c r="G1284" s="5" t="s">
        <v>63</v>
      </c>
      <c r="H1284" s="2" t="n">
        <v>1</v>
      </c>
      <c r="I1284" s="2" t="n">
        <v>1</v>
      </c>
      <c r="J1284" s="2" t="n">
        <v>1</v>
      </c>
      <c r="K1284" s="7" t="n">
        <v>0.5354072114</v>
      </c>
      <c r="L1284" s="7" t="n">
        <v>0.03904017362</v>
      </c>
      <c r="M1284" s="7" t="n">
        <v>0.05072756371</v>
      </c>
      <c r="N1284" s="7" t="n">
        <v>12</v>
      </c>
      <c r="O1284" s="7" t="n">
        <v>12</v>
      </c>
      <c r="P1284" s="7" t="n">
        <v>0</v>
      </c>
      <c r="Q1284" s="2"/>
      <c r="R1284" s="7" t="n">
        <v>1.483894</v>
      </c>
      <c r="S1284" s="5" t="s">
        <v>82</v>
      </c>
      <c r="T1284" s="5" t="s">
        <v>61</v>
      </c>
    </row>
    <row r="1285" customFormat="false" ht="15" hidden="false" customHeight="false" outlineLevel="0" collapsed="false">
      <c r="A1285" s="5" t="s">
        <v>4</v>
      </c>
      <c r="B1285" s="5" t="s">
        <v>55</v>
      </c>
      <c r="C1285" s="2" t="s">
        <v>56</v>
      </c>
      <c r="D1285" s="5" t="s">
        <v>81</v>
      </c>
      <c r="E1285" s="5" t="s">
        <v>62</v>
      </c>
      <c r="F1285" s="2" t="n">
        <v>19</v>
      </c>
      <c r="G1285" s="5" t="s">
        <v>63</v>
      </c>
      <c r="H1285" s="2" t="n">
        <v>1</v>
      </c>
      <c r="I1285" s="2" t="n">
        <v>1</v>
      </c>
      <c r="J1285" s="2" t="n">
        <v>1</v>
      </c>
      <c r="K1285" s="7" t="n">
        <v>0.5354072114</v>
      </c>
      <c r="L1285" s="7" t="n">
        <v>0.03904017362</v>
      </c>
      <c r="M1285" s="7" t="n">
        <v>0.05072756371</v>
      </c>
      <c r="N1285" s="7" t="n">
        <v>12</v>
      </c>
      <c r="O1285" s="7" t="n">
        <v>12</v>
      </c>
      <c r="P1285" s="7" t="n">
        <v>11</v>
      </c>
      <c r="Q1285" s="2"/>
      <c r="R1285" s="7" t="n">
        <v>2.108307</v>
      </c>
      <c r="S1285" s="5" t="s">
        <v>82</v>
      </c>
      <c r="T1285" s="5" t="s">
        <v>61</v>
      </c>
    </row>
    <row r="1286" customFormat="false" ht="15" hidden="false" customHeight="false" outlineLevel="0" collapsed="false">
      <c r="A1286" s="5" t="s">
        <v>4</v>
      </c>
      <c r="B1286" s="5" t="s">
        <v>55</v>
      </c>
      <c r="C1286" s="2" t="s">
        <v>56</v>
      </c>
      <c r="D1286" s="5" t="s">
        <v>81</v>
      </c>
      <c r="E1286" s="5" t="s">
        <v>58</v>
      </c>
      <c r="F1286" s="2" t="n">
        <v>19</v>
      </c>
      <c r="G1286" s="5" t="s">
        <v>64</v>
      </c>
      <c r="H1286" s="2" t="n">
        <v>0</v>
      </c>
      <c r="I1286" s="2" t="n">
        <v>1</v>
      </c>
      <c r="J1286" s="2" t="n">
        <v>1</v>
      </c>
      <c r="K1286" s="7" t="n">
        <v>1.034610504</v>
      </c>
      <c r="L1286" s="7" t="n">
        <v>0.1944177107</v>
      </c>
      <c r="M1286" s="7" t="n">
        <v>0.204015005</v>
      </c>
      <c r="N1286" s="7" t="n">
        <v>4</v>
      </c>
      <c r="O1286" s="7" t="n">
        <v>4</v>
      </c>
      <c r="P1286" s="7" t="n">
        <v>0</v>
      </c>
      <c r="Q1286" s="2"/>
      <c r="R1286" s="7" t="n">
        <v>1.301935</v>
      </c>
      <c r="S1286" s="5" t="s">
        <v>82</v>
      </c>
      <c r="T1286" s="5" t="s">
        <v>61</v>
      </c>
    </row>
    <row r="1287" customFormat="false" ht="15" hidden="false" customHeight="false" outlineLevel="0" collapsed="false">
      <c r="A1287" s="5" t="s">
        <v>4</v>
      </c>
      <c r="B1287" s="5" t="s">
        <v>55</v>
      </c>
      <c r="C1287" s="2" t="s">
        <v>56</v>
      </c>
      <c r="D1287" s="5" t="s">
        <v>81</v>
      </c>
      <c r="E1287" s="5" t="s">
        <v>62</v>
      </c>
      <c r="F1287" s="2" t="n">
        <v>19</v>
      </c>
      <c r="G1287" s="5" t="s">
        <v>64</v>
      </c>
      <c r="H1287" s="2" t="n">
        <v>0</v>
      </c>
      <c r="I1287" s="2" t="n">
        <v>1</v>
      </c>
      <c r="J1287" s="2" t="n">
        <v>1</v>
      </c>
      <c r="K1287" s="7" t="n">
        <v>1.034610504</v>
      </c>
      <c r="L1287" s="7" t="n">
        <v>0.1944177107</v>
      </c>
      <c r="M1287" s="7" t="n">
        <v>0.204015005</v>
      </c>
      <c r="N1287" s="7" t="n">
        <v>4</v>
      </c>
      <c r="O1287" s="7" t="n">
        <v>4</v>
      </c>
      <c r="P1287" s="7" t="n">
        <v>4</v>
      </c>
      <c r="Q1287" s="2"/>
      <c r="R1287" s="7" t="n">
        <v>1.583281</v>
      </c>
      <c r="S1287" s="5" t="s">
        <v>82</v>
      </c>
      <c r="T1287" s="5" t="s">
        <v>61</v>
      </c>
    </row>
    <row r="1288" customFormat="false" ht="15" hidden="false" customHeight="false" outlineLevel="0" collapsed="false">
      <c r="A1288" s="5" t="s">
        <v>4</v>
      </c>
      <c r="B1288" s="5" t="s">
        <v>55</v>
      </c>
      <c r="C1288" s="2" t="s">
        <v>56</v>
      </c>
      <c r="D1288" s="5" t="s">
        <v>81</v>
      </c>
      <c r="E1288" s="5" t="s">
        <v>58</v>
      </c>
      <c r="F1288" s="2" t="n">
        <v>19</v>
      </c>
      <c r="G1288" s="5" t="s">
        <v>65</v>
      </c>
      <c r="H1288" s="2" t="n">
        <v>0</v>
      </c>
      <c r="I1288" s="2" t="n">
        <v>0</v>
      </c>
      <c r="J1288" s="2" t="n">
        <v>0</v>
      </c>
      <c r="K1288" s="2"/>
      <c r="L1288" s="2"/>
      <c r="M1288" s="2"/>
      <c r="N1288" s="7" t="n">
        <v>1</v>
      </c>
      <c r="O1288" s="7" t="n">
        <v>1</v>
      </c>
      <c r="P1288" s="7" t="n">
        <v>0</v>
      </c>
      <c r="Q1288" s="2"/>
      <c r="R1288" s="7" t="n">
        <v>2.343273</v>
      </c>
      <c r="S1288" s="5" t="s">
        <v>82</v>
      </c>
      <c r="T1288" s="5" t="s">
        <v>61</v>
      </c>
    </row>
    <row r="1289" customFormat="false" ht="15" hidden="false" customHeight="false" outlineLevel="0" collapsed="false">
      <c r="A1289" s="5" t="s">
        <v>4</v>
      </c>
      <c r="B1289" s="5" t="s">
        <v>55</v>
      </c>
      <c r="C1289" s="2" t="s">
        <v>56</v>
      </c>
      <c r="D1289" s="5" t="s">
        <v>81</v>
      </c>
      <c r="E1289" s="5" t="s">
        <v>62</v>
      </c>
      <c r="F1289" s="2" t="n">
        <v>19</v>
      </c>
      <c r="G1289" s="5" t="s">
        <v>65</v>
      </c>
      <c r="H1289" s="2" t="n">
        <v>0</v>
      </c>
      <c r="I1289" s="2" t="n">
        <v>0</v>
      </c>
      <c r="J1289" s="2" t="n">
        <v>0</v>
      </c>
      <c r="K1289" s="2"/>
      <c r="L1289" s="2"/>
      <c r="M1289" s="2"/>
      <c r="N1289" s="7" t="n">
        <v>1</v>
      </c>
      <c r="O1289" s="7" t="n">
        <v>1</v>
      </c>
      <c r="P1289" s="7" t="n">
        <v>0</v>
      </c>
      <c r="Q1289" s="2"/>
      <c r="R1289" s="7" t="n">
        <v>2.343013</v>
      </c>
      <c r="S1289" s="5" t="s">
        <v>82</v>
      </c>
      <c r="T1289" s="5" t="s">
        <v>61</v>
      </c>
    </row>
    <row r="1290" customFormat="false" ht="15" hidden="false" customHeight="false" outlineLevel="0" collapsed="false">
      <c r="A1290" s="5" t="s">
        <v>4</v>
      </c>
      <c r="B1290" s="5" t="s">
        <v>55</v>
      </c>
      <c r="C1290" s="2" t="s">
        <v>56</v>
      </c>
      <c r="D1290" s="5" t="s">
        <v>81</v>
      </c>
      <c r="E1290" s="5" t="s">
        <v>58</v>
      </c>
      <c r="F1290" s="2" t="n">
        <v>19</v>
      </c>
      <c r="G1290" s="5" t="s">
        <v>66</v>
      </c>
      <c r="H1290" s="2" t="n">
        <v>0</v>
      </c>
      <c r="I1290" s="2" t="n">
        <v>1</v>
      </c>
      <c r="J1290" s="2" t="n">
        <v>1</v>
      </c>
      <c r="K1290" s="7" t="n">
        <v>1.121964907</v>
      </c>
      <c r="L1290" s="7" t="n">
        <v>0.08297482416</v>
      </c>
      <c r="M1290" s="7" t="n">
        <v>0.1166872187</v>
      </c>
      <c r="N1290" s="7" t="n">
        <v>4</v>
      </c>
      <c r="O1290" s="7" t="n">
        <v>4</v>
      </c>
      <c r="P1290" s="7" t="n">
        <v>0</v>
      </c>
      <c r="Q1290" s="2"/>
      <c r="R1290" s="7" t="n">
        <v>2.421378</v>
      </c>
      <c r="S1290" s="5" t="s">
        <v>82</v>
      </c>
      <c r="T1290" s="5" t="s">
        <v>61</v>
      </c>
    </row>
    <row r="1291" customFormat="false" ht="15" hidden="false" customHeight="false" outlineLevel="0" collapsed="false">
      <c r="A1291" s="5" t="s">
        <v>4</v>
      </c>
      <c r="B1291" s="5" t="s">
        <v>55</v>
      </c>
      <c r="C1291" s="2" t="s">
        <v>56</v>
      </c>
      <c r="D1291" s="5" t="s">
        <v>81</v>
      </c>
      <c r="E1291" s="5" t="s">
        <v>62</v>
      </c>
      <c r="F1291" s="2" t="n">
        <v>19</v>
      </c>
      <c r="G1291" s="5" t="s">
        <v>66</v>
      </c>
      <c r="H1291" s="2" t="n">
        <v>0</v>
      </c>
      <c r="I1291" s="2" t="n">
        <v>1</v>
      </c>
      <c r="J1291" s="2" t="n">
        <v>1</v>
      </c>
      <c r="K1291" s="7" t="n">
        <v>1.121964907</v>
      </c>
      <c r="L1291" s="7" t="n">
        <v>0.08297482416</v>
      </c>
      <c r="M1291" s="7" t="n">
        <v>0.1166872187</v>
      </c>
      <c r="N1291" s="7" t="n">
        <v>4</v>
      </c>
      <c r="O1291" s="7" t="n">
        <v>4</v>
      </c>
      <c r="P1291" s="7" t="n">
        <v>4</v>
      </c>
      <c r="Q1291" s="2"/>
      <c r="R1291" s="7" t="n">
        <v>2.708643</v>
      </c>
      <c r="S1291" s="5" t="s">
        <v>82</v>
      </c>
      <c r="T1291" s="5" t="s">
        <v>61</v>
      </c>
    </row>
    <row r="1292" customFormat="false" ht="15" hidden="false" customHeight="false" outlineLevel="0" collapsed="false">
      <c r="A1292" s="5" t="s">
        <v>4</v>
      </c>
      <c r="B1292" s="5" t="s">
        <v>55</v>
      </c>
      <c r="C1292" s="2" t="s">
        <v>56</v>
      </c>
      <c r="D1292" s="5" t="s">
        <v>81</v>
      </c>
      <c r="E1292" s="5" t="s">
        <v>58</v>
      </c>
      <c r="F1292" s="2" t="n">
        <v>20</v>
      </c>
      <c r="G1292" s="5" t="s">
        <v>59</v>
      </c>
      <c r="H1292" s="2" t="n">
        <v>1</v>
      </c>
      <c r="I1292" s="2" t="n">
        <v>1</v>
      </c>
      <c r="J1292" s="2" t="n">
        <v>1</v>
      </c>
      <c r="K1292" s="7" t="n">
        <v>0.3748885258</v>
      </c>
      <c r="L1292" s="7" t="n">
        <v>0.06370078808</v>
      </c>
      <c r="M1292" s="7" t="n">
        <v>0.06729538916</v>
      </c>
      <c r="N1292" s="7" t="n">
        <v>11</v>
      </c>
      <c r="O1292" s="7" t="n">
        <v>11</v>
      </c>
      <c r="P1292" s="7" t="n">
        <v>0</v>
      </c>
      <c r="Q1292" s="2"/>
      <c r="R1292" s="7" t="n">
        <v>1.428652</v>
      </c>
      <c r="S1292" s="5" t="s">
        <v>82</v>
      </c>
      <c r="T1292" s="5" t="s">
        <v>61</v>
      </c>
    </row>
    <row r="1293" customFormat="false" ht="15" hidden="false" customHeight="false" outlineLevel="0" collapsed="false">
      <c r="A1293" s="5" t="s">
        <v>4</v>
      </c>
      <c r="B1293" s="5" t="s">
        <v>55</v>
      </c>
      <c r="C1293" s="2" t="s">
        <v>56</v>
      </c>
      <c r="D1293" s="5" t="s">
        <v>81</v>
      </c>
      <c r="E1293" s="5" t="s">
        <v>62</v>
      </c>
      <c r="F1293" s="2" t="n">
        <v>20</v>
      </c>
      <c r="G1293" s="5" t="s">
        <v>59</v>
      </c>
      <c r="H1293" s="2" t="n">
        <v>1</v>
      </c>
      <c r="I1293" s="2" t="n">
        <v>1</v>
      </c>
      <c r="J1293" s="2" t="n">
        <v>1</v>
      </c>
      <c r="K1293" s="7" t="n">
        <v>0.3748885258</v>
      </c>
      <c r="L1293" s="7" t="n">
        <v>0.06370078808</v>
      </c>
      <c r="M1293" s="7" t="n">
        <v>0.06729538916</v>
      </c>
      <c r="N1293" s="7" t="n">
        <v>11</v>
      </c>
      <c r="O1293" s="7" t="n">
        <v>11</v>
      </c>
      <c r="P1293" s="7" t="n">
        <v>11</v>
      </c>
      <c r="Q1293" s="2"/>
      <c r="R1293" s="7" t="n">
        <v>2.040065</v>
      </c>
      <c r="S1293" s="5" t="s">
        <v>82</v>
      </c>
      <c r="T1293" s="5" t="s">
        <v>61</v>
      </c>
    </row>
    <row r="1294" customFormat="false" ht="15" hidden="false" customHeight="false" outlineLevel="0" collapsed="false">
      <c r="A1294" s="5" t="s">
        <v>4</v>
      </c>
      <c r="B1294" s="5" t="s">
        <v>55</v>
      </c>
      <c r="C1294" s="2" t="s">
        <v>56</v>
      </c>
      <c r="D1294" s="5" t="s">
        <v>81</v>
      </c>
      <c r="E1294" s="5" t="s">
        <v>58</v>
      </c>
      <c r="F1294" s="2" t="n">
        <v>20</v>
      </c>
      <c r="G1294" s="5" t="s">
        <v>63</v>
      </c>
      <c r="H1294" s="2" t="n">
        <v>1</v>
      </c>
      <c r="I1294" s="2" t="n">
        <v>1</v>
      </c>
      <c r="J1294" s="2" t="n">
        <v>1</v>
      </c>
      <c r="K1294" s="7" t="n">
        <v>0.8308833063</v>
      </c>
      <c r="L1294" s="7" t="n">
        <v>0.03299672592</v>
      </c>
      <c r="M1294" s="7" t="n">
        <v>0.05853712302</v>
      </c>
      <c r="N1294" s="7" t="n">
        <v>8</v>
      </c>
      <c r="O1294" s="7" t="n">
        <v>8</v>
      </c>
      <c r="P1294" s="7" t="n">
        <v>0</v>
      </c>
      <c r="Q1294" s="2"/>
      <c r="R1294" s="7" t="n">
        <v>1.248815</v>
      </c>
      <c r="S1294" s="5" t="s">
        <v>82</v>
      </c>
      <c r="T1294" s="5" t="s">
        <v>61</v>
      </c>
    </row>
    <row r="1295" customFormat="false" ht="15" hidden="false" customHeight="false" outlineLevel="0" collapsed="false">
      <c r="A1295" s="5" t="s">
        <v>4</v>
      </c>
      <c r="B1295" s="5" t="s">
        <v>55</v>
      </c>
      <c r="C1295" s="2" t="s">
        <v>56</v>
      </c>
      <c r="D1295" s="5" t="s">
        <v>81</v>
      </c>
      <c r="E1295" s="5" t="s">
        <v>62</v>
      </c>
      <c r="F1295" s="2" t="n">
        <v>20</v>
      </c>
      <c r="G1295" s="5" t="s">
        <v>63</v>
      </c>
      <c r="H1295" s="2" t="n">
        <v>1</v>
      </c>
      <c r="I1295" s="2" t="n">
        <v>1</v>
      </c>
      <c r="J1295" s="2" t="n">
        <v>1</v>
      </c>
      <c r="K1295" s="7" t="n">
        <v>0.8308833063</v>
      </c>
      <c r="L1295" s="7" t="n">
        <v>0.03299672592</v>
      </c>
      <c r="M1295" s="7" t="n">
        <v>0.05853712302</v>
      </c>
      <c r="N1295" s="7" t="n">
        <v>8</v>
      </c>
      <c r="O1295" s="7" t="n">
        <v>8</v>
      </c>
      <c r="P1295" s="7" t="n">
        <v>8</v>
      </c>
      <c r="Q1295" s="2"/>
      <c r="R1295" s="7" t="n">
        <v>1.769024</v>
      </c>
      <c r="S1295" s="5" t="s">
        <v>82</v>
      </c>
      <c r="T1295" s="5" t="s">
        <v>61</v>
      </c>
    </row>
    <row r="1296" customFormat="false" ht="15" hidden="false" customHeight="false" outlineLevel="0" collapsed="false">
      <c r="A1296" s="5" t="s">
        <v>4</v>
      </c>
      <c r="B1296" s="5" t="s">
        <v>55</v>
      </c>
      <c r="C1296" s="2" t="s">
        <v>56</v>
      </c>
      <c r="D1296" s="5" t="s">
        <v>81</v>
      </c>
      <c r="E1296" s="5" t="s">
        <v>58</v>
      </c>
      <c r="F1296" s="2" t="n">
        <v>20</v>
      </c>
      <c r="G1296" s="5" t="s">
        <v>64</v>
      </c>
      <c r="H1296" s="2" t="n">
        <v>0</v>
      </c>
      <c r="I1296" s="2" t="n">
        <v>1</v>
      </c>
      <c r="J1296" s="2" t="n">
        <v>1</v>
      </c>
      <c r="K1296" s="7" t="n">
        <v>0.6858761789</v>
      </c>
      <c r="L1296" s="7" t="n">
        <v>0.06066471824</v>
      </c>
      <c r="M1296" s="7" t="n">
        <v>0.07342798222</v>
      </c>
      <c r="N1296" s="7" t="n">
        <v>9</v>
      </c>
      <c r="O1296" s="7" t="n">
        <v>9</v>
      </c>
      <c r="P1296" s="7" t="n">
        <v>0</v>
      </c>
      <c r="Q1296" s="2"/>
      <c r="R1296" s="7" t="n">
        <v>1.622649</v>
      </c>
      <c r="S1296" s="5" t="s">
        <v>82</v>
      </c>
      <c r="T1296" s="5" t="s">
        <v>61</v>
      </c>
    </row>
    <row r="1297" customFormat="false" ht="15" hidden="false" customHeight="false" outlineLevel="0" collapsed="false">
      <c r="A1297" s="5" t="s">
        <v>4</v>
      </c>
      <c r="B1297" s="5" t="s">
        <v>55</v>
      </c>
      <c r="C1297" s="2" t="s">
        <v>56</v>
      </c>
      <c r="D1297" s="5" t="s">
        <v>81</v>
      </c>
      <c r="E1297" s="5" t="s">
        <v>62</v>
      </c>
      <c r="F1297" s="2" t="n">
        <v>20</v>
      </c>
      <c r="G1297" s="5" t="s">
        <v>64</v>
      </c>
      <c r="H1297" s="2" t="n">
        <v>0</v>
      </c>
      <c r="I1297" s="2" t="n">
        <v>1</v>
      </c>
      <c r="J1297" s="2" t="n">
        <v>1</v>
      </c>
      <c r="K1297" s="7" t="n">
        <v>0.6858761789</v>
      </c>
      <c r="L1297" s="7" t="n">
        <v>0.06066471824</v>
      </c>
      <c r="M1297" s="7" t="n">
        <v>0.07342798222</v>
      </c>
      <c r="N1297" s="7" t="n">
        <v>9</v>
      </c>
      <c r="O1297" s="7" t="n">
        <v>9</v>
      </c>
      <c r="P1297" s="7" t="n">
        <v>9</v>
      </c>
      <c r="Q1297" s="2"/>
      <c r="R1297" s="7" t="n">
        <v>2.139162</v>
      </c>
      <c r="S1297" s="5" t="s">
        <v>82</v>
      </c>
      <c r="T1297" s="5" t="s">
        <v>61</v>
      </c>
    </row>
    <row r="1298" customFormat="false" ht="15" hidden="false" customHeight="false" outlineLevel="0" collapsed="false">
      <c r="A1298" s="5" t="s">
        <v>4</v>
      </c>
      <c r="B1298" s="5" t="s">
        <v>55</v>
      </c>
      <c r="C1298" s="2" t="s">
        <v>56</v>
      </c>
      <c r="D1298" s="5" t="s">
        <v>81</v>
      </c>
      <c r="E1298" s="5" t="s">
        <v>58</v>
      </c>
      <c r="F1298" s="2" t="n">
        <v>20</v>
      </c>
      <c r="G1298" s="5" t="s">
        <v>65</v>
      </c>
      <c r="H1298" s="2" t="n">
        <v>0</v>
      </c>
      <c r="I1298" s="2" t="n">
        <v>1</v>
      </c>
      <c r="J1298" s="2" t="n">
        <v>1</v>
      </c>
      <c r="K1298" s="7" t="n">
        <v>1.010839941</v>
      </c>
      <c r="L1298" s="7" t="n">
        <v>0.08493948765</v>
      </c>
      <c r="M1298" s="7" t="n">
        <v>0.1030256452</v>
      </c>
      <c r="N1298" s="7" t="n">
        <v>9</v>
      </c>
      <c r="O1298" s="7" t="n">
        <v>9</v>
      </c>
      <c r="P1298" s="7" t="n">
        <v>0</v>
      </c>
      <c r="Q1298" s="2"/>
      <c r="R1298" s="7" t="n">
        <v>2.541817</v>
      </c>
      <c r="S1298" s="5" t="s">
        <v>82</v>
      </c>
      <c r="T1298" s="5" t="s">
        <v>61</v>
      </c>
    </row>
    <row r="1299" customFormat="false" ht="15" hidden="false" customHeight="false" outlineLevel="0" collapsed="false">
      <c r="A1299" s="5" t="s">
        <v>4</v>
      </c>
      <c r="B1299" s="5" t="s">
        <v>55</v>
      </c>
      <c r="C1299" s="2" t="s">
        <v>56</v>
      </c>
      <c r="D1299" s="5" t="s">
        <v>81</v>
      </c>
      <c r="E1299" s="5" t="s">
        <v>62</v>
      </c>
      <c r="F1299" s="2" t="n">
        <v>20</v>
      </c>
      <c r="G1299" s="5" t="s">
        <v>65</v>
      </c>
      <c r="H1299" s="2" t="n">
        <v>0</v>
      </c>
      <c r="I1299" s="2" t="n">
        <v>1</v>
      </c>
      <c r="J1299" s="2" t="n">
        <v>1</v>
      </c>
      <c r="K1299" s="7" t="n">
        <v>0.5794926234</v>
      </c>
      <c r="L1299" s="7" t="n">
        <v>0.1006902353</v>
      </c>
      <c r="M1299" s="7" t="n">
        <v>0.1056811758</v>
      </c>
      <c r="N1299" s="7" t="n">
        <v>9</v>
      </c>
      <c r="O1299" s="7" t="n">
        <v>9</v>
      </c>
      <c r="P1299" s="7" t="n">
        <v>8</v>
      </c>
      <c r="Q1299" s="2"/>
      <c r="R1299" s="7" t="n">
        <v>3.063137</v>
      </c>
      <c r="S1299" s="5" t="s">
        <v>82</v>
      </c>
      <c r="T1299" s="5" t="s">
        <v>61</v>
      </c>
    </row>
    <row r="1300" customFormat="false" ht="15" hidden="false" customHeight="false" outlineLevel="0" collapsed="false">
      <c r="A1300" s="5" t="s">
        <v>4</v>
      </c>
      <c r="B1300" s="5" t="s">
        <v>55</v>
      </c>
      <c r="C1300" s="2" t="s">
        <v>56</v>
      </c>
      <c r="D1300" s="5" t="s">
        <v>81</v>
      </c>
      <c r="E1300" s="5" t="s">
        <v>58</v>
      </c>
      <c r="F1300" s="2" t="n">
        <v>20</v>
      </c>
      <c r="G1300" s="5" t="s">
        <v>66</v>
      </c>
      <c r="H1300" s="2" t="n">
        <v>0</v>
      </c>
      <c r="I1300" s="2" t="n">
        <v>1</v>
      </c>
      <c r="J1300" s="2" t="n">
        <v>1</v>
      </c>
      <c r="K1300" s="7" t="n">
        <v>1.158474387</v>
      </c>
      <c r="L1300" s="7" t="n">
        <v>0.2142270067</v>
      </c>
      <c r="M1300" s="7" t="n">
        <v>0.2223355374</v>
      </c>
      <c r="N1300" s="7" t="n">
        <v>5</v>
      </c>
      <c r="O1300" s="7" t="n">
        <v>5</v>
      </c>
      <c r="P1300" s="7" t="n">
        <v>0</v>
      </c>
      <c r="Q1300" s="2"/>
      <c r="R1300" s="7" t="n">
        <v>2.304846</v>
      </c>
      <c r="S1300" s="5" t="s">
        <v>82</v>
      </c>
      <c r="T1300" s="5" t="s">
        <v>61</v>
      </c>
    </row>
    <row r="1301" customFormat="false" ht="15" hidden="false" customHeight="false" outlineLevel="0" collapsed="false">
      <c r="A1301" s="5" t="s">
        <v>4</v>
      </c>
      <c r="B1301" s="5" t="s">
        <v>55</v>
      </c>
      <c r="C1301" s="2" t="s">
        <v>56</v>
      </c>
      <c r="D1301" s="5" t="s">
        <v>81</v>
      </c>
      <c r="E1301" s="5" t="s">
        <v>62</v>
      </c>
      <c r="F1301" s="2" t="n">
        <v>20</v>
      </c>
      <c r="G1301" s="5" t="s">
        <v>66</v>
      </c>
      <c r="H1301" s="2" t="n">
        <v>0</v>
      </c>
      <c r="I1301" s="2" t="n">
        <v>1</v>
      </c>
      <c r="J1301" s="2" t="n">
        <v>1</v>
      </c>
      <c r="K1301" s="7" t="n">
        <v>1.158474387</v>
      </c>
      <c r="L1301" s="7" t="n">
        <v>0.2142270067</v>
      </c>
      <c r="M1301" s="7" t="n">
        <v>0.2223355374</v>
      </c>
      <c r="N1301" s="7" t="n">
        <v>5</v>
      </c>
      <c r="O1301" s="7" t="n">
        <v>5</v>
      </c>
      <c r="P1301" s="7" t="n">
        <v>5</v>
      </c>
      <c r="Q1301" s="2"/>
      <c r="R1301" s="7" t="n">
        <v>2.68631</v>
      </c>
      <c r="S1301" s="5" t="s">
        <v>82</v>
      </c>
      <c r="T1301" s="5" t="s">
        <v>61</v>
      </c>
    </row>
    <row r="1302" customFormat="false" ht="15" hidden="false" customHeight="false" outlineLevel="0" collapsed="false">
      <c r="A1302" s="5" t="s">
        <v>4</v>
      </c>
      <c r="B1302" s="5" t="s">
        <v>55</v>
      </c>
      <c r="C1302" s="2" t="s">
        <v>56</v>
      </c>
      <c r="D1302" s="5" t="s">
        <v>81</v>
      </c>
      <c r="E1302" s="5" t="s">
        <v>58</v>
      </c>
      <c r="F1302" s="2" t="n">
        <v>11</v>
      </c>
      <c r="G1302" s="5" t="s">
        <v>67</v>
      </c>
      <c r="H1302" s="2" t="n">
        <v>1</v>
      </c>
      <c r="I1302" s="2" t="n">
        <v>1</v>
      </c>
      <c r="J1302" s="2" t="n">
        <v>0</v>
      </c>
      <c r="K1302" s="7" t="n">
        <v>3.085107459</v>
      </c>
      <c r="L1302" s="7" t="n">
        <v>0.2553596523</v>
      </c>
      <c r="M1302" s="7" t="n">
        <v>0.3126139888</v>
      </c>
      <c r="N1302" s="7" t="n">
        <v>12</v>
      </c>
      <c r="O1302" s="7" t="n">
        <v>12</v>
      </c>
      <c r="P1302" s="7" t="n">
        <v>0</v>
      </c>
      <c r="Q1302" s="2"/>
      <c r="R1302" s="7" t="n">
        <v>1.520006</v>
      </c>
      <c r="S1302" s="5" t="s">
        <v>82</v>
      </c>
      <c r="T1302" s="5" t="s">
        <v>61</v>
      </c>
    </row>
    <row r="1303" customFormat="false" ht="15" hidden="false" customHeight="false" outlineLevel="0" collapsed="false">
      <c r="A1303" s="5" t="s">
        <v>4</v>
      </c>
      <c r="B1303" s="5" t="s">
        <v>55</v>
      </c>
      <c r="C1303" s="2" t="s">
        <v>56</v>
      </c>
      <c r="D1303" s="5" t="s">
        <v>81</v>
      </c>
      <c r="E1303" s="5" t="s">
        <v>62</v>
      </c>
      <c r="F1303" s="2" t="n">
        <v>11</v>
      </c>
      <c r="G1303" s="5" t="s">
        <v>67</v>
      </c>
      <c r="H1303" s="2" t="n">
        <v>1</v>
      </c>
      <c r="I1303" s="2" t="n">
        <v>1</v>
      </c>
      <c r="J1303" s="2" t="n">
        <v>1</v>
      </c>
      <c r="K1303" s="7" t="n">
        <v>0.6995390686</v>
      </c>
      <c r="L1303" s="7" t="n">
        <v>0.0335074883</v>
      </c>
      <c r="M1303" s="7" t="n">
        <v>0.05471118652</v>
      </c>
      <c r="N1303" s="7" t="n">
        <v>12</v>
      </c>
      <c r="O1303" s="7" t="n">
        <v>12</v>
      </c>
      <c r="P1303" s="7" t="n">
        <v>11</v>
      </c>
      <c r="Q1303" s="2"/>
      <c r="R1303" s="7" t="n">
        <v>2.144769</v>
      </c>
      <c r="S1303" s="5" t="s">
        <v>82</v>
      </c>
      <c r="T1303" s="5" t="s">
        <v>61</v>
      </c>
    </row>
    <row r="1304" customFormat="false" ht="15" hidden="false" customHeight="false" outlineLevel="0" collapsed="false">
      <c r="A1304" s="5" t="s">
        <v>4</v>
      </c>
      <c r="B1304" s="5" t="s">
        <v>55</v>
      </c>
      <c r="C1304" s="2" t="s">
        <v>56</v>
      </c>
      <c r="D1304" s="5" t="s">
        <v>81</v>
      </c>
      <c r="E1304" s="5" t="s">
        <v>58</v>
      </c>
      <c r="F1304" s="2" t="n">
        <v>11</v>
      </c>
      <c r="G1304" s="5" t="s">
        <v>68</v>
      </c>
      <c r="H1304" s="2" t="n">
        <v>1</v>
      </c>
      <c r="I1304" s="2" t="n">
        <v>1</v>
      </c>
      <c r="J1304" s="2" t="n">
        <v>1</v>
      </c>
      <c r="K1304" s="7" t="n">
        <v>0.3325563664</v>
      </c>
      <c r="L1304" s="7" t="n">
        <v>0.03553377309</v>
      </c>
      <c r="M1304" s="7" t="n">
        <v>0.04671348879</v>
      </c>
      <c r="N1304" s="7" t="n">
        <v>5</v>
      </c>
      <c r="O1304" s="7" t="n">
        <v>5</v>
      </c>
      <c r="P1304" s="7" t="n">
        <v>0</v>
      </c>
      <c r="Q1304" s="2"/>
      <c r="R1304" s="7" t="n">
        <v>1.376024</v>
      </c>
      <c r="S1304" s="5" t="s">
        <v>82</v>
      </c>
      <c r="T1304" s="5" t="s">
        <v>61</v>
      </c>
    </row>
    <row r="1305" customFormat="false" ht="15" hidden="false" customHeight="false" outlineLevel="0" collapsed="false">
      <c r="A1305" s="5" t="s">
        <v>4</v>
      </c>
      <c r="B1305" s="5" t="s">
        <v>55</v>
      </c>
      <c r="C1305" s="2" t="s">
        <v>56</v>
      </c>
      <c r="D1305" s="5" t="s">
        <v>81</v>
      </c>
      <c r="E1305" s="5" t="s">
        <v>62</v>
      </c>
      <c r="F1305" s="2" t="n">
        <v>11</v>
      </c>
      <c r="G1305" s="5" t="s">
        <v>68</v>
      </c>
      <c r="H1305" s="2" t="n">
        <v>1</v>
      </c>
      <c r="I1305" s="2" t="n">
        <v>1</v>
      </c>
      <c r="J1305" s="2" t="n">
        <v>1</v>
      </c>
      <c r="K1305" s="7" t="n">
        <v>0.3325563664</v>
      </c>
      <c r="L1305" s="7" t="n">
        <v>0.03553377309</v>
      </c>
      <c r="M1305" s="7" t="n">
        <v>0.04671348879</v>
      </c>
      <c r="N1305" s="7" t="n">
        <v>5</v>
      </c>
      <c r="O1305" s="7" t="n">
        <v>5</v>
      </c>
      <c r="P1305" s="7" t="n">
        <v>5</v>
      </c>
      <c r="Q1305" s="2"/>
      <c r="R1305" s="7" t="n">
        <v>1.72482</v>
      </c>
      <c r="S1305" s="5" t="s">
        <v>82</v>
      </c>
      <c r="T1305" s="5" t="s">
        <v>61</v>
      </c>
    </row>
    <row r="1306" customFormat="false" ht="15" hidden="false" customHeight="false" outlineLevel="0" collapsed="false">
      <c r="A1306" s="5" t="s">
        <v>4</v>
      </c>
      <c r="B1306" s="5" t="s">
        <v>55</v>
      </c>
      <c r="C1306" s="2" t="s">
        <v>56</v>
      </c>
      <c r="D1306" s="5" t="s">
        <v>81</v>
      </c>
      <c r="E1306" s="5" t="s">
        <v>58</v>
      </c>
      <c r="F1306" s="2" t="n">
        <v>11</v>
      </c>
      <c r="G1306" s="5" t="s">
        <v>69</v>
      </c>
      <c r="H1306" s="2" t="n">
        <v>1</v>
      </c>
      <c r="I1306" s="2" t="n">
        <v>1</v>
      </c>
      <c r="J1306" s="2" t="n">
        <v>1</v>
      </c>
      <c r="K1306" s="7" t="n">
        <v>0.2943896032</v>
      </c>
      <c r="L1306" s="7" t="n">
        <v>0.02839909439</v>
      </c>
      <c r="M1306" s="7" t="n">
        <v>0.0356103013</v>
      </c>
      <c r="N1306" s="7" t="n">
        <v>3</v>
      </c>
      <c r="O1306" s="7" t="n">
        <v>3</v>
      </c>
      <c r="P1306" s="7" t="n">
        <v>0</v>
      </c>
      <c r="Q1306" s="2"/>
      <c r="R1306" s="7" t="n">
        <v>2.374539</v>
      </c>
      <c r="S1306" s="5" t="s">
        <v>82</v>
      </c>
      <c r="T1306" s="5" t="s">
        <v>61</v>
      </c>
    </row>
    <row r="1307" customFormat="false" ht="15" hidden="false" customHeight="false" outlineLevel="0" collapsed="false">
      <c r="A1307" s="5" t="s">
        <v>4</v>
      </c>
      <c r="B1307" s="5" t="s">
        <v>55</v>
      </c>
      <c r="C1307" s="2" t="s">
        <v>56</v>
      </c>
      <c r="D1307" s="5" t="s">
        <v>81</v>
      </c>
      <c r="E1307" s="5" t="s">
        <v>62</v>
      </c>
      <c r="F1307" s="2" t="n">
        <v>11</v>
      </c>
      <c r="G1307" s="5" t="s">
        <v>69</v>
      </c>
      <c r="H1307" s="2" t="n">
        <v>1</v>
      </c>
      <c r="I1307" s="2" t="n">
        <v>1</v>
      </c>
      <c r="J1307" s="2" t="n">
        <v>1</v>
      </c>
      <c r="K1307" s="7" t="n">
        <v>0.2943896032</v>
      </c>
      <c r="L1307" s="7" t="n">
        <v>0.02839909439</v>
      </c>
      <c r="M1307" s="7" t="n">
        <v>0.0356103013</v>
      </c>
      <c r="N1307" s="7" t="n">
        <v>3</v>
      </c>
      <c r="O1307" s="7" t="n">
        <v>3</v>
      </c>
      <c r="P1307" s="7" t="n">
        <v>3</v>
      </c>
      <c r="Q1307" s="2"/>
      <c r="R1307" s="7" t="n">
        <v>2.531392</v>
      </c>
      <c r="S1307" s="5" t="s">
        <v>82</v>
      </c>
      <c r="T1307" s="5" t="s">
        <v>61</v>
      </c>
    </row>
    <row r="1308" customFormat="false" ht="15" hidden="false" customHeight="false" outlineLevel="0" collapsed="false">
      <c r="A1308" s="5" t="s">
        <v>4</v>
      </c>
      <c r="B1308" s="5" t="s">
        <v>55</v>
      </c>
      <c r="C1308" s="2" t="s">
        <v>56</v>
      </c>
      <c r="D1308" s="5" t="s">
        <v>81</v>
      </c>
      <c r="E1308" s="5" t="s">
        <v>58</v>
      </c>
      <c r="F1308" s="2" t="n">
        <v>11</v>
      </c>
      <c r="G1308" s="5" t="s">
        <v>70</v>
      </c>
      <c r="H1308" s="2" t="n">
        <v>0</v>
      </c>
      <c r="I1308" s="2" t="n">
        <v>0</v>
      </c>
      <c r="J1308" s="2" t="n">
        <v>0</v>
      </c>
      <c r="K1308" s="2"/>
      <c r="L1308" s="2"/>
      <c r="M1308" s="2"/>
      <c r="N1308" s="7" t="n">
        <v>2</v>
      </c>
      <c r="O1308" s="7" t="n">
        <v>2</v>
      </c>
      <c r="P1308" s="7" t="n">
        <v>0</v>
      </c>
      <c r="Q1308" s="2"/>
      <c r="R1308" s="7" t="n">
        <v>2.192209</v>
      </c>
      <c r="S1308" s="5" t="s">
        <v>82</v>
      </c>
      <c r="T1308" s="5" t="s">
        <v>61</v>
      </c>
    </row>
    <row r="1309" customFormat="false" ht="15" hidden="false" customHeight="false" outlineLevel="0" collapsed="false">
      <c r="A1309" s="5" t="s">
        <v>4</v>
      </c>
      <c r="B1309" s="5" t="s">
        <v>55</v>
      </c>
      <c r="C1309" s="2" t="s">
        <v>56</v>
      </c>
      <c r="D1309" s="5" t="s">
        <v>81</v>
      </c>
      <c r="E1309" s="5" t="s">
        <v>62</v>
      </c>
      <c r="F1309" s="2" t="n">
        <v>11</v>
      </c>
      <c r="G1309" s="5" t="s">
        <v>70</v>
      </c>
      <c r="H1309" s="2" t="n">
        <v>0</v>
      </c>
      <c r="I1309" s="2" t="n">
        <v>0</v>
      </c>
      <c r="J1309" s="2" t="n">
        <v>0</v>
      </c>
      <c r="K1309" s="2"/>
      <c r="L1309" s="2"/>
      <c r="M1309" s="2"/>
      <c r="N1309" s="7" t="n">
        <v>2</v>
      </c>
      <c r="O1309" s="7" t="n">
        <v>2</v>
      </c>
      <c r="P1309" s="7" t="n">
        <v>0</v>
      </c>
      <c r="Q1309" s="2"/>
      <c r="R1309" s="7" t="n">
        <v>2.19194</v>
      </c>
      <c r="S1309" s="5" t="s">
        <v>82</v>
      </c>
      <c r="T1309" s="5" t="s">
        <v>61</v>
      </c>
    </row>
    <row r="1310" customFormat="false" ht="15" hidden="false" customHeight="false" outlineLevel="0" collapsed="false">
      <c r="A1310" s="5" t="s">
        <v>4</v>
      </c>
      <c r="B1310" s="5" t="s">
        <v>55</v>
      </c>
      <c r="C1310" s="2" t="s">
        <v>56</v>
      </c>
      <c r="D1310" s="5" t="s">
        <v>81</v>
      </c>
      <c r="E1310" s="5" t="s">
        <v>58</v>
      </c>
      <c r="F1310" s="2" t="n">
        <v>12</v>
      </c>
      <c r="G1310" s="5" t="s">
        <v>67</v>
      </c>
      <c r="H1310" s="2" t="n">
        <v>1</v>
      </c>
      <c r="I1310" s="2" t="n">
        <v>1</v>
      </c>
      <c r="J1310" s="2" t="n">
        <v>1</v>
      </c>
      <c r="K1310" s="7" t="n">
        <v>0.2901279441</v>
      </c>
      <c r="L1310" s="7" t="n">
        <v>0.05183708435</v>
      </c>
      <c r="M1310" s="7" t="n">
        <v>0.05588368744</v>
      </c>
      <c r="N1310" s="7" t="n">
        <v>12</v>
      </c>
      <c r="O1310" s="7" t="n">
        <v>12</v>
      </c>
      <c r="P1310" s="7" t="n">
        <v>0</v>
      </c>
      <c r="Q1310" s="2"/>
      <c r="R1310" s="7" t="n">
        <v>1.329194</v>
      </c>
      <c r="S1310" s="5" t="s">
        <v>82</v>
      </c>
      <c r="T1310" s="5" t="s">
        <v>61</v>
      </c>
    </row>
    <row r="1311" customFormat="false" ht="15" hidden="false" customHeight="false" outlineLevel="0" collapsed="false">
      <c r="A1311" s="5" t="s">
        <v>4</v>
      </c>
      <c r="B1311" s="5" t="s">
        <v>55</v>
      </c>
      <c r="C1311" s="2" t="s">
        <v>56</v>
      </c>
      <c r="D1311" s="5" t="s">
        <v>81</v>
      </c>
      <c r="E1311" s="5" t="s">
        <v>62</v>
      </c>
      <c r="F1311" s="2" t="n">
        <v>12</v>
      </c>
      <c r="G1311" s="5" t="s">
        <v>67</v>
      </c>
      <c r="H1311" s="2" t="n">
        <v>1</v>
      </c>
      <c r="I1311" s="2" t="n">
        <v>1</v>
      </c>
      <c r="J1311" s="2" t="n">
        <v>1</v>
      </c>
      <c r="K1311" s="7" t="n">
        <v>0.2901279441</v>
      </c>
      <c r="L1311" s="7" t="n">
        <v>0.05183708435</v>
      </c>
      <c r="M1311" s="7" t="n">
        <v>0.05588368744</v>
      </c>
      <c r="N1311" s="7" t="n">
        <v>12</v>
      </c>
      <c r="O1311" s="7" t="n">
        <v>12</v>
      </c>
      <c r="P1311" s="7" t="n">
        <v>11</v>
      </c>
      <c r="Q1311" s="2"/>
      <c r="R1311" s="7" t="n">
        <v>1.953236</v>
      </c>
      <c r="S1311" s="5" t="s">
        <v>82</v>
      </c>
      <c r="T1311" s="5" t="s">
        <v>61</v>
      </c>
    </row>
    <row r="1312" customFormat="false" ht="15" hidden="false" customHeight="false" outlineLevel="0" collapsed="false">
      <c r="A1312" s="5" t="s">
        <v>4</v>
      </c>
      <c r="B1312" s="5" t="s">
        <v>55</v>
      </c>
      <c r="C1312" s="2" t="s">
        <v>56</v>
      </c>
      <c r="D1312" s="5" t="s">
        <v>81</v>
      </c>
      <c r="E1312" s="5" t="s">
        <v>58</v>
      </c>
      <c r="F1312" s="2" t="n">
        <v>12</v>
      </c>
      <c r="G1312" s="5" t="s">
        <v>68</v>
      </c>
      <c r="H1312" s="2" t="n">
        <v>1</v>
      </c>
      <c r="I1312" s="2" t="n">
        <v>1</v>
      </c>
      <c r="J1312" s="2" t="n">
        <v>1</v>
      </c>
      <c r="K1312" s="7" t="n">
        <v>0.8433303716</v>
      </c>
      <c r="L1312" s="7" t="n">
        <v>0.07473304765</v>
      </c>
      <c r="M1312" s="7" t="n">
        <v>0.09284656721</v>
      </c>
      <c r="N1312" s="7" t="n">
        <v>9</v>
      </c>
      <c r="O1312" s="7" t="n">
        <v>9</v>
      </c>
      <c r="P1312" s="7" t="n">
        <v>0</v>
      </c>
      <c r="Q1312" s="2"/>
      <c r="R1312" s="7" t="n">
        <v>1.588748</v>
      </c>
      <c r="S1312" s="5" t="s">
        <v>82</v>
      </c>
      <c r="T1312" s="5" t="s">
        <v>61</v>
      </c>
    </row>
    <row r="1313" customFormat="false" ht="15" hidden="false" customHeight="false" outlineLevel="0" collapsed="false">
      <c r="A1313" s="5" t="s">
        <v>4</v>
      </c>
      <c r="B1313" s="5" t="s">
        <v>55</v>
      </c>
      <c r="C1313" s="2" t="s">
        <v>56</v>
      </c>
      <c r="D1313" s="5" t="s">
        <v>81</v>
      </c>
      <c r="E1313" s="5" t="s">
        <v>62</v>
      </c>
      <c r="F1313" s="2" t="n">
        <v>12</v>
      </c>
      <c r="G1313" s="5" t="s">
        <v>68</v>
      </c>
      <c r="H1313" s="2" t="n">
        <v>1</v>
      </c>
      <c r="I1313" s="2" t="n">
        <v>1</v>
      </c>
      <c r="J1313" s="2" t="n">
        <v>1</v>
      </c>
      <c r="K1313" s="7" t="n">
        <v>0.8433303716</v>
      </c>
      <c r="L1313" s="7" t="n">
        <v>0.07473304765</v>
      </c>
      <c r="M1313" s="7" t="n">
        <v>0.09284656721</v>
      </c>
      <c r="N1313" s="7" t="n">
        <v>9</v>
      </c>
      <c r="O1313" s="7" t="n">
        <v>9</v>
      </c>
      <c r="P1313" s="7" t="n">
        <v>9</v>
      </c>
      <c r="Q1313" s="2"/>
      <c r="R1313" s="7" t="n">
        <v>2.092382</v>
      </c>
      <c r="S1313" s="5" t="s">
        <v>82</v>
      </c>
      <c r="T1313" s="5" t="s">
        <v>61</v>
      </c>
    </row>
    <row r="1314" customFormat="false" ht="15" hidden="false" customHeight="false" outlineLevel="0" collapsed="false">
      <c r="A1314" s="5" t="s">
        <v>4</v>
      </c>
      <c r="B1314" s="5" t="s">
        <v>55</v>
      </c>
      <c r="C1314" s="2" t="s">
        <v>56</v>
      </c>
      <c r="D1314" s="5" t="s">
        <v>81</v>
      </c>
      <c r="E1314" s="5" t="s">
        <v>58</v>
      </c>
      <c r="F1314" s="2" t="n">
        <v>12</v>
      </c>
      <c r="G1314" s="5" t="s">
        <v>69</v>
      </c>
      <c r="H1314" s="2" t="n">
        <v>1</v>
      </c>
      <c r="I1314" s="2" t="n">
        <v>1</v>
      </c>
      <c r="J1314" s="2" t="n">
        <v>1</v>
      </c>
      <c r="K1314" s="7" t="n">
        <v>0.3931107671</v>
      </c>
      <c r="L1314" s="7" t="n">
        <v>0.08247716204</v>
      </c>
      <c r="M1314" s="7" t="n">
        <v>0.08605162047</v>
      </c>
      <c r="N1314" s="7" t="n">
        <v>5</v>
      </c>
      <c r="O1314" s="7" t="n">
        <v>5</v>
      </c>
      <c r="P1314" s="7" t="n">
        <v>0</v>
      </c>
      <c r="Q1314" s="2"/>
      <c r="R1314" s="7" t="n">
        <v>2.680291</v>
      </c>
      <c r="S1314" s="5" t="s">
        <v>82</v>
      </c>
      <c r="T1314" s="5" t="s">
        <v>61</v>
      </c>
    </row>
    <row r="1315" customFormat="false" ht="15" hidden="false" customHeight="false" outlineLevel="0" collapsed="false">
      <c r="A1315" s="5" t="s">
        <v>4</v>
      </c>
      <c r="B1315" s="5" t="s">
        <v>55</v>
      </c>
      <c r="C1315" s="2" t="s">
        <v>56</v>
      </c>
      <c r="D1315" s="5" t="s">
        <v>81</v>
      </c>
      <c r="E1315" s="5" t="s">
        <v>62</v>
      </c>
      <c r="F1315" s="2" t="n">
        <v>12</v>
      </c>
      <c r="G1315" s="5" t="s">
        <v>69</v>
      </c>
      <c r="H1315" s="2" t="n">
        <v>1</v>
      </c>
      <c r="I1315" s="2" t="n">
        <v>1</v>
      </c>
      <c r="J1315" s="2" t="n">
        <v>1</v>
      </c>
      <c r="K1315" s="7" t="n">
        <v>0.3931107671</v>
      </c>
      <c r="L1315" s="7" t="n">
        <v>0.08247716204</v>
      </c>
      <c r="M1315" s="7" t="n">
        <v>0.08605162047</v>
      </c>
      <c r="N1315" s="7" t="n">
        <v>5</v>
      </c>
      <c r="O1315" s="7" t="n">
        <v>5</v>
      </c>
      <c r="P1315" s="7" t="n">
        <v>5</v>
      </c>
      <c r="Q1315" s="2"/>
      <c r="R1315" s="7" t="n">
        <v>3.032662</v>
      </c>
      <c r="S1315" s="5" t="s">
        <v>82</v>
      </c>
      <c r="T1315" s="5" t="s">
        <v>61</v>
      </c>
    </row>
    <row r="1316" customFormat="false" ht="15" hidden="false" customHeight="false" outlineLevel="0" collapsed="false">
      <c r="A1316" s="5" t="s">
        <v>4</v>
      </c>
      <c r="B1316" s="5" t="s">
        <v>55</v>
      </c>
      <c r="C1316" s="2" t="s">
        <v>56</v>
      </c>
      <c r="D1316" s="5" t="s">
        <v>81</v>
      </c>
      <c r="E1316" s="5" t="s">
        <v>58</v>
      </c>
      <c r="F1316" s="2" t="n">
        <v>12</v>
      </c>
      <c r="G1316" s="5" t="s">
        <v>70</v>
      </c>
      <c r="H1316" s="2" t="n">
        <v>0</v>
      </c>
      <c r="I1316" s="2" t="n">
        <v>0</v>
      </c>
      <c r="J1316" s="2" t="n">
        <v>0</v>
      </c>
      <c r="K1316" s="2"/>
      <c r="L1316" s="2"/>
      <c r="M1316" s="2"/>
      <c r="N1316" s="7" t="n">
        <v>1</v>
      </c>
      <c r="O1316" s="7" t="n">
        <v>1</v>
      </c>
      <c r="P1316" s="7" t="n">
        <v>0</v>
      </c>
      <c r="Q1316" s="2"/>
      <c r="R1316" s="7" t="n">
        <v>2.373018</v>
      </c>
      <c r="S1316" s="5" t="s">
        <v>82</v>
      </c>
      <c r="T1316" s="5" t="s">
        <v>61</v>
      </c>
    </row>
    <row r="1317" customFormat="false" ht="15" hidden="false" customHeight="false" outlineLevel="0" collapsed="false">
      <c r="A1317" s="5" t="s">
        <v>4</v>
      </c>
      <c r="B1317" s="5" t="s">
        <v>55</v>
      </c>
      <c r="C1317" s="2" t="s">
        <v>56</v>
      </c>
      <c r="D1317" s="5" t="s">
        <v>81</v>
      </c>
      <c r="E1317" s="5" t="s">
        <v>62</v>
      </c>
      <c r="F1317" s="2" t="n">
        <v>12</v>
      </c>
      <c r="G1317" s="5" t="s">
        <v>70</v>
      </c>
      <c r="H1317" s="2" t="n">
        <v>0</v>
      </c>
      <c r="I1317" s="2" t="n">
        <v>0</v>
      </c>
      <c r="J1317" s="2" t="n">
        <v>0</v>
      </c>
      <c r="K1317" s="2"/>
      <c r="L1317" s="2"/>
      <c r="M1317" s="2"/>
      <c r="N1317" s="7" t="n">
        <v>1</v>
      </c>
      <c r="O1317" s="7" t="n">
        <v>1</v>
      </c>
      <c r="P1317" s="7" t="n">
        <v>0</v>
      </c>
      <c r="Q1317" s="2"/>
      <c r="R1317" s="7" t="n">
        <v>2.372938</v>
      </c>
      <c r="S1317" s="5" t="s">
        <v>82</v>
      </c>
      <c r="T1317" s="5" t="s">
        <v>61</v>
      </c>
    </row>
    <row r="1318" customFormat="false" ht="15" hidden="false" customHeight="false" outlineLevel="0" collapsed="false">
      <c r="A1318" s="5" t="s">
        <v>4</v>
      </c>
      <c r="B1318" s="5" t="s">
        <v>55</v>
      </c>
      <c r="C1318" s="2" t="s">
        <v>56</v>
      </c>
      <c r="D1318" s="5" t="s">
        <v>81</v>
      </c>
      <c r="E1318" s="5" t="s">
        <v>58</v>
      </c>
      <c r="F1318" s="2" t="n">
        <v>13</v>
      </c>
      <c r="G1318" s="5" t="s">
        <v>67</v>
      </c>
      <c r="H1318" s="2" t="n">
        <v>1</v>
      </c>
      <c r="I1318" s="2" t="n">
        <v>1</v>
      </c>
      <c r="J1318" s="2" t="n">
        <v>1</v>
      </c>
      <c r="K1318" s="7" t="n">
        <v>0.6074322632</v>
      </c>
      <c r="L1318" s="7" t="n">
        <v>0.06186290171</v>
      </c>
      <c r="M1318" s="7" t="n">
        <v>0.07325806909</v>
      </c>
      <c r="N1318" s="7" t="n">
        <v>7</v>
      </c>
      <c r="O1318" s="7" t="n">
        <v>7</v>
      </c>
      <c r="P1318" s="7" t="n">
        <v>0</v>
      </c>
      <c r="Q1318" s="2"/>
      <c r="R1318" s="7" t="n">
        <v>1.28572</v>
      </c>
      <c r="S1318" s="5" t="s">
        <v>82</v>
      </c>
      <c r="T1318" s="5" t="s">
        <v>61</v>
      </c>
    </row>
    <row r="1319" customFormat="false" ht="15" hidden="false" customHeight="false" outlineLevel="0" collapsed="false">
      <c r="A1319" s="5" t="s">
        <v>4</v>
      </c>
      <c r="B1319" s="5" t="s">
        <v>55</v>
      </c>
      <c r="C1319" s="2" t="s">
        <v>56</v>
      </c>
      <c r="D1319" s="5" t="s">
        <v>81</v>
      </c>
      <c r="E1319" s="5" t="s">
        <v>62</v>
      </c>
      <c r="F1319" s="2" t="n">
        <v>13</v>
      </c>
      <c r="G1319" s="5" t="s">
        <v>67</v>
      </c>
      <c r="H1319" s="2" t="n">
        <v>1</v>
      </c>
      <c r="I1319" s="2" t="n">
        <v>1</v>
      </c>
      <c r="J1319" s="2" t="n">
        <v>1</v>
      </c>
      <c r="K1319" s="7" t="n">
        <v>0.6074322632</v>
      </c>
      <c r="L1319" s="7" t="n">
        <v>0.06186290171</v>
      </c>
      <c r="M1319" s="7" t="n">
        <v>0.07325806909</v>
      </c>
      <c r="N1319" s="7" t="n">
        <v>7</v>
      </c>
      <c r="O1319" s="7" t="n">
        <v>7</v>
      </c>
      <c r="P1319" s="7" t="n">
        <v>7</v>
      </c>
      <c r="Q1319" s="2"/>
      <c r="R1319" s="7" t="n">
        <v>1.781363</v>
      </c>
      <c r="S1319" s="5" t="s">
        <v>82</v>
      </c>
      <c r="T1319" s="5" t="s">
        <v>61</v>
      </c>
    </row>
    <row r="1320" customFormat="false" ht="15" hidden="false" customHeight="false" outlineLevel="0" collapsed="false">
      <c r="A1320" s="5" t="s">
        <v>4</v>
      </c>
      <c r="B1320" s="5" t="s">
        <v>55</v>
      </c>
      <c r="C1320" s="2" t="s">
        <v>56</v>
      </c>
      <c r="D1320" s="5" t="s">
        <v>81</v>
      </c>
      <c r="E1320" s="5" t="s">
        <v>58</v>
      </c>
      <c r="F1320" s="2" t="n">
        <v>13</v>
      </c>
      <c r="G1320" s="5" t="s">
        <v>68</v>
      </c>
      <c r="H1320" s="2" t="n">
        <v>1</v>
      </c>
      <c r="I1320" s="2" t="n">
        <v>1</v>
      </c>
      <c r="J1320" s="2" t="n">
        <v>1</v>
      </c>
      <c r="K1320" s="7" t="n">
        <v>0.684731131</v>
      </c>
      <c r="L1320" s="7" t="n">
        <v>0.06598802407</v>
      </c>
      <c r="M1320" s="7" t="n">
        <v>0.08076844263</v>
      </c>
      <c r="N1320" s="7" t="n">
        <v>7</v>
      </c>
      <c r="O1320" s="7" t="n">
        <v>7</v>
      </c>
      <c r="P1320" s="7" t="n">
        <v>0</v>
      </c>
      <c r="Q1320" s="2"/>
      <c r="R1320" s="7" t="n">
        <v>1.481851</v>
      </c>
      <c r="S1320" s="5" t="s">
        <v>82</v>
      </c>
      <c r="T1320" s="5" t="s">
        <v>61</v>
      </c>
    </row>
    <row r="1321" customFormat="false" ht="15" hidden="false" customHeight="false" outlineLevel="0" collapsed="false">
      <c r="A1321" s="5" t="s">
        <v>4</v>
      </c>
      <c r="B1321" s="5" t="s">
        <v>55</v>
      </c>
      <c r="C1321" s="2" t="s">
        <v>56</v>
      </c>
      <c r="D1321" s="5" t="s">
        <v>81</v>
      </c>
      <c r="E1321" s="5" t="s">
        <v>62</v>
      </c>
      <c r="F1321" s="2" t="n">
        <v>13</v>
      </c>
      <c r="G1321" s="5" t="s">
        <v>68</v>
      </c>
      <c r="H1321" s="2" t="n">
        <v>1</v>
      </c>
      <c r="I1321" s="2" t="n">
        <v>1</v>
      </c>
      <c r="J1321" s="2" t="n">
        <v>1</v>
      </c>
      <c r="K1321" s="7" t="n">
        <v>0.684731131</v>
      </c>
      <c r="L1321" s="7" t="n">
        <v>0.06598802407</v>
      </c>
      <c r="M1321" s="7" t="n">
        <v>0.08076844263</v>
      </c>
      <c r="N1321" s="7" t="n">
        <v>7</v>
      </c>
      <c r="O1321" s="7" t="n">
        <v>7</v>
      </c>
      <c r="P1321" s="7" t="n">
        <v>7</v>
      </c>
      <c r="Q1321" s="2"/>
      <c r="R1321" s="7" t="n">
        <v>1.96186</v>
      </c>
      <c r="S1321" s="5" t="s">
        <v>82</v>
      </c>
      <c r="T1321" s="5" t="s">
        <v>61</v>
      </c>
    </row>
    <row r="1322" customFormat="false" ht="15" hidden="false" customHeight="false" outlineLevel="0" collapsed="false">
      <c r="A1322" s="5" t="s">
        <v>4</v>
      </c>
      <c r="B1322" s="5" t="s">
        <v>55</v>
      </c>
      <c r="C1322" s="2" t="s">
        <v>56</v>
      </c>
      <c r="D1322" s="5" t="s">
        <v>81</v>
      </c>
      <c r="E1322" s="5" t="s">
        <v>58</v>
      </c>
      <c r="F1322" s="2" t="n">
        <v>13</v>
      </c>
      <c r="G1322" s="5" t="s">
        <v>69</v>
      </c>
      <c r="H1322" s="2" t="n">
        <v>1</v>
      </c>
      <c r="I1322" s="2" t="n">
        <v>0</v>
      </c>
      <c r="J1322" s="2" t="n">
        <v>0</v>
      </c>
      <c r="K1322" s="2"/>
      <c r="L1322" s="2"/>
      <c r="M1322" s="2"/>
      <c r="N1322" s="7" t="n">
        <v>1</v>
      </c>
      <c r="O1322" s="7" t="n">
        <v>1</v>
      </c>
      <c r="P1322" s="7" t="n">
        <v>0</v>
      </c>
      <c r="Q1322" s="2"/>
      <c r="R1322" s="7" t="n">
        <v>2.370755</v>
      </c>
      <c r="S1322" s="5" t="s">
        <v>82</v>
      </c>
      <c r="T1322" s="5" t="s">
        <v>61</v>
      </c>
    </row>
    <row r="1323" customFormat="false" ht="15" hidden="false" customHeight="false" outlineLevel="0" collapsed="false">
      <c r="A1323" s="5" t="s">
        <v>4</v>
      </c>
      <c r="B1323" s="5" t="s">
        <v>55</v>
      </c>
      <c r="C1323" s="2" t="s">
        <v>56</v>
      </c>
      <c r="D1323" s="5" t="s">
        <v>81</v>
      </c>
      <c r="E1323" s="5" t="s">
        <v>62</v>
      </c>
      <c r="F1323" s="2" t="n">
        <v>13</v>
      </c>
      <c r="G1323" s="5" t="s">
        <v>69</v>
      </c>
      <c r="H1323" s="2" t="n">
        <v>1</v>
      </c>
      <c r="I1323" s="2" t="n">
        <v>0</v>
      </c>
      <c r="J1323" s="2" t="n">
        <v>0</v>
      </c>
      <c r="K1323" s="2"/>
      <c r="L1323" s="2"/>
      <c r="M1323" s="2"/>
      <c r="N1323" s="7" t="n">
        <v>1</v>
      </c>
      <c r="O1323" s="7" t="n">
        <v>1</v>
      </c>
      <c r="P1323" s="7" t="n">
        <v>0</v>
      </c>
      <c r="Q1323" s="2"/>
      <c r="R1323" s="7" t="n">
        <v>2.370885</v>
      </c>
      <c r="S1323" s="5" t="s">
        <v>82</v>
      </c>
      <c r="T1323" s="5" t="s">
        <v>61</v>
      </c>
    </row>
    <row r="1324" customFormat="false" ht="15" hidden="false" customHeight="false" outlineLevel="0" collapsed="false">
      <c r="A1324" s="5" t="s">
        <v>4</v>
      </c>
      <c r="B1324" s="5" t="s">
        <v>55</v>
      </c>
      <c r="C1324" s="2" t="s">
        <v>56</v>
      </c>
      <c r="D1324" s="5" t="s">
        <v>81</v>
      </c>
      <c r="E1324" s="5" t="s">
        <v>58</v>
      </c>
      <c r="F1324" s="2" t="n">
        <v>13</v>
      </c>
      <c r="G1324" s="5" t="s">
        <v>70</v>
      </c>
      <c r="H1324" s="2" t="n">
        <v>0</v>
      </c>
      <c r="I1324" s="2" t="n">
        <v>1</v>
      </c>
      <c r="J1324" s="2" t="n">
        <v>1</v>
      </c>
      <c r="K1324" s="7" t="n">
        <v>0.35096339</v>
      </c>
      <c r="L1324" s="7" t="n">
        <v>0.008361726814</v>
      </c>
      <c r="M1324" s="7" t="n">
        <v>0.02274873964</v>
      </c>
      <c r="N1324" s="7" t="n">
        <v>3</v>
      </c>
      <c r="O1324" s="7" t="n">
        <v>3</v>
      </c>
      <c r="P1324" s="7" t="n">
        <v>0</v>
      </c>
      <c r="Q1324" s="2"/>
      <c r="R1324" s="7" t="n">
        <v>2.359857</v>
      </c>
      <c r="S1324" s="5" t="s">
        <v>82</v>
      </c>
      <c r="T1324" s="5" t="s">
        <v>61</v>
      </c>
    </row>
    <row r="1325" customFormat="false" ht="15" hidden="false" customHeight="false" outlineLevel="0" collapsed="false">
      <c r="A1325" s="5" t="s">
        <v>4</v>
      </c>
      <c r="B1325" s="5" t="s">
        <v>55</v>
      </c>
      <c r="C1325" s="2" t="s">
        <v>56</v>
      </c>
      <c r="D1325" s="5" t="s">
        <v>81</v>
      </c>
      <c r="E1325" s="5" t="s">
        <v>62</v>
      </c>
      <c r="F1325" s="2" t="n">
        <v>13</v>
      </c>
      <c r="G1325" s="5" t="s">
        <v>70</v>
      </c>
      <c r="H1325" s="2" t="n">
        <v>0</v>
      </c>
      <c r="I1325" s="2" t="n">
        <v>1</v>
      </c>
      <c r="J1325" s="2" t="n">
        <v>1</v>
      </c>
      <c r="K1325" s="7" t="n">
        <v>0.35096339</v>
      </c>
      <c r="L1325" s="7" t="n">
        <v>0.008361726814</v>
      </c>
      <c r="M1325" s="7" t="n">
        <v>0.02274873964</v>
      </c>
      <c r="N1325" s="7" t="n">
        <v>3</v>
      </c>
      <c r="O1325" s="7" t="n">
        <v>3</v>
      </c>
      <c r="P1325" s="7" t="n">
        <v>3</v>
      </c>
      <c r="Q1325" s="2"/>
      <c r="R1325" s="7" t="n">
        <v>2.535247</v>
      </c>
      <c r="S1325" s="5" t="s">
        <v>82</v>
      </c>
      <c r="T1325" s="5" t="s">
        <v>61</v>
      </c>
    </row>
    <row r="1326" customFormat="false" ht="15" hidden="false" customHeight="false" outlineLevel="0" collapsed="false">
      <c r="A1326" s="5" t="s">
        <v>4</v>
      </c>
      <c r="B1326" s="5" t="s">
        <v>55</v>
      </c>
      <c r="C1326" s="2" t="s">
        <v>56</v>
      </c>
      <c r="D1326" s="5" t="s">
        <v>81</v>
      </c>
      <c r="E1326" s="5" t="s">
        <v>58</v>
      </c>
      <c r="F1326" s="2" t="n">
        <v>14</v>
      </c>
      <c r="G1326" s="5" t="s">
        <v>67</v>
      </c>
      <c r="H1326" s="2" t="n">
        <v>1</v>
      </c>
      <c r="I1326" s="2" t="n">
        <v>1</v>
      </c>
      <c r="J1326" s="2" t="n">
        <v>0</v>
      </c>
      <c r="K1326" s="7" t="n">
        <v>2.223104983</v>
      </c>
      <c r="L1326" s="7" t="n">
        <v>0.0796016286</v>
      </c>
      <c r="M1326" s="7" t="n">
        <v>0.1488852093</v>
      </c>
      <c r="N1326" s="7" t="n">
        <v>11</v>
      </c>
      <c r="O1326" s="7" t="n">
        <v>11</v>
      </c>
      <c r="P1326" s="7" t="n">
        <v>0</v>
      </c>
      <c r="Q1326" s="2"/>
      <c r="R1326" s="7" t="n">
        <v>1.451625</v>
      </c>
      <c r="S1326" s="5" t="s">
        <v>82</v>
      </c>
      <c r="T1326" s="5" t="s">
        <v>61</v>
      </c>
    </row>
    <row r="1327" customFormat="false" ht="15" hidden="false" customHeight="false" outlineLevel="0" collapsed="false">
      <c r="A1327" s="5" t="s">
        <v>4</v>
      </c>
      <c r="B1327" s="5" t="s">
        <v>55</v>
      </c>
      <c r="C1327" s="2" t="s">
        <v>56</v>
      </c>
      <c r="D1327" s="5" t="s">
        <v>81</v>
      </c>
      <c r="E1327" s="5" t="s">
        <v>62</v>
      </c>
      <c r="F1327" s="2" t="n">
        <v>14</v>
      </c>
      <c r="G1327" s="5" t="s">
        <v>67</v>
      </c>
      <c r="H1327" s="2" t="n">
        <v>1</v>
      </c>
      <c r="I1327" s="2" t="n">
        <v>1</v>
      </c>
      <c r="J1327" s="2" t="n">
        <v>1</v>
      </c>
      <c r="K1327" s="7" t="n">
        <v>0.3220782412</v>
      </c>
      <c r="L1327" s="7" t="n">
        <v>0.01002860724</v>
      </c>
      <c r="M1327" s="7" t="n">
        <v>0.02185162959</v>
      </c>
      <c r="N1327" s="7" t="n">
        <v>11</v>
      </c>
      <c r="O1327" s="7" t="n">
        <v>11</v>
      </c>
      <c r="P1327" s="7" t="n">
        <v>10</v>
      </c>
      <c r="Q1327" s="2"/>
      <c r="R1327" s="7" t="n">
        <v>2.072353</v>
      </c>
      <c r="S1327" s="5" t="s">
        <v>82</v>
      </c>
      <c r="T1327" s="5" t="s">
        <v>61</v>
      </c>
    </row>
    <row r="1328" customFormat="false" ht="15" hidden="false" customHeight="false" outlineLevel="0" collapsed="false">
      <c r="A1328" s="5" t="s">
        <v>4</v>
      </c>
      <c r="B1328" s="5" t="s">
        <v>55</v>
      </c>
      <c r="C1328" s="2" t="s">
        <v>56</v>
      </c>
      <c r="D1328" s="5" t="s">
        <v>81</v>
      </c>
      <c r="E1328" s="5" t="s">
        <v>58</v>
      </c>
      <c r="F1328" s="2" t="n">
        <v>14</v>
      </c>
      <c r="G1328" s="5" t="s">
        <v>68</v>
      </c>
      <c r="H1328" s="2" t="n">
        <v>1</v>
      </c>
      <c r="I1328" s="2" t="n">
        <v>1</v>
      </c>
      <c r="J1328" s="2" t="n">
        <v>1</v>
      </c>
      <c r="K1328" s="7" t="n">
        <v>0.83009178</v>
      </c>
      <c r="L1328" s="7" t="n">
        <v>0.07213296178</v>
      </c>
      <c r="M1328" s="7" t="n">
        <v>0.0923421712</v>
      </c>
      <c r="N1328" s="7" t="n">
        <v>8</v>
      </c>
      <c r="O1328" s="7" t="n">
        <v>8</v>
      </c>
      <c r="P1328" s="7" t="n">
        <v>0</v>
      </c>
      <c r="Q1328" s="2"/>
      <c r="R1328" s="7" t="n">
        <v>1.537893</v>
      </c>
      <c r="S1328" s="5" t="s">
        <v>82</v>
      </c>
      <c r="T1328" s="5" t="s">
        <v>61</v>
      </c>
    </row>
    <row r="1329" customFormat="false" ht="15" hidden="false" customHeight="false" outlineLevel="0" collapsed="false">
      <c r="A1329" s="5" t="s">
        <v>4</v>
      </c>
      <c r="B1329" s="5" t="s">
        <v>55</v>
      </c>
      <c r="C1329" s="2" t="s">
        <v>56</v>
      </c>
      <c r="D1329" s="5" t="s">
        <v>81</v>
      </c>
      <c r="E1329" s="5" t="s">
        <v>62</v>
      </c>
      <c r="F1329" s="2" t="n">
        <v>14</v>
      </c>
      <c r="G1329" s="5" t="s">
        <v>68</v>
      </c>
      <c r="H1329" s="2" t="n">
        <v>1</v>
      </c>
      <c r="I1329" s="2" t="n">
        <v>1</v>
      </c>
      <c r="J1329" s="2" t="n">
        <v>1</v>
      </c>
      <c r="K1329" s="7" t="n">
        <v>0.83009178</v>
      </c>
      <c r="L1329" s="7" t="n">
        <v>0.07213296178</v>
      </c>
      <c r="M1329" s="7" t="n">
        <v>0.0923421712</v>
      </c>
      <c r="N1329" s="7" t="n">
        <v>8</v>
      </c>
      <c r="O1329" s="7" t="n">
        <v>8</v>
      </c>
      <c r="P1329" s="7" t="n">
        <v>8</v>
      </c>
      <c r="Q1329" s="2"/>
      <c r="R1329" s="7" t="n">
        <v>2.047005</v>
      </c>
      <c r="S1329" s="5" t="s">
        <v>82</v>
      </c>
      <c r="T1329" s="5" t="s">
        <v>61</v>
      </c>
    </row>
    <row r="1330" customFormat="false" ht="15" hidden="false" customHeight="false" outlineLevel="0" collapsed="false">
      <c r="A1330" s="5" t="s">
        <v>4</v>
      </c>
      <c r="B1330" s="5" t="s">
        <v>55</v>
      </c>
      <c r="C1330" s="2" t="s">
        <v>56</v>
      </c>
      <c r="D1330" s="5" t="s">
        <v>81</v>
      </c>
      <c r="E1330" s="5" t="s">
        <v>58</v>
      </c>
      <c r="F1330" s="2" t="n">
        <v>14</v>
      </c>
      <c r="G1330" s="5" t="s">
        <v>69</v>
      </c>
      <c r="H1330" s="2" t="n">
        <v>1</v>
      </c>
      <c r="I1330" s="2" t="n">
        <v>0</v>
      </c>
      <c r="J1330" s="2" t="n">
        <v>0</v>
      </c>
      <c r="K1330" s="2"/>
      <c r="L1330" s="2"/>
      <c r="M1330" s="2"/>
      <c r="N1330" s="7" t="n">
        <v>2</v>
      </c>
      <c r="O1330" s="7" t="n">
        <v>2</v>
      </c>
      <c r="P1330" s="7" t="n">
        <v>0</v>
      </c>
      <c r="Q1330" s="2"/>
      <c r="R1330" s="7" t="n">
        <v>2.437953</v>
      </c>
      <c r="S1330" s="5" t="s">
        <v>82</v>
      </c>
      <c r="T1330" s="5" t="s">
        <v>61</v>
      </c>
    </row>
    <row r="1331" customFormat="false" ht="15" hidden="false" customHeight="false" outlineLevel="0" collapsed="false">
      <c r="A1331" s="5" t="s">
        <v>4</v>
      </c>
      <c r="B1331" s="5" t="s">
        <v>55</v>
      </c>
      <c r="C1331" s="2" t="s">
        <v>56</v>
      </c>
      <c r="D1331" s="5" t="s">
        <v>81</v>
      </c>
      <c r="E1331" s="5" t="s">
        <v>62</v>
      </c>
      <c r="F1331" s="2" t="n">
        <v>14</v>
      </c>
      <c r="G1331" s="5" t="s">
        <v>69</v>
      </c>
      <c r="H1331" s="2" t="n">
        <v>1</v>
      </c>
      <c r="I1331" s="2" t="n">
        <v>0</v>
      </c>
      <c r="J1331" s="2" t="n">
        <v>0</v>
      </c>
      <c r="K1331" s="2"/>
      <c r="L1331" s="2"/>
      <c r="M1331" s="2"/>
      <c r="N1331" s="7" t="n">
        <v>2</v>
      </c>
      <c r="O1331" s="7" t="n">
        <v>2</v>
      </c>
      <c r="P1331" s="7" t="n">
        <v>0</v>
      </c>
      <c r="Q1331" s="2"/>
      <c r="R1331" s="7" t="n">
        <v>2.437833</v>
      </c>
      <c r="S1331" s="5" t="s">
        <v>82</v>
      </c>
      <c r="T1331" s="5" t="s">
        <v>61</v>
      </c>
    </row>
    <row r="1332" customFormat="false" ht="15" hidden="false" customHeight="false" outlineLevel="0" collapsed="false">
      <c r="A1332" s="5" t="s">
        <v>4</v>
      </c>
      <c r="B1332" s="5" t="s">
        <v>55</v>
      </c>
      <c r="C1332" s="2" t="s">
        <v>56</v>
      </c>
      <c r="D1332" s="5" t="s">
        <v>81</v>
      </c>
      <c r="E1332" s="5" t="s">
        <v>58</v>
      </c>
      <c r="F1332" s="2" t="n">
        <v>14</v>
      </c>
      <c r="G1332" s="5" t="s">
        <v>70</v>
      </c>
      <c r="H1332" s="2" t="n">
        <v>0</v>
      </c>
      <c r="I1332" s="2" t="n">
        <v>0</v>
      </c>
      <c r="J1332" s="2" t="n">
        <v>0</v>
      </c>
      <c r="K1332" s="2"/>
      <c r="L1332" s="2"/>
      <c r="M1332" s="2"/>
      <c r="N1332" s="7" t="n">
        <v>1</v>
      </c>
      <c r="O1332" s="7" t="n">
        <v>1</v>
      </c>
      <c r="P1332" s="7" t="n">
        <v>0</v>
      </c>
      <c r="Q1332" s="2"/>
      <c r="R1332" s="7" t="n">
        <v>2.427458</v>
      </c>
      <c r="S1332" s="5" t="s">
        <v>82</v>
      </c>
      <c r="T1332" s="5" t="s">
        <v>61</v>
      </c>
    </row>
    <row r="1333" customFormat="false" ht="15" hidden="false" customHeight="false" outlineLevel="0" collapsed="false">
      <c r="A1333" s="5" t="s">
        <v>4</v>
      </c>
      <c r="B1333" s="5" t="s">
        <v>55</v>
      </c>
      <c r="C1333" s="2" t="s">
        <v>56</v>
      </c>
      <c r="D1333" s="5" t="s">
        <v>81</v>
      </c>
      <c r="E1333" s="5" t="s">
        <v>62</v>
      </c>
      <c r="F1333" s="2" t="n">
        <v>14</v>
      </c>
      <c r="G1333" s="5" t="s">
        <v>70</v>
      </c>
      <c r="H1333" s="2" t="n">
        <v>0</v>
      </c>
      <c r="I1333" s="2" t="n">
        <v>0</v>
      </c>
      <c r="J1333" s="2" t="n">
        <v>0</v>
      </c>
      <c r="K1333" s="2"/>
      <c r="L1333" s="2"/>
      <c r="M1333" s="2"/>
      <c r="N1333" s="7" t="n">
        <v>1</v>
      </c>
      <c r="O1333" s="7" t="n">
        <v>1</v>
      </c>
      <c r="P1333" s="7" t="n">
        <v>0</v>
      </c>
      <c r="Q1333" s="2"/>
      <c r="R1333" s="7" t="n">
        <v>2.427307</v>
      </c>
      <c r="S1333" s="5" t="s">
        <v>82</v>
      </c>
      <c r="T1333" s="5" t="s">
        <v>61</v>
      </c>
    </row>
    <row r="1334" customFormat="false" ht="15" hidden="false" customHeight="false" outlineLevel="0" collapsed="false">
      <c r="A1334" s="5" t="s">
        <v>4</v>
      </c>
      <c r="B1334" s="5" t="s">
        <v>55</v>
      </c>
      <c r="C1334" s="2" t="s">
        <v>56</v>
      </c>
      <c r="D1334" s="5" t="s">
        <v>81</v>
      </c>
      <c r="E1334" s="5" t="s">
        <v>58</v>
      </c>
      <c r="F1334" s="2" t="n">
        <v>15</v>
      </c>
      <c r="G1334" s="5" t="s">
        <v>67</v>
      </c>
      <c r="H1334" s="2" t="n">
        <v>1</v>
      </c>
      <c r="I1334" s="2" t="n">
        <v>1</v>
      </c>
      <c r="J1334" s="2" t="n">
        <v>1</v>
      </c>
      <c r="K1334" s="7" t="n">
        <v>0.2086029742</v>
      </c>
      <c r="L1334" s="7" t="n">
        <v>0.03015941435</v>
      </c>
      <c r="M1334" s="7" t="n">
        <v>0.03476510195</v>
      </c>
      <c r="N1334" s="7" t="n">
        <v>14</v>
      </c>
      <c r="O1334" s="7" t="n">
        <v>14</v>
      </c>
      <c r="P1334" s="7" t="n">
        <v>0</v>
      </c>
      <c r="Q1334" s="2"/>
      <c r="R1334" s="7" t="n">
        <v>1.583231</v>
      </c>
      <c r="S1334" s="5" t="s">
        <v>82</v>
      </c>
      <c r="T1334" s="5" t="s">
        <v>61</v>
      </c>
    </row>
    <row r="1335" customFormat="false" ht="15" hidden="false" customHeight="false" outlineLevel="0" collapsed="false">
      <c r="A1335" s="5" t="s">
        <v>4</v>
      </c>
      <c r="B1335" s="5" t="s">
        <v>55</v>
      </c>
      <c r="C1335" s="2" t="s">
        <v>56</v>
      </c>
      <c r="D1335" s="5" t="s">
        <v>81</v>
      </c>
      <c r="E1335" s="5" t="s">
        <v>62</v>
      </c>
      <c r="F1335" s="2" t="n">
        <v>15</v>
      </c>
      <c r="G1335" s="5" t="s">
        <v>67</v>
      </c>
      <c r="H1335" s="2" t="n">
        <v>1</v>
      </c>
      <c r="I1335" s="2" t="n">
        <v>1</v>
      </c>
      <c r="J1335" s="2" t="n">
        <v>1</v>
      </c>
      <c r="K1335" s="7" t="n">
        <v>0.2086029742</v>
      </c>
      <c r="L1335" s="7" t="n">
        <v>0.03015941435</v>
      </c>
      <c r="M1335" s="7" t="n">
        <v>0.03476510195</v>
      </c>
      <c r="N1335" s="7" t="n">
        <v>14</v>
      </c>
      <c r="O1335" s="7" t="n">
        <v>14</v>
      </c>
      <c r="P1335" s="7" t="n">
        <v>14</v>
      </c>
      <c r="Q1335" s="2"/>
      <c r="R1335" s="7" t="n">
        <v>2.288974</v>
      </c>
      <c r="S1335" s="5" t="s">
        <v>82</v>
      </c>
      <c r="T1335" s="5" t="s">
        <v>61</v>
      </c>
    </row>
    <row r="1336" customFormat="false" ht="15" hidden="false" customHeight="false" outlineLevel="0" collapsed="false">
      <c r="A1336" s="5" t="s">
        <v>4</v>
      </c>
      <c r="B1336" s="5" t="s">
        <v>55</v>
      </c>
      <c r="C1336" s="2" t="s">
        <v>56</v>
      </c>
      <c r="D1336" s="5" t="s">
        <v>81</v>
      </c>
      <c r="E1336" s="5" t="s">
        <v>58</v>
      </c>
      <c r="F1336" s="2" t="n">
        <v>15</v>
      </c>
      <c r="G1336" s="5" t="s">
        <v>68</v>
      </c>
      <c r="H1336" s="2" t="n">
        <v>1</v>
      </c>
      <c r="I1336" s="2" t="n">
        <v>1</v>
      </c>
      <c r="J1336" s="2" t="n">
        <v>1</v>
      </c>
      <c r="K1336" s="7" t="n">
        <v>0.4816454916</v>
      </c>
      <c r="L1336" s="7" t="n">
        <v>0.01676601178</v>
      </c>
      <c r="M1336" s="7" t="n">
        <v>0.03737210203</v>
      </c>
      <c r="N1336" s="7" t="n">
        <v>10</v>
      </c>
      <c r="O1336" s="7" t="n">
        <v>10</v>
      </c>
      <c r="P1336" s="7" t="n">
        <v>0</v>
      </c>
      <c r="Q1336" s="2"/>
      <c r="R1336" s="7" t="n">
        <v>1.5019</v>
      </c>
      <c r="S1336" s="5" t="s">
        <v>82</v>
      </c>
      <c r="T1336" s="5" t="s">
        <v>61</v>
      </c>
    </row>
    <row r="1337" customFormat="false" ht="15" hidden="false" customHeight="false" outlineLevel="0" collapsed="false">
      <c r="A1337" s="5" t="s">
        <v>4</v>
      </c>
      <c r="B1337" s="5" t="s">
        <v>55</v>
      </c>
      <c r="C1337" s="2" t="s">
        <v>56</v>
      </c>
      <c r="D1337" s="5" t="s">
        <v>81</v>
      </c>
      <c r="E1337" s="5" t="s">
        <v>62</v>
      </c>
      <c r="F1337" s="2" t="n">
        <v>15</v>
      </c>
      <c r="G1337" s="5" t="s">
        <v>68</v>
      </c>
      <c r="H1337" s="2" t="n">
        <v>1</v>
      </c>
      <c r="I1337" s="2" t="n">
        <v>1</v>
      </c>
      <c r="J1337" s="2" t="n">
        <v>1</v>
      </c>
      <c r="K1337" s="7" t="n">
        <v>0.4816454916</v>
      </c>
      <c r="L1337" s="7" t="n">
        <v>0.01676601178</v>
      </c>
      <c r="M1337" s="7" t="n">
        <v>0.03737210203</v>
      </c>
      <c r="N1337" s="7" t="n">
        <v>10</v>
      </c>
      <c r="O1337" s="7" t="n">
        <v>10</v>
      </c>
      <c r="P1337" s="7" t="n">
        <v>10</v>
      </c>
      <c r="Q1337" s="2"/>
      <c r="R1337" s="7" t="n">
        <v>2.028538</v>
      </c>
      <c r="S1337" s="5" t="s">
        <v>82</v>
      </c>
      <c r="T1337" s="5" t="s">
        <v>61</v>
      </c>
    </row>
    <row r="1338" customFormat="false" ht="15" hidden="false" customHeight="false" outlineLevel="0" collapsed="false">
      <c r="A1338" s="5" t="s">
        <v>4</v>
      </c>
      <c r="B1338" s="5" t="s">
        <v>55</v>
      </c>
      <c r="C1338" s="2" t="s">
        <v>56</v>
      </c>
      <c r="D1338" s="5" t="s">
        <v>81</v>
      </c>
      <c r="E1338" s="5" t="s">
        <v>58</v>
      </c>
      <c r="F1338" s="2" t="n">
        <v>15</v>
      </c>
      <c r="G1338" s="5" t="s">
        <v>69</v>
      </c>
      <c r="H1338" s="2" t="n">
        <v>1</v>
      </c>
      <c r="I1338" s="2" t="n">
        <v>1</v>
      </c>
      <c r="J1338" s="2" t="n">
        <v>1</v>
      </c>
      <c r="K1338" s="7" t="n">
        <v>0.5695655391</v>
      </c>
      <c r="L1338" s="7" t="n">
        <v>0.02385119018</v>
      </c>
      <c r="M1338" s="7" t="n">
        <v>0.04712928052</v>
      </c>
      <c r="N1338" s="7" t="n">
        <v>3</v>
      </c>
      <c r="O1338" s="7" t="n">
        <v>3</v>
      </c>
      <c r="P1338" s="7" t="n">
        <v>0</v>
      </c>
      <c r="Q1338" s="2"/>
      <c r="R1338" s="7" t="n">
        <v>2.444434</v>
      </c>
      <c r="S1338" s="5" t="s">
        <v>82</v>
      </c>
      <c r="T1338" s="5" t="s">
        <v>61</v>
      </c>
    </row>
    <row r="1339" customFormat="false" ht="15" hidden="false" customHeight="false" outlineLevel="0" collapsed="false">
      <c r="A1339" s="5" t="s">
        <v>4</v>
      </c>
      <c r="B1339" s="5" t="s">
        <v>55</v>
      </c>
      <c r="C1339" s="2" t="s">
        <v>56</v>
      </c>
      <c r="D1339" s="5" t="s">
        <v>81</v>
      </c>
      <c r="E1339" s="5" t="s">
        <v>62</v>
      </c>
      <c r="F1339" s="2" t="n">
        <v>15</v>
      </c>
      <c r="G1339" s="5" t="s">
        <v>69</v>
      </c>
      <c r="H1339" s="2" t="n">
        <v>1</v>
      </c>
      <c r="I1339" s="2" t="n">
        <v>1</v>
      </c>
      <c r="J1339" s="2" t="n">
        <v>1</v>
      </c>
      <c r="K1339" s="7" t="n">
        <v>0.5695655391</v>
      </c>
      <c r="L1339" s="7" t="n">
        <v>0.02385119018</v>
      </c>
      <c r="M1339" s="7" t="n">
        <v>0.04712928052</v>
      </c>
      <c r="N1339" s="7" t="n">
        <v>3</v>
      </c>
      <c r="O1339" s="7" t="n">
        <v>3</v>
      </c>
      <c r="P1339" s="7" t="n">
        <v>3</v>
      </c>
      <c r="Q1339" s="2"/>
      <c r="R1339" s="7" t="n">
        <v>2.610148</v>
      </c>
      <c r="S1339" s="5" t="s">
        <v>82</v>
      </c>
      <c r="T1339" s="5" t="s">
        <v>61</v>
      </c>
    </row>
    <row r="1340" customFormat="false" ht="15" hidden="false" customHeight="false" outlineLevel="0" collapsed="false">
      <c r="A1340" s="5" t="s">
        <v>4</v>
      </c>
      <c r="B1340" s="5" t="s">
        <v>55</v>
      </c>
      <c r="C1340" s="2" t="s">
        <v>56</v>
      </c>
      <c r="D1340" s="5" t="s">
        <v>81</v>
      </c>
      <c r="E1340" s="5" t="s">
        <v>58</v>
      </c>
      <c r="F1340" s="2" t="n">
        <v>15</v>
      </c>
      <c r="G1340" s="5" t="s">
        <v>70</v>
      </c>
      <c r="H1340" s="2" t="n">
        <v>0</v>
      </c>
      <c r="I1340" s="2" t="n">
        <v>1</v>
      </c>
      <c r="J1340" s="2" t="n">
        <v>1</v>
      </c>
      <c r="K1340" s="7" t="n">
        <v>0.3579971222</v>
      </c>
      <c r="L1340" s="7" t="n">
        <v>0.01215077069</v>
      </c>
      <c r="M1340" s="7" t="n">
        <v>0.02530227214</v>
      </c>
      <c r="N1340" s="7" t="n">
        <v>9</v>
      </c>
      <c r="O1340" s="7" t="n">
        <v>9</v>
      </c>
      <c r="P1340" s="7" t="n">
        <v>0</v>
      </c>
      <c r="Q1340" s="2"/>
      <c r="R1340" s="7" t="n">
        <v>2.674062</v>
      </c>
      <c r="S1340" s="5" t="s">
        <v>82</v>
      </c>
      <c r="T1340" s="5" t="s">
        <v>61</v>
      </c>
    </row>
    <row r="1341" customFormat="false" ht="15" hidden="false" customHeight="false" outlineLevel="0" collapsed="false">
      <c r="A1341" s="5" t="s">
        <v>4</v>
      </c>
      <c r="B1341" s="5" t="s">
        <v>55</v>
      </c>
      <c r="C1341" s="2" t="s">
        <v>56</v>
      </c>
      <c r="D1341" s="5" t="s">
        <v>81</v>
      </c>
      <c r="E1341" s="5" t="s">
        <v>62</v>
      </c>
      <c r="F1341" s="2" t="n">
        <v>15</v>
      </c>
      <c r="G1341" s="5" t="s">
        <v>70</v>
      </c>
      <c r="H1341" s="2" t="n">
        <v>0</v>
      </c>
      <c r="I1341" s="2" t="n">
        <v>1</v>
      </c>
      <c r="J1341" s="2" t="n">
        <v>1</v>
      </c>
      <c r="K1341" s="7" t="n">
        <v>1.106648955</v>
      </c>
      <c r="L1341" s="7" t="n">
        <v>0.07927081449</v>
      </c>
      <c r="M1341" s="7" t="n">
        <v>0.1074228475</v>
      </c>
      <c r="N1341" s="7" t="n">
        <v>9</v>
      </c>
      <c r="O1341" s="7" t="n">
        <v>9</v>
      </c>
      <c r="P1341" s="7" t="n">
        <v>8</v>
      </c>
      <c r="Q1341" s="2"/>
      <c r="R1341" s="7" t="n">
        <v>3.235452</v>
      </c>
      <c r="S1341" s="5" t="s">
        <v>82</v>
      </c>
      <c r="T1341" s="5" t="s">
        <v>61</v>
      </c>
    </row>
    <row r="1342" customFormat="false" ht="15" hidden="false" customHeight="false" outlineLevel="0" collapsed="false">
      <c r="A1342" s="5" t="s">
        <v>4</v>
      </c>
      <c r="B1342" s="5" t="s">
        <v>55</v>
      </c>
      <c r="C1342" s="2" t="s">
        <v>56</v>
      </c>
      <c r="D1342" s="5" t="s">
        <v>81</v>
      </c>
      <c r="E1342" s="5" t="s">
        <v>58</v>
      </c>
      <c r="F1342" s="2" t="n">
        <v>16</v>
      </c>
      <c r="G1342" s="5" t="s">
        <v>67</v>
      </c>
      <c r="H1342" s="2" t="n">
        <v>1</v>
      </c>
      <c r="I1342" s="2" t="n">
        <v>1</v>
      </c>
      <c r="J1342" s="2" t="n">
        <v>1</v>
      </c>
      <c r="K1342" s="7" t="n">
        <v>0.6131589716</v>
      </c>
      <c r="L1342" s="7" t="n">
        <v>0.05786645199</v>
      </c>
      <c r="M1342" s="7" t="n">
        <v>0.06962178398</v>
      </c>
      <c r="N1342" s="7" t="n">
        <v>11</v>
      </c>
      <c r="O1342" s="7" t="n">
        <v>11</v>
      </c>
      <c r="P1342" s="7" t="n">
        <v>0</v>
      </c>
      <c r="Q1342" s="2"/>
      <c r="R1342" s="7" t="n">
        <v>1.365418</v>
      </c>
      <c r="S1342" s="5" t="s">
        <v>82</v>
      </c>
      <c r="T1342" s="5" t="s">
        <v>61</v>
      </c>
    </row>
    <row r="1343" customFormat="false" ht="15" hidden="false" customHeight="false" outlineLevel="0" collapsed="false">
      <c r="A1343" s="5" t="s">
        <v>4</v>
      </c>
      <c r="B1343" s="5" t="s">
        <v>55</v>
      </c>
      <c r="C1343" s="2" t="s">
        <v>56</v>
      </c>
      <c r="D1343" s="5" t="s">
        <v>81</v>
      </c>
      <c r="E1343" s="5" t="s">
        <v>62</v>
      </c>
      <c r="F1343" s="2" t="n">
        <v>16</v>
      </c>
      <c r="G1343" s="5" t="s">
        <v>67</v>
      </c>
      <c r="H1343" s="2" t="n">
        <v>1</v>
      </c>
      <c r="I1343" s="2" t="n">
        <v>1</v>
      </c>
      <c r="J1343" s="2" t="n">
        <v>1</v>
      </c>
      <c r="K1343" s="7" t="n">
        <v>0.6131589716</v>
      </c>
      <c r="L1343" s="7" t="n">
        <v>0.05786645199</v>
      </c>
      <c r="M1343" s="7" t="n">
        <v>0.06962178398</v>
      </c>
      <c r="N1343" s="7" t="n">
        <v>11</v>
      </c>
      <c r="O1343" s="7" t="n">
        <v>11</v>
      </c>
      <c r="P1343" s="7" t="n">
        <v>11</v>
      </c>
      <c r="Q1343" s="2"/>
      <c r="R1343" s="7" t="n">
        <v>1.949612</v>
      </c>
      <c r="S1343" s="5" t="s">
        <v>82</v>
      </c>
      <c r="T1343" s="5" t="s">
        <v>61</v>
      </c>
    </row>
    <row r="1344" customFormat="false" ht="15" hidden="false" customHeight="false" outlineLevel="0" collapsed="false">
      <c r="A1344" s="5" t="s">
        <v>4</v>
      </c>
      <c r="B1344" s="5" t="s">
        <v>55</v>
      </c>
      <c r="C1344" s="2" t="s">
        <v>56</v>
      </c>
      <c r="D1344" s="5" t="s">
        <v>81</v>
      </c>
      <c r="E1344" s="5" t="s">
        <v>58</v>
      </c>
      <c r="F1344" s="2" t="n">
        <v>16</v>
      </c>
      <c r="G1344" s="5" t="s">
        <v>68</v>
      </c>
      <c r="H1344" s="2" t="n">
        <v>1</v>
      </c>
      <c r="I1344" s="2" t="n">
        <v>1</v>
      </c>
      <c r="J1344" s="2" t="n">
        <v>1</v>
      </c>
      <c r="K1344" s="7" t="n">
        <v>1.203706056</v>
      </c>
      <c r="L1344" s="7" t="n">
        <v>0.03416479127</v>
      </c>
      <c r="M1344" s="7" t="n">
        <v>0.09143143304</v>
      </c>
      <c r="N1344" s="7" t="n">
        <v>3</v>
      </c>
      <c r="O1344" s="7" t="n">
        <v>3</v>
      </c>
      <c r="P1344" s="7" t="n">
        <v>0</v>
      </c>
      <c r="Q1344" s="2"/>
      <c r="R1344" s="7" t="n">
        <v>1.424365</v>
      </c>
      <c r="S1344" s="5" t="s">
        <v>82</v>
      </c>
      <c r="T1344" s="5" t="s">
        <v>61</v>
      </c>
    </row>
    <row r="1345" customFormat="false" ht="15" hidden="false" customHeight="false" outlineLevel="0" collapsed="false">
      <c r="A1345" s="5" t="s">
        <v>4</v>
      </c>
      <c r="B1345" s="5" t="s">
        <v>55</v>
      </c>
      <c r="C1345" s="2" t="s">
        <v>56</v>
      </c>
      <c r="D1345" s="5" t="s">
        <v>81</v>
      </c>
      <c r="E1345" s="5" t="s">
        <v>62</v>
      </c>
      <c r="F1345" s="2" t="n">
        <v>16</v>
      </c>
      <c r="G1345" s="5" t="s">
        <v>68</v>
      </c>
      <c r="H1345" s="2" t="n">
        <v>1</v>
      </c>
      <c r="I1345" s="2" t="n">
        <v>1</v>
      </c>
      <c r="J1345" s="2" t="n">
        <v>1</v>
      </c>
      <c r="K1345" s="7" t="n">
        <v>1.203706056</v>
      </c>
      <c r="L1345" s="7" t="n">
        <v>0.03416479127</v>
      </c>
      <c r="M1345" s="7" t="n">
        <v>0.09143143304</v>
      </c>
      <c r="N1345" s="7" t="n">
        <v>3</v>
      </c>
      <c r="O1345" s="7" t="n">
        <v>3</v>
      </c>
      <c r="P1345" s="7" t="n">
        <v>3</v>
      </c>
      <c r="Q1345" s="2"/>
      <c r="R1345" s="7" t="n">
        <v>1.600385</v>
      </c>
      <c r="S1345" s="5" t="s">
        <v>82</v>
      </c>
      <c r="T1345" s="5" t="s">
        <v>61</v>
      </c>
    </row>
    <row r="1346" customFormat="false" ht="15" hidden="false" customHeight="false" outlineLevel="0" collapsed="false">
      <c r="A1346" s="5" t="s">
        <v>4</v>
      </c>
      <c r="B1346" s="5" t="s">
        <v>55</v>
      </c>
      <c r="C1346" s="2" t="s">
        <v>56</v>
      </c>
      <c r="D1346" s="5" t="s">
        <v>81</v>
      </c>
      <c r="E1346" s="5" t="s">
        <v>58</v>
      </c>
      <c r="F1346" s="2" t="n">
        <v>16</v>
      </c>
      <c r="G1346" s="5" t="s">
        <v>69</v>
      </c>
      <c r="H1346" s="2" t="n">
        <v>1</v>
      </c>
      <c r="I1346" s="2" t="n">
        <v>1</v>
      </c>
      <c r="J1346" s="2" t="n">
        <v>1</v>
      </c>
      <c r="K1346" s="7" t="n">
        <v>0.1341304009</v>
      </c>
      <c r="L1346" s="7" t="n">
        <v>0.04317608355</v>
      </c>
      <c r="M1346" s="7" t="n">
        <v>0.04406080477</v>
      </c>
      <c r="N1346" s="7" t="n">
        <v>14</v>
      </c>
      <c r="O1346" s="7" t="n">
        <v>14</v>
      </c>
      <c r="P1346" s="7" t="n">
        <v>0</v>
      </c>
      <c r="Q1346" s="2"/>
      <c r="R1346" s="7" t="n">
        <v>4.927763</v>
      </c>
      <c r="S1346" s="5" t="s">
        <v>82</v>
      </c>
      <c r="T1346" s="5" t="s">
        <v>61</v>
      </c>
    </row>
    <row r="1347" customFormat="false" ht="15" hidden="false" customHeight="false" outlineLevel="0" collapsed="false">
      <c r="A1347" s="5" t="s">
        <v>4</v>
      </c>
      <c r="B1347" s="5" t="s">
        <v>55</v>
      </c>
      <c r="C1347" s="2" t="s">
        <v>56</v>
      </c>
      <c r="D1347" s="5" t="s">
        <v>81</v>
      </c>
      <c r="E1347" s="5" t="s">
        <v>62</v>
      </c>
      <c r="F1347" s="2" t="n">
        <v>16</v>
      </c>
      <c r="G1347" s="5" t="s">
        <v>69</v>
      </c>
      <c r="H1347" s="2" t="n">
        <v>1</v>
      </c>
      <c r="I1347" s="2" t="n">
        <v>1</v>
      </c>
      <c r="J1347" s="2" t="n">
        <v>1</v>
      </c>
      <c r="K1347" s="7" t="n">
        <v>0.1341304009</v>
      </c>
      <c r="L1347" s="7" t="n">
        <v>0.04317608355</v>
      </c>
      <c r="M1347" s="7" t="n">
        <v>0.04406080477</v>
      </c>
      <c r="N1347" s="7" t="n">
        <v>14</v>
      </c>
      <c r="O1347" s="7" t="n">
        <v>14</v>
      </c>
      <c r="P1347" s="7" t="n">
        <v>14</v>
      </c>
      <c r="Q1347" s="2"/>
      <c r="R1347" s="7" t="n">
        <v>5.60914</v>
      </c>
      <c r="S1347" s="5" t="s">
        <v>82</v>
      </c>
      <c r="T1347" s="5" t="s">
        <v>61</v>
      </c>
    </row>
    <row r="1348" customFormat="false" ht="15" hidden="false" customHeight="false" outlineLevel="0" collapsed="false">
      <c r="A1348" s="5" t="s">
        <v>4</v>
      </c>
      <c r="B1348" s="5" t="s">
        <v>55</v>
      </c>
      <c r="C1348" s="2" t="s">
        <v>56</v>
      </c>
      <c r="D1348" s="5" t="s">
        <v>81</v>
      </c>
      <c r="E1348" s="5" t="s">
        <v>58</v>
      </c>
      <c r="F1348" s="2" t="n">
        <v>16</v>
      </c>
      <c r="G1348" s="5" t="s">
        <v>70</v>
      </c>
      <c r="H1348" s="2" t="n">
        <v>0</v>
      </c>
      <c r="I1348" s="2" t="n">
        <v>0</v>
      </c>
      <c r="J1348" s="2" t="n">
        <v>0</v>
      </c>
      <c r="K1348" s="2"/>
      <c r="L1348" s="2"/>
      <c r="M1348" s="2"/>
      <c r="N1348" s="7" t="n">
        <v>1</v>
      </c>
      <c r="O1348" s="7" t="n">
        <v>1</v>
      </c>
      <c r="P1348" s="7" t="n">
        <v>0</v>
      </c>
      <c r="Q1348" s="2"/>
      <c r="R1348" s="7" t="n">
        <v>2.422541</v>
      </c>
      <c r="S1348" s="5" t="s">
        <v>82</v>
      </c>
      <c r="T1348" s="5" t="s">
        <v>61</v>
      </c>
    </row>
    <row r="1349" customFormat="false" ht="15" hidden="false" customHeight="false" outlineLevel="0" collapsed="false">
      <c r="A1349" s="5" t="s">
        <v>4</v>
      </c>
      <c r="B1349" s="5" t="s">
        <v>55</v>
      </c>
      <c r="C1349" s="2" t="s">
        <v>56</v>
      </c>
      <c r="D1349" s="5" t="s">
        <v>81</v>
      </c>
      <c r="E1349" s="5" t="s">
        <v>62</v>
      </c>
      <c r="F1349" s="2" t="n">
        <v>16</v>
      </c>
      <c r="G1349" s="5" t="s">
        <v>70</v>
      </c>
      <c r="H1349" s="2" t="n">
        <v>0</v>
      </c>
      <c r="I1349" s="2" t="n">
        <v>0</v>
      </c>
      <c r="J1349" s="2" t="n">
        <v>0</v>
      </c>
      <c r="K1349" s="2"/>
      <c r="L1349" s="2"/>
      <c r="M1349" s="2"/>
      <c r="N1349" s="7" t="n">
        <v>1</v>
      </c>
      <c r="O1349" s="7" t="n">
        <v>1</v>
      </c>
      <c r="P1349" s="7" t="n">
        <v>0</v>
      </c>
      <c r="Q1349" s="2"/>
      <c r="R1349" s="7" t="n">
        <v>2.422571</v>
      </c>
      <c r="S1349" s="5" t="s">
        <v>82</v>
      </c>
      <c r="T1349" s="5" t="s">
        <v>61</v>
      </c>
    </row>
    <row r="1350" customFormat="false" ht="15" hidden="false" customHeight="false" outlineLevel="0" collapsed="false">
      <c r="A1350" s="5" t="s">
        <v>4</v>
      </c>
      <c r="B1350" s="5" t="s">
        <v>55</v>
      </c>
      <c r="C1350" s="2" t="s">
        <v>56</v>
      </c>
      <c r="D1350" s="5" t="s">
        <v>81</v>
      </c>
      <c r="E1350" s="5" t="s">
        <v>58</v>
      </c>
      <c r="F1350" s="2" t="n">
        <v>17</v>
      </c>
      <c r="G1350" s="5" t="s">
        <v>67</v>
      </c>
      <c r="H1350" s="2" t="n">
        <v>1</v>
      </c>
      <c r="I1350" s="2" t="n">
        <v>1</v>
      </c>
      <c r="J1350" s="2" t="n">
        <v>1</v>
      </c>
      <c r="K1350" s="7" t="n">
        <v>0.5273900341</v>
      </c>
      <c r="L1350" s="7" t="n">
        <v>0.036261749</v>
      </c>
      <c r="M1350" s="7" t="n">
        <v>0.0476618256</v>
      </c>
      <c r="N1350" s="7" t="n">
        <v>12</v>
      </c>
      <c r="O1350" s="7" t="n">
        <v>12</v>
      </c>
      <c r="P1350" s="7" t="n">
        <v>0</v>
      </c>
      <c r="Q1350" s="2"/>
      <c r="R1350" s="7" t="n">
        <v>1.302515</v>
      </c>
      <c r="S1350" s="5" t="s">
        <v>82</v>
      </c>
      <c r="T1350" s="5" t="s">
        <v>61</v>
      </c>
    </row>
    <row r="1351" customFormat="false" ht="15" hidden="false" customHeight="false" outlineLevel="0" collapsed="false">
      <c r="A1351" s="5" t="s">
        <v>4</v>
      </c>
      <c r="B1351" s="5" t="s">
        <v>55</v>
      </c>
      <c r="C1351" s="2" t="s">
        <v>56</v>
      </c>
      <c r="D1351" s="5" t="s">
        <v>81</v>
      </c>
      <c r="E1351" s="5" t="s">
        <v>62</v>
      </c>
      <c r="F1351" s="2" t="n">
        <v>17</v>
      </c>
      <c r="G1351" s="5" t="s">
        <v>67</v>
      </c>
      <c r="H1351" s="2" t="n">
        <v>1</v>
      </c>
      <c r="I1351" s="2" t="n">
        <v>1</v>
      </c>
      <c r="J1351" s="2" t="n">
        <v>1</v>
      </c>
      <c r="K1351" s="7" t="n">
        <v>0.5273900341</v>
      </c>
      <c r="L1351" s="7" t="n">
        <v>0.036261749</v>
      </c>
      <c r="M1351" s="7" t="n">
        <v>0.0476618256</v>
      </c>
      <c r="N1351" s="7" t="n">
        <v>12</v>
      </c>
      <c r="O1351" s="7" t="n">
        <v>12</v>
      </c>
      <c r="P1351" s="7" t="n">
        <v>12</v>
      </c>
      <c r="Q1351" s="2"/>
      <c r="R1351" s="7" t="n">
        <v>1.931384</v>
      </c>
      <c r="S1351" s="5" t="s">
        <v>82</v>
      </c>
      <c r="T1351" s="5" t="s">
        <v>61</v>
      </c>
    </row>
    <row r="1352" customFormat="false" ht="15" hidden="false" customHeight="false" outlineLevel="0" collapsed="false">
      <c r="A1352" s="5" t="s">
        <v>4</v>
      </c>
      <c r="B1352" s="5" t="s">
        <v>55</v>
      </c>
      <c r="C1352" s="2" t="s">
        <v>56</v>
      </c>
      <c r="D1352" s="5" t="s">
        <v>81</v>
      </c>
      <c r="E1352" s="5" t="s">
        <v>58</v>
      </c>
      <c r="F1352" s="2" t="n">
        <v>17</v>
      </c>
      <c r="G1352" s="5" t="s">
        <v>68</v>
      </c>
      <c r="H1352" s="2" t="n">
        <v>1</v>
      </c>
      <c r="I1352" s="2" t="n">
        <v>1</v>
      </c>
      <c r="J1352" s="2" t="n">
        <v>1</v>
      </c>
      <c r="K1352" s="7" t="n">
        <v>1.065974671</v>
      </c>
      <c r="L1352" s="7" t="n">
        <v>0.04066205211</v>
      </c>
      <c r="M1352" s="7" t="n">
        <v>0.07292891182</v>
      </c>
      <c r="N1352" s="7" t="n">
        <v>7</v>
      </c>
      <c r="O1352" s="7" t="n">
        <v>7</v>
      </c>
      <c r="P1352" s="7" t="n">
        <v>0</v>
      </c>
      <c r="Q1352" s="2"/>
      <c r="R1352" s="7" t="n">
        <v>1.505445</v>
      </c>
      <c r="S1352" s="5" t="s">
        <v>82</v>
      </c>
      <c r="T1352" s="5" t="s">
        <v>61</v>
      </c>
    </row>
    <row r="1353" customFormat="false" ht="15" hidden="false" customHeight="false" outlineLevel="0" collapsed="false">
      <c r="A1353" s="5" t="s">
        <v>4</v>
      </c>
      <c r="B1353" s="5" t="s">
        <v>55</v>
      </c>
      <c r="C1353" s="2" t="s">
        <v>56</v>
      </c>
      <c r="D1353" s="5" t="s">
        <v>81</v>
      </c>
      <c r="E1353" s="5" t="s">
        <v>62</v>
      </c>
      <c r="F1353" s="2" t="n">
        <v>17</v>
      </c>
      <c r="G1353" s="5" t="s">
        <v>68</v>
      </c>
      <c r="H1353" s="2" t="n">
        <v>1</v>
      </c>
      <c r="I1353" s="2" t="n">
        <v>1</v>
      </c>
      <c r="J1353" s="2" t="n">
        <v>1</v>
      </c>
      <c r="K1353" s="7" t="n">
        <v>1.065974671</v>
      </c>
      <c r="L1353" s="7" t="n">
        <v>0.04066205211</v>
      </c>
      <c r="M1353" s="7" t="n">
        <v>0.07292891182</v>
      </c>
      <c r="N1353" s="7" t="n">
        <v>7</v>
      </c>
      <c r="O1353" s="7" t="n">
        <v>7</v>
      </c>
      <c r="P1353" s="7" t="n">
        <v>7</v>
      </c>
      <c r="Q1353" s="2"/>
      <c r="R1353" s="7" t="n">
        <v>1.952596</v>
      </c>
      <c r="S1353" s="5" t="s">
        <v>82</v>
      </c>
      <c r="T1353" s="5" t="s">
        <v>61</v>
      </c>
    </row>
    <row r="1354" customFormat="false" ht="15" hidden="false" customHeight="false" outlineLevel="0" collapsed="false">
      <c r="A1354" s="5" t="s">
        <v>4</v>
      </c>
      <c r="B1354" s="5" t="s">
        <v>55</v>
      </c>
      <c r="C1354" s="2" t="s">
        <v>56</v>
      </c>
      <c r="D1354" s="5" t="s">
        <v>81</v>
      </c>
      <c r="E1354" s="5" t="s">
        <v>58</v>
      </c>
      <c r="F1354" s="2" t="n">
        <v>17</v>
      </c>
      <c r="G1354" s="5" t="s">
        <v>69</v>
      </c>
      <c r="H1354" s="2" t="n">
        <v>1</v>
      </c>
      <c r="I1354" s="2" t="n">
        <v>1</v>
      </c>
      <c r="J1354" s="2" t="n">
        <v>1</v>
      </c>
      <c r="K1354" s="7" t="n">
        <v>0.7694932479</v>
      </c>
      <c r="L1354" s="7" t="n">
        <v>0.0535716757</v>
      </c>
      <c r="M1354" s="7" t="n">
        <v>0.07285115588</v>
      </c>
      <c r="N1354" s="7" t="n">
        <v>7</v>
      </c>
      <c r="O1354" s="7" t="n">
        <v>7</v>
      </c>
      <c r="P1354" s="7" t="n">
        <v>0</v>
      </c>
      <c r="Q1354" s="2"/>
      <c r="R1354" s="7" t="n">
        <v>2.476821</v>
      </c>
      <c r="S1354" s="5" t="s">
        <v>82</v>
      </c>
      <c r="T1354" s="5" t="s">
        <v>61</v>
      </c>
    </row>
    <row r="1355" customFormat="false" ht="15" hidden="false" customHeight="false" outlineLevel="0" collapsed="false">
      <c r="A1355" s="5" t="s">
        <v>4</v>
      </c>
      <c r="B1355" s="5" t="s">
        <v>55</v>
      </c>
      <c r="C1355" s="2" t="s">
        <v>56</v>
      </c>
      <c r="D1355" s="5" t="s">
        <v>81</v>
      </c>
      <c r="E1355" s="5" t="s">
        <v>62</v>
      </c>
      <c r="F1355" s="2" t="n">
        <v>17</v>
      </c>
      <c r="G1355" s="5" t="s">
        <v>69</v>
      </c>
      <c r="H1355" s="2" t="n">
        <v>1</v>
      </c>
      <c r="I1355" s="2" t="n">
        <v>1</v>
      </c>
      <c r="J1355" s="2" t="n">
        <v>1</v>
      </c>
      <c r="K1355" s="7" t="n">
        <v>0.7694932479</v>
      </c>
      <c r="L1355" s="7" t="n">
        <v>0.0535716757</v>
      </c>
      <c r="M1355" s="7" t="n">
        <v>0.07285115588</v>
      </c>
      <c r="N1355" s="7" t="n">
        <v>7</v>
      </c>
      <c r="O1355" s="7" t="n">
        <v>7</v>
      </c>
      <c r="P1355" s="7" t="n">
        <v>7</v>
      </c>
      <c r="Q1355" s="2"/>
      <c r="R1355" s="7" t="n">
        <v>2.954837</v>
      </c>
      <c r="S1355" s="5" t="s">
        <v>82</v>
      </c>
      <c r="T1355" s="5" t="s">
        <v>61</v>
      </c>
    </row>
    <row r="1356" customFormat="false" ht="15" hidden="false" customHeight="false" outlineLevel="0" collapsed="false">
      <c r="A1356" s="5" t="s">
        <v>4</v>
      </c>
      <c r="B1356" s="5" t="s">
        <v>55</v>
      </c>
      <c r="C1356" s="2" t="s">
        <v>56</v>
      </c>
      <c r="D1356" s="5" t="s">
        <v>81</v>
      </c>
      <c r="E1356" s="5" t="s">
        <v>58</v>
      </c>
      <c r="F1356" s="2" t="n">
        <v>17</v>
      </c>
      <c r="G1356" s="5" t="s">
        <v>70</v>
      </c>
      <c r="H1356" s="2" t="n">
        <v>0</v>
      </c>
      <c r="I1356" s="2" t="n">
        <v>0</v>
      </c>
      <c r="J1356" s="2" t="n">
        <v>0</v>
      </c>
      <c r="K1356" s="2"/>
      <c r="L1356" s="2"/>
      <c r="M1356" s="2"/>
      <c r="N1356" s="7" t="n">
        <v>1</v>
      </c>
      <c r="O1356" s="7" t="n">
        <v>1</v>
      </c>
      <c r="P1356" s="7" t="n">
        <v>0</v>
      </c>
      <c r="Q1356" s="2"/>
      <c r="R1356" s="7" t="n">
        <v>2.6791</v>
      </c>
      <c r="S1356" s="5" t="s">
        <v>82</v>
      </c>
      <c r="T1356" s="5" t="s">
        <v>61</v>
      </c>
    </row>
    <row r="1357" customFormat="false" ht="15" hidden="false" customHeight="false" outlineLevel="0" collapsed="false">
      <c r="A1357" s="5" t="s">
        <v>4</v>
      </c>
      <c r="B1357" s="5" t="s">
        <v>55</v>
      </c>
      <c r="C1357" s="2" t="s">
        <v>56</v>
      </c>
      <c r="D1357" s="5" t="s">
        <v>81</v>
      </c>
      <c r="E1357" s="5" t="s">
        <v>62</v>
      </c>
      <c r="F1357" s="2" t="n">
        <v>17</v>
      </c>
      <c r="G1357" s="5" t="s">
        <v>70</v>
      </c>
      <c r="H1357" s="2" t="n">
        <v>0</v>
      </c>
      <c r="I1357" s="2" t="n">
        <v>0</v>
      </c>
      <c r="J1357" s="2" t="n">
        <v>0</v>
      </c>
      <c r="K1357" s="2"/>
      <c r="L1357" s="2"/>
      <c r="M1357" s="2"/>
      <c r="N1357" s="7" t="n">
        <v>1</v>
      </c>
      <c r="O1357" s="7" t="n">
        <v>1</v>
      </c>
      <c r="P1357" s="7" t="n">
        <v>0</v>
      </c>
      <c r="Q1357" s="2"/>
      <c r="R1357" s="7" t="n">
        <v>2.678709</v>
      </c>
      <c r="S1357" s="5" t="s">
        <v>82</v>
      </c>
      <c r="T1357" s="5" t="s">
        <v>61</v>
      </c>
    </row>
    <row r="1358" customFormat="false" ht="15" hidden="false" customHeight="false" outlineLevel="0" collapsed="false">
      <c r="A1358" s="5" t="s">
        <v>4</v>
      </c>
      <c r="B1358" s="5" t="s">
        <v>55</v>
      </c>
      <c r="C1358" s="2" t="s">
        <v>56</v>
      </c>
      <c r="D1358" s="5" t="s">
        <v>81</v>
      </c>
      <c r="E1358" s="5" t="s">
        <v>58</v>
      </c>
      <c r="F1358" s="2" t="n">
        <v>18</v>
      </c>
      <c r="G1358" s="5" t="s">
        <v>67</v>
      </c>
      <c r="H1358" s="2" t="n">
        <v>1</v>
      </c>
      <c r="I1358" s="2" t="n">
        <v>1</v>
      </c>
      <c r="J1358" s="2" t="n">
        <v>0</v>
      </c>
      <c r="K1358" s="7" t="n">
        <v>3.631440228</v>
      </c>
      <c r="L1358" s="7" t="n">
        <v>0.7489370111</v>
      </c>
      <c r="M1358" s="7" t="n">
        <v>0.7924359029</v>
      </c>
      <c r="N1358" s="7" t="n">
        <v>3</v>
      </c>
      <c r="O1358" s="7" t="n">
        <v>3</v>
      </c>
      <c r="P1358" s="7" t="n">
        <v>0</v>
      </c>
      <c r="Q1358" s="2"/>
      <c r="R1358" s="7" t="n">
        <v>1.706252</v>
      </c>
      <c r="S1358" s="5" t="s">
        <v>82</v>
      </c>
      <c r="T1358" s="5" t="s">
        <v>61</v>
      </c>
    </row>
    <row r="1359" customFormat="false" ht="15" hidden="false" customHeight="false" outlineLevel="0" collapsed="false">
      <c r="A1359" s="5" t="s">
        <v>4</v>
      </c>
      <c r="B1359" s="5" t="s">
        <v>55</v>
      </c>
      <c r="C1359" s="2" t="s">
        <v>56</v>
      </c>
      <c r="D1359" s="5" t="s">
        <v>81</v>
      </c>
      <c r="E1359" s="5" t="s">
        <v>62</v>
      </c>
      <c r="F1359" s="2" t="n">
        <v>18</v>
      </c>
      <c r="G1359" s="5" t="s">
        <v>67</v>
      </c>
      <c r="H1359" s="2" t="n">
        <v>1</v>
      </c>
      <c r="I1359" s="2" t="n">
        <v>1</v>
      </c>
      <c r="J1359" s="2" t="n">
        <v>0</v>
      </c>
      <c r="K1359" s="7" t="n">
        <v>3.631440228</v>
      </c>
      <c r="L1359" s="7" t="n">
        <v>0.7489370111</v>
      </c>
      <c r="M1359" s="7" t="n">
        <v>0.7924359029</v>
      </c>
      <c r="N1359" s="7" t="n">
        <v>3</v>
      </c>
      <c r="O1359" s="7" t="n">
        <v>3</v>
      </c>
      <c r="P1359" s="7" t="n">
        <v>3</v>
      </c>
      <c r="Q1359" s="2"/>
      <c r="R1359" s="7" t="n">
        <v>1.90137</v>
      </c>
      <c r="S1359" s="5" t="s">
        <v>82</v>
      </c>
      <c r="T1359" s="5" t="s">
        <v>61</v>
      </c>
    </row>
    <row r="1360" customFormat="false" ht="15" hidden="false" customHeight="false" outlineLevel="0" collapsed="false">
      <c r="A1360" s="5" t="s">
        <v>4</v>
      </c>
      <c r="B1360" s="5" t="s">
        <v>55</v>
      </c>
      <c r="C1360" s="2" t="s">
        <v>56</v>
      </c>
      <c r="D1360" s="5" t="s">
        <v>81</v>
      </c>
      <c r="E1360" s="5" t="s">
        <v>58</v>
      </c>
      <c r="F1360" s="2" t="n">
        <v>18</v>
      </c>
      <c r="G1360" s="5" t="s">
        <v>68</v>
      </c>
      <c r="H1360" s="2" t="n">
        <v>1</v>
      </c>
      <c r="I1360" s="2" t="n">
        <v>1</v>
      </c>
      <c r="J1360" s="2" t="n">
        <v>1</v>
      </c>
      <c r="K1360" s="7" t="n">
        <v>0.4307555197</v>
      </c>
      <c r="L1360" s="7" t="n">
        <v>0.02291313268</v>
      </c>
      <c r="M1360" s="7" t="n">
        <v>0.04123625716</v>
      </c>
      <c r="N1360" s="7" t="n">
        <v>9</v>
      </c>
      <c r="O1360" s="7" t="n">
        <v>9</v>
      </c>
      <c r="P1360" s="7" t="n">
        <v>0</v>
      </c>
      <c r="Q1360" s="2"/>
      <c r="R1360" s="7" t="n">
        <v>1.594426</v>
      </c>
      <c r="S1360" s="5" t="s">
        <v>82</v>
      </c>
      <c r="T1360" s="5" t="s">
        <v>61</v>
      </c>
    </row>
    <row r="1361" customFormat="false" ht="15" hidden="false" customHeight="false" outlineLevel="0" collapsed="false">
      <c r="A1361" s="5" t="s">
        <v>4</v>
      </c>
      <c r="B1361" s="5" t="s">
        <v>55</v>
      </c>
      <c r="C1361" s="2" t="s">
        <v>56</v>
      </c>
      <c r="D1361" s="5" t="s">
        <v>81</v>
      </c>
      <c r="E1361" s="5" t="s">
        <v>62</v>
      </c>
      <c r="F1361" s="2" t="n">
        <v>18</v>
      </c>
      <c r="G1361" s="5" t="s">
        <v>68</v>
      </c>
      <c r="H1361" s="2" t="n">
        <v>1</v>
      </c>
      <c r="I1361" s="2" t="n">
        <v>1</v>
      </c>
      <c r="J1361" s="2" t="n">
        <v>1</v>
      </c>
      <c r="K1361" s="7" t="n">
        <v>0.4307555197</v>
      </c>
      <c r="L1361" s="7" t="n">
        <v>0.02291313268</v>
      </c>
      <c r="M1361" s="7" t="n">
        <v>0.04123625716</v>
      </c>
      <c r="N1361" s="7" t="n">
        <v>9</v>
      </c>
      <c r="O1361" s="7" t="n">
        <v>9</v>
      </c>
      <c r="P1361" s="7" t="n">
        <v>9</v>
      </c>
      <c r="Q1361" s="2"/>
      <c r="R1361" s="7" t="n">
        <v>2.099272</v>
      </c>
      <c r="S1361" s="5" t="s">
        <v>82</v>
      </c>
      <c r="T1361" s="5" t="s">
        <v>61</v>
      </c>
    </row>
    <row r="1362" customFormat="false" ht="15" hidden="false" customHeight="false" outlineLevel="0" collapsed="false">
      <c r="A1362" s="5" t="s">
        <v>4</v>
      </c>
      <c r="B1362" s="5" t="s">
        <v>55</v>
      </c>
      <c r="C1362" s="2" t="s">
        <v>56</v>
      </c>
      <c r="D1362" s="5" t="s">
        <v>81</v>
      </c>
      <c r="E1362" s="5" t="s">
        <v>58</v>
      </c>
      <c r="F1362" s="2" t="n">
        <v>18</v>
      </c>
      <c r="G1362" s="5" t="s">
        <v>69</v>
      </c>
      <c r="H1362" s="2" t="n">
        <v>1</v>
      </c>
      <c r="I1362" s="2" t="n">
        <v>1</v>
      </c>
      <c r="J1362" s="2" t="n">
        <v>1</v>
      </c>
      <c r="K1362" s="7" t="n">
        <v>0.6780113944</v>
      </c>
      <c r="L1362" s="7" t="n">
        <v>0.07977234037</v>
      </c>
      <c r="M1362" s="7" t="n">
        <v>0.09140658101</v>
      </c>
      <c r="N1362" s="7" t="n">
        <v>3</v>
      </c>
      <c r="O1362" s="7" t="n">
        <v>3</v>
      </c>
      <c r="P1362" s="7" t="n">
        <v>0</v>
      </c>
      <c r="Q1362" s="2"/>
      <c r="R1362" s="7" t="n">
        <v>2.533795</v>
      </c>
      <c r="S1362" s="5" t="s">
        <v>82</v>
      </c>
      <c r="T1362" s="5" t="s">
        <v>61</v>
      </c>
    </row>
    <row r="1363" customFormat="false" ht="15" hidden="false" customHeight="false" outlineLevel="0" collapsed="false">
      <c r="A1363" s="5" t="s">
        <v>4</v>
      </c>
      <c r="B1363" s="5" t="s">
        <v>55</v>
      </c>
      <c r="C1363" s="2" t="s">
        <v>56</v>
      </c>
      <c r="D1363" s="5" t="s">
        <v>81</v>
      </c>
      <c r="E1363" s="5" t="s">
        <v>62</v>
      </c>
      <c r="F1363" s="2" t="n">
        <v>18</v>
      </c>
      <c r="G1363" s="5" t="s">
        <v>69</v>
      </c>
      <c r="H1363" s="2" t="n">
        <v>1</v>
      </c>
      <c r="I1363" s="2" t="n">
        <v>1</v>
      </c>
      <c r="J1363" s="2" t="n">
        <v>1</v>
      </c>
      <c r="K1363" s="7" t="n">
        <v>0.6780113944</v>
      </c>
      <c r="L1363" s="7" t="n">
        <v>0.07977234037</v>
      </c>
      <c r="M1363" s="7" t="n">
        <v>0.09140658101</v>
      </c>
      <c r="N1363" s="7" t="n">
        <v>3</v>
      </c>
      <c r="O1363" s="7" t="n">
        <v>3</v>
      </c>
      <c r="P1363" s="7" t="n">
        <v>3</v>
      </c>
      <c r="Q1363" s="2"/>
      <c r="R1363" s="7" t="n">
        <v>2.779358</v>
      </c>
      <c r="S1363" s="5" t="s">
        <v>82</v>
      </c>
      <c r="T1363" s="5" t="s">
        <v>61</v>
      </c>
    </row>
    <row r="1364" customFormat="false" ht="15" hidden="false" customHeight="false" outlineLevel="0" collapsed="false">
      <c r="A1364" s="5" t="s">
        <v>4</v>
      </c>
      <c r="B1364" s="5" t="s">
        <v>55</v>
      </c>
      <c r="C1364" s="2" t="s">
        <v>56</v>
      </c>
      <c r="D1364" s="5" t="s">
        <v>81</v>
      </c>
      <c r="E1364" s="5" t="s">
        <v>58</v>
      </c>
      <c r="F1364" s="2" t="n">
        <v>18</v>
      </c>
      <c r="G1364" s="5" t="s">
        <v>70</v>
      </c>
      <c r="H1364" s="2" t="n">
        <v>0</v>
      </c>
      <c r="I1364" s="2" t="n">
        <v>0</v>
      </c>
      <c r="J1364" s="2" t="n">
        <v>0</v>
      </c>
      <c r="K1364" s="2"/>
      <c r="L1364" s="2"/>
      <c r="M1364" s="2"/>
      <c r="N1364" s="7" t="n">
        <v>1</v>
      </c>
      <c r="O1364" s="7" t="n">
        <v>1</v>
      </c>
      <c r="P1364" s="7" t="n">
        <v>0</v>
      </c>
      <c r="Q1364" s="2"/>
      <c r="R1364" s="7" t="n">
        <v>2.561325</v>
      </c>
      <c r="S1364" s="5" t="s">
        <v>82</v>
      </c>
      <c r="T1364" s="5" t="s">
        <v>61</v>
      </c>
    </row>
    <row r="1365" customFormat="false" ht="15" hidden="false" customHeight="false" outlineLevel="0" collapsed="false">
      <c r="A1365" s="5" t="s">
        <v>4</v>
      </c>
      <c r="B1365" s="5" t="s">
        <v>55</v>
      </c>
      <c r="C1365" s="2" t="s">
        <v>56</v>
      </c>
      <c r="D1365" s="5" t="s">
        <v>81</v>
      </c>
      <c r="E1365" s="5" t="s">
        <v>62</v>
      </c>
      <c r="F1365" s="2" t="n">
        <v>18</v>
      </c>
      <c r="G1365" s="5" t="s">
        <v>70</v>
      </c>
      <c r="H1365" s="2" t="n">
        <v>0</v>
      </c>
      <c r="I1365" s="2" t="n">
        <v>0</v>
      </c>
      <c r="J1365" s="2" t="n">
        <v>0</v>
      </c>
      <c r="K1365" s="2"/>
      <c r="L1365" s="2"/>
      <c r="M1365" s="2"/>
      <c r="N1365" s="7" t="n">
        <v>1</v>
      </c>
      <c r="O1365" s="7" t="n">
        <v>1</v>
      </c>
      <c r="P1365" s="7" t="n">
        <v>0</v>
      </c>
      <c r="Q1365" s="2"/>
      <c r="R1365" s="7" t="n">
        <v>2.560954</v>
      </c>
      <c r="S1365" s="5" t="s">
        <v>82</v>
      </c>
      <c r="T1365" s="5" t="s">
        <v>61</v>
      </c>
    </row>
    <row r="1366" customFormat="false" ht="15" hidden="false" customHeight="false" outlineLevel="0" collapsed="false">
      <c r="A1366" s="5" t="s">
        <v>4</v>
      </c>
      <c r="B1366" s="5" t="s">
        <v>55</v>
      </c>
      <c r="C1366" s="2" t="s">
        <v>56</v>
      </c>
      <c r="D1366" s="5" t="s">
        <v>81</v>
      </c>
      <c r="E1366" s="5" t="s">
        <v>58</v>
      </c>
      <c r="F1366" s="2" t="n">
        <v>19</v>
      </c>
      <c r="G1366" s="5" t="s">
        <v>67</v>
      </c>
      <c r="H1366" s="2" t="n">
        <v>1</v>
      </c>
      <c r="I1366" s="2" t="n">
        <v>1</v>
      </c>
      <c r="J1366" s="2" t="n">
        <v>1</v>
      </c>
      <c r="K1366" s="7" t="n">
        <v>0.5519106569</v>
      </c>
      <c r="L1366" s="7" t="n">
        <v>0.06740142487</v>
      </c>
      <c r="M1366" s="7" t="n">
        <v>0.07584891091</v>
      </c>
      <c r="N1366" s="7" t="n">
        <v>10</v>
      </c>
      <c r="O1366" s="7" t="n">
        <v>10</v>
      </c>
      <c r="P1366" s="7" t="n">
        <v>0</v>
      </c>
      <c r="Q1366" s="2"/>
      <c r="R1366" s="7" t="n">
        <v>1.172383</v>
      </c>
      <c r="S1366" s="5" t="s">
        <v>82</v>
      </c>
      <c r="T1366" s="5" t="s">
        <v>61</v>
      </c>
    </row>
    <row r="1367" customFormat="false" ht="15" hidden="false" customHeight="false" outlineLevel="0" collapsed="false">
      <c r="A1367" s="5" t="s">
        <v>4</v>
      </c>
      <c r="B1367" s="5" t="s">
        <v>55</v>
      </c>
      <c r="C1367" s="2" t="s">
        <v>56</v>
      </c>
      <c r="D1367" s="5" t="s">
        <v>81</v>
      </c>
      <c r="E1367" s="5" t="s">
        <v>62</v>
      </c>
      <c r="F1367" s="2" t="n">
        <v>19</v>
      </c>
      <c r="G1367" s="5" t="s">
        <v>67</v>
      </c>
      <c r="H1367" s="2" t="n">
        <v>1</v>
      </c>
      <c r="I1367" s="2" t="n">
        <v>1</v>
      </c>
      <c r="J1367" s="2" t="n">
        <v>1</v>
      </c>
      <c r="K1367" s="7" t="n">
        <v>0.5519106569</v>
      </c>
      <c r="L1367" s="7" t="n">
        <v>0.06740142487</v>
      </c>
      <c r="M1367" s="7" t="n">
        <v>0.07584891091</v>
      </c>
      <c r="N1367" s="7" t="n">
        <v>10</v>
      </c>
      <c r="O1367" s="7" t="n">
        <v>10</v>
      </c>
      <c r="P1367" s="7" t="n">
        <v>10</v>
      </c>
      <c r="Q1367" s="2"/>
      <c r="R1367" s="7" t="n">
        <v>1.803105</v>
      </c>
      <c r="S1367" s="5" t="s">
        <v>82</v>
      </c>
      <c r="T1367" s="5" t="s">
        <v>61</v>
      </c>
    </row>
    <row r="1368" customFormat="false" ht="15" hidden="false" customHeight="false" outlineLevel="0" collapsed="false">
      <c r="A1368" s="5" t="s">
        <v>4</v>
      </c>
      <c r="B1368" s="5" t="s">
        <v>55</v>
      </c>
      <c r="C1368" s="2" t="s">
        <v>56</v>
      </c>
      <c r="D1368" s="5" t="s">
        <v>81</v>
      </c>
      <c r="E1368" s="5" t="s">
        <v>58</v>
      </c>
      <c r="F1368" s="2" t="n">
        <v>19</v>
      </c>
      <c r="G1368" s="5" t="s">
        <v>68</v>
      </c>
      <c r="H1368" s="2" t="n">
        <v>1</v>
      </c>
      <c r="I1368" s="2" t="n">
        <v>1</v>
      </c>
      <c r="J1368" s="2" t="n">
        <v>1</v>
      </c>
      <c r="K1368" s="7" t="n">
        <v>0.4238194886</v>
      </c>
      <c r="L1368" s="7" t="n">
        <v>0.01397197142</v>
      </c>
      <c r="M1368" s="7" t="n">
        <v>0.03016375347</v>
      </c>
      <c r="N1368" s="7" t="n">
        <v>10</v>
      </c>
      <c r="O1368" s="7" t="n">
        <v>10</v>
      </c>
      <c r="P1368" s="7" t="n">
        <v>0</v>
      </c>
      <c r="Q1368" s="2"/>
      <c r="R1368" s="7" t="n">
        <v>1.537973</v>
      </c>
      <c r="S1368" s="5" t="s">
        <v>82</v>
      </c>
      <c r="T1368" s="5" t="s">
        <v>61</v>
      </c>
    </row>
    <row r="1369" customFormat="false" ht="15" hidden="false" customHeight="false" outlineLevel="0" collapsed="false">
      <c r="A1369" s="5" t="s">
        <v>4</v>
      </c>
      <c r="B1369" s="5" t="s">
        <v>55</v>
      </c>
      <c r="C1369" s="2" t="s">
        <v>56</v>
      </c>
      <c r="D1369" s="5" t="s">
        <v>81</v>
      </c>
      <c r="E1369" s="5" t="s">
        <v>62</v>
      </c>
      <c r="F1369" s="2" t="n">
        <v>19</v>
      </c>
      <c r="G1369" s="5" t="s">
        <v>68</v>
      </c>
      <c r="H1369" s="2" t="n">
        <v>1</v>
      </c>
      <c r="I1369" s="2" t="n">
        <v>1</v>
      </c>
      <c r="J1369" s="2" t="n">
        <v>1</v>
      </c>
      <c r="K1369" s="7" t="n">
        <v>0.4238194886</v>
      </c>
      <c r="L1369" s="7" t="n">
        <v>0.01397197142</v>
      </c>
      <c r="M1369" s="7" t="n">
        <v>0.03016375347</v>
      </c>
      <c r="N1369" s="7" t="n">
        <v>10</v>
      </c>
      <c r="O1369" s="7" t="n">
        <v>10</v>
      </c>
      <c r="P1369" s="7" t="n">
        <v>10</v>
      </c>
      <c r="Q1369" s="2"/>
      <c r="R1369" s="7" t="n">
        <v>2.080485</v>
      </c>
      <c r="S1369" s="5" t="s">
        <v>82</v>
      </c>
      <c r="T1369" s="5" t="s">
        <v>61</v>
      </c>
    </row>
    <row r="1370" customFormat="false" ht="15" hidden="false" customHeight="false" outlineLevel="0" collapsed="false">
      <c r="A1370" s="5" t="s">
        <v>4</v>
      </c>
      <c r="B1370" s="5" t="s">
        <v>55</v>
      </c>
      <c r="C1370" s="2" t="s">
        <v>56</v>
      </c>
      <c r="D1370" s="5" t="s">
        <v>81</v>
      </c>
      <c r="E1370" s="5" t="s">
        <v>58</v>
      </c>
      <c r="F1370" s="2" t="n">
        <v>19</v>
      </c>
      <c r="G1370" s="5" t="s">
        <v>69</v>
      </c>
      <c r="H1370" s="2" t="n">
        <v>1</v>
      </c>
      <c r="I1370" s="2" t="n">
        <v>1</v>
      </c>
      <c r="J1370" s="2" t="n">
        <v>1</v>
      </c>
      <c r="K1370" s="7" t="n">
        <v>1.265455978</v>
      </c>
      <c r="L1370" s="7" t="n">
        <v>0.1831209016</v>
      </c>
      <c r="M1370" s="7" t="n">
        <v>0.2045366666</v>
      </c>
      <c r="N1370" s="7" t="n">
        <v>5</v>
      </c>
      <c r="O1370" s="7" t="n">
        <v>5</v>
      </c>
      <c r="P1370" s="7" t="n">
        <v>0</v>
      </c>
      <c r="Q1370" s="2"/>
      <c r="R1370" s="7" t="n">
        <v>2.406877</v>
      </c>
      <c r="S1370" s="5" t="s">
        <v>82</v>
      </c>
      <c r="T1370" s="5" t="s">
        <v>61</v>
      </c>
    </row>
    <row r="1371" customFormat="false" ht="15" hidden="false" customHeight="false" outlineLevel="0" collapsed="false">
      <c r="A1371" s="5" t="s">
        <v>4</v>
      </c>
      <c r="B1371" s="5" t="s">
        <v>55</v>
      </c>
      <c r="C1371" s="2" t="s">
        <v>56</v>
      </c>
      <c r="D1371" s="5" t="s">
        <v>81</v>
      </c>
      <c r="E1371" s="5" t="s">
        <v>62</v>
      </c>
      <c r="F1371" s="2" t="n">
        <v>19</v>
      </c>
      <c r="G1371" s="5" t="s">
        <v>69</v>
      </c>
      <c r="H1371" s="2" t="n">
        <v>1</v>
      </c>
      <c r="I1371" s="2" t="n">
        <v>1</v>
      </c>
      <c r="J1371" s="2" t="n">
        <v>1</v>
      </c>
      <c r="K1371" s="7" t="n">
        <v>1.265455978</v>
      </c>
      <c r="L1371" s="7" t="n">
        <v>0.1831209016</v>
      </c>
      <c r="M1371" s="7" t="n">
        <v>0.2045366666</v>
      </c>
      <c r="N1371" s="7" t="n">
        <v>5</v>
      </c>
      <c r="O1371" s="7" t="n">
        <v>5</v>
      </c>
      <c r="P1371" s="7" t="n">
        <v>5</v>
      </c>
      <c r="Q1371" s="2"/>
      <c r="R1371" s="7" t="n">
        <v>2.811696</v>
      </c>
      <c r="S1371" s="5" t="s">
        <v>82</v>
      </c>
      <c r="T1371" s="5" t="s">
        <v>61</v>
      </c>
    </row>
    <row r="1372" customFormat="false" ht="15" hidden="false" customHeight="false" outlineLevel="0" collapsed="false">
      <c r="A1372" s="5" t="s">
        <v>4</v>
      </c>
      <c r="B1372" s="5" t="s">
        <v>55</v>
      </c>
      <c r="C1372" s="2" t="s">
        <v>56</v>
      </c>
      <c r="D1372" s="5" t="s">
        <v>81</v>
      </c>
      <c r="E1372" s="5" t="s">
        <v>58</v>
      </c>
      <c r="F1372" s="2" t="n">
        <v>19</v>
      </c>
      <c r="G1372" s="5" t="s">
        <v>70</v>
      </c>
      <c r="H1372" s="2" t="n">
        <v>0</v>
      </c>
      <c r="I1372" s="2" t="n">
        <v>1</v>
      </c>
      <c r="J1372" s="2" t="n">
        <v>1</v>
      </c>
      <c r="K1372" s="7" t="n">
        <v>0.3931732153</v>
      </c>
      <c r="L1372" s="7" t="n">
        <v>0.01901243774</v>
      </c>
      <c r="M1372" s="7" t="n">
        <v>0.0322033625</v>
      </c>
      <c r="N1372" s="7" t="n">
        <v>3</v>
      </c>
      <c r="O1372" s="7" t="n">
        <v>3</v>
      </c>
      <c r="P1372" s="7" t="n">
        <v>0</v>
      </c>
      <c r="Q1372" s="2"/>
      <c r="R1372" s="7" t="n">
        <v>2.417453</v>
      </c>
      <c r="S1372" s="5" t="s">
        <v>82</v>
      </c>
      <c r="T1372" s="5" t="s">
        <v>61</v>
      </c>
    </row>
    <row r="1373" customFormat="false" ht="15" hidden="false" customHeight="false" outlineLevel="0" collapsed="false">
      <c r="A1373" s="5" t="s">
        <v>4</v>
      </c>
      <c r="B1373" s="5" t="s">
        <v>55</v>
      </c>
      <c r="C1373" s="2" t="s">
        <v>56</v>
      </c>
      <c r="D1373" s="5" t="s">
        <v>81</v>
      </c>
      <c r="E1373" s="5" t="s">
        <v>62</v>
      </c>
      <c r="F1373" s="2" t="n">
        <v>19</v>
      </c>
      <c r="G1373" s="5" t="s">
        <v>70</v>
      </c>
      <c r="H1373" s="2" t="n">
        <v>0</v>
      </c>
      <c r="I1373" s="2" t="n">
        <v>1</v>
      </c>
      <c r="J1373" s="2" t="n">
        <v>1</v>
      </c>
      <c r="K1373" s="7" t="n">
        <v>0.3931732153</v>
      </c>
      <c r="L1373" s="7" t="n">
        <v>0.01901243774</v>
      </c>
      <c r="M1373" s="7" t="n">
        <v>0.0322033625</v>
      </c>
      <c r="N1373" s="7" t="n">
        <v>3</v>
      </c>
      <c r="O1373" s="7" t="n">
        <v>3</v>
      </c>
      <c r="P1373" s="7" t="n">
        <v>3</v>
      </c>
      <c r="Q1373" s="2"/>
      <c r="R1373" s="7" t="n">
        <v>2.593944</v>
      </c>
      <c r="S1373" s="5" t="s">
        <v>82</v>
      </c>
      <c r="T1373" s="5" t="s">
        <v>61</v>
      </c>
    </row>
    <row r="1374" customFormat="false" ht="15" hidden="false" customHeight="false" outlineLevel="0" collapsed="false">
      <c r="A1374" s="5" t="s">
        <v>4</v>
      </c>
      <c r="B1374" s="5" t="s">
        <v>55</v>
      </c>
      <c r="C1374" s="2" t="s">
        <v>56</v>
      </c>
      <c r="D1374" s="5" t="s">
        <v>81</v>
      </c>
      <c r="E1374" s="5" t="s">
        <v>58</v>
      </c>
      <c r="F1374" s="2" t="n">
        <v>20</v>
      </c>
      <c r="G1374" s="5" t="s">
        <v>67</v>
      </c>
      <c r="H1374" s="2" t="n">
        <v>1</v>
      </c>
      <c r="I1374" s="2" t="n">
        <v>1</v>
      </c>
      <c r="J1374" s="2" t="n">
        <v>0</v>
      </c>
      <c r="K1374" s="7" t="n">
        <v>3.360764979</v>
      </c>
      <c r="L1374" s="7" t="n">
        <v>0.275420272</v>
      </c>
      <c r="M1374" s="7" t="n">
        <v>0.3377601859</v>
      </c>
      <c r="N1374" s="7" t="n">
        <v>12</v>
      </c>
      <c r="O1374" s="7" t="n">
        <v>12</v>
      </c>
      <c r="P1374" s="7" t="n">
        <v>0</v>
      </c>
      <c r="Q1374" s="2"/>
      <c r="R1374" s="7" t="n">
        <v>1.412489</v>
      </c>
      <c r="S1374" s="5" t="s">
        <v>82</v>
      </c>
      <c r="T1374" s="5" t="s">
        <v>61</v>
      </c>
    </row>
    <row r="1375" customFormat="false" ht="15" hidden="false" customHeight="false" outlineLevel="0" collapsed="false">
      <c r="A1375" s="5" t="s">
        <v>4</v>
      </c>
      <c r="B1375" s="5" t="s">
        <v>55</v>
      </c>
      <c r="C1375" s="2" t="s">
        <v>56</v>
      </c>
      <c r="D1375" s="5" t="s">
        <v>81</v>
      </c>
      <c r="E1375" s="5" t="s">
        <v>62</v>
      </c>
      <c r="F1375" s="2" t="n">
        <v>20</v>
      </c>
      <c r="G1375" s="5" t="s">
        <v>67</v>
      </c>
      <c r="H1375" s="2" t="n">
        <v>1</v>
      </c>
      <c r="I1375" s="2" t="n">
        <v>1</v>
      </c>
      <c r="J1375" s="2" t="n">
        <v>1</v>
      </c>
      <c r="K1375" s="7" t="n">
        <v>0.7406372469</v>
      </c>
      <c r="L1375" s="7" t="n">
        <v>0.02682953397</v>
      </c>
      <c r="M1375" s="7" t="n">
        <v>0.04954498829</v>
      </c>
      <c r="N1375" s="7" t="n">
        <v>12</v>
      </c>
      <c r="O1375" s="7" t="n">
        <v>12</v>
      </c>
      <c r="P1375" s="7" t="n">
        <v>11</v>
      </c>
      <c r="Q1375" s="2"/>
      <c r="R1375" s="7" t="n">
        <v>2.070051</v>
      </c>
      <c r="S1375" s="5" t="s">
        <v>82</v>
      </c>
      <c r="T1375" s="5" t="s">
        <v>61</v>
      </c>
    </row>
    <row r="1376" customFormat="false" ht="15" hidden="false" customHeight="false" outlineLevel="0" collapsed="false">
      <c r="A1376" s="5" t="s">
        <v>4</v>
      </c>
      <c r="B1376" s="5" t="s">
        <v>55</v>
      </c>
      <c r="C1376" s="2" t="s">
        <v>56</v>
      </c>
      <c r="D1376" s="5" t="s">
        <v>81</v>
      </c>
      <c r="E1376" s="5" t="s">
        <v>58</v>
      </c>
      <c r="F1376" s="2" t="n">
        <v>20</v>
      </c>
      <c r="G1376" s="5" t="s">
        <v>68</v>
      </c>
      <c r="H1376" s="2" t="n">
        <v>1</v>
      </c>
      <c r="I1376" s="2" t="n">
        <v>1</v>
      </c>
      <c r="J1376" s="2" t="n">
        <v>1</v>
      </c>
      <c r="K1376" s="7" t="n">
        <v>0.4718657647</v>
      </c>
      <c r="L1376" s="7" t="n">
        <v>0.02103069486</v>
      </c>
      <c r="M1376" s="7" t="n">
        <v>0.03699691733</v>
      </c>
      <c r="N1376" s="7" t="n">
        <v>11</v>
      </c>
      <c r="O1376" s="7" t="n">
        <v>11</v>
      </c>
      <c r="P1376" s="7" t="n">
        <v>0</v>
      </c>
      <c r="Q1376" s="2"/>
      <c r="R1376" s="7" t="n">
        <v>1.737728</v>
      </c>
      <c r="S1376" s="5" t="s">
        <v>82</v>
      </c>
      <c r="T1376" s="5" t="s">
        <v>61</v>
      </c>
    </row>
    <row r="1377" customFormat="false" ht="15" hidden="false" customHeight="false" outlineLevel="0" collapsed="false">
      <c r="A1377" s="5" t="s">
        <v>4</v>
      </c>
      <c r="B1377" s="5" t="s">
        <v>55</v>
      </c>
      <c r="C1377" s="2" t="s">
        <v>56</v>
      </c>
      <c r="D1377" s="5" t="s">
        <v>81</v>
      </c>
      <c r="E1377" s="5" t="s">
        <v>62</v>
      </c>
      <c r="F1377" s="2" t="n">
        <v>20</v>
      </c>
      <c r="G1377" s="5" t="s">
        <v>68</v>
      </c>
      <c r="H1377" s="2" t="n">
        <v>1</v>
      </c>
      <c r="I1377" s="2" t="n">
        <v>1</v>
      </c>
      <c r="J1377" s="2" t="n">
        <v>1</v>
      </c>
      <c r="K1377" s="7" t="n">
        <v>0.4718657647</v>
      </c>
      <c r="L1377" s="7" t="n">
        <v>0.02103069486</v>
      </c>
      <c r="M1377" s="7" t="n">
        <v>0.03699691733</v>
      </c>
      <c r="N1377" s="7" t="n">
        <v>11</v>
      </c>
      <c r="O1377" s="7" t="n">
        <v>11</v>
      </c>
      <c r="P1377" s="7" t="n">
        <v>11</v>
      </c>
      <c r="Q1377" s="2"/>
      <c r="R1377" s="7" t="n">
        <v>2.429</v>
      </c>
      <c r="S1377" s="5" t="s">
        <v>82</v>
      </c>
      <c r="T1377" s="5" t="s">
        <v>61</v>
      </c>
    </row>
    <row r="1378" customFormat="false" ht="15" hidden="false" customHeight="false" outlineLevel="0" collapsed="false">
      <c r="A1378" s="5" t="s">
        <v>4</v>
      </c>
      <c r="B1378" s="5" t="s">
        <v>55</v>
      </c>
      <c r="C1378" s="2" t="s">
        <v>56</v>
      </c>
      <c r="D1378" s="5" t="s">
        <v>81</v>
      </c>
      <c r="E1378" s="5" t="s">
        <v>58</v>
      </c>
      <c r="F1378" s="2" t="n">
        <v>20</v>
      </c>
      <c r="G1378" s="5" t="s">
        <v>69</v>
      </c>
      <c r="H1378" s="2" t="n">
        <v>1</v>
      </c>
      <c r="I1378" s="2" t="n">
        <v>0</v>
      </c>
      <c r="J1378" s="2" t="n">
        <v>0</v>
      </c>
      <c r="K1378" s="2"/>
      <c r="L1378" s="2"/>
      <c r="M1378" s="2"/>
      <c r="N1378" s="7" t="n">
        <v>1</v>
      </c>
      <c r="O1378" s="7" t="n">
        <v>1</v>
      </c>
      <c r="P1378" s="7" t="n">
        <v>0</v>
      </c>
      <c r="Q1378" s="2"/>
      <c r="R1378" s="7" t="n">
        <v>2.429952</v>
      </c>
      <c r="S1378" s="5" t="s">
        <v>82</v>
      </c>
      <c r="T1378" s="5" t="s">
        <v>61</v>
      </c>
    </row>
    <row r="1379" customFormat="false" ht="15" hidden="false" customHeight="false" outlineLevel="0" collapsed="false">
      <c r="A1379" s="5" t="s">
        <v>4</v>
      </c>
      <c r="B1379" s="5" t="s">
        <v>55</v>
      </c>
      <c r="C1379" s="2" t="s">
        <v>56</v>
      </c>
      <c r="D1379" s="5" t="s">
        <v>81</v>
      </c>
      <c r="E1379" s="5" t="s">
        <v>62</v>
      </c>
      <c r="F1379" s="2" t="n">
        <v>20</v>
      </c>
      <c r="G1379" s="5" t="s">
        <v>69</v>
      </c>
      <c r="H1379" s="2" t="n">
        <v>1</v>
      </c>
      <c r="I1379" s="2" t="n">
        <v>0</v>
      </c>
      <c r="J1379" s="2" t="n">
        <v>0</v>
      </c>
      <c r="K1379" s="2"/>
      <c r="L1379" s="2"/>
      <c r="M1379" s="2"/>
      <c r="N1379" s="7" t="n">
        <v>1</v>
      </c>
      <c r="O1379" s="7" t="n">
        <v>1</v>
      </c>
      <c r="P1379" s="7" t="n">
        <v>0</v>
      </c>
      <c r="Q1379" s="2"/>
      <c r="R1379" s="7" t="n">
        <v>2.429791</v>
      </c>
      <c r="S1379" s="5" t="s">
        <v>82</v>
      </c>
      <c r="T1379" s="5" t="s">
        <v>61</v>
      </c>
    </row>
    <row r="1380" customFormat="false" ht="15" hidden="false" customHeight="false" outlineLevel="0" collapsed="false">
      <c r="A1380" s="5" t="s">
        <v>4</v>
      </c>
      <c r="B1380" s="5" t="s">
        <v>55</v>
      </c>
      <c r="C1380" s="2" t="s">
        <v>56</v>
      </c>
      <c r="D1380" s="5" t="s">
        <v>81</v>
      </c>
      <c r="E1380" s="5" t="s">
        <v>58</v>
      </c>
      <c r="F1380" s="2" t="n">
        <v>20</v>
      </c>
      <c r="G1380" s="5" t="s">
        <v>70</v>
      </c>
      <c r="H1380" s="2" t="n">
        <v>0</v>
      </c>
      <c r="I1380" s="2" t="n">
        <v>0</v>
      </c>
      <c r="J1380" s="2" t="n">
        <v>0</v>
      </c>
      <c r="K1380" s="2"/>
      <c r="L1380" s="2"/>
      <c r="M1380" s="2"/>
      <c r="N1380" s="7" t="n">
        <v>2</v>
      </c>
      <c r="O1380" s="7" t="n">
        <v>2</v>
      </c>
      <c r="P1380" s="7" t="n">
        <v>0</v>
      </c>
      <c r="Q1380" s="2"/>
      <c r="R1380" s="7" t="n">
        <v>2.258458</v>
      </c>
      <c r="S1380" s="5" t="s">
        <v>82</v>
      </c>
      <c r="T1380" s="5" t="s">
        <v>61</v>
      </c>
    </row>
    <row r="1381" customFormat="false" ht="15" hidden="false" customHeight="false" outlineLevel="0" collapsed="false">
      <c r="A1381" s="5" t="s">
        <v>4</v>
      </c>
      <c r="B1381" s="5" t="s">
        <v>55</v>
      </c>
      <c r="C1381" s="2" t="s">
        <v>56</v>
      </c>
      <c r="D1381" s="5" t="s">
        <v>81</v>
      </c>
      <c r="E1381" s="5" t="s">
        <v>62</v>
      </c>
      <c r="F1381" s="2" t="n">
        <v>20</v>
      </c>
      <c r="G1381" s="5" t="s">
        <v>70</v>
      </c>
      <c r="H1381" s="2" t="n">
        <v>0</v>
      </c>
      <c r="I1381" s="2" t="n">
        <v>0</v>
      </c>
      <c r="J1381" s="2" t="n">
        <v>0</v>
      </c>
      <c r="K1381" s="2"/>
      <c r="L1381" s="2"/>
      <c r="M1381" s="2"/>
      <c r="N1381" s="7" t="n">
        <v>2</v>
      </c>
      <c r="O1381" s="7" t="n">
        <v>2</v>
      </c>
      <c r="P1381" s="7" t="n">
        <v>0</v>
      </c>
      <c r="Q1381" s="2"/>
      <c r="R1381" s="7" t="n">
        <v>2.258398</v>
      </c>
      <c r="S1381" s="5" t="s">
        <v>82</v>
      </c>
      <c r="T1381" s="5" t="s">
        <v>61</v>
      </c>
    </row>
    <row r="1382" customFormat="false" ht="15" hidden="false" customHeight="false" outlineLevel="0" collapsed="false">
      <c r="A1382" s="5" t="s">
        <v>4</v>
      </c>
      <c r="B1382" s="5" t="s">
        <v>55</v>
      </c>
      <c r="C1382" s="2" t="s">
        <v>56</v>
      </c>
      <c r="D1382" s="5" t="s">
        <v>81</v>
      </c>
      <c r="E1382" s="5" t="s">
        <v>58</v>
      </c>
      <c r="F1382" s="2" t="n">
        <v>11</v>
      </c>
      <c r="G1382" s="5" t="s">
        <v>71</v>
      </c>
      <c r="H1382" s="2" t="n">
        <v>1</v>
      </c>
      <c r="I1382" s="2" t="n">
        <v>1</v>
      </c>
      <c r="J1382" s="2" t="n">
        <v>1</v>
      </c>
      <c r="K1382" s="7" t="n">
        <v>1.015489866</v>
      </c>
      <c r="L1382" s="7" t="n">
        <v>0.1190330091</v>
      </c>
      <c r="M1382" s="7" t="n">
        <v>0.133091995</v>
      </c>
      <c r="N1382" s="7" t="n">
        <v>6</v>
      </c>
      <c r="O1382" s="7" t="n">
        <v>6</v>
      </c>
      <c r="P1382" s="7" t="n">
        <v>0</v>
      </c>
      <c r="Q1382" s="2"/>
      <c r="R1382" s="7" t="n">
        <v>1.365537</v>
      </c>
      <c r="S1382" s="5" t="s">
        <v>82</v>
      </c>
      <c r="T1382" s="5" t="s">
        <v>61</v>
      </c>
    </row>
    <row r="1383" customFormat="false" ht="15" hidden="false" customHeight="false" outlineLevel="0" collapsed="false">
      <c r="A1383" s="5" t="s">
        <v>4</v>
      </c>
      <c r="B1383" s="5" t="s">
        <v>55</v>
      </c>
      <c r="C1383" s="2" t="s">
        <v>56</v>
      </c>
      <c r="D1383" s="5" t="s">
        <v>81</v>
      </c>
      <c r="E1383" s="5" t="s">
        <v>62</v>
      </c>
      <c r="F1383" s="2" t="n">
        <v>11</v>
      </c>
      <c r="G1383" s="5" t="s">
        <v>71</v>
      </c>
      <c r="H1383" s="2" t="n">
        <v>1</v>
      </c>
      <c r="I1383" s="2" t="n">
        <v>1</v>
      </c>
      <c r="J1383" s="2" t="n">
        <v>1</v>
      </c>
      <c r="K1383" s="7" t="n">
        <v>1.015489866</v>
      </c>
      <c r="L1383" s="7" t="n">
        <v>0.1190330091</v>
      </c>
      <c r="M1383" s="7" t="n">
        <v>0.133091995</v>
      </c>
      <c r="N1383" s="7" t="n">
        <v>6</v>
      </c>
      <c r="O1383" s="7" t="n">
        <v>6</v>
      </c>
      <c r="P1383" s="7" t="n">
        <v>6</v>
      </c>
      <c r="Q1383" s="2"/>
      <c r="R1383" s="7" t="n">
        <v>1.755394</v>
      </c>
      <c r="S1383" s="5" t="s">
        <v>82</v>
      </c>
      <c r="T1383" s="5" t="s">
        <v>61</v>
      </c>
    </row>
    <row r="1384" customFormat="false" ht="15" hidden="false" customHeight="false" outlineLevel="0" collapsed="false">
      <c r="A1384" s="5" t="s">
        <v>4</v>
      </c>
      <c r="B1384" s="5" t="s">
        <v>55</v>
      </c>
      <c r="C1384" s="2" t="s">
        <v>56</v>
      </c>
      <c r="D1384" s="5" t="s">
        <v>81</v>
      </c>
      <c r="E1384" s="5" t="s">
        <v>58</v>
      </c>
      <c r="F1384" s="2" t="n">
        <v>11</v>
      </c>
      <c r="G1384" s="5" t="s">
        <v>72</v>
      </c>
      <c r="H1384" s="2" t="n">
        <v>1</v>
      </c>
      <c r="I1384" s="2" t="n">
        <v>1</v>
      </c>
      <c r="J1384" s="2" t="n">
        <v>1</v>
      </c>
      <c r="K1384" s="7" t="n">
        <v>0.1947059832</v>
      </c>
      <c r="L1384" s="7" t="n">
        <v>0.03664368259</v>
      </c>
      <c r="M1384" s="7" t="n">
        <v>0.03781824847</v>
      </c>
      <c r="N1384" s="7" t="n">
        <v>5</v>
      </c>
      <c r="O1384" s="7" t="n">
        <v>5</v>
      </c>
      <c r="P1384" s="7" t="n">
        <v>0</v>
      </c>
      <c r="Q1384" s="2"/>
      <c r="R1384" s="7" t="n">
        <v>2.207643</v>
      </c>
      <c r="S1384" s="5" t="s">
        <v>82</v>
      </c>
      <c r="T1384" s="5" t="s">
        <v>61</v>
      </c>
    </row>
    <row r="1385" customFormat="false" ht="15" hidden="false" customHeight="false" outlineLevel="0" collapsed="false">
      <c r="A1385" s="5" t="s">
        <v>4</v>
      </c>
      <c r="B1385" s="5" t="s">
        <v>55</v>
      </c>
      <c r="C1385" s="2" t="s">
        <v>56</v>
      </c>
      <c r="D1385" s="5" t="s">
        <v>81</v>
      </c>
      <c r="E1385" s="5" t="s">
        <v>62</v>
      </c>
      <c r="F1385" s="2" t="n">
        <v>11</v>
      </c>
      <c r="G1385" s="5" t="s">
        <v>72</v>
      </c>
      <c r="H1385" s="2" t="n">
        <v>1</v>
      </c>
      <c r="I1385" s="2" t="n">
        <v>1</v>
      </c>
      <c r="J1385" s="2" t="n">
        <v>1</v>
      </c>
      <c r="K1385" s="7" t="n">
        <v>0.1947059832</v>
      </c>
      <c r="L1385" s="7" t="n">
        <v>0.03664368259</v>
      </c>
      <c r="M1385" s="7" t="n">
        <v>0.03781824847</v>
      </c>
      <c r="N1385" s="7" t="n">
        <v>5</v>
      </c>
      <c r="O1385" s="7" t="n">
        <v>5</v>
      </c>
      <c r="P1385" s="7" t="n">
        <v>5</v>
      </c>
      <c r="Q1385" s="2"/>
      <c r="R1385" s="7" t="n">
        <v>2.560985</v>
      </c>
      <c r="S1385" s="5" t="s">
        <v>82</v>
      </c>
      <c r="T1385" s="5" t="s">
        <v>61</v>
      </c>
    </row>
    <row r="1386" customFormat="false" ht="15" hidden="false" customHeight="false" outlineLevel="0" collapsed="false">
      <c r="A1386" s="5" t="s">
        <v>4</v>
      </c>
      <c r="B1386" s="5" t="s">
        <v>55</v>
      </c>
      <c r="C1386" s="2" t="s">
        <v>56</v>
      </c>
      <c r="D1386" s="5" t="s">
        <v>81</v>
      </c>
      <c r="E1386" s="5" t="s">
        <v>58</v>
      </c>
      <c r="F1386" s="2" t="n">
        <v>11</v>
      </c>
      <c r="G1386" s="5" t="s">
        <v>73</v>
      </c>
      <c r="H1386" s="2" t="n">
        <v>0</v>
      </c>
      <c r="I1386" s="2" t="n">
        <v>1</v>
      </c>
      <c r="J1386" s="2" t="n">
        <v>1</v>
      </c>
      <c r="K1386" s="7" t="n">
        <v>1.030769405</v>
      </c>
      <c r="L1386" s="7" t="n">
        <v>0.2811979872</v>
      </c>
      <c r="M1386" s="7" t="n">
        <v>0.2839925103</v>
      </c>
      <c r="N1386" s="7" t="n">
        <v>5</v>
      </c>
      <c r="O1386" s="7" t="n">
        <v>5</v>
      </c>
      <c r="P1386" s="7" t="n">
        <v>0</v>
      </c>
      <c r="Q1386" s="2"/>
      <c r="R1386" s="7" t="n">
        <v>2.168425</v>
      </c>
      <c r="S1386" s="5" t="s">
        <v>82</v>
      </c>
      <c r="T1386" s="5" t="s">
        <v>61</v>
      </c>
    </row>
    <row r="1387" customFormat="false" ht="15" hidden="false" customHeight="false" outlineLevel="0" collapsed="false">
      <c r="A1387" s="5" t="s">
        <v>4</v>
      </c>
      <c r="B1387" s="5" t="s">
        <v>55</v>
      </c>
      <c r="C1387" s="2" t="s">
        <v>56</v>
      </c>
      <c r="D1387" s="5" t="s">
        <v>81</v>
      </c>
      <c r="E1387" s="5" t="s">
        <v>62</v>
      </c>
      <c r="F1387" s="2" t="n">
        <v>11</v>
      </c>
      <c r="G1387" s="5" t="s">
        <v>73</v>
      </c>
      <c r="H1387" s="2" t="n">
        <v>0</v>
      </c>
      <c r="I1387" s="2" t="n">
        <v>1</v>
      </c>
      <c r="J1387" s="2" t="n">
        <v>1</v>
      </c>
      <c r="K1387" s="7" t="n">
        <v>1.030769405</v>
      </c>
      <c r="L1387" s="7" t="n">
        <v>0.2811979872</v>
      </c>
      <c r="M1387" s="7" t="n">
        <v>0.2839925103</v>
      </c>
      <c r="N1387" s="7" t="n">
        <v>5</v>
      </c>
      <c r="O1387" s="7" t="n">
        <v>5</v>
      </c>
      <c r="P1387" s="7" t="n">
        <v>5</v>
      </c>
      <c r="Q1387" s="2"/>
      <c r="R1387" s="7" t="n">
        <v>2.485023</v>
      </c>
      <c r="S1387" s="5" t="s">
        <v>82</v>
      </c>
      <c r="T1387" s="5" t="s">
        <v>61</v>
      </c>
    </row>
    <row r="1388" customFormat="false" ht="15" hidden="false" customHeight="false" outlineLevel="0" collapsed="false">
      <c r="A1388" s="5" t="s">
        <v>4</v>
      </c>
      <c r="B1388" s="5" t="s">
        <v>55</v>
      </c>
      <c r="C1388" s="2" t="s">
        <v>56</v>
      </c>
      <c r="D1388" s="5" t="s">
        <v>81</v>
      </c>
      <c r="E1388" s="5" t="s">
        <v>58</v>
      </c>
      <c r="F1388" s="2" t="n">
        <v>12</v>
      </c>
      <c r="G1388" s="5" t="s">
        <v>71</v>
      </c>
      <c r="H1388" s="2" t="n">
        <v>1</v>
      </c>
      <c r="I1388" s="2" t="n">
        <v>1</v>
      </c>
      <c r="J1388" s="2" t="n">
        <v>1</v>
      </c>
      <c r="K1388" s="7" t="n">
        <v>0.2182025281</v>
      </c>
      <c r="L1388" s="7" t="n">
        <v>0.02027146632</v>
      </c>
      <c r="M1388" s="7" t="n">
        <v>0.02388946868</v>
      </c>
      <c r="N1388" s="7" t="n">
        <v>5</v>
      </c>
      <c r="O1388" s="7" t="n">
        <v>5</v>
      </c>
      <c r="P1388" s="7" t="n">
        <v>0</v>
      </c>
      <c r="Q1388" s="2"/>
      <c r="R1388" s="7" t="n">
        <v>1.231911</v>
      </c>
      <c r="S1388" s="5" t="s">
        <v>82</v>
      </c>
      <c r="T1388" s="5" t="s">
        <v>61</v>
      </c>
    </row>
    <row r="1389" customFormat="false" ht="15" hidden="false" customHeight="false" outlineLevel="0" collapsed="false">
      <c r="A1389" s="5" t="s">
        <v>4</v>
      </c>
      <c r="B1389" s="5" t="s">
        <v>55</v>
      </c>
      <c r="C1389" s="2" t="s">
        <v>56</v>
      </c>
      <c r="D1389" s="5" t="s">
        <v>81</v>
      </c>
      <c r="E1389" s="5" t="s">
        <v>62</v>
      </c>
      <c r="F1389" s="2" t="n">
        <v>12</v>
      </c>
      <c r="G1389" s="5" t="s">
        <v>71</v>
      </c>
      <c r="H1389" s="2" t="n">
        <v>1</v>
      </c>
      <c r="I1389" s="2" t="n">
        <v>1</v>
      </c>
      <c r="J1389" s="2" t="n">
        <v>1</v>
      </c>
      <c r="K1389" s="7" t="n">
        <v>0.2182025281</v>
      </c>
      <c r="L1389" s="7" t="n">
        <v>0.02027146632</v>
      </c>
      <c r="M1389" s="7" t="n">
        <v>0.02388946868</v>
      </c>
      <c r="N1389" s="7" t="n">
        <v>5</v>
      </c>
      <c r="O1389" s="7" t="n">
        <v>5</v>
      </c>
      <c r="P1389" s="7" t="n">
        <v>5</v>
      </c>
      <c r="Q1389" s="2"/>
      <c r="R1389" s="7" t="n">
        <v>1.559314</v>
      </c>
      <c r="S1389" s="5" t="s">
        <v>82</v>
      </c>
      <c r="T1389" s="5" t="s">
        <v>61</v>
      </c>
    </row>
    <row r="1390" customFormat="false" ht="15" hidden="false" customHeight="false" outlineLevel="0" collapsed="false">
      <c r="A1390" s="5" t="s">
        <v>4</v>
      </c>
      <c r="B1390" s="5" t="s">
        <v>55</v>
      </c>
      <c r="C1390" s="2" t="s">
        <v>56</v>
      </c>
      <c r="D1390" s="5" t="s">
        <v>81</v>
      </c>
      <c r="E1390" s="5" t="s">
        <v>58</v>
      </c>
      <c r="F1390" s="2" t="n">
        <v>12</v>
      </c>
      <c r="G1390" s="5" t="s">
        <v>72</v>
      </c>
      <c r="H1390" s="2" t="n">
        <v>1</v>
      </c>
      <c r="I1390" s="2" t="n">
        <v>1</v>
      </c>
      <c r="J1390" s="2" t="n">
        <v>1</v>
      </c>
      <c r="K1390" s="7" t="n">
        <v>0.2966814904</v>
      </c>
      <c r="L1390" s="7" t="n">
        <v>0.04971622729</v>
      </c>
      <c r="M1390" s="7" t="n">
        <v>0.05429243037</v>
      </c>
      <c r="N1390" s="7" t="n">
        <v>8</v>
      </c>
      <c r="O1390" s="7" t="n">
        <v>8</v>
      </c>
      <c r="P1390" s="7" t="n">
        <v>0</v>
      </c>
      <c r="Q1390" s="2"/>
      <c r="R1390" s="7" t="n">
        <v>2.169486</v>
      </c>
      <c r="S1390" s="5" t="s">
        <v>82</v>
      </c>
      <c r="T1390" s="5" t="s">
        <v>61</v>
      </c>
    </row>
    <row r="1391" customFormat="false" ht="15" hidden="false" customHeight="false" outlineLevel="0" collapsed="false">
      <c r="A1391" s="5" t="s">
        <v>4</v>
      </c>
      <c r="B1391" s="5" t="s">
        <v>55</v>
      </c>
      <c r="C1391" s="2" t="s">
        <v>56</v>
      </c>
      <c r="D1391" s="5" t="s">
        <v>81</v>
      </c>
      <c r="E1391" s="5" t="s">
        <v>62</v>
      </c>
      <c r="F1391" s="2" t="n">
        <v>12</v>
      </c>
      <c r="G1391" s="5" t="s">
        <v>72</v>
      </c>
      <c r="H1391" s="2" t="n">
        <v>1</v>
      </c>
      <c r="I1391" s="2" t="n">
        <v>1</v>
      </c>
      <c r="J1391" s="2" t="n">
        <v>1</v>
      </c>
      <c r="K1391" s="7" t="n">
        <v>0.2966814904</v>
      </c>
      <c r="L1391" s="7" t="n">
        <v>0.04971622729</v>
      </c>
      <c r="M1391" s="7" t="n">
        <v>0.05429243037</v>
      </c>
      <c r="N1391" s="7" t="n">
        <v>8</v>
      </c>
      <c r="O1391" s="7" t="n">
        <v>8</v>
      </c>
      <c r="P1391" s="7" t="n">
        <v>8</v>
      </c>
      <c r="Q1391" s="2"/>
      <c r="R1391" s="7" t="n">
        <v>2.737616</v>
      </c>
      <c r="S1391" s="5" t="s">
        <v>82</v>
      </c>
      <c r="T1391" s="5" t="s">
        <v>61</v>
      </c>
    </row>
    <row r="1392" customFormat="false" ht="15" hidden="false" customHeight="false" outlineLevel="0" collapsed="false">
      <c r="A1392" s="5" t="s">
        <v>4</v>
      </c>
      <c r="B1392" s="5" t="s">
        <v>55</v>
      </c>
      <c r="C1392" s="2" t="s">
        <v>56</v>
      </c>
      <c r="D1392" s="5" t="s">
        <v>81</v>
      </c>
      <c r="E1392" s="5" t="s">
        <v>58</v>
      </c>
      <c r="F1392" s="2" t="n">
        <v>12</v>
      </c>
      <c r="G1392" s="5" t="s">
        <v>73</v>
      </c>
      <c r="H1392" s="2" t="n">
        <v>0</v>
      </c>
      <c r="I1392" s="2" t="n">
        <v>1</v>
      </c>
      <c r="J1392" s="2" t="n">
        <v>1</v>
      </c>
      <c r="K1392" s="7" t="n">
        <v>0.4200201768</v>
      </c>
      <c r="L1392" s="7" t="n">
        <v>0.02184537002</v>
      </c>
      <c r="M1392" s="7" t="n">
        <v>0.03445871732</v>
      </c>
      <c r="N1392" s="7" t="n">
        <v>4</v>
      </c>
      <c r="O1392" s="7" t="n">
        <v>4</v>
      </c>
      <c r="P1392" s="7" t="n">
        <v>0</v>
      </c>
      <c r="Q1392" s="2"/>
      <c r="R1392" s="7" t="n">
        <v>2.007688</v>
      </c>
      <c r="S1392" s="5" t="s">
        <v>82</v>
      </c>
      <c r="T1392" s="5" t="s">
        <v>61</v>
      </c>
    </row>
    <row r="1393" customFormat="false" ht="15" hidden="false" customHeight="false" outlineLevel="0" collapsed="false">
      <c r="A1393" s="5" t="s">
        <v>4</v>
      </c>
      <c r="B1393" s="5" t="s">
        <v>55</v>
      </c>
      <c r="C1393" s="2" t="s">
        <v>56</v>
      </c>
      <c r="D1393" s="5" t="s">
        <v>81</v>
      </c>
      <c r="E1393" s="5" t="s">
        <v>62</v>
      </c>
      <c r="F1393" s="2" t="n">
        <v>12</v>
      </c>
      <c r="G1393" s="5" t="s">
        <v>73</v>
      </c>
      <c r="H1393" s="2" t="n">
        <v>0</v>
      </c>
      <c r="I1393" s="2" t="n">
        <v>1</v>
      </c>
      <c r="J1393" s="2" t="n">
        <v>0</v>
      </c>
      <c r="K1393" s="7" t="n">
        <v>9.78762917</v>
      </c>
      <c r="L1393" s="7" t="n">
        <v>3.376316469</v>
      </c>
      <c r="M1393" s="7" t="n">
        <v>3.377334475</v>
      </c>
      <c r="N1393" s="7" t="n">
        <v>4</v>
      </c>
      <c r="O1393" s="7" t="n">
        <v>4</v>
      </c>
      <c r="P1393" s="7" t="n">
        <v>3</v>
      </c>
      <c r="Q1393" s="2"/>
      <c r="R1393" s="7" t="n">
        <v>2.322023</v>
      </c>
      <c r="S1393" s="5" t="s">
        <v>82</v>
      </c>
      <c r="T1393" s="5" t="s">
        <v>61</v>
      </c>
    </row>
    <row r="1394" customFormat="false" ht="15" hidden="false" customHeight="false" outlineLevel="0" collapsed="false">
      <c r="A1394" s="5" t="s">
        <v>4</v>
      </c>
      <c r="B1394" s="5" t="s">
        <v>55</v>
      </c>
      <c r="C1394" s="2" t="s">
        <v>56</v>
      </c>
      <c r="D1394" s="5" t="s">
        <v>81</v>
      </c>
      <c r="E1394" s="5" t="s">
        <v>58</v>
      </c>
      <c r="F1394" s="2" t="n">
        <v>13</v>
      </c>
      <c r="G1394" s="5" t="s">
        <v>71</v>
      </c>
      <c r="H1394" s="2" t="n">
        <v>1</v>
      </c>
      <c r="I1394" s="2" t="n">
        <v>1</v>
      </c>
      <c r="J1394" s="2" t="n">
        <v>1</v>
      </c>
      <c r="K1394" s="7" t="n">
        <v>0.540199464</v>
      </c>
      <c r="L1394" s="7" t="n">
        <v>0.02749740898</v>
      </c>
      <c r="M1394" s="7" t="n">
        <v>0.04168406759</v>
      </c>
      <c r="N1394" s="7" t="n">
        <v>7</v>
      </c>
      <c r="O1394" s="7" t="n">
        <v>7</v>
      </c>
      <c r="P1394" s="7" t="n">
        <v>0</v>
      </c>
      <c r="Q1394" s="2"/>
      <c r="R1394" s="7" t="n">
        <v>1.704068</v>
      </c>
      <c r="S1394" s="5" t="s">
        <v>82</v>
      </c>
      <c r="T1394" s="5" t="s">
        <v>61</v>
      </c>
    </row>
    <row r="1395" customFormat="false" ht="15" hidden="false" customHeight="false" outlineLevel="0" collapsed="false">
      <c r="A1395" s="5" t="s">
        <v>4</v>
      </c>
      <c r="B1395" s="5" t="s">
        <v>55</v>
      </c>
      <c r="C1395" s="2" t="s">
        <v>56</v>
      </c>
      <c r="D1395" s="5" t="s">
        <v>81</v>
      </c>
      <c r="E1395" s="5" t="s">
        <v>62</v>
      </c>
      <c r="F1395" s="2" t="n">
        <v>13</v>
      </c>
      <c r="G1395" s="5" t="s">
        <v>71</v>
      </c>
      <c r="H1395" s="2" t="n">
        <v>1</v>
      </c>
      <c r="I1395" s="2" t="n">
        <v>1</v>
      </c>
      <c r="J1395" s="2" t="n">
        <v>1</v>
      </c>
      <c r="K1395" s="7" t="n">
        <v>0.540199464</v>
      </c>
      <c r="L1395" s="7" t="n">
        <v>0.02749740898</v>
      </c>
      <c r="M1395" s="7" t="n">
        <v>0.04168406759</v>
      </c>
      <c r="N1395" s="7" t="n">
        <v>7</v>
      </c>
      <c r="O1395" s="7" t="n">
        <v>7</v>
      </c>
      <c r="P1395" s="7" t="n">
        <v>7</v>
      </c>
      <c r="Q1395" s="2"/>
      <c r="R1395" s="7" t="n">
        <v>2.186001</v>
      </c>
      <c r="S1395" s="5" t="s">
        <v>82</v>
      </c>
      <c r="T1395" s="5" t="s">
        <v>61</v>
      </c>
    </row>
    <row r="1396" customFormat="false" ht="15" hidden="false" customHeight="false" outlineLevel="0" collapsed="false">
      <c r="A1396" s="5" t="s">
        <v>4</v>
      </c>
      <c r="B1396" s="5" t="s">
        <v>55</v>
      </c>
      <c r="C1396" s="2" t="s">
        <v>56</v>
      </c>
      <c r="D1396" s="5" t="s">
        <v>81</v>
      </c>
      <c r="E1396" s="5" t="s">
        <v>58</v>
      </c>
      <c r="F1396" s="2" t="n">
        <v>13</v>
      </c>
      <c r="G1396" s="5" t="s">
        <v>72</v>
      </c>
      <c r="H1396" s="2" t="n">
        <v>1</v>
      </c>
      <c r="I1396" s="2" t="n">
        <v>0</v>
      </c>
      <c r="J1396" s="2" t="n">
        <v>0</v>
      </c>
      <c r="K1396" s="2"/>
      <c r="L1396" s="2"/>
      <c r="M1396" s="2"/>
      <c r="N1396" s="7" t="n">
        <v>2</v>
      </c>
      <c r="O1396" s="7" t="n">
        <v>2</v>
      </c>
      <c r="P1396" s="7" t="n">
        <v>0</v>
      </c>
      <c r="Q1396" s="2"/>
      <c r="R1396" s="7" t="n">
        <v>2.194654</v>
      </c>
      <c r="S1396" s="5" t="s">
        <v>82</v>
      </c>
      <c r="T1396" s="5" t="s">
        <v>61</v>
      </c>
    </row>
    <row r="1397" customFormat="false" ht="15" hidden="false" customHeight="false" outlineLevel="0" collapsed="false">
      <c r="A1397" s="5" t="s">
        <v>4</v>
      </c>
      <c r="B1397" s="5" t="s">
        <v>55</v>
      </c>
      <c r="C1397" s="2" t="s">
        <v>56</v>
      </c>
      <c r="D1397" s="5" t="s">
        <v>81</v>
      </c>
      <c r="E1397" s="5" t="s">
        <v>62</v>
      </c>
      <c r="F1397" s="2" t="n">
        <v>13</v>
      </c>
      <c r="G1397" s="5" t="s">
        <v>72</v>
      </c>
      <c r="H1397" s="2" t="n">
        <v>1</v>
      </c>
      <c r="I1397" s="2" t="n">
        <v>0</v>
      </c>
      <c r="J1397" s="2" t="n">
        <v>0</v>
      </c>
      <c r="K1397" s="2"/>
      <c r="L1397" s="2"/>
      <c r="M1397" s="2"/>
      <c r="N1397" s="7" t="n">
        <v>2</v>
      </c>
      <c r="O1397" s="7" t="n">
        <v>2</v>
      </c>
      <c r="P1397" s="7" t="n">
        <v>0</v>
      </c>
      <c r="Q1397" s="2"/>
      <c r="R1397" s="7" t="n">
        <v>2.194513</v>
      </c>
      <c r="S1397" s="5" t="s">
        <v>82</v>
      </c>
      <c r="T1397" s="5" t="s">
        <v>61</v>
      </c>
    </row>
    <row r="1398" customFormat="false" ht="15" hidden="false" customHeight="false" outlineLevel="0" collapsed="false">
      <c r="A1398" s="5" t="s">
        <v>4</v>
      </c>
      <c r="B1398" s="5" t="s">
        <v>55</v>
      </c>
      <c r="C1398" s="2" t="s">
        <v>56</v>
      </c>
      <c r="D1398" s="5" t="s">
        <v>81</v>
      </c>
      <c r="E1398" s="5" t="s">
        <v>58</v>
      </c>
      <c r="F1398" s="2" t="n">
        <v>13</v>
      </c>
      <c r="G1398" s="5" t="s">
        <v>73</v>
      </c>
      <c r="H1398" s="2" t="n">
        <v>0</v>
      </c>
      <c r="I1398" s="2" t="n">
        <v>0</v>
      </c>
      <c r="J1398" s="2" t="n">
        <v>0</v>
      </c>
      <c r="K1398" s="2"/>
      <c r="L1398" s="2"/>
      <c r="M1398" s="2"/>
      <c r="N1398" s="7" t="n">
        <v>1</v>
      </c>
      <c r="O1398" s="7" t="n">
        <v>1</v>
      </c>
      <c r="P1398" s="7" t="n">
        <v>0</v>
      </c>
      <c r="Q1398" s="2"/>
      <c r="R1398" s="7" t="n">
        <v>2.171289</v>
      </c>
      <c r="S1398" s="5" t="s">
        <v>82</v>
      </c>
      <c r="T1398" s="5" t="s">
        <v>61</v>
      </c>
    </row>
    <row r="1399" customFormat="false" ht="15" hidden="false" customHeight="false" outlineLevel="0" collapsed="false">
      <c r="A1399" s="5" t="s">
        <v>4</v>
      </c>
      <c r="B1399" s="5" t="s">
        <v>55</v>
      </c>
      <c r="C1399" s="2" t="s">
        <v>56</v>
      </c>
      <c r="D1399" s="5" t="s">
        <v>81</v>
      </c>
      <c r="E1399" s="5" t="s">
        <v>62</v>
      </c>
      <c r="F1399" s="2" t="n">
        <v>13</v>
      </c>
      <c r="G1399" s="5" t="s">
        <v>73</v>
      </c>
      <c r="H1399" s="2" t="n">
        <v>0</v>
      </c>
      <c r="I1399" s="2" t="n">
        <v>0</v>
      </c>
      <c r="J1399" s="2" t="n">
        <v>0</v>
      </c>
      <c r="K1399" s="2"/>
      <c r="L1399" s="2"/>
      <c r="M1399" s="2"/>
      <c r="N1399" s="7" t="n">
        <v>1</v>
      </c>
      <c r="O1399" s="7" t="n">
        <v>1</v>
      </c>
      <c r="P1399" s="7" t="n">
        <v>0</v>
      </c>
      <c r="Q1399" s="2"/>
      <c r="R1399" s="7" t="n">
        <v>2.171169</v>
      </c>
      <c r="S1399" s="5" t="s">
        <v>82</v>
      </c>
      <c r="T1399" s="5" t="s">
        <v>61</v>
      </c>
    </row>
    <row r="1400" customFormat="false" ht="15" hidden="false" customHeight="false" outlineLevel="0" collapsed="false">
      <c r="A1400" s="5" t="s">
        <v>4</v>
      </c>
      <c r="B1400" s="5" t="s">
        <v>55</v>
      </c>
      <c r="C1400" s="2" t="s">
        <v>56</v>
      </c>
      <c r="D1400" s="5" t="s">
        <v>81</v>
      </c>
      <c r="E1400" s="5" t="s">
        <v>58</v>
      </c>
      <c r="F1400" s="2" t="n">
        <v>14</v>
      </c>
      <c r="G1400" s="5" t="s">
        <v>71</v>
      </c>
      <c r="H1400" s="2" t="n">
        <v>1</v>
      </c>
      <c r="I1400" s="2" t="n">
        <v>1</v>
      </c>
      <c r="J1400" s="2" t="n">
        <v>1</v>
      </c>
      <c r="K1400" s="7" t="n">
        <v>0.9353611198</v>
      </c>
      <c r="L1400" s="7" t="n">
        <v>0.04055739256</v>
      </c>
      <c r="M1400" s="7" t="n">
        <v>0.06662492754</v>
      </c>
      <c r="N1400" s="7" t="n">
        <v>4</v>
      </c>
      <c r="O1400" s="7" t="n">
        <v>4</v>
      </c>
      <c r="P1400" s="7" t="n">
        <v>0</v>
      </c>
      <c r="Q1400" s="2"/>
      <c r="R1400" s="7" t="n">
        <v>1.512195</v>
      </c>
      <c r="S1400" s="5" t="s">
        <v>82</v>
      </c>
      <c r="T1400" s="5" t="s">
        <v>61</v>
      </c>
    </row>
    <row r="1401" customFormat="false" ht="15" hidden="false" customHeight="false" outlineLevel="0" collapsed="false">
      <c r="A1401" s="5" t="s">
        <v>4</v>
      </c>
      <c r="B1401" s="5" t="s">
        <v>55</v>
      </c>
      <c r="C1401" s="2" t="s">
        <v>56</v>
      </c>
      <c r="D1401" s="5" t="s">
        <v>81</v>
      </c>
      <c r="E1401" s="5" t="s">
        <v>62</v>
      </c>
      <c r="F1401" s="2" t="n">
        <v>14</v>
      </c>
      <c r="G1401" s="5" t="s">
        <v>71</v>
      </c>
      <c r="H1401" s="2" t="n">
        <v>1</v>
      </c>
      <c r="I1401" s="2" t="n">
        <v>1</v>
      </c>
      <c r="J1401" s="2" t="n">
        <v>1</v>
      </c>
      <c r="K1401" s="7" t="n">
        <v>0.9353611198</v>
      </c>
      <c r="L1401" s="7" t="n">
        <v>0.04055739256</v>
      </c>
      <c r="M1401" s="7" t="n">
        <v>0.06662492754</v>
      </c>
      <c r="N1401" s="7" t="n">
        <v>4</v>
      </c>
      <c r="O1401" s="7" t="n">
        <v>4</v>
      </c>
      <c r="P1401" s="7" t="n">
        <v>4</v>
      </c>
      <c r="Q1401" s="2"/>
      <c r="R1401" s="7" t="n">
        <v>1.782895</v>
      </c>
      <c r="S1401" s="5" t="s">
        <v>82</v>
      </c>
      <c r="T1401" s="5" t="s">
        <v>61</v>
      </c>
    </row>
    <row r="1402" customFormat="false" ht="15" hidden="false" customHeight="false" outlineLevel="0" collapsed="false">
      <c r="A1402" s="5" t="s">
        <v>4</v>
      </c>
      <c r="B1402" s="5" t="s">
        <v>55</v>
      </c>
      <c r="C1402" s="2" t="s">
        <v>56</v>
      </c>
      <c r="D1402" s="5" t="s">
        <v>81</v>
      </c>
      <c r="E1402" s="5" t="s">
        <v>58</v>
      </c>
      <c r="F1402" s="2" t="n">
        <v>14</v>
      </c>
      <c r="G1402" s="5" t="s">
        <v>72</v>
      </c>
      <c r="H1402" s="2" t="n">
        <v>1</v>
      </c>
      <c r="I1402" s="2" t="n">
        <v>1</v>
      </c>
      <c r="J1402" s="2" t="n">
        <v>1</v>
      </c>
      <c r="K1402" s="7" t="n">
        <v>0.2099481557</v>
      </c>
      <c r="L1402" s="7" t="n">
        <v>0.07918541804</v>
      </c>
      <c r="M1402" s="7" t="n">
        <v>0.08083386974</v>
      </c>
      <c r="N1402" s="7" t="n">
        <v>6</v>
      </c>
      <c r="O1402" s="7" t="n">
        <v>6</v>
      </c>
      <c r="P1402" s="7" t="n">
        <v>0</v>
      </c>
      <c r="Q1402" s="2"/>
      <c r="R1402" s="7" t="n">
        <v>2.330325</v>
      </c>
      <c r="S1402" s="5" t="s">
        <v>82</v>
      </c>
      <c r="T1402" s="5" t="s">
        <v>61</v>
      </c>
    </row>
    <row r="1403" customFormat="false" ht="15" hidden="false" customHeight="false" outlineLevel="0" collapsed="false">
      <c r="A1403" s="5" t="s">
        <v>4</v>
      </c>
      <c r="B1403" s="5" t="s">
        <v>55</v>
      </c>
      <c r="C1403" s="2" t="s">
        <v>56</v>
      </c>
      <c r="D1403" s="5" t="s">
        <v>81</v>
      </c>
      <c r="E1403" s="5" t="s">
        <v>62</v>
      </c>
      <c r="F1403" s="2" t="n">
        <v>14</v>
      </c>
      <c r="G1403" s="5" t="s">
        <v>72</v>
      </c>
      <c r="H1403" s="2" t="n">
        <v>1</v>
      </c>
      <c r="I1403" s="2" t="n">
        <v>1</v>
      </c>
      <c r="J1403" s="2" t="n">
        <v>1</v>
      </c>
      <c r="K1403" s="7" t="n">
        <v>0.2099481557</v>
      </c>
      <c r="L1403" s="7" t="n">
        <v>0.07918541804</v>
      </c>
      <c r="M1403" s="7" t="n">
        <v>0.08083386974</v>
      </c>
      <c r="N1403" s="7" t="n">
        <v>6</v>
      </c>
      <c r="O1403" s="7" t="n">
        <v>6</v>
      </c>
      <c r="P1403" s="7" t="n">
        <v>6</v>
      </c>
      <c r="Q1403" s="2"/>
      <c r="R1403" s="7" t="n">
        <v>2.744407</v>
      </c>
      <c r="S1403" s="5" t="s">
        <v>82</v>
      </c>
      <c r="T1403" s="5" t="s">
        <v>61</v>
      </c>
    </row>
    <row r="1404" customFormat="false" ht="15" hidden="false" customHeight="false" outlineLevel="0" collapsed="false">
      <c r="A1404" s="5" t="s">
        <v>4</v>
      </c>
      <c r="B1404" s="5" t="s">
        <v>55</v>
      </c>
      <c r="C1404" s="2" t="s">
        <v>56</v>
      </c>
      <c r="D1404" s="5" t="s">
        <v>81</v>
      </c>
      <c r="E1404" s="5" t="s">
        <v>58</v>
      </c>
      <c r="F1404" s="2" t="n">
        <v>14</v>
      </c>
      <c r="G1404" s="5" t="s">
        <v>73</v>
      </c>
      <c r="H1404" s="2" t="n">
        <v>0</v>
      </c>
      <c r="I1404" s="2" t="n">
        <v>1</v>
      </c>
      <c r="J1404" s="2" t="n">
        <v>1</v>
      </c>
      <c r="K1404" s="7" t="n">
        <v>0.6368640013</v>
      </c>
      <c r="L1404" s="7" t="n">
        <v>0.3873281188</v>
      </c>
      <c r="M1404" s="7" t="n">
        <v>0.3847448111</v>
      </c>
      <c r="N1404" s="7" t="n">
        <v>6</v>
      </c>
      <c r="O1404" s="7" t="n">
        <v>6</v>
      </c>
      <c r="P1404" s="7" t="n">
        <v>0</v>
      </c>
      <c r="Q1404" s="2"/>
      <c r="R1404" s="7" t="n">
        <v>2.460776</v>
      </c>
      <c r="S1404" s="5" t="s">
        <v>82</v>
      </c>
      <c r="T1404" s="5" t="s">
        <v>61</v>
      </c>
    </row>
    <row r="1405" customFormat="false" ht="15" hidden="false" customHeight="false" outlineLevel="0" collapsed="false">
      <c r="A1405" s="5" t="s">
        <v>4</v>
      </c>
      <c r="B1405" s="5" t="s">
        <v>55</v>
      </c>
      <c r="C1405" s="2" t="s">
        <v>56</v>
      </c>
      <c r="D1405" s="5" t="s">
        <v>81</v>
      </c>
      <c r="E1405" s="5" t="s">
        <v>62</v>
      </c>
      <c r="F1405" s="2" t="n">
        <v>14</v>
      </c>
      <c r="G1405" s="5" t="s">
        <v>73</v>
      </c>
      <c r="H1405" s="2" t="n">
        <v>0</v>
      </c>
      <c r="I1405" s="2" t="n">
        <v>1</v>
      </c>
      <c r="J1405" s="2" t="n">
        <v>1</v>
      </c>
      <c r="K1405" s="7" t="n">
        <v>0.6368640013</v>
      </c>
      <c r="L1405" s="7" t="n">
        <v>0.3873281188</v>
      </c>
      <c r="M1405" s="7" t="n">
        <v>0.3847448111</v>
      </c>
      <c r="N1405" s="7" t="n">
        <v>6</v>
      </c>
      <c r="O1405" s="7" t="n">
        <v>6</v>
      </c>
      <c r="P1405" s="7" t="n">
        <v>6</v>
      </c>
      <c r="Q1405" s="2"/>
      <c r="R1405" s="7" t="n">
        <v>2.866165</v>
      </c>
      <c r="S1405" s="5" t="s">
        <v>82</v>
      </c>
      <c r="T1405" s="5" t="s">
        <v>61</v>
      </c>
    </row>
    <row r="1406" customFormat="false" ht="15" hidden="false" customHeight="false" outlineLevel="0" collapsed="false">
      <c r="A1406" s="5" t="s">
        <v>4</v>
      </c>
      <c r="B1406" s="5" t="s">
        <v>55</v>
      </c>
      <c r="C1406" s="2" t="s">
        <v>56</v>
      </c>
      <c r="D1406" s="5" t="s">
        <v>81</v>
      </c>
      <c r="E1406" s="5" t="s">
        <v>58</v>
      </c>
      <c r="F1406" s="2" t="n">
        <v>15</v>
      </c>
      <c r="G1406" s="5" t="s">
        <v>71</v>
      </c>
      <c r="H1406" s="2" t="n">
        <v>1</v>
      </c>
      <c r="I1406" s="2" t="n">
        <v>1</v>
      </c>
      <c r="J1406" s="2" t="n">
        <v>1</v>
      </c>
      <c r="K1406" s="7" t="n">
        <v>0.4615579918</v>
      </c>
      <c r="L1406" s="7" t="n">
        <v>0.01501175815</v>
      </c>
      <c r="M1406" s="7" t="n">
        <v>0.03037184656</v>
      </c>
      <c r="N1406" s="7" t="n">
        <v>8</v>
      </c>
      <c r="O1406" s="7" t="n">
        <v>8</v>
      </c>
      <c r="P1406" s="7" t="n">
        <v>0</v>
      </c>
      <c r="Q1406" s="2"/>
      <c r="R1406" s="7" t="n">
        <v>1.307993</v>
      </c>
      <c r="S1406" s="5" t="s">
        <v>82</v>
      </c>
      <c r="T1406" s="5" t="s">
        <v>61</v>
      </c>
    </row>
    <row r="1407" customFormat="false" ht="15" hidden="false" customHeight="false" outlineLevel="0" collapsed="false">
      <c r="A1407" s="5" t="s">
        <v>4</v>
      </c>
      <c r="B1407" s="5" t="s">
        <v>55</v>
      </c>
      <c r="C1407" s="2" t="s">
        <v>56</v>
      </c>
      <c r="D1407" s="5" t="s">
        <v>81</v>
      </c>
      <c r="E1407" s="5" t="s">
        <v>62</v>
      </c>
      <c r="F1407" s="2" t="n">
        <v>15</v>
      </c>
      <c r="G1407" s="5" t="s">
        <v>71</v>
      </c>
      <c r="H1407" s="2" t="n">
        <v>1</v>
      </c>
      <c r="I1407" s="2" t="n">
        <v>1</v>
      </c>
      <c r="J1407" s="2" t="n">
        <v>1</v>
      </c>
      <c r="K1407" s="7" t="n">
        <v>0.4615579918</v>
      </c>
      <c r="L1407" s="7" t="n">
        <v>0.01501175815</v>
      </c>
      <c r="M1407" s="7" t="n">
        <v>0.03037184656</v>
      </c>
      <c r="N1407" s="7" t="n">
        <v>8</v>
      </c>
      <c r="O1407" s="7" t="n">
        <v>8</v>
      </c>
      <c r="P1407" s="7" t="n">
        <v>8</v>
      </c>
      <c r="Q1407" s="2"/>
      <c r="R1407" s="7" t="n">
        <v>1.899017</v>
      </c>
      <c r="S1407" s="5" t="s">
        <v>82</v>
      </c>
      <c r="T1407" s="5" t="s">
        <v>61</v>
      </c>
    </row>
    <row r="1408" customFormat="false" ht="15" hidden="false" customHeight="false" outlineLevel="0" collapsed="false">
      <c r="A1408" s="5" t="s">
        <v>4</v>
      </c>
      <c r="B1408" s="5" t="s">
        <v>55</v>
      </c>
      <c r="C1408" s="2" t="s">
        <v>56</v>
      </c>
      <c r="D1408" s="5" t="s">
        <v>81</v>
      </c>
      <c r="E1408" s="5" t="s">
        <v>58</v>
      </c>
      <c r="F1408" s="2" t="n">
        <v>15</v>
      </c>
      <c r="G1408" s="5" t="s">
        <v>72</v>
      </c>
      <c r="H1408" s="2" t="n">
        <v>1</v>
      </c>
      <c r="I1408" s="2" t="n">
        <v>1</v>
      </c>
      <c r="J1408" s="2" t="n">
        <v>1</v>
      </c>
      <c r="K1408" s="7" t="n">
        <v>0.2702155111</v>
      </c>
      <c r="L1408" s="7" t="n">
        <v>0.07995401981</v>
      </c>
      <c r="M1408" s="7" t="n">
        <v>0.08043820747</v>
      </c>
      <c r="N1408" s="7" t="n">
        <v>11</v>
      </c>
      <c r="O1408" s="7" t="n">
        <v>11</v>
      </c>
      <c r="P1408" s="7" t="n">
        <v>0</v>
      </c>
      <c r="Q1408" s="2"/>
      <c r="R1408" s="7" t="n">
        <v>2.084671</v>
      </c>
      <c r="S1408" s="5" t="s">
        <v>82</v>
      </c>
      <c r="T1408" s="5" t="s">
        <v>61</v>
      </c>
    </row>
    <row r="1409" customFormat="false" ht="15" hidden="false" customHeight="false" outlineLevel="0" collapsed="false">
      <c r="A1409" s="5" t="s">
        <v>4</v>
      </c>
      <c r="B1409" s="5" t="s">
        <v>55</v>
      </c>
      <c r="C1409" s="2" t="s">
        <v>56</v>
      </c>
      <c r="D1409" s="5" t="s">
        <v>81</v>
      </c>
      <c r="E1409" s="5" t="s">
        <v>62</v>
      </c>
      <c r="F1409" s="2" t="n">
        <v>15</v>
      </c>
      <c r="G1409" s="5" t="s">
        <v>72</v>
      </c>
      <c r="H1409" s="2" t="n">
        <v>1</v>
      </c>
      <c r="I1409" s="2" t="n">
        <v>1</v>
      </c>
      <c r="J1409" s="2" t="n">
        <v>1</v>
      </c>
      <c r="K1409" s="7" t="n">
        <v>0.2702155111</v>
      </c>
      <c r="L1409" s="7" t="n">
        <v>0.07995401981</v>
      </c>
      <c r="M1409" s="7" t="n">
        <v>0.08043820747</v>
      </c>
      <c r="N1409" s="7" t="n">
        <v>11</v>
      </c>
      <c r="O1409" s="7" t="n">
        <v>11</v>
      </c>
      <c r="P1409" s="7" t="n">
        <v>11</v>
      </c>
      <c r="Q1409" s="2"/>
      <c r="R1409" s="7" t="n">
        <v>2.688654</v>
      </c>
      <c r="S1409" s="5" t="s">
        <v>82</v>
      </c>
      <c r="T1409" s="5" t="s">
        <v>61</v>
      </c>
    </row>
    <row r="1410" customFormat="false" ht="15" hidden="false" customHeight="false" outlineLevel="0" collapsed="false">
      <c r="A1410" s="5" t="s">
        <v>4</v>
      </c>
      <c r="B1410" s="5" t="s">
        <v>55</v>
      </c>
      <c r="C1410" s="2" t="s">
        <v>56</v>
      </c>
      <c r="D1410" s="5" t="s">
        <v>81</v>
      </c>
      <c r="E1410" s="5" t="s">
        <v>58</v>
      </c>
      <c r="F1410" s="2" t="n">
        <v>15</v>
      </c>
      <c r="G1410" s="5" t="s">
        <v>73</v>
      </c>
      <c r="H1410" s="2" t="n">
        <v>0</v>
      </c>
      <c r="I1410" s="2" t="n">
        <v>1</v>
      </c>
      <c r="J1410" s="2" t="n">
        <v>1</v>
      </c>
      <c r="K1410" s="7" t="n">
        <v>0.7756286323</v>
      </c>
      <c r="L1410" s="7" t="n">
        <v>0.2231874693</v>
      </c>
      <c r="M1410" s="7" t="n">
        <v>0.2253258781</v>
      </c>
      <c r="N1410" s="7" t="n">
        <v>7</v>
      </c>
      <c r="O1410" s="7" t="n">
        <v>7</v>
      </c>
      <c r="P1410" s="7" t="n">
        <v>0</v>
      </c>
      <c r="Q1410" s="2"/>
      <c r="R1410" s="7" t="n">
        <v>2.473977</v>
      </c>
      <c r="S1410" s="5" t="s">
        <v>82</v>
      </c>
      <c r="T1410" s="5" t="s">
        <v>61</v>
      </c>
    </row>
    <row r="1411" customFormat="false" ht="15" hidden="false" customHeight="false" outlineLevel="0" collapsed="false">
      <c r="A1411" s="5" t="s">
        <v>4</v>
      </c>
      <c r="B1411" s="5" t="s">
        <v>55</v>
      </c>
      <c r="C1411" s="2" t="s">
        <v>56</v>
      </c>
      <c r="D1411" s="5" t="s">
        <v>81</v>
      </c>
      <c r="E1411" s="5" t="s">
        <v>62</v>
      </c>
      <c r="F1411" s="2" t="n">
        <v>15</v>
      </c>
      <c r="G1411" s="5" t="s">
        <v>73</v>
      </c>
      <c r="H1411" s="2" t="n">
        <v>0</v>
      </c>
      <c r="I1411" s="2" t="n">
        <v>1</v>
      </c>
      <c r="J1411" s="2" t="n">
        <v>1</v>
      </c>
      <c r="K1411" s="7" t="n">
        <v>0.7756286323</v>
      </c>
      <c r="L1411" s="7" t="n">
        <v>0.2231874693</v>
      </c>
      <c r="M1411" s="7" t="n">
        <v>0.2253258781</v>
      </c>
      <c r="N1411" s="7" t="n">
        <v>7</v>
      </c>
      <c r="O1411" s="7" t="n">
        <v>7</v>
      </c>
      <c r="P1411" s="7" t="n">
        <v>7</v>
      </c>
      <c r="Q1411" s="2"/>
      <c r="R1411" s="7" t="n">
        <v>2.931112</v>
      </c>
      <c r="S1411" s="5" t="s">
        <v>82</v>
      </c>
      <c r="T1411" s="5" t="s">
        <v>61</v>
      </c>
    </row>
    <row r="1412" customFormat="false" ht="15" hidden="false" customHeight="false" outlineLevel="0" collapsed="false">
      <c r="A1412" s="5" t="s">
        <v>4</v>
      </c>
      <c r="B1412" s="5" t="s">
        <v>55</v>
      </c>
      <c r="C1412" s="2" t="s">
        <v>56</v>
      </c>
      <c r="D1412" s="5" t="s">
        <v>81</v>
      </c>
      <c r="E1412" s="5" t="s">
        <v>58</v>
      </c>
      <c r="F1412" s="2" t="n">
        <v>16</v>
      </c>
      <c r="G1412" s="5" t="s">
        <v>71</v>
      </c>
      <c r="H1412" s="2" t="n">
        <v>1</v>
      </c>
      <c r="I1412" s="2" t="n">
        <v>0</v>
      </c>
      <c r="J1412" s="2" t="n">
        <v>0</v>
      </c>
      <c r="K1412" s="2"/>
      <c r="L1412" s="2"/>
      <c r="M1412" s="2"/>
      <c r="N1412" s="7" t="n">
        <v>2</v>
      </c>
      <c r="O1412" s="7" t="n">
        <v>2</v>
      </c>
      <c r="P1412" s="7" t="n">
        <v>0</v>
      </c>
      <c r="Q1412" s="2"/>
      <c r="R1412" s="7" t="n">
        <v>1.193423</v>
      </c>
      <c r="S1412" s="5" t="s">
        <v>82</v>
      </c>
      <c r="T1412" s="5" t="s">
        <v>61</v>
      </c>
    </row>
    <row r="1413" customFormat="false" ht="15" hidden="false" customHeight="false" outlineLevel="0" collapsed="false">
      <c r="A1413" s="5" t="s">
        <v>4</v>
      </c>
      <c r="B1413" s="5" t="s">
        <v>55</v>
      </c>
      <c r="C1413" s="2" t="s">
        <v>56</v>
      </c>
      <c r="D1413" s="5" t="s">
        <v>81</v>
      </c>
      <c r="E1413" s="5" t="s">
        <v>62</v>
      </c>
      <c r="F1413" s="2" t="n">
        <v>16</v>
      </c>
      <c r="G1413" s="5" t="s">
        <v>71</v>
      </c>
      <c r="H1413" s="2" t="n">
        <v>1</v>
      </c>
      <c r="I1413" s="2" t="n">
        <v>0</v>
      </c>
      <c r="J1413" s="2" t="n">
        <v>0</v>
      </c>
      <c r="K1413" s="2"/>
      <c r="L1413" s="2"/>
      <c r="M1413" s="2"/>
      <c r="N1413" s="7" t="n">
        <v>2</v>
      </c>
      <c r="O1413" s="7" t="n">
        <v>2</v>
      </c>
      <c r="P1413" s="7" t="n">
        <v>0</v>
      </c>
      <c r="Q1413" s="2"/>
      <c r="R1413" s="7" t="n">
        <v>1.193544</v>
      </c>
      <c r="S1413" s="5" t="s">
        <v>82</v>
      </c>
      <c r="T1413" s="5" t="s">
        <v>61</v>
      </c>
    </row>
    <row r="1414" customFormat="false" ht="15" hidden="false" customHeight="false" outlineLevel="0" collapsed="false">
      <c r="A1414" s="5" t="s">
        <v>4</v>
      </c>
      <c r="B1414" s="5" t="s">
        <v>55</v>
      </c>
      <c r="C1414" s="2" t="s">
        <v>56</v>
      </c>
      <c r="D1414" s="5" t="s">
        <v>81</v>
      </c>
      <c r="E1414" s="5" t="s">
        <v>58</v>
      </c>
      <c r="F1414" s="2" t="n">
        <v>16</v>
      </c>
      <c r="G1414" s="5" t="s">
        <v>72</v>
      </c>
      <c r="H1414" s="2" t="n">
        <v>1</v>
      </c>
      <c r="I1414" s="2" t="n">
        <v>1</v>
      </c>
      <c r="J1414" s="2" t="n">
        <v>1</v>
      </c>
      <c r="K1414" s="7" t="n">
        <v>0.3485510091</v>
      </c>
      <c r="L1414" s="7" t="n">
        <v>0.02894258994</v>
      </c>
      <c r="M1414" s="7" t="n">
        <v>0.03837847105</v>
      </c>
      <c r="N1414" s="7" t="n">
        <v>3</v>
      </c>
      <c r="O1414" s="7" t="n">
        <v>3</v>
      </c>
      <c r="P1414" s="7" t="n">
        <v>0</v>
      </c>
      <c r="Q1414" s="2"/>
      <c r="R1414" s="7" t="n">
        <v>1.890684</v>
      </c>
      <c r="S1414" s="5" t="s">
        <v>82</v>
      </c>
      <c r="T1414" s="5" t="s">
        <v>61</v>
      </c>
    </row>
    <row r="1415" customFormat="false" ht="15" hidden="false" customHeight="false" outlineLevel="0" collapsed="false">
      <c r="A1415" s="5" t="s">
        <v>4</v>
      </c>
      <c r="B1415" s="5" t="s">
        <v>55</v>
      </c>
      <c r="C1415" s="2" t="s">
        <v>56</v>
      </c>
      <c r="D1415" s="5" t="s">
        <v>81</v>
      </c>
      <c r="E1415" s="5" t="s">
        <v>62</v>
      </c>
      <c r="F1415" s="2" t="n">
        <v>16</v>
      </c>
      <c r="G1415" s="5" t="s">
        <v>72</v>
      </c>
      <c r="H1415" s="2" t="n">
        <v>1</v>
      </c>
      <c r="I1415" s="2" t="n">
        <v>1</v>
      </c>
      <c r="J1415" s="2" t="n">
        <v>1</v>
      </c>
      <c r="K1415" s="7" t="n">
        <v>0.3485510091</v>
      </c>
      <c r="L1415" s="7" t="n">
        <v>0.02894258994</v>
      </c>
      <c r="M1415" s="7" t="n">
        <v>0.03837847105</v>
      </c>
      <c r="N1415" s="7" t="n">
        <v>3</v>
      </c>
      <c r="O1415" s="7" t="n">
        <v>3</v>
      </c>
      <c r="P1415" s="7" t="n">
        <v>3</v>
      </c>
      <c r="Q1415" s="2"/>
      <c r="R1415" s="7" t="n">
        <v>2.066875</v>
      </c>
      <c r="S1415" s="5" t="s">
        <v>82</v>
      </c>
      <c r="T1415" s="5" t="s">
        <v>61</v>
      </c>
    </row>
    <row r="1416" customFormat="false" ht="15" hidden="false" customHeight="false" outlineLevel="0" collapsed="false">
      <c r="A1416" s="5" t="s">
        <v>4</v>
      </c>
      <c r="B1416" s="5" t="s">
        <v>55</v>
      </c>
      <c r="C1416" s="2" t="s">
        <v>56</v>
      </c>
      <c r="D1416" s="5" t="s">
        <v>81</v>
      </c>
      <c r="E1416" s="5" t="s">
        <v>58</v>
      </c>
      <c r="F1416" s="2" t="n">
        <v>16</v>
      </c>
      <c r="G1416" s="5" t="s">
        <v>73</v>
      </c>
      <c r="H1416" s="2" t="n">
        <v>0</v>
      </c>
      <c r="I1416" s="2" t="n">
        <v>1</v>
      </c>
      <c r="J1416" s="2" t="n">
        <v>1</v>
      </c>
      <c r="K1416" s="7" t="n">
        <v>0.5967805306</v>
      </c>
      <c r="L1416" s="7" t="n">
        <v>0.2073792917</v>
      </c>
      <c r="M1416" s="7" t="n">
        <v>0.2081893797</v>
      </c>
      <c r="N1416" s="7" t="n">
        <v>7</v>
      </c>
      <c r="O1416" s="7" t="n">
        <v>7</v>
      </c>
      <c r="P1416" s="7" t="n">
        <v>0</v>
      </c>
      <c r="Q1416" s="2"/>
      <c r="R1416" s="7" t="n">
        <v>2.254472</v>
      </c>
      <c r="S1416" s="5" t="s">
        <v>82</v>
      </c>
      <c r="T1416" s="5" t="s">
        <v>61</v>
      </c>
    </row>
    <row r="1417" customFormat="false" ht="15" hidden="false" customHeight="false" outlineLevel="0" collapsed="false">
      <c r="A1417" s="5" t="s">
        <v>4</v>
      </c>
      <c r="B1417" s="5" t="s">
        <v>55</v>
      </c>
      <c r="C1417" s="2" t="s">
        <v>56</v>
      </c>
      <c r="D1417" s="5" t="s">
        <v>81</v>
      </c>
      <c r="E1417" s="5" t="s">
        <v>62</v>
      </c>
      <c r="F1417" s="2" t="n">
        <v>16</v>
      </c>
      <c r="G1417" s="5" t="s">
        <v>73</v>
      </c>
      <c r="H1417" s="2" t="n">
        <v>0</v>
      </c>
      <c r="I1417" s="2" t="n">
        <v>1</v>
      </c>
      <c r="J1417" s="2" t="n">
        <v>1</v>
      </c>
      <c r="K1417" s="7" t="n">
        <v>0.5967805306</v>
      </c>
      <c r="L1417" s="7" t="n">
        <v>0.2073792917</v>
      </c>
      <c r="M1417" s="7" t="n">
        <v>0.2081893797</v>
      </c>
      <c r="N1417" s="7" t="n">
        <v>7</v>
      </c>
      <c r="O1417" s="7" t="n">
        <v>7</v>
      </c>
      <c r="P1417" s="7" t="n">
        <v>7</v>
      </c>
      <c r="Q1417" s="2"/>
      <c r="R1417" s="7" t="n">
        <v>2.744657</v>
      </c>
      <c r="S1417" s="5" t="s">
        <v>82</v>
      </c>
      <c r="T1417" s="5" t="s">
        <v>61</v>
      </c>
    </row>
    <row r="1418" customFormat="false" ht="15" hidden="false" customHeight="false" outlineLevel="0" collapsed="false">
      <c r="A1418" s="5" t="s">
        <v>4</v>
      </c>
      <c r="B1418" s="5" t="s">
        <v>55</v>
      </c>
      <c r="C1418" s="2" t="s">
        <v>56</v>
      </c>
      <c r="D1418" s="5" t="s">
        <v>81</v>
      </c>
      <c r="E1418" s="5" t="s">
        <v>58</v>
      </c>
      <c r="F1418" s="2" t="n">
        <v>17</v>
      </c>
      <c r="G1418" s="5" t="s">
        <v>71</v>
      </c>
      <c r="H1418" s="2" t="n">
        <v>1</v>
      </c>
      <c r="I1418" s="2" t="n">
        <v>1</v>
      </c>
      <c r="J1418" s="2" t="n">
        <v>1</v>
      </c>
      <c r="K1418" s="7" t="n">
        <v>0.7691774066</v>
      </c>
      <c r="L1418" s="7" t="n">
        <v>0.09340535201</v>
      </c>
      <c r="M1418" s="7" t="n">
        <v>0.1045088308</v>
      </c>
      <c r="N1418" s="7" t="n">
        <v>7</v>
      </c>
      <c r="O1418" s="7" t="n">
        <v>7</v>
      </c>
      <c r="P1418" s="7" t="n">
        <v>0</v>
      </c>
      <c r="Q1418" s="2"/>
      <c r="R1418" s="7" t="n">
        <v>1.200264</v>
      </c>
      <c r="S1418" s="5" t="s">
        <v>82</v>
      </c>
      <c r="T1418" s="5" t="s">
        <v>61</v>
      </c>
    </row>
    <row r="1419" customFormat="false" ht="15" hidden="false" customHeight="false" outlineLevel="0" collapsed="false">
      <c r="A1419" s="5" t="s">
        <v>4</v>
      </c>
      <c r="B1419" s="5" t="s">
        <v>55</v>
      </c>
      <c r="C1419" s="2" t="s">
        <v>56</v>
      </c>
      <c r="D1419" s="5" t="s">
        <v>81</v>
      </c>
      <c r="E1419" s="5" t="s">
        <v>62</v>
      </c>
      <c r="F1419" s="2" t="n">
        <v>17</v>
      </c>
      <c r="G1419" s="5" t="s">
        <v>71</v>
      </c>
      <c r="H1419" s="2" t="n">
        <v>1</v>
      </c>
      <c r="I1419" s="2" t="n">
        <v>1</v>
      </c>
      <c r="J1419" s="2" t="n">
        <v>1</v>
      </c>
      <c r="K1419" s="7" t="n">
        <v>0.7691774066</v>
      </c>
      <c r="L1419" s="7" t="n">
        <v>0.09340535201</v>
      </c>
      <c r="M1419" s="7" t="n">
        <v>0.1045088308</v>
      </c>
      <c r="N1419" s="7" t="n">
        <v>7</v>
      </c>
      <c r="O1419" s="7" t="n">
        <v>7</v>
      </c>
      <c r="P1419" s="7" t="n">
        <v>7</v>
      </c>
      <c r="Q1419" s="2"/>
      <c r="R1419" s="7" t="n">
        <v>1.654275</v>
      </c>
      <c r="S1419" s="5" t="s">
        <v>82</v>
      </c>
      <c r="T1419" s="5" t="s">
        <v>61</v>
      </c>
    </row>
    <row r="1420" customFormat="false" ht="15" hidden="false" customHeight="false" outlineLevel="0" collapsed="false">
      <c r="A1420" s="5" t="s">
        <v>4</v>
      </c>
      <c r="B1420" s="5" t="s">
        <v>55</v>
      </c>
      <c r="C1420" s="2" t="s">
        <v>56</v>
      </c>
      <c r="D1420" s="5" t="s">
        <v>81</v>
      </c>
      <c r="E1420" s="5" t="s">
        <v>58</v>
      </c>
      <c r="F1420" s="2" t="n">
        <v>17</v>
      </c>
      <c r="G1420" s="5" t="s">
        <v>72</v>
      </c>
      <c r="H1420" s="2" t="n">
        <v>1</v>
      </c>
      <c r="I1420" s="2" t="n">
        <v>1</v>
      </c>
      <c r="J1420" s="2" t="n">
        <v>1</v>
      </c>
      <c r="K1420" s="7" t="n">
        <v>0.4704602027</v>
      </c>
      <c r="L1420" s="7" t="n">
        <v>0.08233111824</v>
      </c>
      <c r="M1420" s="7" t="n">
        <v>0.08607303596</v>
      </c>
      <c r="N1420" s="7" t="n">
        <v>5</v>
      </c>
      <c r="O1420" s="7" t="n">
        <v>5</v>
      </c>
      <c r="P1420" s="7" t="n">
        <v>0</v>
      </c>
      <c r="Q1420" s="2"/>
      <c r="R1420" s="7" t="n">
        <v>2.128866</v>
      </c>
      <c r="S1420" s="5" t="s">
        <v>82</v>
      </c>
      <c r="T1420" s="5" t="s">
        <v>61</v>
      </c>
    </row>
    <row r="1421" customFormat="false" ht="15" hidden="false" customHeight="false" outlineLevel="0" collapsed="false">
      <c r="A1421" s="5" t="s">
        <v>4</v>
      </c>
      <c r="B1421" s="5" t="s">
        <v>55</v>
      </c>
      <c r="C1421" s="2" t="s">
        <v>56</v>
      </c>
      <c r="D1421" s="5" t="s">
        <v>81</v>
      </c>
      <c r="E1421" s="5" t="s">
        <v>62</v>
      </c>
      <c r="F1421" s="2" t="n">
        <v>17</v>
      </c>
      <c r="G1421" s="5" t="s">
        <v>72</v>
      </c>
      <c r="H1421" s="2" t="n">
        <v>1</v>
      </c>
      <c r="I1421" s="2" t="n">
        <v>1</v>
      </c>
      <c r="J1421" s="2" t="n">
        <v>1</v>
      </c>
      <c r="K1421" s="7" t="n">
        <v>0.4704602027</v>
      </c>
      <c r="L1421" s="7" t="n">
        <v>0.08233111824</v>
      </c>
      <c r="M1421" s="7" t="n">
        <v>0.08607303596</v>
      </c>
      <c r="N1421" s="7" t="n">
        <v>5</v>
      </c>
      <c r="O1421" s="7" t="n">
        <v>5</v>
      </c>
      <c r="P1421" s="7" t="n">
        <v>5</v>
      </c>
      <c r="Q1421" s="2"/>
      <c r="R1421" s="7" t="n">
        <v>2.471223</v>
      </c>
      <c r="S1421" s="5" t="s">
        <v>82</v>
      </c>
      <c r="T1421" s="5" t="s">
        <v>61</v>
      </c>
    </row>
    <row r="1422" customFormat="false" ht="15" hidden="false" customHeight="false" outlineLevel="0" collapsed="false">
      <c r="A1422" s="5" t="s">
        <v>4</v>
      </c>
      <c r="B1422" s="5" t="s">
        <v>55</v>
      </c>
      <c r="C1422" s="2" t="s">
        <v>56</v>
      </c>
      <c r="D1422" s="5" t="s">
        <v>81</v>
      </c>
      <c r="E1422" s="5" t="s">
        <v>58</v>
      </c>
      <c r="F1422" s="2" t="n">
        <v>17</v>
      </c>
      <c r="G1422" s="5" t="s">
        <v>73</v>
      </c>
      <c r="H1422" s="2" t="n">
        <v>0</v>
      </c>
      <c r="I1422" s="2" t="n">
        <v>0</v>
      </c>
      <c r="J1422" s="2" t="n">
        <v>0</v>
      </c>
      <c r="K1422" s="2"/>
      <c r="L1422" s="2"/>
      <c r="M1422" s="2"/>
      <c r="N1422" s="7" t="n">
        <v>0</v>
      </c>
      <c r="O1422" s="7" t="n">
        <v>0</v>
      </c>
      <c r="P1422" s="7" t="n">
        <v>0</v>
      </c>
      <c r="Q1422" s="2"/>
      <c r="R1422" s="7" t="n">
        <v>2.256716</v>
      </c>
      <c r="S1422" s="5" t="s">
        <v>82</v>
      </c>
      <c r="T1422" s="5" t="s">
        <v>61</v>
      </c>
    </row>
    <row r="1423" customFormat="false" ht="15" hidden="false" customHeight="false" outlineLevel="0" collapsed="false">
      <c r="A1423" s="5" t="s">
        <v>4</v>
      </c>
      <c r="B1423" s="5" t="s">
        <v>55</v>
      </c>
      <c r="C1423" s="2" t="s">
        <v>56</v>
      </c>
      <c r="D1423" s="5" t="s">
        <v>81</v>
      </c>
      <c r="E1423" s="5" t="s">
        <v>62</v>
      </c>
      <c r="F1423" s="2" t="n">
        <v>17</v>
      </c>
      <c r="G1423" s="5" t="s">
        <v>73</v>
      </c>
      <c r="H1423" s="2" t="n">
        <v>0</v>
      </c>
      <c r="I1423" s="2" t="n">
        <v>0</v>
      </c>
      <c r="J1423" s="2" t="n">
        <v>0</v>
      </c>
      <c r="K1423" s="2"/>
      <c r="L1423" s="2"/>
      <c r="M1423" s="2"/>
      <c r="N1423" s="7" t="n">
        <v>0</v>
      </c>
      <c r="O1423" s="7" t="n">
        <v>0</v>
      </c>
      <c r="P1423" s="7" t="n">
        <v>0</v>
      </c>
      <c r="Q1423" s="2"/>
      <c r="R1423" s="7" t="n">
        <v>2.256855</v>
      </c>
      <c r="S1423" s="5" t="s">
        <v>82</v>
      </c>
      <c r="T1423" s="5" t="s">
        <v>61</v>
      </c>
    </row>
    <row r="1424" customFormat="false" ht="15" hidden="false" customHeight="false" outlineLevel="0" collapsed="false">
      <c r="A1424" s="5" t="s">
        <v>4</v>
      </c>
      <c r="B1424" s="5" t="s">
        <v>55</v>
      </c>
      <c r="C1424" s="2" t="s">
        <v>56</v>
      </c>
      <c r="D1424" s="5" t="s">
        <v>81</v>
      </c>
      <c r="E1424" s="5" t="s">
        <v>58</v>
      </c>
      <c r="F1424" s="2" t="n">
        <v>18</v>
      </c>
      <c r="G1424" s="5" t="s">
        <v>71</v>
      </c>
      <c r="H1424" s="2" t="n">
        <v>1</v>
      </c>
      <c r="I1424" s="2" t="n">
        <v>1</v>
      </c>
      <c r="J1424" s="2" t="n">
        <v>1</v>
      </c>
      <c r="K1424" s="7" t="n">
        <v>0.4784528801</v>
      </c>
      <c r="L1424" s="7" t="n">
        <v>0.01877306373</v>
      </c>
      <c r="M1424" s="7" t="n">
        <v>0.03199227262</v>
      </c>
      <c r="N1424" s="7" t="n">
        <v>5</v>
      </c>
      <c r="O1424" s="7" t="n">
        <v>5</v>
      </c>
      <c r="P1424" s="7" t="n">
        <v>0</v>
      </c>
      <c r="Q1424" s="2"/>
      <c r="R1424" s="7" t="n">
        <v>1.205121</v>
      </c>
      <c r="S1424" s="5" t="s">
        <v>82</v>
      </c>
      <c r="T1424" s="5" t="s">
        <v>61</v>
      </c>
    </row>
    <row r="1425" customFormat="false" ht="15" hidden="false" customHeight="false" outlineLevel="0" collapsed="false">
      <c r="A1425" s="5" t="s">
        <v>4</v>
      </c>
      <c r="B1425" s="5" t="s">
        <v>55</v>
      </c>
      <c r="C1425" s="2" t="s">
        <v>56</v>
      </c>
      <c r="D1425" s="5" t="s">
        <v>81</v>
      </c>
      <c r="E1425" s="5" t="s">
        <v>62</v>
      </c>
      <c r="F1425" s="2" t="n">
        <v>18</v>
      </c>
      <c r="G1425" s="5" t="s">
        <v>71</v>
      </c>
      <c r="H1425" s="2" t="n">
        <v>1</v>
      </c>
      <c r="I1425" s="2" t="n">
        <v>1</v>
      </c>
      <c r="J1425" s="2" t="n">
        <v>1</v>
      </c>
      <c r="K1425" s="7" t="n">
        <v>0.4784528801</v>
      </c>
      <c r="L1425" s="7" t="n">
        <v>0.01877306373</v>
      </c>
      <c r="M1425" s="7" t="n">
        <v>0.03199227262</v>
      </c>
      <c r="N1425" s="7" t="n">
        <v>5</v>
      </c>
      <c r="O1425" s="7" t="n">
        <v>5</v>
      </c>
      <c r="P1425" s="7" t="n">
        <v>5</v>
      </c>
      <c r="Q1425" s="2"/>
      <c r="R1425" s="7" t="n">
        <v>1.551874</v>
      </c>
      <c r="S1425" s="5" t="s">
        <v>82</v>
      </c>
      <c r="T1425" s="5" t="s">
        <v>61</v>
      </c>
    </row>
    <row r="1426" customFormat="false" ht="15" hidden="false" customHeight="false" outlineLevel="0" collapsed="false">
      <c r="A1426" s="5" t="s">
        <v>4</v>
      </c>
      <c r="B1426" s="5" t="s">
        <v>55</v>
      </c>
      <c r="C1426" s="2" t="s">
        <v>56</v>
      </c>
      <c r="D1426" s="5" t="s">
        <v>81</v>
      </c>
      <c r="E1426" s="5" t="s">
        <v>58</v>
      </c>
      <c r="F1426" s="2" t="n">
        <v>18</v>
      </c>
      <c r="G1426" s="5" t="s">
        <v>72</v>
      </c>
      <c r="H1426" s="2" t="n">
        <v>1</v>
      </c>
      <c r="I1426" s="2" t="n">
        <v>1</v>
      </c>
      <c r="J1426" s="2" t="n">
        <v>1</v>
      </c>
      <c r="K1426" s="7" t="n">
        <v>0.2807450533</v>
      </c>
      <c r="L1426" s="7" t="n">
        <v>0.04953807579</v>
      </c>
      <c r="M1426" s="7" t="n">
        <v>0.05147785616</v>
      </c>
      <c r="N1426" s="7" t="n">
        <v>5</v>
      </c>
      <c r="O1426" s="7" t="n">
        <v>5</v>
      </c>
      <c r="P1426" s="7" t="n">
        <v>0</v>
      </c>
      <c r="Q1426" s="2"/>
      <c r="R1426" s="7" t="n">
        <v>2.239851</v>
      </c>
      <c r="S1426" s="5" t="s">
        <v>82</v>
      </c>
      <c r="T1426" s="5" t="s">
        <v>61</v>
      </c>
    </row>
    <row r="1427" customFormat="false" ht="15" hidden="false" customHeight="false" outlineLevel="0" collapsed="false">
      <c r="A1427" s="5" t="s">
        <v>4</v>
      </c>
      <c r="B1427" s="5" t="s">
        <v>55</v>
      </c>
      <c r="C1427" s="2" t="s">
        <v>56</v>
      </c>
      <c r="D1427" s="5" t="s">
        <v>81</v>
      </c>
      <c r="E1427" s="5" t="s">
        <v>62</v>
      </c>
      <c r="F1427" s="2" t="n">
        <v>18</v>
      </c>
      <c r="G1427" s="5" t="s">
        <v>72</v>
      </c>
      <c r="H1427" s="2" t="n">
        <v>1</v>
      </c>
      <c r="I1427" s="2" t="n">
        <v>1</v>
      </c>
      <c r="J1427" s="2" t="n">
        <v>1</v>
      </c>
      <c r="K1427" s="7" t="n">
        <v>0.2807450533</v>
      </c>
      <c r="L1427" s="7" t="n">
        <v>0.04953807579</v>
      </c>
      <c r="M1427" s="7" t="n">
        <v>0.05147785616</v>
      </c>
      <c r="N1427" s="7" t="n">
        <v>5</v>
      </c>
      <c r="O1427" s="7" t="n">
        <v>5</v>
      </c>
      <c r="P1427" s="7" t="n">
        <v>5</v>
      </c>
      <c r="Q1427" s="2"/>
      <c r="R1427" s="7" t="n">
        <v>2.661745</v>
      </c>
      <c r="S1427" s="5" t="s">
        <v>82</v>
      </c>
      <c r="T1427" s="5" t="s">
        <v>61</v>
      </c>
    </row>
    <row r="1428" customFormat="false" ht="15" hidden="false" customHeight="false" outlineLevel="0" collapsed="false">
      <c r="A1428" s="5" t="s">
        <v>4</v>
      </c>
      <c r="B1428" s="5" t="s">
        <v>55</v>
      </c>
      <c r="C1428" s="2" t="s">
        <v>56</v>
      </c>
      <c r="D1428" s="5" t="s">
        <v>81</v>
      </c>
      <c r="E1428" s="5" t="s">
        <v>58</v>
      </c>
      <c r="F1428" s="2" t="n">
        <v>18</v>
      </c>
      <c r="G1428" s="5" t="s">
        <v>73</v>
      </c>
      <c r="H1428" s="2" t="n">
        <v>0</v>
      </c>
      <c r="I1428" s="2" t="n">
        <v>0</v>
      </c>
      <c r="J1428" s="2" t="n">
        <v>0</v>
      </c>
      <c r="K1428" s="2"/>
      <c r="L1428" s="2"/>
      <c r="M1428" s="2"/>
      <c r="N1428" s="7" t="n">
        <v>2</v>
      </c>
      <c r="O1428" s="7" t="n">
        <v>2</v>
      </c>
      <c r="P1428" s="7" t="n">
        <v>0</v>
      </c>
      <c r="Q1428" s="2"/>
      <c r="R1428" s="7" t="n">
        <v>2.589918</v>
      </c>
      <c r="S1428" s="5" t="s">
        <v>82</v>
      </c>
      <c r="T1428" s="5" t="s">
        <v>61</v>
      </c>
    </row>
    <row r="1429" customFormat="false" ht="15" hidden="false" customHeight="false" outlineLevel="0" collapsed="false">
      <c r="A1429" s="5" t="s">
        <v>4</v>
      </c>
      <c r="B1429" s="5" t="s">
        <v>55</v>
      </c>
      <c r="C1429" s="2" t="s">
        <v>56</v>
      </c>
      <c r="D1429" s="5" t="s">
        <v>81</v>
      </c>
      <c r="E1429" s="5" t="s">
        <v>62</v>
      </c>
      <c r="F1429" s="2" t="n">
        <v>18</v>
      </c>
      <c r="G1429" s="5" t="s">
        <v>73</v>
      </c>
      <c r="H1429" s="2" t="n">
        <v>0</v>
      </c>
      <c r="I1429" s="2" t="n">
        <v>0</v>
      </c>
      <c r="J1429" s="2" t="n">
        <v>0</v>
      </c>
      <c r="K1429" s="2"/>
      <c r="L1429" s="2"/>
      <c r="M1429" s="2"/>
      <c r="N1429" s="7" t="n">
        <v>2</v>
      </c>
      <c r="O1429" s="7" t="n">
        <v>2</v>
      </c>
      <c r="P1429" s="7" t="n">
        <v>0</v>
      </c>
      <c r="Q1429" s="2"/>
      <c r="R1429" s="7" t="n">
        <v>2.589407</v>
      </c>
      <c r="S1429" s="5" t="s">
        <v>82</v>
      </c>
      <c r="T1429" s="5" t="s">
        <v>61</v>
      </c>
    </row>
    <row r="1430" customFormat="false" ht="15" hidden="false" customHeight="false" outlineLevel="0" collapsed="false">
      <c r="A1430" s="5" t="s">
        <v>4</v>
      </c>
      <c r="B1430" s="5" t="s">
        <v>55</v>
      </c>
      <c r="C1430" s="2" t="s">
        <v>56</v>
      </c>
      <c r="D1430" s="5" t="s">
        <v>81</v>
      </c>
      <c r="E1430" s="5" t="s">
        <v>58</v>
      </c>
      <c r="F1430" s="2" t="n">
        <v>19</v>
      </c>
      <c r="G1430" s="5" t="s">
        <v>71</v>
      </c>
      <c r="H1430" s="2" t="n">
        <v>1</v>
      </c>
      <c r="I1430" s="2" t="n">
        <v>1</v>
      </c>
      <c r="J1430" s="2" t="n">
        <v>1</v>
      </c>
      <c r="K1430" s="7" t="n">
        <v>0.7080338231</v>
      </c>
      <c r="L1430" s="7" t="n">
        <v>0.01566772629</v>
      </c>
      <c r="M1430" s="7" t="n">
        <v>0.04718641002</v>
      </c>
      <c r="N1430" s="7" t="n">
        <v>10</v>
      </c>
      <c r="O1430" s="7" t="n">
        <v>10</v>
      </c>
      <c r="P1430" s="7" t="n">
        <v>0</v>
      </c>
      <c r="Q1430" s="2"/>
      <c r="R1430" s="7" t="n">
        <v>1.107147</v>
      </c>
      <c r="S1430" s="5" t="s">
        <v>82</v>
      </c>
      <c r="T1430" s="5" t="s">
        <v>61</v>
      </c>
    </row>
    <row r="1431" customFormat="false" ht="15" hidden="false" customHeight="false" outlineLevel="0" collapsed="false">
      <c r="A1431" s="5" t="s">
        <v>4</v>
      </c>
      <c r="B1431" s="5" t="s">
        <v>55</v>
      </c>
      <c r="C1431" s="2" t="s">
        <v>56</v>
      </c>
      <c r="D1431" s="5" t="s">
        <v>81</v>
      </c>
      <c r="E1431" s="5" t="s">
        <v>62</v>
      </c>
      <c r="F1431" s="2" t="n">
        <v>19</v>
      </c>
      <c r="G1431" s="5" t="s">
        <v>71</v>
      </c>
      <c r="H1431" s="2" t="n">
        <v>1</v>
      </c>
      <c r="I1431" s="2" t="n">
        <v>1</v>
      </c>
      <c r="J1431" s="2" t="n">
        <v>1</v>
      </c>
      <c r="K1431" s="7" t="n">
        <v>0.7080338231</v>
      </c>
      <c r="L1431" s="7" t="n">
        <v>0.01566772629</v>
      </c>
      <c r="M1431" s="7" t="n">
        <v>0.04718641002</v>
      </c>
      <c r="N1431" s="7" t="n">
        <v>10</v>
      </c>
      <c r="O1431" s="7" t="n">
        <v>10</v>
      </c>
      <c r="P1431" s="7" t="n">
        <v>10</v>
      </c>
      <c r="Q1431" s="2"/>
      <c r="R1431" s="7" t="n">
        <v>1.744168</v>
      </c>
      <c r="S1431" s="5" t="s">
        <v>82</v>
      </c>
      <c r="T1431" s="5" t="s">
        <v>61</v>
      </c>
    </row>
    <row r="1432" customFormat="false" ht="15" hidden="false" customHeight="false" outlineLevel="0" collapsed="false">
      <c r="A1432" s="5" t="s">
        <v>4</v>
      </c>
      <c r="B1432" s="5" t="s">
        <v>55</v>
      </c>
      <c r="C1432" s="2" t="s">
        <v>56</v>
      </c>
      <c r="D1432" s="5" t="s">
        <v>81</v>
      </c>
      <c r="E1432" s="5" t="s">
        <v>58</v>
      </c>
      <c r="F1432" s="2" t="n">
        <v>19</v>
      </c>
      <c r="G1432" s="5" t="s">
        <v>72</v>
      </c>
      <c r="H1432" s="2" t="n">
        <v>1</v>
      </c>
      <c r="I1432" s="2" t="n">
        <v>1</v>
      </c>
      <c r="J1432" s="2" t="n">
        <v>1</v>
      </c>
      <c r="K1432" s="7" t="n">
        <v>0.4199250131</v>
      </c>
      <c r="L1432" s="7" t="n">
        <v>0.03772752027</v>
      </c>
      <c r="M1432" s="7" t="n">
        <v>0.04415754673</v>
      </c>
      <c r="N1432" s="7" t="n">
        <v>8</v>
      </c>
      <c r="O1432" s="7" t="n">
        <v>8</v>
      </c>
      <c r="P1432" s="7" t="n">
        <v>0</v>
      </c>
      <c r="Q1432" s="2"/>
      <c r="R1432" s="7" t="n">
        <v>2.270946</v>
      </c>
      <c r="S1432" s="5" t="s">
        <v>82</v>
      </c>
      <c r="T1432" s="5" t="s">
        <v>61</v>
      </c>
    </row>
    <row r="1433" customFormat="false" ht="15" hidden="false" customHeight="false" outlineLevel="0" collapsed="false">
      <c r="A1433" s="5" t="s">
        <v>4</v>
      </c>
      <c r="B1433" s="5" t="s">
        <v>55</v>
      </c>
      <c r="C1433" s="2" t="s">
        <v>56</v>
      </c>
      <c r="D1433" s="5" t="s">
        <v>81</v>
      </c>
      <c r="E1433" s="5" t="s">
        <v>62</v>
      </c>
      <c r="F1433" s="2" t="n">
        <v>19</v>
      </c>
      <c r="G1433" s="5" t="s">
        <v>72</v>
      </c>
      <c r="H1433" s="2" t="n">
        <v>1</v>
      </c>
      <c r="I1433" s="2" t="n">
        <v>1</v>
      </c>
      <c r="J1433" s="2" t="n">
        <v>1</v>
      </c>
      <c r="K1433" s="7" t="n">
        <v>0.4199250131</v>
      </c>
      <c r="L1433" s="7" t="n">
        <v>0.03772752027</v>
      </c>
      <c r="M1433" s="7" t="n">
        <v>0.04415754673</v>
      </c>
      <c r="N1433" s="7" t="n">
        <v>8</v>
      </c>
      <c r="O1433" s="7" t="n">
        <v>8</v>
      </c>
      <c r="P1433" s="7" t="n">
        <v>8</v>
      </c>
      <c r="Q1433" s="2"/>
      <c r="R1433" s="7" t="n">
        <v>2.767981</v>
      </c>
      <c r="S1433" s="5" t="s">
        <v>82</v>
      </c>
      <c r="T1433" s="5" t="s">
        <v>61</v>
      </c>
    </row>
    <row r="1434" customFormat="false" ht="15" hidden="false" customHeight="false" outlineLevel="0" collapsed="false">
      <c r="A1434" s="5" t="s">
        <v>4</v>
      </c>
      <c r="B1434" s="5" t="s">
        <v>55</v>
      </c>
      <c r="C1434" s="2" t="s">
        <v>56</v>
      </c>
      <c r="D1434" s="5" t="s">
        <v>81</v>
      </c>
      <c r="E1434" s="5" t="s">
        <v>58</v>
      </c>
      <c r="F1434" s="2" t="n">
        <v>19</v>
      </c>
      <c r="G1434" s="5" t="s">
        <v>73</v>
      </c>
      <c r="H1434" s="2" t="n">
        <v>0</v>
      </c>
      <c r="I1434" s="2" t="n">
        <v>1</v>
      </c>
      <c r="J1434" s="2" t="n">
        <v>1</v>
      </c>
      <c r="K1434" s="7" t="n">
        <v>0.2141422645</v>
      </c>
      <c r="L1434" s="7" t="n">
        <v>0.03831780858</v>
      </c>
      <c r="M1434" s="7" t="n">
        <v>0.04381218965</v>
      </c>
      <c r="N1434" s="7" t="n">
        <v>11</v>
      </c>
      <c r="O1434" s="7" t="n">
        <v>11</v>
      </c>
      <c r="P1434" s="7" t="n">
        <v>0</v>
      </c>
      <c r="Q1434" s="2"/>
      <c r="R1434" s="7" t="n">
        <v>2.378125</v>
      </c>
      <c r="S1434" s="5" t="s">
        <v>82</v>
      </c>
      <c r="T1434" s="5" t="s">
        <v>61</v>
      </c>
    </row>
    <row r="1435" customFormat="false" ht="15" hidden="false" customHeight="false" outlineLevel="0" collapsed="false">
      <c r="A1435" s="5" t="s">
        <v>4</v>
      </c>
      <c r="B1435" s="5" t="s">
        <v>55</v>
      </c>
      <c r="C1435" s="2" t="s">
        <v>56</v>
      </c>
      <c r="D1435" s="5" t="s">
        <v>81</v>
      </c>
      <c r="E1435" s="5" t="s">
        <v>62</v>
      </c>
      <c r="F1435" s="2" t="n">
        <v>19</v>
      </c>
      <c r="G1435" s="5" t="s">
        <v>73</v>
      </c>
      <c r="H1435" s="2" t="n">
        <v>0</v>
      </c>
      <c r="I1435" s="2" t="n">
        <v>1</v>
      </c>
      <c r="J1435" s="2" t="n">
        <v>1</v>
      </c>
      <c r="K1435" s="7" t="n">
        <v>0.2141422645</v>
      </c>
      <c r="L1435" s="7" t="n">
        <v>0.03831780858</v>
      </c>
      <c r="M1435" s="7" t="n">
        <v>0.04381218965</v>
      </c>
      <c r="N1435" s="7" t="n">
        <v>11</v>
      </c>
      <c r="O1435" s="7" t="n">
        <v>11</v>
      </c>
      <c r="P1435" s="7" t="n">
        <v>11</v>
      </c>
      <c r="Q1435" s="2"/>
      <c r="R1435" s="7" t="n">
        <v>2.952504</v>
      </c>
      <c r="S1435" s="5" t="s">
        <v>82</v>
      </c>
      <c r="T1435" s="5" t="s">
        <v>61</v>
      </c>
    </row>
    <row r="1436" customFormat="false" ht="15" hidden="false" customHeight="false" outlineLevel="0" collapsed="false">
      <c r="A1436" s="5" t="s">
        <v>4</v>
      </c>
      <c r="B1436" s="5" t="s">
        <v>55</v>
      </c>
      <c r="C1436" s="2" t="s">
        <v>56</v>
      </c>
      <c r="D1436" s="5" t="s">
        <v>81</v>
      </c>
      <c r="E1436" s="5" t="s">
        <v>58</v>
      </c>
      <c r="F1436" s="2" t="n">
        <v>20</v>
      </c>
      <c r="G1436" s="5" t="s">
        <v>71</v>
      </c>
      <c r="H1436" s="2" t="n">
        <v>1</v>
      </c>
      <c r="I1436" s="2" t="n">
        <v>1</v>
      </c>
      <c r="J1436" s="2" t="n">
        <v>1</v>
      </c>
      <c r="K1436" s="7" t="n">
        <v>0.7062623866</v>
      </c>
      <c r="L1436" s="7" t="n">
        <v>0.05340237695</v>
      </c>
      <c r="M1436" s="7" t="n">
        <v>0.0692053226</v>
      </c>
      <c r="N1436" s="7" t="n">
        <v>7</v>
      </c>
      <c r="O1436" s="7" t="n">
        <v>7</v>
      </c>
      <c r="P1436" s="7" t="n">
        <v>0</v>
      </c>
      <c r="Q1436" s="2"/>
      <c r="R1436" s="7" t="n">
        <v>1.320091</v>
      </c>
      <c r="S1436" s="5" t="s">
        <v>82</v>
      </c>
      <c r="T1436" s="5" t="s">
        <v>61</v>
      </c>
    </row>
    <row r="1437" customFormat="false" ht="15" hidden="false" customHeight="false" outlineLevel="0" collapsed="false">
      <c r="A1437" s="5" t="s">
        <v>4</v>
      </c>
      <c r="B1437" s="5" t="s">
        <v>55</v>
      </c>
      <c r="C1437" s="2" t="s">
        <v>56</v>
      </c>
      <c r="D1437" s="5" t="s">
        <v>81</v>
      </c>
      <c r="E1437" s="5" t="s">
        <v>62</v>
      </c>
      <c r="F1437" s="2" t="n">
        <v>20</v>
      </c>
      <c r="G1437" s="5" t="s">
        <v>71</v>
      </c>
      <c r="H1437" s="2" t="n">
        <v>1</v>
      </c>
      <c r="I1437" s="2" t="n">
        <v>1</v>
      </c>
      <c r="J1437" s="2" t="n">
        <v>1</v>
      </c>
      <c r="K1437" s="7" t="n">
        <v>0.7062623866</v>
      </c>
      <c r="L1437" s="7" t="n">
        <v>0.05340237695</v>
      </c>
      <c r="M1437" s="7" t="n">
        <v>0.0692053226</v>
      </c>
      <c r="N1437" s="7" t="n">
        <v>7</v>
      </c>
      <c r="O1437" s="7" t="n">
        <v>7</v>
      </c>
      <c r="P1437" s="7" t="n">
        <v>7</v>
      </c>
      <c r="Q1437" s="2"/>
      <c r="R1437" s="7" t="n">
        <v>1.842163</v>
      </c>
      <c r="S1437" s="5" t="s">
        <v>82</v>
      </c>
      <c r="T1437" s="5" t="s">
        <v>61</v>
      </c>
    </row>
    <row r="1438" customFormat="false" ht="15" hidden="false" customHeight="false" outlineLevel="0" collapsed="false">
      <c r="A1438" s="5" t="s">
        <v>4</v>
      </c>
      <c r="B1438" s="5" t="s">
        <v>55</v>
      </c>
      <c r="C1438" s="2" t="s">
        <v>56</v>
      </c>
      <c r="D1438" s="5" t="s">
        <v>81</v>
      </c>
      <c r="E1438" s="5" t="s">
        <v>58</v>
      </c>
      <c r="F1438" s="2" t="n">
        <v>20</v>
      </c>
      <c r="G1438" s="5" t="s">
        <v>72</v>
      </c>
      <c r="H1438" s="2" t="n">
        <v>1</v>
      </c>
      <c r="I1438" s="2" t="n">
        <v>1</v>
      </c>
      <c r="J1438" s="2" t="n">
        <v>1</v>
      </c>
      <c r="K1438" s="7" t="n">
        <v>0.7706070486</v>
      </c>
      <c r="L1438" s="7" t="n">
        <v>0.1899174003</v>
      </c>
      <c r="M1438" s="7" t="n">
        <v>0.1936547898</v>
      </c>
      <c r="N1438" s="7" t="n">
        <v>7</v>
      </c>
      <c r="O1438" s="7" t="n">
        <v>7</v>
      </c>
      <c r="P1438" s="7" t="n">
        <v>0</v>
      </c>
      <c r="Q1438" s="2"/>
      <c r="R1438" s="7" t="n">
        <v>2.276164</v>
      </c>
      <c r="S1438" s="5" t="s">
        <v>82</v>
      </c>
      <c r="T1438" s="5" t="s">
        <v>61</v>
      </c>
    </row>
    <row r="1439" customFormat="false" ht="15" hidden="false" customHeight="false" outlineLevel="0" collapsed="false">
      <c r="A1439" s="5" t="s">
        <v>4</v>
      </c>
      <c r="B1439" s="5" t="s">
        <v>55</v>
      </c>
      <c r="C1439" s="2" t="s">
        <v>56</v>
      </c>
      <c r="D1439" s="5" t="s">
        <v>81</v>
      </c>
      <c r="E1439" s="5" t="s">
        <v>62</v>
      </c>
      <c r="F1439" s="2" t="n">
        <v>20</v>
      </c>
      <c r="G1439" s="5" t="s">
        <v>72</v>
      </c>
      <c r="H1439" s="2" t="n">
        <v>1</v>
      </c>
      <c r="I1439" s="2" t="n">
        <v>1</v>
      </c>
      <c r="J1439" s="2" t="n">
        <v>1</v>
      </c>
      <c r="K1439" s="7" t="n">
        <v>0.7706070486</v>
      </c>
      <c r="L1439" s="7" t="n">
        <v>0.1899174003</v>
      </c>
      <c r="M1439" s="7" t="n">
        <v>0.1936547898</v>
      </c>
      <c r="N1439" s="7" t="n">
        <v>7</v>
      </c>
      <c r="O1439" s="7" t="n">
        <v>7</v>
      </c>
      <c r="P1439" s="7" t="n">
        <v>7</v>
      </c>
      <c r="Q1439" s="2"/>
      <c r="R1439" s="7" t="n">
        <v>2.878124</v>
      </c>
      <c r="S1439" s="5" t="s">
        <v>82</v>
      </c>
      <c r="T1439" s="5" t="s">
        <v>61</v>
      </c>
    </row>
    <row r="1440" customFormat="false" ht="15" hidden="false" customHeight="false" outlineLevel="0" collapsed="false">
      <c r="A1440" s="5" t="s">
        <v>4</v>
      </c>
      <c r="B1440" s="5" t="s">
        <v>55</v>
      </c>
      <c r="C1440" s="2" t="s">
        <v>56</v>
      </c>
      <c r="D1440" s="5" t="s">
        <v>81</v>
      </c>
      <c r="E1440" s="5" t="s">
        <v>58</v>
      </c>
      <c r="F1440" s="2" t="n">
        <v>20</v>
      </c>
      <c r="G1440" s="5" t="s">
        <v>73</v>
      </c>
      <c r="H1440" s="2" t="n">
        <v>0</v>
      </c>
      <c r="I1440" s="2" t="n">
        <v>1</v>
      </c>
      <c r="J1440" s="2" t="n">
        <v>1</v>
      </c>
      <c r="K1440" s="7" t="n">
        <v>1.908180457</v>
      </c>
      <c r="L1440" s="7" t="n">
        <v>0.2980477832</v>
      </c>
      <c r="M1440" s="7" t="n">
        <v>0.316295382</v>
      </c>
      <c r="N1440" s="7" t="n">
        <v>3</v>
      </c>
      <c r="O1440" s="7" t="n">
        <v>3</v>
      </c>
      <c r="P1440" s="7" t="n">
        <v>0</v>
      </c>
      <c r="Q1440" s="2"/>
      <c r="R1440" s="7" t="n">
        <v>2.177739</v>
      </c>
      <c r="S1440" s="5" t="s">
        <v>82</v>
      </c>
      <c r="T1440" s="5" t="s">
        <v>61</v>
      </c>
    </row>
    <row r="1441" customFormat="false" ht="15" hidden="false" customHeight="false" outlineLevel="0" collapsed="false">
      <c r="A1441" s="5" t="s">
        <v>4</v>
      </c>
      <c r="B1441" s="5" t="s">
        <v>55</v>
      </c>
      <c r="C1441" s="2" t="s">
        <v>56</v>
      </c>
      <c r="D1441" s="5" t="s">
        <v>81</v>
      </c>
      <c r="E1441" s="5" t="s">
        <v>62</v>
      </c>
      <c r="F1441" s="2" t="n">
        <v>20</v>
      </c>
      <c r="G1441" s="5" t="s">
        <v>73</v>
      </c>
      <c r="H1441" s="2" t="n">
        <v>0</v>
      </c>
      <c r="I1441" s="2" t="n">
        <v>1</v>
      </c>
      <c r="J1441" s="2" t="n">
        <v>1</v>
      </c>
      <c r="K1441" s="7" t="n">
        <v>1.908180457</v>
      </c>
      <c r="L1441" s="7" t="n">
        <v>0.2980477832</v>
      </c>
      <c r="M1441" s="7" t="n">
        <v>0.316295382</v>
      </c>
      <c r="N1441" s="7" t="n">
        <v>3</v>
      </c>
      <c r="O1441" s="7" t="n">
        <v>3</v>
      </c>
      <c r="P1441" s="7" t="n">
        <v>3</v>
      </c>
      <c r="Q1441" s="2"/>
      <c r="R1441" s="7" t="n">
        <v>2.355581</v>
      </c>
      <c r="S1441" s="5" t="s">
        <v>82</v>
      </c>
      <c r="T1441" s="5" t="s">
        <v>61</v>
      </c>
    </row>
    <row r="1442" customFormat="false" ht="15" hidden="false" customHeight="false" outlineLevel="0" collapsed="false">
      <c r="A1442" s="5" t="s">
        <v>4</v>
      </c>
      <c r="B1442" s="5" t="s">
        <v>55</v>
      </c>
      <c r="C1442" s="2" t="s">
        <v>56</v>
      </c>
      <c r="D1442" s="5" t="s">
        <v>81</v>
      </c>
      <c r="E1442" s="5" t="s">
        <v>58</v>
      </c>
      <c r="F1442" s="2" t="n">
        <v>11</v>
      </c>
      <c r="G1442" s="5" t="s">
        <v>74</v>
      </c>
      <c r="H1442" s="2" t="n">
        <v>1</v>
      </c>
      <c r="I1442" s="2" t="n">
        <v>1</v>
      </c>
      <c r="J1442" s="2" t="n">
        <v>1</v>
      </c>
      <c r="K1442" s="7" t="n">
        <v>1.007247385</v>
      </c>
      <c r="L1442" s="7" t="n">
        <v>0.1426978354</v>
      </c>
      <c r="M1442" s="7" t="n">
        <v>0.1582406938</v>
      </c>
      <c r="N1442" s="7" t="n">
        <v>4</v>
      </c>
      <c r="O1442" s="7" t="n">
        <v>4</v>
      </c>
      <c r="P1442" s="7" t="n">
        <v>0</v>
      </c>
      <c r="Q1442" s="2"/>
      <c r="R1442" s="7" t="n">
        <v>2.236675</v>
      </c>
      <c r="S1442" s="5" t="s">
        <v>82</v>
      </c>
      <c r="T1442" s="5" t="s">
        <v>61</v>
      </c>
    </row>
    <row r="1443" customFormat="false" ht="15" hidden="false" customHeight="false" outlineLevel="0" collapsed="false">
      <c r="A1443" s="5" t="s">
        <v>4</v>
      </c>
      <c r="B1443" s="5" t="s">
        <v>55</v>
      </c>
      <c r="C1443" s="2" t="s">
        <v>56</v>
      </c>
      <c r="D1443" s="5" t="s">
        <v>81</v>
      </c>
      <c r="E1443" s="5" t="s">
        <v>62</v>
      </c>
      <c r="F1443" s="2" t="n">
        <v>11</v>
      </c>
      <c r="G1443" s="5" t="s">
        <v>74</v>
      </c>
      <c r="H1443" s="2" t="n">
        <v>1</v>
      </c>
      <c r="I1443" s="2" t="n">
        <v>1</v>
      </c>
      <c r="J1443" s="2" t="n">
        <v>1</v>
      </c>
      <c r="K1443" s="7" t="n">
        <v>1.007247385</v>
      </c>
      <c r="L1443" s="7" t="n">
        <v>0.1426978354</v>
      </c>
      <c r="M1443" s="7" t="n">
        <v>0.1582406938</v>
      </c>
      <c r="N1443" s="7" t="n">
        <v>4</v>
      </c>
      <c r="O1443" s="7" t="n">
        <v>4</v>
      </c>
      <c r="P1443" s="7" t="n">
        <v>4</v>
      </c>
      <c r="Q1443" s="2"/>
      <c r="R1443" s="7" t="n">
        <v>2.566463</v>
      </c>
      <c r="S1443" s="5" t="s">
        <v>82</v>
      </c>
      <c r="T1443" s="5" t="s">
        <v>61</v>
      </c>
    </row>
    <row r="1444" customFormat="false" ht="15" hidden="false" customHeight="false" outlineLevel="0" collapsed="false">
      <c r="A1444" s="5" t="s">
        <v>4</v>
      </c>
      <c r="B1444" s="5" t="s">
        <v>55</v>
      </c>
      <c r="C1444" s="2" t="s">
        <v>56</v>
      </c>
      <c r="D1444" s="5" t="s">
        <v>81</v>
      </c>
      <c r="E1444" s="5" t="s">
        <v>58</v>
      </c>
      <c r="F1444" s="2" t="n">
        <v>11</v>
      </c>
      <c r="G1444" s="5" t="s">
        <v>75</v>
      </c>
      <c r="H1444" s="2" t="n">
        <v>1</v>
      </c>
      <c r="I1444" s="2" t="n">
        <v>1</v>
      </c>
      <c r="J1444" s="2" t="n">
        <v>1</v>
      </c>
      <c r="K1444" s="7" t="n">
        <v>0.1507674844</v>
      </c>
      <c r="L1444" s="7" t="n">
        <v>0.1170627854</v>
      </c>
      <c r="M1444" s="7" t="n">
        <v>0.117683835</v>
      </c>
      <c r="N1444" s="7" t="n">
        <v>14</v>
      </c>
      <c r="O1444" s="7" t="n">
        <v>14</v>
      </c>
      <c r="P1444" s="7" t="n">
        <v>0</v>
      </c>
      <c r="Q1444" s="2"/>
      <c r="R1444" s="7" t="n">
        <v>2.075558</v>
      </c>
      <c r="S1444" s="5" t="s">
        <v>82</v>
      </c>
      <c r="T1444" s="5" t="s">
        <v>61</v>
      </c>
    </row>
    <row r="1445" customFormat="false" ht="15" hidden="false" customHeight="false" outlineLevel="0" collapsed="false">
      <c r="A1445" s="5" t="s">
        <v>4</v>
      </c>
      <c r="B1445" s="5" t="s">
        <v>55</v>
      </c>
      <c r="C1445" s="2" t="s">
        <v>56</v>
      </c>
      <c r="D1445" s="5" t="s">
        <v>81</v>
      </c>
      <c r="E1445" s="5" t="s">
        <v>62</v>
      </c>
      <c r="F1445" s="2" t="n">
        <v>11</v>
      </c>
      <c r="G1445" s="5" t="s">
        <v>75</v>
      </c>
      <c r="H1445" s="2" t="n">
        <v>1</v>
      </c>
      <c r="I1445" s="2" t="n">
        <v>1</v>
      </c>
      <c r="J1445" s="2" t="n">
        <v>1</v>
      </c>
      <c r="K1445" s="7" t="n">
        <v>0.1507674844</v>
      </c>
      <c r="L1445" s="7" t="n">
        <v>0.1170627854</v>
      </c>
      <c r="M1445" s="7" t="n">
        <v>0.117683835</v>
      </c>
      <c r="N1445" s="7" t="n">
        <v>14</v>
      </c>
      <c r="O1445" s="7" t="n">
        <v>14</v>
      </c>
      <c r="P1445" s="7" t="n">
        <v>13</v>
      </c>
      <c r="Q1445" s="2"/>
      <c r="R1445" s="7" t="n">
        <v>2.697437</v>
      </c>
      <c r="S1445" s="5" t="s">
        <v>82</v>
      </c>
      <c r="T1445" s="5" t="s">
        <v>61</v>
      </c>
    </row>
    <row r="1446" customFormat="false" ht="15" hidden="false" customHeight="false" outlineLevel="0" collapsed="false">
      <c r="A1446" s="5" t="s">
        <v>4</v>
      </c>
      <c r="B1446" s="5" t="s">
        <v>55</v>
      </c>
      <c r="C1446" s="2" t="s">
        <v>56</v>
      </c>
      <c r="D1446" s="5" t="s">
        <v>81</v>
      </c>
      <c r="E1446" s="5" t="s">
        <v>58</v>
      </c>
      <c r="F1446" s="2" t="n">
        <v>12</v>
      </c>
      <c r="G1446" s="5" t="s">
        <v>74</v>
      </c>
      <c r="H1446" s="2" t="n">
        <v>1</v>
      </c>
      <c r="I1446" s="2" t="n">
        <v>1</v>
      </c>
      <c r="J1446" s="2" t="n">
        <v>1</v>
      </c>
      <c r="K1446" s="7" t="n">
        <v>0.2903046128</v>
      </c>
      <c r="L1446" s="7" t="n">
        <v>0.08521679534</v>
      </c>
      <c r="M1446" s="7" t="n">
        <v>0.08829040822</v>
      </c>
      <c r="N1446" s="7" t="n">
        <v>7</v>
      </c>
      <c r="O1446" s="7" t="n">
        <v>7</v>
      </c>
      <c r="P1446" s="7" t="n">
        <v>0</v>
      </c>
      <c r="Q1446" s="2"/>
      <c r="R1446" s="7" t="n">
        <v>2.513776</v>
      </c>
      <c r="S1446" s="5" t="s">
        <v>82</v>
      </c>
      <c r="T1446" s="5" t="s">
        <v>61</v>
      </c>
    </row>
    <row r="1447" customFormat="false" ht="15" hidden="false" customHeight="false" outlineLevel="0" collapsed="false">
      <c r="A1447" s="5" t="s">
        <v>4</v>
      </c>
      <c r="B1447" s="5" t="s">
        <v>55</v>
      </c>
      <c r="C1447" s="2" t="s">
        <v>56</v>
      </c>
      <c r="D1447" s="5" t="s">
        <v>81</v>
      </c>
      <c r="E1447" s="5" t="s">
        <v>62</v>
      </c>
      <c r="F1447" s="2" t="n">
        <v>12</v>
      </c>
      <c r="G1447" s="5" t="s">
        <v>74</v>
      </c>
      <c r="H1447" s="2" t="n">
        <v>1</v>
      </c>
      <c r="I1447" s="2" t="n">
        <v>1</v>
      </c>
      <c r="J1447" s="2" t="n">
        <v>1</v>
      </c>
      <c r="K1447" s="7" t="n">
        <v>0.2903046128</v>
      </c>
      <c r="L1447" s="7" t="n">
        <v>0.08521679534</v>
      </c>
      <c r="M1447" s="7" t="n">
        <v>0.08829040822</v>
      </c>
      <c r="N1447" s="7" t="n">
        <v>7</v>
      </c>
      <c r="O1447" s="7" t="n">
        <v>7</v>
      </c>
      <c r="P1447" s="7" t="n">
        <v>7</v>
      </c>
      <c r="Q1447" s="2"/>
      <c r="R1447" s="7" t="n">
        <v>3.118819</v>
      </c>
      <c r="S1447" s="5" t="s">
        <v>82</v>
      </c>
      <c r="T1447" s="5" t="s">
        <v>61</v>
      </c>
    </row>
    <row r="1448" customFormat="false" ht="15" hidden="false" customHeight="false" outlineLevel="0" collapsed="false">
      <c r="A1448" s="5" t="s">
        <v>4</v>
      </c>
      <c r="B1448" s="5" t="s">
        <v>55</v>
      </c>
      <c r="C1448" s="2" t="s">
        <v>56</v>
      </c>
      <c r="D1448" s="5" t="s">
        <v>81</v>
      </c>
      <c r="E1448" s="5" t="s">
        <v>58</v>
      </c>
      <c r="F1448" s="2" t="n">
        <v>12</v>
      </c>
      <c r="G1448" s="5" t="s">
        <v>75</v>
      </c>
      <c r="H1448" s="2" t="n">
        <v>1</v>
      </c>
      <c r="I1448" s="2" t="n">
        <v>1</v>
      </c>
      <c r="J1448" s="2" t="n">
        <v>1</v>
      </c>
      <c r="K1448" s="7" t="n">
        <v>0.1756971867</v>
      </c>
      <c r="L1448" s="7" t="n">
        <v>0.09127752658</v>
      </c>
      <c r="M1448" s="7" t="n">
        <v>0.09178045426</v>
      </c>
      <c r="N1448" s="7" t="n">
        <v>14</v>
      </c>
      <c r="O1448" s="7" t="n">
        <v>14</v>
      </c>
      <c r="P1448" s="7" t="n">
        <v>0</v>
      </c>
      <c r="Q1448" s="2"/>
      <c r="R1448" s="7" t="n">
        <v>2.377415</v>
      </c>
      <c r="S1448" s="5" t="s">
        <v>82</v>
      </c>
      <c r="T1448" s="5" t="s">
        <v>61</v>
      </c>
    </row>
    <row r="1449" customFormat="false" ht="15" hidden="false" customHeight="false" outlineLevel="0" collapsed="false">
      <c r="A1449" s="5" t="s">
        <v>4</v>
      </c>
      <c r="B1449" s="5" t="s">
        <v>55</v>
      </c>
      <c r="C1449" s="2" t="s">
        <v>56</v>
      </c>
      <c r="D1449" s="5" t="s">
        <v>81</v>
      </c>
      <c r="E1449" s="5" t="s">
        <v>62</v>
      </c>
      <c r="F1449" s="2" t="n">
        <v>12</v>
      </c>
      <c r="G1449" s="5" t="s">
        <v>75</v>
      </c>
      <c r="H1449" s="2" t="n">
        <v>1</v>
      </c>
      <c r="I1449" s="2" t="n">
        <v>1</v>
      </c>
      <c r="J1449" s="2" t="n">
        <v>1</v>
      </c>
      <c r="K1449" s="7" t="n">
        <v>0.1756971867</v>
      </c>
      <c r="L1449" s="7" t="n">
        <v>0.09127752658</v>
      </c>
      <c r="M1449" s="7" t="n">
        <v>0.09178045426</v>
      </c>
      <c r="N1449" s="7" t="n">
        <v>14</v>
      </c>
      <c r="O1449" s="7" t="n">
        <v>14</v>
      </c>
      <c r="P1449" s="7" t="n">
        <v>13</v>
      </c>
      <c r="Q1449" s="2"/>
      <c r="R1449" s="7" t="n">
        <v>3.035928</v>
      </c>
      <c r="S1449" s="5" t="s">
        <v>82</v>
      </c>
      <c r="T1449" s="5" t="s">
        <v>61</v>
      </c>
    </row>
    <row r="1450" customFormat="false" ht="15" hidden="false" customHeight="false" outlineLevel="0" collapsed="false">
      <c r="A1450" s="5" t="s">
        <v>4</v>
      </c>
      <c r="B1450" s="5" t="s">
        <v>55</v>
      </c>
      <c r="C1450" s="2" t="s">
        <v>56</v>
      </c>
      <c r="D1450" s="5" t="s">
        <v>81</v>
      </c>
      <c r="E1450" s="5" t="s">
        <v>58</v>
      </c>
      <c r="F1450" s="2" t="n">
        <v>13</v>
      </c>
      <c r="G1450" s="5" t="s">
        <v>74</v>
      </c>
      <c r="H1450" s="2" t="n">
        <v>1</v>
      </c>
      <c r="I1450" s="2" t="n">
        <v>1</v>
      </c>
      <c r="J1450" s="2" t="n">
        <v>1</v>
      </c>
      <c r="K1450" s="7" t="n">
        <v>0.5413922901</v>
      </c>
      <c r="L1450" s="7" t="n">
        <v>0.1183670829</v>
      </c>
      <c r="M1450" s="7" t="n">
        <v>0.1245258748</v>
      </c>
      <c r="N1450" s="7" t="n">
        <v>7</v>
      </c>
      <c r="O1450" s="7" t="n">
        <v>7</v>
      </c>
      <c r="P1450" s="7" t="n">
        <v>0</v>
      </c>
      <c r="Q1450" s="2"/>
      <c r="R1450" s="7" t="n">
        <v>2.421629</v>
      </c>
      <c r="S1450" s="5" t="s">
        <v>82</v>
      </c>
      <c r="T1450" s="5" t="s">
        <v>61</v>
      </c>
    </row>
    <row r="1451" customFormat="false" ht="15" hidden="false" customHeight="false" outlineLevel="0" collapsed="false">
      <c r="A1451" s="5" t="s">
        <v>4</v>
      </c>
      <c r="B1451" s="5" t="s">
        <v>55</v>
      </c>
      <c r="C1451" s="2" t="s">
        <v>56</v>
      </c>
      <c r="D1451" s="5" t="s">
        <v>81</v>
      </c>
      <c r="E1451" s="5" t="s">
        <v>62</v>
      </c>
      <c r="F1451" s="2" t="n">
        <v>13</v>
      </c>
      <c r="G1451" s="5" t="s">
        <v>74</v>
      </c>
      <c r="H1451" s="2" t="n">
        <v>1</v>
      </c>
      <c r="I1451" s="2" t="n">
        <v>1</v>
      </c>
      <c r="J1451" s="2" t="n">
        <v>1</v>
      </c>
      <c r="K1451" s="7" t="n">
        <v>0.5413922901</v>
      </c>
      <c r="L1451" s="7" t="n">
        <v>0.1183670829</v>
      </c>
      <c r="M1451" s="7" t="n">
        <v>0.1245258748</v>
      </c>
      <c r="N1451" s="7" t="n">
        <v>7</v>
      </c>
      <c r="O1451" s="7" t="n">
        <v>7</v>
      </c>
      <c r="P1451" s="7" t="n">
        <v>7</v>
      </c>
      <c r="Q1451" s="2"/>
      <c r="R1451" s="7" t="n">
        <v>2.90919</v>
      </c>
      <c r="S1451" s="5" t="s">
        <v>82</v>
      </c>
      <c r="T1451" s="5" t="s">
        <v>61</v>
      </c>
    </row>
    <row r="1452" customFormat="false" ht="15" hidden="false" customHeight="false" outlineLevel="0" collapsed="false">
      <c r="A1452" s="5" t="s">
        <v>4</v>
      </c>
      <c r="B1452" s="5" t="s">
        <v>55</v>
      </c>
      <c r="C1452" s="2" t="s">
        <v>56</v>
      </c>
      <c r="D1452" s="5" t="s">
        <v>81</v>
      </c>
      <c r="E1452" s="5" t="s">
        <v>58</v>
      </c>
      <c r="F1452" s="2" t="n">
        <v>13</v>
      </c>
      <c r="G1452" s="5" t="s">
        <v>75</v>
      </c>
      <c r="H1452" s="2" t="n">
        <v>1</v>
      </c>
      <c r="I1452" s="2" t="n">
        <v>1</v>
      </c>
      <c r="J1452" s="2" t="n">
        <v>1</v>
      </c>
      <c r="K1452" s="7" t="n">
        <v>0.1490695481</v>
      </c>
      <c r="L1452" s="7" t="n">
        <v>0.09731516658</v>
      </c>
      <c r="M1452" s="7" t="n">
        <v>0.09811726896</v>
      </c>
      <c r="N1452" s="7" t="n">
        <v>8</v>
      </c>
      <c r="O1452" s="7" t="n">
        <v>8</v>
      </c>
      <c r="P1452" s="7" t="n">
        <v>0</v>
      </c>
      <c r="Q1452" s="2"/>
      <c r="R1452" s="7" t="n">
        <v>2.865877</v>
      </c>
      <c r="S1452" s="5" t="s">
        <v>82</v>
      </c>
      <c r="T1452" s="5" t="s">
        <v>61</v>
      </c>
    </row>
    <row r="1453" customFormat="false" ht="15" hidden="false" customHeight="false" outlineLevel="0" collapsed="false">
      <c r="A1453" s="5" t="s">
        <v>4</v>
      </c>
      <c r="B1453" s="5" t="s">
        <v>55</v>
      </c>
      <c r="C1453" s="2" t="s">
        <v>56</v>
      </c>
      <c r="D1453" s="5" t="s">
        <v>81</v>
      </c>
      <c r="E1453" s="5" t="s">
        <v>62</v>
      </c>
      <c r="F1453" s="2" t="n">
        <v>13</v>
      </c>
      <c r="G1453" s="5" t="s">
        <v>75</v>
      </c>
      <c r="H1453" s="2" t="n">
        <v>1</v>
      </c>
      <c r="I1453" s="2" t="n">
        <v>1</v>
      </c>
      <c r="J1453" s="2" t="n">
        <v>1</v>
      </c>
      <c r="K1453" s="7" t="n">
        <v>0.1490695481</v>
      </c>
      <c r="L1453" s="7" t="n">
        <v>0.09731516658</v>
      </c>
      <c r="M1453" s="7" t="n">
        <v>0.09811726896</v>
      </c>
      <c r="N1453" s="7" t="n">
        <v>8</v>
      </c>
      <c r="O1453" s="7" t="n">
        <v>8</v>
      </c>
      <c r="P1453" s="7" t="n">
        <v>8</v>
      </c>
      <c r="Q1453" s="2"/>
      <c r="R1453" s="7" t="n">
        <v>3.541796</v>
      </c>
      <c r="S1453" s="5" t="s">
        <v>82</v>
      </c>
      <c r="T1453" s="5" t="s">
        <v>61</v>
      </c>
    </row>
    <row r="1454" customFormat="false" ht="15" hidden="false" customHeight="false" outlineLevel="0" collapsed="false">
      <c r="A1454" s="5" t="s">
        <v>4</v>
      </c>
      <c r="B1454" s="5" t="s">
        <v>55</v>
      </c>
      <c r="C1454" s="2" t="s">
        <v>56</v>
      </c>
      <c r="D1454" s="5" t="s">
        <v>81</v>
      </c>
      <c r="E1454" s="5" t="s">
        <v>58</v>
      </c>
      <c r="F1454" s="2" t="n">
        <v>14</v>
      </c>
      <c r="G1454" s="5" t="s">
        <v>74</v>
      </c>
      <c r="H1454" s="2" t="n">
        <v>1</v>
      </c>
      <c r="I1454" s="2" t="n">
        <v>1</v>
      </c>
      <c r="J1454" s="2" t="n">
        <v>0</v>
      </c>
      <c r="K1454" s="7" t="n">
        <v>4.76632769</v>
      </c>
      <c r="L1454" s="7" t="n">
        <v>0.5613666667</v>
      </c>
      <c r="M1454" s="7" t="n">
        <v>0.649842296</v>
      </c>
      <c r="N1454" s="7" t="n">
        <v>3</v>
      </c>
      <c r="O1454" s="7" t="n">
        <v>3</v>
      </c>
      <c r="P1454" s="7" t="n">
        <v>0</v>
      </c>
      <c r="Q1454" s="2"/>
      <c r="R1454" s="7" t="n">
        <v>2.589607</v>
      </c>
      <c r="S1454" s="5" t="s">
        <v>82</v>
      </c>
      <c r="T1454" s="5" t="s">
        <v>61</v>
      </c>
    </row>
    <row r="1455" customFormat="false" ht="15" hidden="false" customHeight="false" outlineLevel="0" collapsed="false">
      <c r="A1455" s="5" t="s">
        <v>4</v>
      </c>
      <c r="B1455" s="5" t="s">
        <v>55</v>
      </c>
      <c r="C1455" s="2" t="s">
        <v>56</v>
      </c>
      <c r="D1455" s="5" t="s">
        <v>81</v>
      </c>
      <c r="E1455" s="5" t="s">
        <v>62</v>
      </c>
      <c r="F1455" s="2" t="n">
        <v>14</v>
      </c>
      <c r="G1455" s="5" t="s">
        <v>74</v>
      </c>
      <c r="H1455" s="2" t="n">
        <v>1</v>
      </c>
      <c r="I1455" s="2" t="n">
        <v>1</v>
      </c>
      <c r="J1455" s="2" t="n">
        <v>0</v>
      </c>
      <c r="K1455" s="7" t="n">
        <v>4.76632769</v>
      </c>
      <c r="L1455" s="7" t="n">
        <v>0.5613666667</v>
      </c>
      <c r="M1455" s="7" t="n">
        <v>0.649842296</v>
      </c>
      <c r="N1455" s="7" t="n">
        <v>3</v>
      </c>
      <c r="O1455" s="7" t="n">
        <v>3</v>
      </c>
      <c r="P1455" s="7" t="n">
        <v>3</v>
      </c>
      <c r="Q1455" s="2"/>
      <c r="R1455" s="7" t="n">
        <v>2.796222</v>
      </c>
      <c r="S1455" s="5" t="s">
        <v>82</v>
      </c>
      <c r="T1455" s="5" t="s">
        <v>61</v>
      </c>
    </row>
    <row r="1456" customFormat="false" ht="15" hidden="false" customHeight="false" outlineLevel="0" collapsed="false">
      <c r="A1456" s="5" t="s">
        <v>4</v>
      </c>
      <c r="B1456" s="5" t="s">
        <v>55</v>
      </c>
      <c r="C1456" s="2" t="s">
        <v>56</v>
      </c>
      <c r="D1456" s="5" t="s">
        <v>81</v>
      </c>
      <c r="E1456" s="5" t="s">
        <v>58</v>
      </c>
      <c r="F1456" s="2" t="n">
        <v>14</v>
      </c>
      <c r="G1456" s="5" t="s">
        <v>75</v>
      </c>
      <c r="H1456" s="2" t="n">
        <v>1</v>
      </c>
      <c r="I1456" s="2" t="n">
        <v>1</v>
      </c>
      <c r="J1456" s="2" t="n">
        <v>1</v>
      </c>
      <c r="K1456" s="7" t="n">
        <v>0.4089584145</v>
      </c>
      <c r="L1456" s="7" t="n">
        <v>0.04751794289</v>
      </c>
      <c r="M1456" s="7" t="n">
        <v>0.05529635759</v>
      </c>
      <c r="N1456" s="7" t="n">
        <v>10</v>
      </c>
      <c r="O1456" s="7" t="n">
        <v>10</v>
      </c>
      <c r="P1456" s="7" t="n">
        <v>0</v>
      </c>
      <c r="Q1456" s="2"/>
      <c r="R1456" s="7" t="n">
        <v>2.50352</v>
      </c>
      <c r="S1456" s="5" t="s">
        <v>82</v>
      </c>
      <c r="T1456" s="5" t="s">
        <v>61</v>
      </c>
    </row>
    <row r="1457" customFormat="false" ht="15" hidden="false" customHeight="false" outlineLevel="0" collapsed="false">
      <c r="A1457" s="5" t="s">
        <v>4</v>
      </c>
      <c r="B1457" s="5" t="s">
        <v>55</v>
      </c>
      <c r="C1457" s="2" t="s">
        <v>56</v>
      </c>
      <c r="D1457" s="5" t="s">
        <v>81</v>
      </c>
      <c r="E1457" s="5" t="s">
        <v>62</v>
      </c>
      <c r="F1457" s="2" t="n">
        <v>14</v>
      </c>
      <c r="G1457" s="5" t="s">
        <v>75</v>
      </c>
      <c r="H1457" s="2" t="n">
        <v>1</v>
      </c>
      <c r="I1457" s="2" t="n">
        <v>1</v>
      </c>
      <c r="J1457" s="2" t="n">
        <v>1</v>
      </c>
      <c r="K1457" s="7" t="n">
        <v>0.4089584145</v>
      </c>
      <c r="L1457" s="7" t="n">
        <v>0.04751794289</v>
      </c>
      <c r="M1457" s="7" t="n">
        <v>0.05529635759</v>
      </c>
      <c r="N1457" s="7" t="n">
        <v>10</v>
      </c>
      <c r="O1457" s="7" t="n">
        <v>10</v>
      </c>
      <c r="P1457" s="7" t="n">
        <v>10</v>
      </c>
      <c r="Q1457" s="2"/>
      <c r="R1457" s="7" t="n">
        <v>3.040443</v>
      </c>
      <c r="S1457" s="5" t="s">
        <v>82</v>
      </c>
      <c r="T1457" s="5" t="s">
        <v>61</v>
      </c>
    </row>
    <row r="1458" customFormat="false" ht="15" hidden="false" customHeight="false" outlineLevel="0" collapsed="false">
      <c r="A1458" s="5" t="s">
        <v>4</v>
      </c>
      <c r="B1458" s="5" t="s">
        <v>55</v>
      </c>
      <c r="C1458" s="2" t="s">
        <v>56</v>
      </c>
      <c r="D1458" s="5" t="s">
        <v>81</v>
      </c>
      <c r="E1458" s="5" t="s">
        <v>58</v>
      </c>
      <c r="F1458" s="2" t="n">
        <v>15</v>
      </c>
      <c r="G1458" s="5" t="s">
        <v>74</v>
      </c>
      <c r="H1458" s="2" t="n">
        <v>1</v>
      </c>
      <c r="I1458" s="2" t="n">
        <v>1</v>
      </c>
      <c r="J1458" s="2" t="n">
        <v>1</v>
      </c>
      <c r="K1458" s="7" t="n">
        <v>0.3894616895</v>
      </c>
      <c r="L1458" s="7" t="n">
        <v>0.0696777749</v>
      </c>
      <c r="M1458" s="7" t="n">
        <v>0.07432674774</v>
      </c>
      <c r="N1458" s="7" t="n">
        <v>7</v>
      </c>
      <c r="O1458" s="7" t="n">
        <v>7</v>
      </c>
      <c r="P1458" s="7" t="n">
        <v>0</v>
      </c>
      <c r="Q1458" s="2"/>
      <c r="R1458" s="7" t="n">
        <v>2.342202</v>
      </c>
      <c r="S1458" s="5" t="s">
        <v>82</v>
      </c>
      <c r="T1458" s="5" t="s">
        <v>61</v>
      </c>
    </row>
    <row r="1459" customFormat="false" ht="15" hidden="false" customHeight="false" outlineLevel="0" collapsed="false">
      <c r="A1459" s="5" t="s">
        <v>4</v>
      </c>
      <c r="B1459" s="5" t="s">
        <v>55</v>
      </c>
      <c r="C1459" s="2" t="s">
        <v>56</v>
      </c>
      <c r="D1459" s="5" t="s">
        <v>81</v>
      </c>
      <c r="E1459" s="5" t="s">
        <v>62</v>
      </c>
      <c r="F1459" s="2" t="n">
        <v>15</v>
      </c>
      <c r="G1459" s="5" t="s">
        <v>74</v>
      </c>
      <c r="H1459" s="2" t="n">
        <v>1</v>
      </c>
      <c r="I1459" s="2" t="n">
        <v>1</v>
      </c>
      <c r="J1459" s="2" t="n">
        <v>1</v>
      </c>
      <c r="K1459" s="7" t="n">
        <v>0.3894616895</v>
      </c>
      <c r="L1459" s="7" t="n">
        <v>0.0696777749</v>
      </c>
      <c r="M1459" s="7" t="n">
        <v>0.07432674774</v>
      </c>
      <c r="N1459" s="7" t="n">
        <v>7</v>
      </c>
      <c r="O1459" s="7" t="n">
        <v>7</v>
      </c>
      <c r="P1459" s="7" t="n">
        <v>7</v>
      </c>
      <c r="Q1459" s="2"/>
      <c r="R1459" s="7" t="n">
        <v>2.852576</v>
      </c>
      <c r="S1459" s="5" t="s">
        <v>82</v>
      </c>
      <c r="T1459" s="5" t="s">
        <v>61</v>
      </c>
    </row>
    <row r="1460" customFormat="false" ht="15" hidden="false" customHeight="false" outlineLevel="0" collapsed="false">
      <c r="A1460" s="5" t="s">
        <v>4</v>
      </c>
      <c r="B1460" s="5" t="s">
        <v>55</v>
      </c>
      <c r="C1460" s="2" t="s">
        <v>56</v>
      </c>
      <c r="D1460" s="5" t="s">
        <v>81</v>
      </c>
      <c r="E1460" s="5" t="s">
        <v>58</v>
      </c>
      <c r="F1460" s="2" t="n">
        <v>15</v>
      </c>
      <c r="G1460" s="5" t="s">
        <v>75</v>
      </c>
      <c r="H1460" s="2" t="n">
        <v>1</v>
      </c>
      <c r="I1460" s="2" t="n">
        <v>1</v>
      </c>
      <c r="J1460" s="2" t="n">
        <v>1</v>
      </c>
      <c r="K1460" s="7" t="n">
        <v>1.006210498</v>
      </c>
      <c r="L1460" s="7" t="n">
        <v>0.2263637498</v>
      </c>
      <c r="M1460" s="7" t="n">
        <v>0.2355591277</v>
      </c>
      <c r="N1460" s="7" t="n">
        <v>11</v>
      </c>
      <c r="O1460" s="7" t="n">
        <v>11</v>
      </c>
      <c r="P1460" s="7" t="n">
        <v>0</v>
      </c>
      <c r="Q1460" s="2"/>
      <c r="R1460" s="7" t="n">
        <v>2.450121</v>
      </c>
      <c r="S1460" s="5" t="s">
        <v>82</v>
      </c>
      <c r="T1460" s="5" t="s">
        <v>61</v>
      </c>
    </row>
    <row r="1461" customFormat="false" ht="15" hidden="false" customHeight="false" outlineLevel="0" collapsed="false">
      <c r="A1461" s="5" t="s">
        <v>4</v>
      </c>
      <c r="B1461" s="5" t="s">
        <v>55</v>
      </c>
      <c r="C1461" s="2" t="s">
        <v>56</v>
      </c>
      <c r="D1461" s="5" t="s">
        <v>81</v>
      </c>
      <c r="E1461" s="5" t="s">
        <v>62</v>
      </c>
      <c r="F1461" s="2" t="n">
        <v>15</v>
      </c>
      <c r="G1461" s="5" t="s">
        <v>75</v>
      </c>
      <c r="H1461" s="2" t="n">
        <v>1</v>
      </c>
      <c r="I1461" s="2" t="n">
        <v>1</v>
      </c>
      <c r="J1461" s="2" t="n">
        <v>1</v>
      </c>
      <c r="K1461" s="7" t="n">
        <v>0.0684359888</v>
      </c>
      <c r="L1461" s="7" t="n">
        <v>0.09844635573</v>
      </c>
      <c r="M1461" s="7" t="n">
        <v>0.09878241643</v>
      </c>
      <c r="N1461" s="7" t="n">
        <v>11</v>
      </c>
      <c r="O1461" s="7" t="n">
        <v>11</v>
      </c>
      <c r="P1461" s="7" t="n">
        <v>10</v>
      </c>
      <c r="Q1461" s="2"/>
      <c r="R1461" s="7" t="n">
        <v>3.021355</v>
      </c>
      <c r="S1461" s="5" t="s">
        <v>82</v>
      </c>
      <c r="T1461" s="5" t="s">
        <v>61</v>
      </c>
    </row>
    <row r="1462" customFormat="false" ht="15" hidden="false" customHeight="false" outlineLevel="0" collapsed="false">
      <c r="A1462" s="5" t="s">
        <v>4</v>
      </c>
      <c r="B1462" s="5" t="s">
        <v>55</v>
      </c>
      <c r="C1462" s="2" t="s">
        <v>56</v>
      </c>
      <c r="D1462" s="5" t="s">
        <v>81</v>
      </c>
      <c r="E1462" s="5" t="s">
        <v>58</v>
      </c>
      <c r="F1462" s="2" t="n">
        <v>16</v>
      </c>
      <c r="G1462" s="5" t="s">
        <v>74</v>
      </c>
      <c r="H1462" s="2" t="n">
        <v>1</v>
      </c>
      <c r="I1462" s="2" t="n">
        <v>1</v>
      </c>
      <c r="J1462" s="2" t="n">
        <v>1</v>
      </c>
      <c r="K1462" s="7" t="n">
        <v>0.6935560599</v>
      </c>
      <c r="L1462" s="7" t="n">
        <v>0.1488816959</v>
      </c>
      <c r="M1462" s="7" t="n">
        <v>0.157392452</v>
      </c>
      <c r="N1462" s="7" t="n">
        <v>7</v>
      </c>
      <c r="O1462" s="7" t="n">
        <v>7</v>
      </c>
      <c r="P1462" s="7" t="n">
        <v>0</v>
      </c>
      <c r="Q1462" s="2"/>
      <c r="R1462" s="7" t="n">
        <v>1.942371</v>
      </c>
      <c r="S1462" s="5" t="s">
        <v>82</v>
      </c>
      <c r="T1462" s="5" t="s">
        <v>61</v>
      </c>
    </row>
    <row r="1463" customFormat="false" ht="15" hidden="false" customHeight="false" outlineLevel="0" collapsed="false">
      <c r="A1463" s="5" t="s">
        <v>4</v>
      </c>
      <c r="B1463" s="5" t="s">
        <v>55</v>
      </c>
      <c r="C1463" s="2" t="s">
        <v>56</v>
      </c>
      <c r="D1463" s="5" t="s">
        <v>81</v>
      </c>
      <c r="E1463" s="5" t="s">
        <v>62</v>
      </c>
      <c r="F1463" s="2" t="n">
        <v>16</v>
      </c>
      <c r="G1463" s="5" t="s">
        <v>74</v>
      </c>
      <c r="H1463" s="2" t="n">
        <v>1</v>
      </c>
      <c r="I1463" s="2" t="n">
        <v>1</v>
      </c>
      <c r="J1463" s="2" t="n">
        <v>1</v>
      </c>
      <c r="K1463" s="7" t="n">
        <v>0.6935560599</v>
      </c>
      <c r="L1463" s="7" t="n">
        <v>0.1488816959</v>
      </c>
      <c r="M1463" s="7" t="n">
        <v>0.157392452</v>
      </c>
      <c r="N1463" s="7" t="n">
        <v>7</v>
      </c>
      <c r="O1463" s="7" t="n">
        <v>7</v>
      </c>
      <c r="P1463" s="7" t="n">
        <v>7</v>
      </c>
      <c r="Q1463" s="2"/>
      <c r="R1463" s="7" t="n">
        <v>2.452065</v>
      </c>
      <c r="S1463" s="5" t="s">
        <v>82</v>
      </c>
      <c r="T1463" s="5" t="s">
        <v>61</v>
      </c>
    </row>
    <row r="1464" customFormat="false" ht="15" hidden="false" customHeight="false" outlineLevel="0" collapsed="false">
      <c r="A1464" s="5" t="s">
        <v>4</v>
      </c>
      <c r="B1464" s="5" t="s">
        <v>55</v>
      </c>
      <c r="C1464" s="2" t="s">
        <v>56</v>
      </c>
      <c r="D1464" s="5" t="s">
        <v>81</v>
      </c>
      <c r="E1464" s="5" t="s">
        <v>58</v>
      </c>
      <c r="F1464" s="2" t="n">
        <v>16</v>
      </c>
      <c r="G1464" s="5" t="s">
        <v>75</v>
      </c>
      <c r="H1464" s="2" t="n">
        <v>1</v>
      </c>
      <c r="I1464" s="2" t="n">
        <v>1</v>
      </c>
      <c r="J1464" s="2" t="n">
        <v>1</v>
      </c>
      <c r="K1464" s="7" t="n">
        <v>0.0536787348</v>
      </c>
      <c r="L1464" s="7" t="n">
        <v>0.05803528184</v>
      </c>
      <c r="M1464" s="7" t="n">
        <v>0.05815201384</v>
      </c>
      <c r="N1464" s="7" t="n">
        <v>13</v>
      </c>
      <c r="O1464" s="7" t="n">
        <v>13</v>
      </c>
      <c r="P1464" s="7" t="n">
        <v>0</v>
      </c>
      <c r="Q1464" s="2"/>
      <c r="R1464" s="7" t="n">
        <v>2.573944</v>
      </c>
      <c r="S1464" s="5" t="s">
        <v>82</v>
      </c>
      <c r="T1464" s="5" t="s">
        <v>61</v>
      </c>
    </row>
    <row r="1465" customFormat="false" ht="15" hidden="false" customHeight="false" outlineLevel="0" collapsed="false">
      <c r="A1465" s="5" t="s">
        <v>4</v>
      </c>
      <c r="B1465" s="5" t="s">
        <v>55</v>
      </c>
      <c r="C1465" s="2" t="s">
        <v>56</v>
      </c>
      <c r="D1465" s="5" t="s">
        <v>81</v>
      </c>
      <c r="E1465" s="5" t="s">
        <v>62</v>
      </c>
      <c r="F1465" s="2" t="n">
        <v>16</v>
      </c>
      <c r="G1465" s="5" t="s">
        <v>75</v>
      </c>
      <c r="H1465" s="2" t="n">
        <v>1</v>
      </c>
      <c r="I1465" s="2" t="n">
        <v>1</v>
      </c>
      <c r="J1465" s="2" t="n">
        <v>1</v>
      </c>
      <c r="K1465" s="7" t="n">
        <v>0.0536787348</v>
      </c>
      <c r="L1465" s="7" t="n">
        <v>0.05803528184</v>
      </c>
      <c r="M1465" s="7" t="n">
        <v>0.05815201384</v>
      </c>
      <c r="N1465" s="7" t="n">
        <v>13</v>
      </c>
      <c r="O1465" s="7" t="n">
        <v>13</v>
      </c>
      <c r="P1465" s="7" t="n">
        <v>13</v>
      </c>
      <c r="Q1465" s="2"/>
      <c r="R1465" s="7" t="n">
        <v>3.219448</v>
      </c>
      <c r="S1465" s="5" t="s">
        <v>82</v>
      </c>
      <c r="T1465" s="5" t="s">
        <v>61</v>
      </c>
    </row>
    <row r="1466" customFormat="false" ht="15" hidden="false" customHeight="false" outlineLevel="0" collapsed="false">
      <c r="A1466" s="5" t="s">
        <v>4</v>
      </c>
      <c r="B1466" s="5" t="s">
        <v>55</v>
      </c>
      <c r="C1466" s="2" t="s">
        <v>56</v>
      </c>
      <c r="D1466" s="5" t="s">
        <v>81</v>
      </c>
      <c r="E1466" s="5" t="s">
        <v>58</v>
      </c>
      <c r="F1466" s="2" t="n">
        <v>17</v>
      </c>
      <c r="G1466" s="5" t="s">
        <v>74</v>
      </c>
      <c r="H1466" s="2" t="n">
        <v>1</v>
      </c>
      <c r="I1466" s="2" t="n">
        <v>1</v>
      </c>
      <c r="J1466" s="2" t="n">
        <v>1</v>
      </c>
      <c r="K1466" s="7" t="n">
        <v>0.1463006079</v>
      </c>
      <c r="L1466" s="7" t="n">
        <v>0.05272792755</v>
      </c>
      <c r="M1466" s="7" t="n">
        <v>0.05417220086</v>
      </c>
      <c r="N1466" s="7" t="n">
        <v>8</v>
      </c>
      <c r="O1466" s="7" t="n">
        <v>8</v>
      </c>
      <c r="P1466" s="7" t="n">
        <v>0</v>
      </c>
      <c r="Q1466" s="2"/>
      <c r="R1466" s="7" t="n">
        <v>2.422522</v>
      </c>
      <c r="S1466" s="5" t="s">
        <v>82</v>
      </c>
      <c r="T1466" s="5" t="s">
        <v>61</v>
      </c>
    </row>
    <row r="1467" customFormat="false" ht="15" hidden="false" customHeight="false" outlineLevel="0" collapsed="false">
      <c r="A1467" s="5" t="s">
        <v>4</v>
      </c>
      <c r="B1467" s="5" t="s">
        <v>55</v>
      </c>
      <c r="C1467" s="2" t="s">
        <v>56</v>
      </c>
      <c r="D1467" s="5" t="s">
        <v>81</v>
      </c>
      <c r="E1467" s="5" t="s">
        <v>62</v>
      </c>
      <c r="F1467" s="2" t="n">
        <v>17</v>
      </c>
      <c r="G1467" s="5" t="s">
        <v>74</v>
      </c>
      <c r="H1467" s="2" t="n">
        <v>1</v>
      </c>
      <c r="I1467" s="2" t="n">
        <v>1</v>
      </c>
      <c r="J1467" s="2" t="n">
        <v>1</v>
      </c>
      <c r="K1467" s="7" t="n">
        <v>0.1463006079</v>
      </c>
      <c r="L1467" s="7" t="n">
        <v>0.05272792755</v>
      </c>
      <c r="M1467" s="7" t="n">
        <v>0.05417220086</v>
      </c>
      <c r="N1467" s="7" t="n">
        <v>8</v>
      </c>
      <c r="O1467" s="7" t="n">
        <v>8</v>
      </c>
      <c r="P1467" s="7" t="n">
        <v>8</v>
      </c>
      <c r="Q1467" s="2"/>
      <c r="R1467" s="7" t="n">
        <v>3.002078</v>
      </c>
      <c r="S1467" s="5" t="s">
        <v>82</v>
      </c>
      <c r="T1467" s="5" t="s">
        <v>61</v>
      </c>
    </row>
    <row r="1468" customFormat="false" ht="15" hidden="false" customHeight="false" outlineLevel="0" collapsed="false">
      <c r="A1468" s="5" t="s">
        <v>4</v>
      </c>
      <c r="B1468" s="5" t="s">
        <v>55</v>
      </c>
      <c r="C1468" s="2" t="s">
        <v>56</v>
      </c>
      <c r="D1468" s="5" t="s">
        <v>81</v>
      </c>
      <c r="E1468" s="5" t="s">
        <v>58</v>
      </c>
      <c r="F1468" s="2" t="n">
        <v>17</v>
      </c>
      <c r="G1468" s="5" t="s">
        <v>75</v>
      </c>
      <c r="H1468" s="2" t="n">
        <v>1</v>
      </c>
      <c r="I1468" s="2" t="n">
        <v>1</v>
      </c>
      <c r="J1468" s="2" t="n">
        <v>1</v>
      </c>
      <c r="K1468" s="7" t="n">
        <v>0.09752030116</v>
      </c>
      <c r="L1468" s="7" t="n">
        <v>0.04195157037</v>
      </c>
      <c r="M1468" s="7" t="n">
        <v>0.04228654556</v>
      </c>
      <c r="N1468" s="7" t="n">
        <v>6</v>
      </c>
      <c r="O1468" s="7" t="n">
        <v>6</v>
      </c>
      <c r="P1468" s="7" t="n">
        <v>0</v>
      </c>
      <c r="Q1468" s="2"/>
      <c r="R1468" s="7" t="n">
        <v>2.335311</v>
      </c>
      <c r="S1468" s="5" t="s">
        <v>82</v>
      </c>
      <c r="T1468" s="5" t="s">
        <v>61</v>
      </c>
    </row>
    <row r="1469" customFormat="false" ht="15" hidden="false" customHeight="false" outlineLevel="0" collapsed="false">
      <c r="A1469" s="5" t="s">
        <v>4</v>
      </c>
      <c r="B1469" s="5" t="s">
        <v>55</v>
      </c>
      <c r="C1469" s="2" t="s">
        <v>56</v>
      </c>
      <c r="D1469" s="5" t="s">
        <v>81</v>
      </c>
      <c r="E1469" s="5" t="s">
        <v>62</v>
      </c>
      <c r="F1469" s="2" t="n">
        <v>17</v>
      </c>
      <c r="G1469" s="5" t="s">
        <v>75</v>
      </c>
      <c r="H1469" s="2" t="n">
        <v>1</v>
      </c>
      <c r="I1469" s="2" t="n">
        <v>1</v>
      </c>
      <c r="J1469" s="2" t="n">
        <v>1</v>
      </c>
      <c r="K1469" s="7" t="n">
        <v>0.09752030116</v>
      </c>
      <c r="L1469" s="7" t="n">
        <v>0.04195157037</v>
      </c>
      <c r="M1469" s="7" t="n">
        <v>0.04228654556</v>
      </c>
      <c r="N1469" s="7" t="n">
        <v>6</v>
      </c>
      <c r="O1469" s="7" t="n">
        <v>6</v>
      </c>
      <c r="P1469" s="7" t="n">
        <v>6</v>
      </c>
      <c r="Q1469" s="2"/>
      <c r="R1469" s="7" t="n">
        <v>2.775553</v>
      </c>
      <c r="S1469" s="5" t="s">
        <v>82</v>
      </c>
      <c r="T1469" s="5" t="s">
        <v>61</v>
      </c>
    </row>
    <row r="1470" customFormat="false" ht="15" hidden="false" customHeight="false" outlineLevel="0" collapsed="false">
      <c r="A1470" s="5" t="s">
        <v>4</v>
      </c>
      <c r="B1470" s="5" t="s">
        <v>55</v>
      </c>
      <c r="C1470" s="2" t="s">
        <v>56</v>
      </c>
      <c r="D1470" s="5" t="s">
        <v>81</v>
      </c>
      <c r="E1470" s="5" t="s">
        <v>58</v>
      </c>
      <c r="F1470" s="2" t="n">
        <v>18</v>
      </c>
      <c r="G1470" s="5" t="s">
        <v>74</v>
      </c>
      <c r="H1470" s="2" t="n">
        <v>1</v>
      </c>
      <c r="I1470" s="2" t="n">
        <v>1</v>
      </c>
      <c r="J1470" s="2" t="n">
        <v>1</v>
      </c>
      <c r="K1470" s="7" t="n">
        <v>0.3713181317</v>
      </c>
      <c r="L1470" s="7" t="n">
        <v>0.07347965228</v>
      </c>
      <c r="M1470" s="7" t="n">
        <v>0.07809654941</v>
      </c>
      <c r="N1470" s="7" t="n">
        <v>5</v>
      </c>
      <c r="O1470" s="7" t="n">
        <v>5</v>
      </c>
      <c r="P1470" s="7" t="n">
        <v>0</v>
      </c>
      <c r="Q1470" s="2"/>
      <c r="R1470" s="7" t="n">
        <v>2.187032</v>
      </c>
      <c r="S1470" s="5" t="s">
        <v>82</v>
      </c>
      <c r="T1470" s="5" t="s">
        <v>61</v>
      </c>
    </row>
    <row r="1471" customFormat="false" ht="15" hidden="false" customHeight="false" outlineLevel="0" collapsed="false">
      <c r="A1471" s="5" t="s">
        <v>4</v>
      </c>
      <c r="B1471" s="5" t="s">
        <v>55</v>
      </c>
      <c r="C1471" s="2" t="s">
        <v>56</v>
      </c>
      <c r="D1471" s="5" t="s">
        <v>81</v>
      </c>
      <c r="E1471" s="5" t="s">
        <v>62</v>
      </c>
      <c r="F1471" s="2" t="n">
        <v>18</v>
      </c>
      <c r="G1471" s="5" t="s">
        <v>74</v>
      </c>
      <c r="H1471" s="2" t="n">
        <v>1</v>
      </c>
      <c r="I1471" s="2" t="n">
        <v>1</v>
      </c>
      <c r="J1471" s="2" t="n">
        <v>1</v>
      </c>
      <c r="K1471" s="7" t="n">
        <v>0.3713181317</v>
      </c>
      <c r="L1471" s="7" t="n">
        <v>0.07347965228</v>
      </c>
      <c r="M1471" s="7" t="n">
        <v>0.07809654941</v>
      </c>
      <c r="N1471" s="7" t="n">
        <v>5</v>
      </c>
      <c r="O1471" s="7" t="n">
        <v>5</v>
      </c>
      <c r="P1471" s="7" t="n">
        <v>5</v>
      </c>
      <c r="Q1471" s="2"/>
      <c r="R1471" s="7" t="n">
        <v>2.566172</v>
      </c>
      <c r="S1471" s="5" t="s">
        <v>82</v>
      </c>
      <c r="T1471" s="5" t="s">
        <v>61</v>
      </c>
    </row>
    <row r="1472" customFormat="false" ht="15" hidden="false" customHeight="false" outlineLevel="0" collapsed="false">
      <c r="A1472" s="5" t="s">
        <v>4</v>
      </c>
      <c r="B1472" s="5" t="s">
        <v>55</v>
      </c>
      <c r="C1472" s="2" t="s">
        <v>56</v>
      </c>
      <c r="D1472" s="5" t="s">
        <v>81</v>
      </c>
      <c r="E1472" s="5" t="s">
        <v>58</v>
      </c>
      <c r="F1472" s="2" t="n">
        <v>18</v>
      </c>
      <c r="G1472" s="5" t="s">
        <v>75</v>
      </c>
      <c r="H1472" s="2" t="n">
        <v>1</v>
      </c>
      <c r="I1472" s="2" t="n">
        <v>1</v>
      </c>
      <c r="J1472" s="2" t="n">
        <v>1</v>
      </c>
      <c r="K1472" s="7" t="n">
        <v>0.4444752567</v>
      </c>
      <c r="L1472" s="7" t="n">
        <v>0.1710690902</v>
      </c>
      <c r="M1472" s="7" t="n">
        <v>0.1741562009</v>
      </c>
      <c r="N1472" s="7" t="n">
        <v>13</v>
      </c>
      <c r="O1472" s="7" t="n">
        <v>13</v>
      </c>
      <c r="P1472" s="7" t="n">
        <v>0</v>
      </c>
      <c r="Q1472" s="2"/>
      <c r="R1472" s="7" t="n">
        <v>2.335491</v>
      </c>
      <c r="S1472" s="5" t="s">
        <v>82</v>
      </c>
      <c r="T1472" s="5" t="s">
        <v>61</v>
      </c>
    </row>
    <row r="1473" customFormat="false" ht="15" hidden="false" customHeight="false" outlineLevel="0" collapsed="false">
      <c r="A1473" s="5" t="s">
        <v>4</v>
      </c>
      <c r="B1473" s="5" t="s">
        <v>55</v>
      </c>
      <c r="C1473" s="2" t="s">
        <v>56</v>
      </c>
      <c r="D1473" s="5" t="s">
        <v>81</v>
      </c>
      <c r="E1473" s="5" t="s">
        <v>62</v>
      </c>
      <c r="F1473" s="2" t="n">
        <v>18</v>
      </c>
      <c r="G1473" s="5" t="s">
        <v>75</v>
      </c>
      <c r="H1473" s="2" t="n">
        <v>1</v>
      </c>
      <c r="I1473" s="2" t="n">
        <v>1</v>
      </c>
      <c r="J1473" s="2" t="n">
        <v>1</v>
      </c>
      <c r="K1473" s="7" t="n">
        <v>0.4444752567</v>
      </c>
      <c r="L1473" s="7" t="n">
        <v>0.1710690902</v>
      </c>
      <c r="M1473" s="7" t="n">
        <v>0.1741562009</v>
      </c>
      <c r="N1473" s="7" t="n">
        <v>13</v>
      </c>
      <c r="O1473" s="7" t="n">
        <v>13</v>
      </c>
      <c r="P1473" s="7" t="n">
        <v>13</v>
      </c>
      <c r="Q1473" s="2"/>
      <c r="R1473" s="7" t="n">
        <v>2.936339</v>
      </c>
      <c r="S1473" s="5" t="s">
        <v>82</v>
      </c>
      <c r="T1473" s="5" t="s">
        <v>61</v>
      </c>
    </row>
    <row r="1474" customFormat="false" ht="15" hidden="false" customHeight="false" outlineLevel="0" collapsed="false">
      <c r="A1474" s="5" t="s">
        <v>4</v>
      </c>
      <c r="B1474" s="5" t="s">
        <v>55</v>
      </c>
      <c r="C1474" s="2" t="s">
        <v>56</v>
      </c>
      <c r="D1474" s="5" t="s">
        <v>81</v>
      </c>
      <c r="E1474" s="5" t="s">
        <v>58</v>
      </c>
      <c r="F1474" s="2" t="n">
        <v>19</v>
      </c>
      <c r="G1474" s="5" t="s">
        <v>74</v>
      </c>
      <c r="H1474" s="2" t="n">
        <v>1</v>
      </c>
      <c r="I1474" s="2" t="n">
        <v>1</v>
      </c>
      <c r="J1474" s="2" t="n">
        <v>1</v>
      </c>
      <c r="K1474" s="7" t="n">
        <v>0.3019436829</v>
      </c>
      <c r="L1474" s="7" t="n">
        <v>0.08710651695</v>
      </c>
      <c r="M1474" s="7" t="n">
        <v>0.09002334238</v>
      </c>
      <c r="N1474" s="7" t="n">
        <v>7</v>
      </c>
      <c r="O1474" s="7" t="n">
        <v>7</v>
      </c>
      <c r="P1474" s="7" t="n">
        <v>0</v>
      </c>
      <c r="Q1474" s="2"/>
      <c r="R1474" s="7" t="n">
        <v>2.297366</v>
      </c>
      <c r="S1474" s="5" t="s">
        <v>82</v>
      </c>
      <c r="T1474" s="5" t="s">
        <v>61</v>
      </c>
    </row>
    <row r="1475" customFormat="false" ht="15" hidden="false" customHeight="false" outlineLevel="0" collapsed="false">
      <c r="A1475" s="5" t="s">
        <v>4</v>
      </c>
      <c r="B1475" s="5" t="s">
        <v>55</v>
      </c>
      <c r="C1475" s="2" t="s">
        <v>56</v>
      </c>
      <c r="D1475" s="5" t="s">
        <v>81</v>
      </c>
      <c r="E1475" s="5" t="s">
        <v>62</v>
      </c>
      <c r="F1475" s="2" t="n">
        <v>19</v>
      </c>
      <c r="G1475" s="5" t="s">
        <v>74</v>
      </c>
      <c r="H1475" s="2" t="n">
        <v>1</v>
      </c>
      <c r="I1475" s="2" t="n">
        <v>1</v>
      </c>
      <c r="J1475" s="2" t="n">
        <v>1</v>
      </c>
      <c r="K1475" s="7" t="n">
        <v>0.3019436829</v>
      </c>
      <c r="L1475" s="7" t="n">
        <v>0.08710651695</v>
      </c>
      <c r="M1475" s="7" t="n">
        <v>0.09002334238</v>
      </c>
      <c r="N1475" s="7" t="n">
        <v>7</v>
      </c>
      <c r="O1475" s="7" t="n">
        <v>7</v>
      </c>
      <c r="P1475" s="7" t="n">
        <v>7</v>
      </c>
      <c r="Q1475" s="2"/>
      <c r="R1475" s="7" t="n">
        <v>3.036358</v>
      </c>
      <c r="S1475" s="5" t="s">
        <v>82</v>
      </c>
      <c r="T1475" s="5" t="s">
        <v>61</v>
      </c>
    </row>
    <row r="1476" customFormat="false" ht="15" hidden="false" customHeight="false" outlineLevel="0" collapsed="false">
      <c r="A1476" s="5" t="s">
        <v>4</v>
      </c>
      <c r="B1476" s="5" t="s">
        <v>55</v>
      </c>
      <c r="C1476" s="2" t="s">
        <v>56</v>
      </c>
      <c r="D1476" s="5" t="s">
        <v>81</v>
      </c>
      <c r="E1476" s="5" t="s">
        <v>58</v>
      </c>
      <c r="F1476" s="2" t="n">
        <v>19</v>
      </c>
      <c r="G1476" s="5" t="s">
        <v>75</v>
      </c>
      <c r="H1476" s="2" t="n">
        <v>1</v>
      </c>
      <c r="I1476" s="2" t="n">
        <v>1</v>
      </c>
      <c r="J1476" s="2" t="n">
        <v>1</v>
      </c>
      <c r="K1476" s="7" t="n">
        <v>0.2842501087</v>
      </c>
      <c r="L1476" s="7" t="n">
        <v>0.09608359677</v>
      </c>
      <c r="M1476" s="7" t="n">
        <v>0.09818589677</v>
      </c>
      <c r="N1476" s="7" t="n">
        <v>10</v>
      </c>
      <c r="O1476" s="7" t="n">
        <v>10</v>
      </c>
      <c r="P1476" s="7" t="n">
        <v>0</v>
      </c>
      <c r="Q1476" s="2"/>
      <c r="R1476" s="7" t="n">
        <v>2.51677</v>
      </c>
      <c r="S1476" s="5" t="s">
        <v>82</v>
      </c>
      <c r="T1476" s="5" t="s">
        <v>61</v>
      </c>
    </row>
    <row r="1477" customFormat="false" ht="15" hidden="false" customHeight="false" outlineLevel="0" collapsed="false">
      <c r="A1477" s="5" t="s">
        <v>4</v>
      </c>
      <c r="B1477" s="5" t="s">
        <v>55</v>
      </c>
      <c r="C1477" s="2" t="s">
        <v>56</v>
      </c>
      <c r="D1477" s="5" t="s">
        <v>81</v>
      </c>
      <c r="E1477" s="5" t="s">
        <v>62</v>
      </c>
      <c r="F1477" s="2" t="n">
        <v>19</v>
      </c>
      <c r="G1477" s="5" t="s">
        <v>75</v>
      </c>
      <c r="H1477" s="2" t="n">
        <v>1</v>
      </c>
      <c r="I1477" s="2" t="n">
        <v>1</v>
      </c>
      <c r="J1477" s="2" t="n">
        <v>1</v>
      </c>
      <c r="K1477" s="7" t="n">
        <v>0.2842501087</v>
      </c>
      <c r="L1477" s="7" t="n">
        <v>0.09608359677</v>
      </c>
      <c r="M1477" s="7" t="n">
        <v>0.09818589677</v>
      </c>
      <c r="N1477" s="7" t="n">
        <v>10</v>
      </c>
      <c r="O1477" s="7" t="n">
        <v>10</v>
      </c>
      <c r="P1477" s="7" t="n">
        <v>10</v>
      </c>
      <c r="Q1477" s="2"/>
      <c r="R1477" s="7" t="n">
        <v>3.060453</v>
      </c>
      <c r="S1477" s="5" t="s">
        <v>82</v>
      </c>
      <c r="T1477" s="5" t="s">
        <v>61</v>
      </c>
    </row>
    <row r="1478" customFormat="false" ht="15" hidden="false" customHeight="false" outlineLevel="0" collapsed="false">
      <c r="A1478" s="5" t="s">
        <v>4</v>
      </c>
      <c r="B1478" s="5" t="s">
        <v>55</v>
      </c>
      <c r="C1478" s="2" t="s">
        <v>56</v>
      </c>
      <c r="D1478" s="5" t="s">
        <v>81</v>
      </c>
      <c r="E1478" s="5" t="s">
        <v>58</v>
      </c>
      <c r="F1478" s="2" t="n">
        <v>20</v>
      </c>
      <c r="G1478" s="5" t="s">
        <v>74</v>
      </c>
      <c r="H1478" s="2" t="n">
        <v>1</v>
      </c>
      <c r="I1478" s="2" t="n">
        <v>1</v>
      </c>
      <c r="J1478" s="2" t="n">
        <v>1</v>
      </c>
      <c r="K1478" s="7" t="n">
        <v>0.1669249128</v>
      </c>
      <c r="L1478" s="7" t="n">
        <v>0.06963259853</v>
      </c>
      <c r="M1478" s="7" t="n">
        <v>0.07079320639</v>
      </c>
      <c r="N1478" s="7" t="n">
        <v>8</v>
      </c>
      <c r="O1478" s="7" t="n">
        <v>8</v>
      </c>
      <c r="P1478" s="7" t="n">
        <v>0</v>
      </c>
      <c r="Q1478" s="2"/>
      <c r="R1478" s="7" t="n">
        <v>2.533326</v>
      </c>
      <c r="S1478" s="5" t="s">
        <v>82</v>
      </c>
      <c r="T1478" s="5" t="s">
        <v>61</v>
      </c>
    </row>
    <row r="1479" customFormat="false" ht="15" hidden="false" customHeight="false" outlineLevel="0" collapsed="false">
      <c r="A1479" s="5" t="s">
        <v>4</v>
      </c>
      <c r="B1479" s="5" t="s">
        <v>55</v>
      </c>
      <c r="C1479" s="2" t="s">
        <v>56</v>
      </c>
      <c r="D1479" s="5" t="s">
        <v>81</v>
      </c>
      <c r="E1479" s="5" t="s">
        <v>62</v>
      </c>
      <c r="F1479" s="2" t="n">
        <v>20</v>
      </c>
      <c r="G1479" s="5" t="s">
        <v>74</v>
      </c>
      <c r="H1479" s="2" t="n">
        <v>1</v>
      </c>
      <c r="I1479" s="2" t="n">
        <v>1</v>
      </c>
      <c r="J1479" s="2" t="n">
        <v>1</v>
      </c>
      <c r="K1479" s="7" t="n">
        <v>0.1669249128</v>
      </c>
      <c r="L1479" s="7" t="n">
        <v>0.06963259853</v>
      </c>
      <c r="M1479" s="7" t="n">
        <v>0.07079320639</v>
      </c>
      <c r="N1479" s="7" t="n">
        <v>8</v>
      </c>
      <c r="O1479" s="7" t="n">
        <v>8</v>
      </c>
      <c r="P1479" s="7" t="n">
        <v>8</v>
      </c>
      <c r="Q1479" s="2"/>
      <c r="R1479" s="7" t="n">
        <v>3.080514</v>
      </c>
      <c r="S1479" s="5" t="s">
        <v>82</v>
      </c>
      <c r="T1479" s="5" t="s">
        <v>61</v>
      </c>
    </row>
    <row r="1480" customFormat="false" ht="15" hidden="false" customHeight="false" outlineLevel="0" collapsed="false">
      <c r="A1480" s="5" t="s">
        <v>4</v>
      </c>
      <c r="B1480" s="5" t="s">
        <v>55</v>
      </c>
      <c r="C1480" s="2" t="s">
        <v>56</v>
      </c>
      <c r="D1480" s="5" t="s">
        <v>81</v>
      </c>
      <c r="E1480" s="5" t="s">
        <v>58</v>
      </c>
      <c r="F1480" s="2" t="n">
        <v>20</v>
      </c>
      <c r="G1480" s="5" t="s">
        <v>75</v>
      </c>
      <c r="H1480" s="2" t="n">
        <v>1</v>
      </c>
      <c r="I1480" s="2" t="n">
        <v>1</v>
      </c>
      <c r="J1480" s="2" t="n">
        <v>1</v>
      </c>
      <c r="K1480" s="7" t="n">
        <v>0.1617847103</v>
      </c>
      <c r="L1480" s="7" t="n">
        <v>0.1305861158</v>
      </c>
      <c r="M1480" s="7" t="n">
        <v>0.1312413838</v>
      </c>
      <c r="N1480" s="7" t="n">
        <v>6</v>
      </c>
      <c r="O1480" s="7" t="n">
        <v>6</v>
      </c>
      <c r="P1480" s="7" t="n">
        <v>0</v>
      </c>
      <c r="Q1480" s="2"/>
      <c r="R1480" s="7" t="n">
        <v>2.405406</v>
      </c>
      <c r="S1480" s="5" t="s">
        <v>82</v>
      </c>
      <c r="T1480" s="5" t="s">
        <v>61</v>
      </c>
    </row>
    <row r="1481" customFormat="false" ht="15" hidden="false" customHeight="false" outlineLevel="0" collapsed="false">
      <c r="A1481" s="5" t="s">
        <v>4</v>
      </c>
      <c r="B1481" s="5" t="s">
        <v>55</v>
      </c>
      <c r="C1481" s="2" t="s">
        <v>56</v>
      </c>
      <c r="D1481" s="5" t="s">
        <v>81</v>
      </c>
      <c r="E1481" s="5" t="s">
        <v>62</v>
      </c>
      <c r="F1481" s="2" t="n">
        <v>20</v>
      </c>
      <c r="G1481" s="5" t="s">
        <v>75</v>
      </c>
      <c r="H1481" s="2" t="n">
        <v>1</v>
      </c>
      <c r="I1481" s="2" t="n">
        <v>1</v>
      </c>
      <c r="J1481" s="2" t="n">
        <v>1</v>
      </c>
      <c r="K1481" s="7" t="n">
        <v>0.1617847103</v>
      </c>
      <c r="L1481" s="7" t="n">
        <v>0.1305861158</v>
      </c>
      <c r="M1481" s="7" t="n">
        <v>0.1312413838</v>
      </c>
      <c r="N1481" s="7" t="n">
        <v>6</v>
      </c>
      <c r="O1481" s="7" t="n">
        <v>6</v>
      </c>
      <c r="P1481" s="7" t="n">
        <v>6</v>
      </c>
      <c r="Q1481" s="2"/>
      <c r="R1481" s="7" t="n">
        <v>2.775403</v>
      </c>
      <c r="S1481" s="5" t="s">
        <v>82</v>
      </c>
      <c r="T1481" s="5" t="s">
        <v>61</v>
      </c>
    </row>
    <row r="1482" customFormat="false" ht="15" hidden="false" customHeight="false" outlineLevel="0" collapsed="false">
      <c r="A1482" s="5" t="s">
        <v>4</v>
      </c>
      <c r="B1482" s="5" t="s">
        <v>55</v>
      </c>
      <c r="C1482" s="2" t="s">
        <v>56</v>
      </c>
      <c r="D1482" s="5" t="s">
        <v>81</v>
      </c>
      <c r="E1482" s="5" t="s">
        <v>58</v>
      </c>
      <c r="F1482" s="2" t="n">
        <v>11</v>
      </c>
      <c r="G1482" s="5" t="s">
        <v>76</v>
      </c>
      <c r="H1482" s="2" t="n">
        <v>1</v>
      </c>
      <c r="I1482" s="2" t="n">
        <v>1</v>
      </c>
      <c r="J1482" s="2" t="n">
        <v>1</v>
      </c>
      <c r="K1482" s="7" t="n">
        <v>0.900270378</v>
      </c>
      <c r="L1482" s="7" t="n">
        <v>0.04281667078</v>
      </c>
      <c r="M1482" s="7" t="n">
        <v>0.07122351925</v>
      </c>
      <c r="N1482" s="7" t="n">
        <v>4</v>
      </c>
      <c r="O1482" s="7" t="n">
        <v>4</v>
      </c>
      <c r="P1482" s="7" t="n">
        <v>0</v>
      </c>
      <c r="Q1482" s="2"/>
      <c r="R1482" s="7" t="n">
        <v>3.074484</v>
      </c>
      <c r="S1482" s="5" t="s">
        <v>82</v>
      </c>
      <c r="T1482" s="5" t="s">
        <v>61</v>
      </c>
    </row>
    <row r="1483" customFormat="false" ht="15" hidden="false" customHeight="false" outlineLevel="0" collapsed="false">
      <c r="A1483" s="5" t="s">
        <v>4</v>
      </c>
      <c r="B1483" s="5" t="s">
        <v>55</v>
      </c>
      <c r="C1483" s="2" t="s">
        <v>56</v>
      </c>
      <c r="D1483" s="5" t="s">
        <v>81</v>
      </c>
      <c r="E1483" s="5" t="s">
        <v>62</v>
      </c>
      <c r="F1483" s="2" t="n">
        <v>11</v>
      </c>
      <c r="G1483" s="5" t="s">
        <v>76</v>
      </c>
      <c r="H1483" s="2" t="n">
        <v>1</v>
      </c>
      <c r="I1483" s="2" t="n">
        <v>1</v>
      </c>
      <c r="J1483" s="2" t="n">
        <v>1</v>
      </c>
      <c r="K1483" s="7" t="n">
        <v>1.546596072</v>
      </c>
      <c r="L1483" s="7" t="n">
        <v>0.2565349864</v>
      </c>
      <c r="M1483" s="7" t="n">
        <v>0.2750662263</v>
      </c>
      <c r="N1483" s="7" t="n">
        <v>4</v>
      </c>
      <c r="O1483" s="7" t="n">
        <v>4</v>
      </c>
      <c r="P1483" s="7" t="n">
        <v>3</v>
      </c>
      <c r="Q1483" s="2"/>
      <c r="R1483" s="7" t="n">
        <v>3.357542</v>
      </c>
      <c r="S1483" s="5" t="s">
        <v>82</v>
      </c>
      <c r="T1483" s="5" t="s">
        <v>61</v>
      </c>
    </row>
    <row r="1484" customFormat="false" ht="15" hidden="false" customHeight="false" outlineLevel="0" collapsed="false">
      <c r="A1484" s="5" t="s">
        <v>4</v>
      </c>
      <c r="B1484" s="5" t="s">
        <v>55</v>
      </c>
      <c r="C1484" s="2" t="s">
        <v>56</v>
      </c>
      <c r="D1484" s="5" t="s">
        <v>81</v>
      </c>
      <c r="E1484" s="5" t="s">
        <v>58</v>
      </c>
      <c r="F1484" s="2" t="n">
        <v>12</v>
      </c>
      <c r="G1484" s="5" t="s">
        <v>76</v>
      </c>
      <c r="H1484" s="2" t="n">
        <v>1</v>
      </c>
      <c r="I1484" s="2" t="n">
        <v>1</v>
      </c>
      <c r="J1484" s="2" t="n">
        <v>1</v>
      </c>
      <c r="K1484" s="7" t="n">
        <v>0.08353334522</v>
      </c>
      <c r="L1484" s="7" t="n">
        <v>0.01532662211</v>
      </c>
      <c r="M1484" s="7" t="n">
        <v>0.01601302281</v>
      </c>
      <c r="N1484" s="7" t="n">
        <v>14</v>
      </c>
      <c r="O1484" s="7" t="n">
        <v>14</v>
      </c>
      <c r="P1484" s="7" t="n">
        <v>0</v>
      </c>
      <c r="Q1484" s="2"/>
      <c r="R1484" s="7" t="n">
        <v>3.343751</v>
      </c>
      <c r="S1484" s="5" t="s">
        <v>82</v>
      </c>
      <c r="T1484" s="5" t="s">
        <v>61</v>
      </c>
    </row>
    <row r="1485" customFormat="false" ht="15" hidden="false" customHeight="false" outlineLevel="0" collapsed="false">
      <c r="A1485" s="5" t="s">
        <v>4</v>
      </c>
      <c r="B1485" s="5" t="s">
        <v>55</v>
      </c>
      <c r="C1485" s="2" t="s">
        <v>56</v>
      </c>
      <c r="D1485" s="5" t="s">
        <v>81</v>
      </c>
      <c r="E1485" s="5" t="s">
        <v>62</v>
      </c>
      <c r="F1485" s="2" t="n">
        <v>12</v>
      </c>
      <c r="G1485" s="5" t="s">
        <v>76</v>
      </c>
      <c r="H1485" s="2" t="n">
        <v>1</v>
      </c>
      <c r="I1485" s="2" t="n">
        <v>1</v>
      </c>
      <c r="J1485" s="2" t="n">
        <v>1</v>
      </c>
      <c r="K1485" s="7" t="n">
        <v>0.08353334522</v>
      </c>
      <c r="L1485" s="7" t="n">
        <v>0.01532662211</v>
      </c>
      <c r="M1485" s="7" t="n">
        <v>0.01601302281</v>
      </c>
      <c r="N1485" s="7" t="n">
        <v>14</v>
      </c>
      <c r="O1485" s="7" t="n">
        <v>14</v>
      </c>
      <c r="P1485" s="7" t="n">
        <v>14</v>
      </c>
      <c r="Q1485" s="2"/>
      <c r="R1485" s="7" t="n">
        <v>4.162201</v>
      </c>
      <c r="S1485" s="5" t="s">
        <v>82</v>
      </c>
      <c r="T1485" s="5" t="s">
        <v>61</v>
      </c>
    </row>
    <row r="1486" customFormat="false" ht="15" hidden="false" customHeight="false" outlineLevel="0" collapsed="false">
      <c r="A1486" s="5" t="s">
        <v>4</v>
      </c>
      <c r="B1486" s="5" t="s">
        <v>55</v>
      </c>
      <c r="C1486" s="2" t="s">
        <v>56</v>
      </c>
      <c r="D1486" s="5" t="s">
        <v>81</v>
      </c>
      <c r="E1486" s="5" t="s">
        <v>58</v>
      </c>
      <c r="F1486" s="2" t="n">
        <v>13</v>
      </c>
      <c r="G1486" s="5" t="s">
        <v>76</v>
      </c>
      <c r="H1486" s="2" t="n">
        <v>1</v>
      </c>
      <c r="I1486" s="2" t="n">
        <v>1</v>
      </c>
      <c r="J1486" s="2" t="n">
        <v>1</v>
      </c>
      <c r="K1486" s="7" t="n">
        <v>0.272960808</v>
      </c>
      <c r="L1486" s="7" t="n">
        <v>0.0372259191</v>
      </c>
      <c r="M1486" s="7" t="n">
        <v>0.04211291357</v>
      </c>
      <c r="N1486" s="7" t="n">
        <v>10</v>
      </c>
      <c r="O1486" s="7" t="n">
        <v>10</v>
      </c>
      <c r="P1486" s="7" t="n">
        <v>0</v>
      </c>
      <c r="Q1486" s="2"/>
      <c r="R1486" s="7" t="n">
        <v>3.621712</v>
      </c>
      <c r="S1486" s="5" t="s">
        <v>82</v>
      </c>
      <c r="T1486" s="5" t="s">
        <v>61</v>
      </c>
    </row>
    <row r="1487" customFormat="false" ht="15" hidden="false" customHeight="false" outlineLevel="0" collapsed="false">
      <c r="A1487" s="5" t="s">
        <v>4</v>
      </c>
      <c r="B1487" s="5" t="s">
        <v>55</v>
      </c>
      <c r="C1487" s="2" t="s">
        <v>56</v>
      </c>
      <c r="D1487" s="5" t="s">
        <v>81</v>
      </c>
      <c r="E1487" s="5" t="s">
        <v>62</v>
      </c>
      <c r="F1487" s="2" t="n">
        <v>13</v>
      </c>
      <c r="G1487" s="5" t="s">
        <v>76</v>
      </c>
      <c r="H1487" s="2" t="n">
        <v>1</v>
      </c>
      <c r="I1487" s="2" t="n">
        <v>1</v>
      </c>
      <c r="J1487" s="2" t="n">
        <v>1</v>
      </c>
      <c r="K1487" s="7" t="n">
        <v>0.272960808</v>
      </c>
      <c r="L1487" s="7" t="n">
        <v>0.0372259191</v>
      </c>
      <c r="M1487" s="7" t="n">
        <v>0.04211291357</v>
      </c>
      <c r="N1487" s="7" t="n">
        <v>10</v>
      </c>
      <c r="O1487" s="7" t="n">
        <v>10</v>
      </c>
      <c r="P1487" s="7" t="n">
        <v>10</v>
      </c>
      <c r="Q1487" s="2"/>
      <c r="R1487" s="7" t="n">
        <v>4.166488</v>
      </c>
      <c r="S1487" s="5" t="s">
        <v>82</v>
      </c>
      <c r="T1487" s="5" t="s">
        <v>61</v>
      </c>
    </row>
    <row r="1488" customFormat="false" ht="15" hidden="false" customHeight="false" outlineLevel="0" collapsed="false">
      <c r="A1488" s="5" t="s">
        <v>4</v>
      </c>
      <c r="B1488" s="5" t="s">
        <v>55</v>
      </c>
      <c r="C1488" s="2" t="s">
        <v>56</v>
      </c>
      <c r="D1488" s="5" t="s">
        <v>81</v>
      </c>
      <c r="E1488" s="5" t="s">
        <v>58</v>
      </c>
      <c r="F1488" s="2" t="n">
        <v>14</v>
      </c>
      <c r="G1488" s="5" t="s">
        <v>76</v>
      </c>
      <c r="H1488" s="2" t="n">
        <v>1</v>
      </c>
      <c r="I1488" s="2" t="n">
        <v>1</v>
      </c>
      <c r="J1488" s="2" t="n">
        <v>1</v>
      </c>
      <c r="K1488" s="7" t="n">
        <v>0.696363618</v>
      </c>
      <c r="L1488" s="7" t="n">
        <v>0.1778033568</v>
      </c>
      <c r="M1488" s="7" t="n">
        <v>0.182172389</v>
      </c>
      <c r="N1488" s="7" t="n">
        <v>8</v>
      </c>
      <c r="O1488" s="7" t="n">
        <v>8</v>
      </c>
      <c r="P1488" s="7" t="n">
        <v>0</v>
      </c>
      <c r="Q1488" s="2"/>
      <c r="R1488" s="7" t="n">
        <v>3.619309</v>
      </c>
      <c r="S1488" s="5" t="s">
        <v>82</v>
      </c>
      <c r="T1488" s="5" t="s">
        <v>61</v>
      </c>
    </row>
    <row r="1489" customFormat="false" ht="15" hidden="false" customHeight="false" outlineLevel="0" collapsed="false">
      <c r="A1489" s="5" t="s">
        <v>4</v>
      </c>
      <c r="B1489" s="5" t="s">
        <v>55</v>
      </c>
      <c r="C1489" s="2" t="s">
        <v>56</v>
      </c>
      <c r="D1489" s="5" t="s">
        <v>81</v>
      </c>
      <c r="E1489" s="5" t="s">
        <v>62</v>
      </c>
      <c r="F1489" s="2" t="n">
        <v>14</v>
      </c>
      <c r="G1489" s="5" t="s">
        <v>76</v>
      </c>
      <c r="H1489" s="2" t="n">
        <v>1</v>
      </c>
      <c r="I1489" s="2" t="n">
        <v>1</v>
      </c>
      <c r="J1489" s="2" t="n">
        <v>1</v>
      </c>
      <c r="K1489" s="7" t="n">
        <v>0.696363618</v>
      </c>
      <c r="L1489" s="7" t="n">
        <v>0.1778033568</v>
      </c>
      <c r="M1489" s="7" t="n">
        <v>0.182172389</v>
      </c>
      <c r="N1489" s="7" t="n">
        <v>8</v>
      </c>
      <c r="O1489" s="7" t="n">
        <v>8</v>
      </c>
      <c r="P1489" s="7" t="n">
        <v>8</v>
      </c>
      <c r="Q1489" s="2"/>
      <c r="R1489" s="7" t="n">
        <v>4.12071</v>
      </c>
      <c r="S1489" s="5" t="s">
        <v>82</v>
      </c>
      <c r="T1489" s="5" t="s">
        <v>61</v>
      </c>
    </row>
    <row r="1490" customFormat="false" ht="15" hidden="false" customHeight="false" outlineLevel="0" collapsed="false">
      <c r="A1490" s="5" t="s">
        <v>4</v>
      </c>
      <c r="B1490" s="5" t="s">
        <v>55</v>
      </c>
      <c r="C1490" s="2" t="s">
        <v>56</v>
      </c>
      <c r="D1490" s="5" t="s">
        <v>81</v>
      </c>
      <c r="E1490" s="5" t="s">
        <v>58</v>
      </c>
      <c r="F1490" s="2" t="n">
        <v>15</v>
      </c>
      <c r="G1490" s="5" t="s">
        <v>76</v>
      </c>
      <c r="H1490" s="2" t="n">
        <v>1</v>
      </c>
      <c r="I1490" s="2" t="n">
        <v>1</v>
      </c>
      <c r="J1490" s="2" t="n">
        <v>1</v>
      </c>
      <c r="K1490" s="7" t="n">
        <v>0.4299672265</v>
      </c>
      <c r="L1490" s="7" t="n">
        <v>0.05208793404</v>
      </c>
      <c r="M1490" s="7" t="n">
        <v>0.05768967992</v>
      </c>
      <c r="N1490" s="7" t="n">
        <v>11</v>
      </c>
      <c r="O1490" s="7" t="n">
        <v>11</v>
      </c>
      <c r="P1490" s="7" t="n">
        <v>0</v>
      </c>
      <c r="Q1490" s="2"/>
      <c r="R1490" s="7" t="n">
        <v>3.371663</v>
      </c>
      <c r="S1490" s="5" t="s">
        <v>82</v>
      </c>
      <c r="T1490" s="5" t="s">
        <v>61</v>
      </c>
    </row>
    <row r="1491" customFormat="false" ht="15" hidden="false" customHeight="false" outlineLevel="0" collapsed="false">
      <c r="A1491" s="5" t="s">
        <v>4</v>
      </c>
      <c r="B1491" s="5" t="s">
        <v>55</v>
      </c>
      <c r="C1491" s="2" t="s">
        <v>56</v>
      </c>
      <c r="D1491" s="5" t="s">
        <v>81</v>
      </c>
      <c r="E1491" s="5" t="s">
        <v>62</v>
      </c>
      <c r="F1491" s="2" t="n">
        <v>15</v>
      </c>
      <c r="G1491" s="5" t="s">
        <v>76</v>
      </c>
      <c r="H1491" s="2" t="n">
        <v>1</v>
      </c>
      <c r="I1491" s="2" t="n">
        <v>1</v>
      </c>
      <c r="J1491" s="2" t="n">
        <v>1</v>
      </c>
      <c r="K1491" s="7" t="n">
        <v>0.4299672265</v>
      </c>
      <c r="L1491" s="7" t="n">
        <v>0.05208793404</v>
      </c>
      <c r="M1491" s="7" t="n">
        <v>0.05768967992</v>
      </c>
      <c r="N1491" s="7" t="n">
        <v>11</v>
      </c>
      <c r="O1491" s="7" t="n">
        <v>11</v>
      </c>
      <c r="P1491" s="7" t="n">
        <v>11</v>
      </c>
      <c r="Q1491" s="2"/>
      <c r="R1491" s="7" t="n">
        <v>3.974874</v>
      </c>
      <c r="S1491" s="5" t="s">
        <v>82</v>
      </c>
      <c r="T1491" s="5" t="s">
        <v>61</v>
      </c>
    </row>
    <row r="1492" customFormat="false" ht="15" hidden="false" customHeight="false" outlineLevel="0" collapsed="false">
      <c r="A1492" s="5" t="s">
        <v>4</v>
      </c>
      <c r="B1492" s="5" t="s">
        <v>55</v>
      </c>
      <c r="C1492" s="2" t="s">
        <v>56</v>
      </c>
      <c r="D1492" s="5" t="s">
        <v>81</v>
      </c>
      <c r="E1492" s="5" t="s">
        <v>58</v>
      </c>
      <c r="F1492" s="2" t="n">
        <v>16</v>
      </c>
      <c r="G1492" s="5" t="s">
        <v>76</v>
      </c>
      <c r="H1492" s="2" t="n">
        <v>1</v>
      </c>
      <c r="I1492" s="2" t="n">
        <v>1</v>
      </c>
      <c r="J1492" s="2" t="n">
        <v>0</v>
      </c>
      <c r="K1492" s="7" t="n">
        <v>2.066121069</v>
      </c>
      <c r="L1492" s="7" t="n">
        <v>0.1732225798</v>
      </c>
      <c r="M1492" s="7" t="n">
        <v>0.2090972334</v>
      </c>
      <c r="N1492" s="7" t="n">
        <v>11</v>
      </c>
      <c r="O1492" s="7" t="n">
        <v>11</v>
      </c>
      <c r="P1492" s="7" t="n">
        <v>0</v>
      </c>
      <c r="Q1492" s="2"/>
      <c r="R1492" s="7" t="n">
        <v>3.196334</v>
      </c>
      <c r="S1492" s="5" t="s">
        <v>82</v>
      </c>
      <c r="T1492" s="5" t="s">
        <v>61</v>
      </c>
    </row>
    <row r="1493" customFormat="false" ht="15" hidden="false" customHeight="false" outlineLevel="0" collapsed="false">
      <c r="A1493" s="5" t="s">
        <v>4</v>
      </c>
      <c r="B1493" s="5" t="s">
        <v>55</v>
      </c>
      <c r="C1493" s="2" t="s">
        <v>56</v>
      </c>
      <c r="D1493" s="5" t="s">
        <v>81</v>
      </c>
      <c r="E1493" s="5" t="s">
        <v>62</v>
      </c>
      <c r="F1493" s="2" t="n">
        <v>16</v>
      </c>
      <c r="G1493" s="5" t="s">
        <v>76</v>
      </c>
      <c r="H1493" s="2" t="n">
        <v>1</v>
      </c>
      <c r="I1493" s="2" t="n">
        <v>1</v>
      </c>
      <c r="J1493" s="2" t="n">
        <v>1</v>
      </c>
      <c r="K1493" s="7" t="n">
        <v>0.4605144198</v>
      </c>
      <c r="L1493" s="7" t="n">
        <v>0.04942154515</v>
      </c>
      <c r="M1493" s="7" t="n">
        <v>0.05553087952</v>
      </c>
      <c r="N1493" s="7" t="n">
        <v>11</v>
      </c>
      <c r="O1493" s="7" t="n">
        <v>11</v>
      </c>
      <c r="P1493" s="7" t="n">
        <v>10</v>
      </c>
      <c r="Q1493" s="2"/>
      <c r="R1493" s="7" t="n">
        <v>3.799977</v>
      </c>
      <c r="S1493" s="5" t="s">
        <v>82</v>
      </c>
      <c r="T1493" s="5" t="s">
        <v>61</v>
      </c>
    </row>
    <row r="1494" customFormat="false" ht="15" hidden="false" customHeight="false" outlineLevel="0" collapsed="false">
      <c r="A1494" s="5" t="s">
        <v>4</v>
      </c>
      <c r="B1494" s="5" t="s">
        <v>55</v>
      </c>
      <c r="C1494" s="2" t="s">
        <v>56</v>
      </c>
      <c r="D1494" s="5" t="s">
        <v>81</v>
      </c>
      <c r="E1494" s="5" t="s">
        <v>58</v>
      </c>
      <c r="F1494" s="2" t="n">
        <v>17</v>
      </c>
      <c r="G1494" s="5" t="s">
        <v>76</v>
      </c>
      <c r="H1494" s="2" t="n">
        <v>1</v>
      </c>
      <c r="I1494" s="2" t="n">
        <v>1</v>
      </c>
      <c r="J1494" s="2" t="n">
        <v>1</v>
      </c>
      <c r="K1494" s="7" t="n">
        <v>0.2204391423</v>
      </c>
      <c r="L1494" s="7" t="n">
        <v>0.08459169703</v>
      </c>
      <c r="M1494" s="7" t="n">
        <v>0.08522403109</v>
      </c>
      <c r="N1494" s="7" t="n">
        <v>7</v>
      </c>
      <c r="O1494" s="7" t="n">
        <v>7</v>
      </c>
      <c r="P1494" s="7" t="n">
        <v>0</v>
      </c>
      <c r="Q1494" s="2"/>
      <c r="R1494" s="7" t="n">
        <v>3.354157</v>
      </c>
      <c r="S1494" s="5" t="s">
        <v>82</v>
      </c>
      <c r="T1494" s="5" t="s">
        <v>61</v>
      </c>
    </row>
    <row r="1495" customFormat="false" ht="15" hidden="false" customHeight="false" outlineLevel="0" collapsed="false">
      <c r="A1495" s="5" t="s">
        <v>4</v>
      </c>
      <c r="B1495" s="5" t="s">
        <v>55</v>
      </c>
      <c r="C1495" s="2" t="s">
        <v>56</v>
      </c>
      <c r="D1495" s="5" t="s">
        <v>81</v>
      </c>
      <c r="E1495" s="5" t="s">
        <v>62</v>
      </c>
      <c r="F1495" s="2" t="n">
        <v>17</v>
      </c>
      <c r="G1495" s="5" t="s">
        <v>76</v>
      </c>
      <c r="H1495" s="2" t="n">
        <v>1</v>
      </c>
      <c r="I1495" s="2" t="n">
        <v>1</v>
      </c>
      <c r="J1495" s="2" t="n">
        <v>1</v>
      </c>
      <c r="K1495" s="7" t="n">
        <v>0.2204391423</v>
      </c>
      <c r="L1495" s="7" t="n">
        <v>0.08459169703</v>
      </c>
      <c r="M1495" s="7" t="n">
        <v>0.08522403109</v>
      </c>
      <c r="N1495" s="7" t="n">
        <v>7</v>
      </c>
      <c r="O1495" s="7" t="n">
        <v>7</v>
      </c>
      <c r="P1495" s="7" t="n">
        <v>7</v>
      </c>
      <c r="Q1495" s="2"/>
      <c r="R1495" s="7" t="n">
        <v>3.849549</v>
      </c>
      <c r="S1495" s="5" t="s">
        <v>82</v>
      </c>
      <c r="T1495" s="5" t="s">
        <v>61</v>
      </c>
    </row>
    <row r="1496" customFormat="false" ht="15" hidden="false" customHeight="false" outlineLevel="0" collapsed="false">
      <c r="A1496" s="5" t="s">
        <v>4</v>
      </c>
      <c r="B1496" s="5" t="s">
        <v>55</v>
      </c>
      <c r="C1496" s="2" t="s">
        <v>56</v>
      </c>
      <c r="D1496" s="5" t="s">
        <v>81</v>
      </c>
      <c r="E1496" s="5" t="s">
        <v>58</v>
      </c>
      <c r="F1496" s="2" t="n">
        <v>18</v>
      </c>
      <c r="G1496" s="5" t="s">
        <v>76</v>
      </c>
      <c r="H1496" s="2" t="n">
        <v>1</v>
      </c>
      <c r="I1496" s="2" t="n">
        <v>1</v>
      </c>
      <c r="J1496" s="2" t="n">
        <v>1</v>
      </c>
      <c r="K1496" s="7" t="n">
        <v>0.3105630084</v>
      </c>
      <c r="L1496" s="7" t="n">
        <v>0.0387759834</v>
      </c>
      <c r="M1496" s="7" t="n">
        <v>0.04342472568</v>
      </c>
      <c r="N1496" s="7" t="n">
        <v>12</v>
      </c>
      <c r="O1496" s="7" t="n">
        <v>12</v>
      </c>
      <c r="P1496" s="7" t="n">
        <v>0</v>
      </c>
      <c r="Q1496" s="2"/>
      <c r="R1496" s="7" t="n">
        <v>3.312947</v>
      </c>
      <c r="S1496" s="5" t="s">
        <v>82</v>
      </c>
      <c r="T1496" s="5" t="s">
        <v>61</v>
      </c>
    </row>
    <row r="1497" customFormat="false" ht="15" hidden="false" customHeight="false" outlineLevel="0" collapsed="false">
      <c r="A1497" s="5" t="s">
        <v>4</v>
      </c>
      <c r="B1497" s="5" t="s">
        <v>55</v>
      </c>
      <c r="C1497" s="2" t="s">
        <v>56</v>
      </c>
      <c r="D1497" s="5" t="s">
        <v>81</v>
      </c>
      <c r="E1497" s="5" t="s">
        <v>62</v>
      </c>
      <c r="F1497" s="2" t="n">
        <v>18</v>
      </c>
      <c r="G1497" s="5" t="s">
        <v>76</v>
      </c>
      <c r="H1497" s="2" t="n">
        <v>1</v>
      </c>
      <c r="I1497" s="2" t="n">
        <v>1</v>
      </c>
      <c r="J1497" s="2" t="n">
        <v>1</v>
      </c>
      <c r="K1497" s="7" t="n">
        <v>0.3105630084</v>
      </c>
      <c r="L1497" s="7" t="n">
        <v>0.0387759834</v>
      </c>
      <c r="M1497" s="7" t="n">
        <v>0.04342472568</v>
      </c>
      <c r="N1497" s="7" t="n">
        <v>12</v>
      </c>
      <c r="O1497" s="7" t="n">
        <v>12</v>
      </c>
      <c r="P1497" s="7" t="n">
        <v>12</v>
      </c>
      <c r="Q1497" s="2"/>
      <c r="R1497" s="7" t="n">
        <v>3.920715</v>
      </c>
      <c r="S1497" s="5" t="s">
        <v>82</v>
      </c>
      <c r="T1497" s="5" t="s">
        <v>61</v>
      </c>
    </row>
    <row r="1498" customFormat="false" ht="15" hidden="false" customHeight="false" outlineLevel="0" collapsed="false">
      <c r="A1498" s="5" t="s">
        <v>4</v>
      </c>
      <c r="B1498" s="5" t="s">
        <v>55</v>
      </c>
      <c r="C1498" s="2" t="s">
        <v>56</v>
      </c>
      <c r="D1498" s="5" t="s">
        <v>81</v>
      </c>
      <c r="E1498" s="5" t="s">
        <v>58</v>
      </c>
      <c r="F1498" s="2" t="n">
        <v>19</v>
      </c>
      <c r="G1498" s="5" t="s">
        <v>76</v>
      </c>
      <c r="H1498" s="2" t="n">
        <v>1</v>
      </c>
      <c r="I1498" s="2" t="n">
        <v>1</v>
      </c>
      <c r="J1498" s="2" t="n">
        <v>1</v>
      </c>
      <c r="K1498" s="7" t="n">
        <v>0.7582884191</v>
      </c>
      <c r="L1498" s="7" t="n">
        <v>0.1363346182</v>
      </c>
      <c r="M1498" s="7" t="n">
        <v>0.140772538</v>
      </c>
      <c r="N1498" s="7" t="n">
        <v>5</v>
      </c>
      <c r="O1498" s="7" t="n">
        <v>5</v>
      </c>
      <c r="P1498" s="7" t="n">
        <v>0</v>
      </c>
      <c r="Q1498" s="2"/>
      <c r="R1498" s="7" t="n">
        <v>3.570137</v>
      </c>
      <c r="S1498" s="5" t="s">
        <v>82</v>
      </c>
      <c r="T1498" s="5" t="s">
        <v>61</v>
      </c>
    </row>
    <row r="1499" customFormat="false" ht="15" hidden="false" customHeight="false" outlineLevel="0" collapsed="false">
      <c r="A1499" s="5" t="s">
        <v>4</v>
      </c>
      <c r="B1499" s="5" t="s">
        <v>55</v>
      </c>
      <c r="C1499" s="2" t="s">
        <v>56</v>
      </c>
      <c r="D1499" s="5" t="s">
        <v>81</v>
      </c>
      <c r="E1499" s="5" t="s">
        <v>62</v>
      </c>
      <c r="F1499" s="2" t="n">
        <v>19</v>
      </c>
      <c r="G1499" s="5" t="s">
        <v>76</v>
      </c>
      <c r="H1499" s="2" t="n">
        <v>1</v>
      </c>
      <c r="I1499" s="2" t="n">
        <v>1</v>
      </c>
      <c r="J1499" s="2" t="n">
        <v>1</v>
      </c>
      <c r="K1499" s="7" t="n">
        <v>0.7582884191</v>
      </c>
      <c r="L1499" s="7" t="n">
        <v>0.1363346182</v>
      </c>
      <c r="M1499" s="7" t="n">
        <v>0.140772538</v>
      </c>
      <c r="N1499" s="7" t="n">
        <v>5</v>
      </c>
      <c r="O1499" s="7" t="n">
        <v>5</v>
      </c>
      <c r="P1499" s="7" t="n">
        <v>5</v>
      </c>
      <c r="Q1499" s="2"/>
      <c r="R1499" s="7" t="n">
        <v>3.946393</v>
      </c>
      <c r="S1499" s="5" t="s">
        <v>82</v>
      </c>
      <c r="T1499" s="5" t="s">
        <v>61</v>
      </c>
    </row>
    <row r="1500" customFormat="false" ht="15" hidden="false" customHeight="false" outlineLevel="0" collapsed="false">
      <c r="A1500" s="5" t="s">
        <v>4</v>
      </c>
      <c r="B1500" s="5" t="s">
        <v>55</v>
      </c>
      <c r="C1500" s="2" t="s">
        <v>56</v>
      </c>
      <c r="D1500" s="5" t="s">
        <v>81</v>
      </c>
      <c r="E1500" s="5" t="s">
        <v>58</v>
      </c>
      <c r="F1500" s="2" t="n">
        <v>20</v>
      </c>
      <c r="G1500" s="5" t="s">
        <v>76</v>
      </c>
      <c r="H1500" s="2" t="n">
        <v>1</v>
      </c>
      <c r="I1500" s="2" t="n">
        <v>1</v>
      </c>
      <c r="J1500" s="2" t="n">
        <v>1</v>
      </c>
      <c r="K1500" s="7" t="n">
        <v>1.011235699</v>
      </c>
      <c r="L1500" s="7" t="n">
        <v>0.09526287048</v>
      </c>
      <c r="M1500" s="7" t="n">
        <v>0.1117310808</v>
      </c>
      <c r="N1500" s="7" t="n">
        <v>7</v>
      </c>
      <c r="O1500" s="7" t="n">
        <v>7</v>
      </c>
      <c r="P1500" s="7" t="n">
        <v>0</v>
      </c>
      <c r="Q1500" s="2"/>
      <c r="R1500" s="7" t="n">
        <v>3.481476</v>
      </c>
      <c r="S1500" s="5" t="s">
        <v>82</v>
      </c>
      <c r="T1500" s="5" t="s">
        <v>61</v>
      </c>
    </row>
    <row r="1501" customFormat="false" ht="15" hidden="false" customHeight="false" outlineLevel="0" collapsed="false">
      <c r="A1501" s="5" t="s">
        <v>4</v>
      </c>
      <c r="B1501" s="5" t="s">
        <v>55</v>
      </c>
      <c r="C1501" s="2" t="s">
        <v>56</v>
      </c>
      <c r="D1501" s="5" t="s">
        <v>81</v>
      </c>
      <c r="E1501" s="5" t="s">
        <v>62</v>
      </c>
      <c r="F1501" s="2" t="n">
        <v>20</v>
      </c>
      <c r="G1501" s="5" t="s">
        <v>76</v>
      </c>
      <c r="H1501" s="2" t="n">
        <v>1</v>
      </c>
      <c r="I1501" s="2" t="n">
        <v>1</v>
      </c>
      <c r="J1501" s="2" t="n">
        <v>1</v>
      </c>
      <c r="K1501" s="7" t="n">
        <v>1.011235699</v>
      </c>
      <c r="L1501" s="7" t="n">
        <v>0.09526287048</v>
      </c>
      <c r="M1501" s="7" t="n">
        <v>0.1117310808</v>
      </c>
      <c r="N1501" s="7" t="n">
        <v>7</v>
      </c>
      <c r="O1501" s="7" t="n">
        <v>7</v>
      </c>
      <c r="P1501" s="7" t="n">
        <v>7</v>
      </c>
      <c r="Q1501" s="2"/>
      <c r="R1501" s="7" t="n">
        <v>4.001033</v>
      </c>
      <c r="S1501" s="5" t="s">
        <v>82</v>
      </c>
      <c r="T1501" s="5" t="s">
        <v>61</v>
      </c>
    </row>
    <row r="1502" customFormat="false" ht="15" hidden="false" customHeight="false" outlineLevel="0" collapsed="false">
      <c r="A1502" s="5" t="s">
        <v>4</v>
      </c>
      <c r="B1502" s="5" t="s">
        <v>55</v>
      </c>
      <c r="C1502" s="2" t="s">
        <v>56</v>
      </c>
      <c r="D1502" s="5" t="s">
        <v>83</v>
      </c>
      <c r="E1502" s="5" t="s">
        <v>58</v>
      </c>
      <c r="F1502" s="2" t="n">
        <v>11</v>
      </c>
      <c r="G1502" s="5" t="s">
        <v>59</v>
      </c>
      <c r="H1502" s="2" t="n">
        <v>1</v>
      </c>
      <c r="I1502" s="2" t="n">
        <v>1</v>
      </c>
      <c r="J1502" s="2" t="n">
        <v>1</v>
      </c>
      <c r="K1502" s="7" t="n">
        <v>0.3684285054</v>
      </c>
      <c r="L1502" s="7" t="n">
        <v>0.02704971498</v>
      </c>
      <c r="M1502" s="7" t="n">
        <v>0.03396150857</v>
      </c>
      <c r="N1502" s="7" t="n">
        <v>10</v>
      </c>
      <c r="O1502" s="7" t="n">
        <v>10</v>
      </c>
      <c r="P1502" s="7" t="n">
        <v>0</v>
      </c>
      <c r="Q1502" s="2"/>
      <c r="R1502" s="7" t="n">
        <v>1.602859</v>
      </c>
      <c r="S1502" s="5" t="s">
        <v>82</v>
      </c>
      <c r="T1502" s="5" t="s">
        <v>61</v>
      </c>
    </row>
    <row r="1503" customFormat="false" ht="15" hidden="false" customHeight="false" outlineLevel="0" collapsed="false">
      <c r="A1503" s="5" t="s">
        <v>4</v>
      </c>
      <c r="B1503" s="5" t="s">
        <v>55</v>
      </c>
      <c r="C1503" s="2" t="s">
        <v>56</v>
      </c>
      <c r="D1503" s="5" t="s">
        <v>83</v>
      </c>
      <c r="E1503" s="5" t="s">
        <v>62</v>
      </c>
      <c r="F1503" s="2" t="n">
        <v>11</v>
      </c>
      <c r="G1503" s="5" t="s">
        <v>59</v>
      </c>
      <c r="H1503" s="2" t="n">
        <v>1</v>
      </c>
      <c r="I1503" s="2" t="n">
        <v>1</v>
      </c>
      <c r="J1503" s="2" t="n">
        <v>1</v>
      </c>
      <c r="K1503" s="7" t="n">
        <v>0.3684285054</v>
      </c>
      <c r="L1503" s="7" t="n">
        <v>0.02704971498</v>
      </c>
      <c r="M1503" s="7" t="n">
        <v>0.03396150857</v>
      </c>
      <c r="N1503" s="7" t="n">
        <v>10</v>
      </c>
      <c r="O1503" s="7" t="n">
        <v>10</v>
      </c>
      <c r="P1503" s="7" t="n">
        <v>9</v>
      </c>
      <c r="Q1503" s="2"/>
      <c r="R1503" s="7" t="n">
        <v>2.109518</v>
      </c>
      <c r="S1503" s="5" t="s">
        <v>82</v>
      </c>
      <c r="T1503" s="5" t="s">
        <v>61</v>
      </c>
    </row>
    <row r="1504" customFormat="false" ht="15" hidden="false" customHeight="false" outlineLevel="0" collapsed="false">
      <c r="A1504" s="5" t="s">
        <v>4</v>
      </c>
      <c r="B1504" s="5" t="s">
        <v>55</v>
      </c>
      <c r="C1504" s="2" t="s">
        <v>56</v>
      </c>
      <c r="D1504" s="5" t="s">
        <v>83</v>
      </c>
      <c r="E1504" s="5" t="s">
        <v>58</v>
      </c>
      <c r="F1504" s="2" t="n">
        <v>11</v>
      </c>
      <c r="G1504" s="5" t="s">
        <v>63</v>
      </c>
      <c r="H1504" s="2" t="n">
        <v>1</v>
      </c>
      <c r="I1504" s="2" t="n">
        <v>1</v>
      </c>
      <c r="J1504" s="2" t="n">
        <v>1</v>
      </c>
      <c r="K1504" s="7" t="n">
        <v>0.4638099401</v>
      </c>
      <c r="L1504" s="7" t="n">
        <v>0.03384134031</v>
      </c>
      <c r="M1504" s="7" t="n">
        <v>0.04265101667</v>
      </c>
      <c r="N1504" s="7" t="n">
        <v>11</v>
      </c>
      <c r="O1504" s="7" t="n">
        <v>11</v>
      </c>
      <c r="P1504" s="7" t="n">
        <v>0</v>
      </c>
      <c r="Q1504" s="2"/>
      <c r="R1504" s="7" t="n">
        <v>1.370396</v>
      </c>
      <c r="S1504" s="5" t="s">
        <v>82</v>
      </c>
      <c r="T1504" s="5" t="s">
        <v>61</v>
      </c>
    </row>
    <row r="1505" customFormat="false" ht="15" hidden="false" customHeight="false" outlineLevel="0" collapsed="false">
      <c r="A1505" s="5" t="s">
        <v>4</v>
      </c>
      <c r="B1505" s="5" t="s">
        <v>55</v>
      </c>
      <c r="C1505" s="2" t="s">
        <v>56</v>
      </c>
      <c r="D1505" s="5" t="s">
        <v>83</v>
      </c>
      <c r="E1505" s="5" t="s">
        <v>62</v>
      </c>
      <c r="F1505" s="2" t="n">
        <v>11</v>
      </c>
      <c r="G1505" s="5" t="s">
        <v>63</v>
      </c>
      <c r="H1505" s="2" t="n">
        <v>1</v>
      </c>
      <c r="I1505" s="2" t="n">
        <v>1</v>
      </c>
      <c r="J1505" s="2" t="n">
        <v>1</v>
      </c>
      <c r="K1505" s="7" t="n">
        <v>0.4638099401</v>
      </c>
      <c r="L1505" s="7" t="n">
        <v>0.03384134031</v>
      </c>
      <c r="M1505" s="7" t="n">
        <v>0.04265101667</v>
      </c>
      <c r="N1505" s="7" t="n">
        <v>11</v>
      </c>
      <c r="O1505" s="7" t="n">
        <v>11</v>
      </c>
      <c r="P1505" s="7" t="n">
        <v>11</v>
      </c>
      <c r="Q1505" s="2"/>
      <c r="R1505" s="7" t="n">
        <v>2.136669</v>
      </c>
      <c r="S1505" s="5" t="s">
        <v>82</v>
      </c>
      <c r="T1505" s="5" t="s">
        <v>61</v>
      </c>
    </row>
    <row r="1506" customFormat="false" ht="15" hidden="false" customHeight="false" outlineLevel="0" collapsed="false">
      <c r="A1506" s="5" t="s">
        <v>4</v>
      </c>
      <c r="B1506" s="5" t="s">
        <v>55</v>
      </c>
      <c r="C1506" s="2" t="s">
        <v>56</v>
      </c>
      <c r="D1506" s="5" t="s">
        <v>83</v>
      </c>
      <c r="E1506" s="5" t="s">
        <v>58</v>
      </c>
      <c r="F1506" s="2" t="n">
        <v>11</v>
      </c>
      <c r="G1506" s="5" t="s">
        <v>64</v>
      </c>
      <c r="H1506" s="2" t="n">
        <v>0</v>
      </c>
      <c r="I1506" s="2" t="n">
        <v>1</v>
      </c>
      <c r="J1506" s="2" t="n">
        <v>1</v>
      </c>
      <c r="K1506" s="7" t="n">
        <v>1.000179483</v>
      </c>
      <c r="L1506" s="7" t="n">
        <v>0.2052823316</v>
      </c>
      <c r="M1506" s="7" t="n">
        <v>0.213985294</v>
      </c>
      <c r="N1506" s="7" t="n">
        <v>6</v>
      </c>
      <c r="O1506" s="7" t="n">
        <v>6</v>
      </c>
      <c r="P1506" s="7" t="n">
        <v>0</v>
      </c>
      <c r="Q1506" s="2"/>
      <c r="R1506" s="7" t="n">
        <v>1.353801</v>
      </c>
      <c r="S1506" s="5" t="s">
        <v>82</v>
      </c>
      <c r="T1506" s="5" t="s">
        <v>61</v>
      </c>
    </row>
    <row r="1507" customFormat="false" ht="15" hidden="false" customHeight="false" outlineLevel="0" collapsed="false">
      <c r="A1507" s="5" t="s">
        <v>4</v>
      </c>
      <c r="B1507" s="5" t="s">
        <v>55</v>
      </c>
      <c r="C1507" s="2" t="s">
        <v>56</v>
      </c>
      <c r="D1507" s="5" t="s">
        <v>83</v>
      </c>
      <c r="E1507" s="5" t="s">
        <v>62</v>
      </c>
      <c r="F1507" s="2" t="n">
        <v>11</v>
      </c>
      <c r="G1507" s="5" t="s">
        <v>64</v>
      </c>
      <c r="H1507" s="2" t="n">
        <v>0</v>
      </c>
      <c r="I1507" s="2" t="n">
        <v>1</v>
      </c>
      <c r="J1507" s="2" t="n">
        <v>1</v>
      </c>
      <c r="K1507" s="7" t="n">
        <v>1.000179483</v>
      </c>
      <c r="L1507" s="7" t="n">
        <v>0.2052823316</v>
      </c>
      <c r="M1507" s="7" t="n">
        <v>0.213985294</v>
      </c>
      <c r="N1507" s="7" t="n">
        <v>6</v>
      </c>
      <c r="O1507" s="7" t="n">
        <v>6</v>
      </c>
      <c r="P1507" s="7" t="n">
        <v>6</v>
      </c>
      <c r="Q1507" s="2"/>
      <c r="R1507" s="7" t="n">
        <v>1.788384</v>
      </c>
      <c r="S1507" s="5" t="s">
        <v>82</v>
      </c>
      <c r="T1507" s="5" t="s">
        <v>61</v>
      </c>
    </row>
    <row r="1508" customFormat="false" ht="15" hidden="false" customHeight="false" outlineLevel="0" collapsed="false">
      <c r="A1508" s="5" t="s">
        <v>4</v>
      </c>
      <c r="B1508" s="5" t="s">
        <v>55</v>
      </c>
      <c r="C1508" s="2" t="s">
        <v>56</v>
      </c>
      <c r="D1508" s="5" t="s">
        <v>83</v>
      </c>
      <c r="E1508" s="5" t="s">
        <v>58</v>
      </c>
      <c r="F1508" s="2" t="n">
        <v>11</v>
      </c>
      <c r="G1508" s="5" t="s">
        <v>65</v>
      </c>
      <c r="H1508" s="2" t="n">
        <v>0</v>
      </c>
      <c r="I1508" s="2" t="n">
        <v>1</v>
      </c>
      <c r="J1508" s="2" t="n">
        <v>1</v>
      </c>
      <c r="K1508" s="7" t="n">
        <v>1.617263314</v>
      </c>
      <c r="L1508" s="7" t="n">
        <v>0.3940601785</v>
      </c>
      <c r="M1508" s="7" t="n">
        <v>0.4020100054</v>
      </c>
      <c r="N1508" s="7" t="n">
        <v>9</v>
      </c>
      <c r="O1508" s="7" t="n">
        <v>9</v>
      </c>
      <c r="P1508" s="7" t="n">
        <v>0</v>
      </c>
      <c r="Q1508" s="2"/>
      <c r="R1508" s="7" t="n">
        <v>2.382441</v>
      </c>
      <c r="S1508" s="5" t="s">
        <v>82</v>
      </c>
      <c r="T1508" s="5" t="s">
        <v>61</v>
      </c>
    </row>
    <row r="1509" customFormat="false" ht="15" hidden="false" customHeight="false" outlineLevel="0" collapsed="false">
      <c r="A1509" s="5" t="s">
        <v>4</v>
      </c>
      <c r="B1509" s="5" t="s">
        <v>55</v>
      </c>
      <c r="C1509" s="2" t="s">
        <v>56</v>
      </c>
      <c r="D1509" s="5" t="s">
        <v>83</v>
      </c>
      <c r="E1509" s="5" t="s">
        <v>62</v>
      </c>
      <c r="F1509" s="2" t="n">
        <v>11</v>
      </c>
      <c r="G1509" s="5" t="s">
        <v>65</v>
      </c>
      <c r="H1509" s="2" t="n">
        <v>0</v>
      </c>
      <c r="I1509" s="2" t="n">
        <v>1</v>
      </c>
      <c r="J1509" s="2" t="n">
        <v>1</v>
      </c>
      <c r="K1509" s="7" t="n">
        <v>1.149078386</v>
      </c>
      <c r="L1509" s="7" t="n">
        <v>0.2812546892</v>
      </c>
      <c r="M1509" s="7" t="n">
        <v>0.2865482486</v>
      </c>
      <c r="N1509" s="7" t="n">
        <v>9</v>
      </c>
      <c r="O1509" s="7" t="n">
        <v>9</v>
      </c>
      <c r="P1509" s="7" t="n">
        <v>8</v>
      </c>
      <c r="Q1509" s="2"/>
      <c r="R1509" s="7" t="n">
        <v>2.920176</v>
      </c>
      <c r="S1509" s="5" t="s">
        <v>82</v>
      </c>
      <c r="T1509" s="5" t="s">
        <v>61</v>
      </c>
    </row>
    <row r="1510" customFormat="false" ht="15" hidden="false" customHeight="false" outlineLevel="0" collapsed="false">
      <c r="A1510" s="5" t="s">
        <v>4</v>
      </c>
      <c r="B1510" s="5" t="s">
        <v>55</v>
      </c>
      <c r="C1510" s="2" t="s">
        <v>56</v>
      </c>
      <c r="D1510" s="5" t="s">
        <v>83</v>
      </c>
      <c r="E1510" s="5" t="s">
        <v>58</v>
      </c>
      <c r="F1510" s="2" t="n">
        <v>11</v>
      </c>
      <c r="G1510" s="5" t="s">
        <v>66</v>
      </c>
      <c r="H1510" s="2" t="n">
        <v>0</v>
      </c>
      <c r="I1510" s="2" t="n">
        <v>1</v>
      </c>
      <c r="J1510" s="2" t="n">
        <v>0</v>
      </c>
      <c r="K1510" s="7" t="n">
        <v>3.648480448</v>
      </c>
      <c r="L1510" s="7" t="n">
        <v>1.149283374</v>
      </c>
      <c r="M1510" s="7" t="n">
        <v>1.152174204</v>
      </c>
      <c r="N1510" s="7" t="n">
        <v>5</v>
      </c>
      <c r="O1510" s="7" t="n">
        <v>5</v>
      </c>
      <c r="P1510" s="7" t="n">
        <v>0</v>
      </c>
      <c r="Q1510" s="2"/>
      <c r="R1510" s="7" t="n">
        <v>2.339347</v>
      </c>
      <c r="S1510" s="5" t="s">
        <v>82</v>
      </c>
      <c r="T1510" s="5" t="s">
        <v>61</v>
      </c>
    </row>
    <row r="1511" customFormat="false" ht="15" hidden="false" customHeight="false" outlineLevel="0" collapsed="false">
      <c r="A1511" s="5" t="s">
        <v>4</v>
      </c>
      <c r="B1511" s="5" t="s">
        <v>55</v>
      </c>
      <c r="C1511" s="2" t="s">
        <v>56</v>
      </c>
      <c r="D1511" s="5" t="s">
        <v>83</v>
      </c>
      <c r="E1511" s="5" t="s">
        <v>62</v>
      </c>
      <c r="F1511" s="2" t="n">
        <v>11</v>
      </c>
      <c r="G1511" s="5" t="s">
        <v>66</v>
      </c>
      <c r="H1511" s="2" t="n">
        <v>0</v>
      </c>
      <c r="I1511" s="2" t="n">
        <v>1</v>
      </c>
      <c r="J1511" s="2" t="n">
        <v>0</v>
      </c>
      <c r="K1511" s="7" t="n">
        <v>3.648480448</v>
      </c>
      <c r="L1511" s="7" t="n">
        <v>1.149283374</v>
      </c>
      <c r="M1511" s="7" t="n">
        <v>1.152174204</v>
      </c>
      <c r="N1511" s="7" t="n">
        <v>5</v>
      </c>
      <c r="O1511" s="7" t="n">
        <v>5</v>
      </c>
      <c r="P1511" s="7" t="n">
        <v>5</v>
      </c>
      <c r="Q1511" s="2"/>
      <c r="R1511" s="7" t="n">
        <v>2.709735</v>
      </c>
      <c r="S1511" s="5" t="s">
        <v>82</v>
      </c>
      <c r="T1511" s="5" t="s">
        <v>61</v>
      </c>
    </row>
    <row r="1512" customFormat="false" ht="15" hidden="false" customHeight="false" outlineLevel="0" collapsed="false">
      <c r="A1512" s="5" t="s">
        <v>4</v>
      </c>
      <c r="B1512" s="5" t="s">
        <v>55</v>
      </c>
      <c r="C1512" s="2" t="s">
        <v>56</v>
      </c>
      <c r="D1512" s="5" t="s">
        <v>83</v>
      </c>
      <c r="E1512" s="5" t="s">
        <v>58</v>
      </c>
      <c r="F1512" s="2" t="n">
        <v>12</v>
      </c>
      <c r="G1512" s="5" t="s">
        <v>59</v>
      </c>
      <c r="H1512" s="2" t="n">
        <v>1</v>
      </c>
      <c r="I1512" s="2" t="n">
        <v>1</v>
      </c>
      <c r="J1512" s="2" t="n">
        <v>1</v>
      </c>
      <c r="K1512" s="7" t="n">
        <v>0.3083772216</v>
      </c>
      <c r="L1512" s="7" t="n">
        <v>0.06192722656</v>
      </c>
      <c r="M1512" s="7" t="n">
        <v>0.06407216597</v>
      </c>
      <c r="N1512" s="7" t="n">
        <v>9</v>
      </c>
      <c r="O1512" s="7" t="n">
        <v>9</v>
      </c>
      <c r="P1512" s="7" t="n">
        <v>0</v>
      </c>
      <c r="Q1512" s="2"/>
      <c r="R1512" s="7" t="n">
        <v>1.76541</v>
      </c>
      <c r="S1512" s="5" t="s">
        <v>82</v>
      </c>
      <c r="T1512" s="5" t="s">
        <v>61</v>
      </c>
    </row>
    <row r="1513" customFormat="false" ht="15" hidden="false" customHeight="false" outlineLevel="0" collapsed="false">
      <c r="A1513" s="5" t="s">
        <v>4</v>
      </c>
      <c r="B1513" s="5" t="s">
        <v>55</v>
      </c>
      <c r="C1513" s="2" t="s">
        <v>56</v>
      </c>
      <c r="D1513" s="5" t="s">
        <v>83</v>
      </c>
      <c r="E1513" s="5" t="s">
        <v>62</v>
      </c>
      <c r="F1513" s="2" t="n">
        <v>12</v>
      </c>
      <c r="G1513" s="5" t="s">
        <v>59</v>
      </c>
      <c r="H1513" s="2" t="n">
        <v>1</v>
      </c>
      <c r="I1513" s="2" t="n">
        <v>1</v>
      </c>
      <c r="J1513" s="2" t="n">
        <v>1</v>
      </c>
      <c r="K1513" s="7" t="n">
        <v>0.3083772216</v>
      </c>
      <c r="L1513" s="7" t="n">
        <v>0.06192722656</v>
      </c>
      <c r="M1513" s="7" t="n">
        <v>0.06407216597</v>
      </c>
      <c r="N1513" s="7" t="n">
        <v>9</v>
      </c>
      <c r="O1513" s="7" t="n">
        <v>9</v>
      </c>
      <c r="P1513" s="7" t="n">
        <v>9</v>
      </c>
      <c r="Q1513" s="2"/>
      <c r="R1513" s="7" t="n">
        <v>2.284386</v>
      </c>
      <c r="S1513" s="5" t="s">
        <v>82</v>
      </c>
      <c r="T1513" s="5" t="s">
        <v>61</v>
      </c>
    </row>
    <row r="1514" customFormat="false" ht="15" hidden="false" customHeight="false" outlineLevel="0" collapsed="false">
      <c r="A1514" s="5" t="s">
        <v>4</v>
      </c>
      <c r="B1514" s="5" t="s">
        <v>55</v>
      </c>
      <c r="C1514" s="2" t="s">
        <v>56</v>
      </c>
      <c r="D1514" s="5" t="s">
        <v>83</v>
      </c>
      <c r="E1514" s="5" t="s">
        <v>58</v>
      </c>
      <c r="F1514" s="2" t="n">
        <v>12</v>
      </c>
      <c r="G1514" s="5" t="s">
        <v>63</v>
      </c>
      <c r="H1514" s="2" t="n">
        <v>1</v>
      </c>
      <c r="I1514" s="2" t="n">
        <v>1</v>
      </c>
      <c r="J1514" s="2" t="n">
        <v>1</v>
      </c>
      <c r="K1514" s="7" t="n">
        <v>0.6610717613</v>
      </c>
      <c r="L1514" s="7" t="n">
        <v>0.02437940467</v>
      </c>
      <c r="M1514" s="7" t="n">
        <v>0.04373361578</v>
      </c>
      <c r="N1514" s="7" t="n">
        <v>11</v>
      </c>
      <c r="O1514" s="7" t="n">
        <v>11</v>
      </c>
      <c r="P1514" s="7" t="n">
        <v>0</v>
      </c>
      <c r="Q1514" s="2"/>
      <c r="R1514" s="7" t="n">
        <v>1.238781</v>
      </c>
      <c r="S1514" s="5" t="s">
        <v>82</v>
      </c>
      <c r="T1514" s="5" t="s">
        <v>61</v>
      </c>
    </row>
    <row r="1515" customFormat="false" ht="15" hidden="false" customHeight="false" outlineLevel="0" collapsed="false">
      <c r="A1515" s="5" t="s">
        <v>4</v>
      </c>
      <c r="B1515" s="5" t="s">
        <v>55</v>
      </c>
      <c r="C1515" s="2" t="s">
        <v>56</v>
      </c>
      <c r="D1515" s="5" t="s">
        <v>83</v>
      </c>
      <c r="E1515" s="5" t="s">
        <v>62</v>
      </c>
      <c r="F1515" s="2" t="n">
        <v>12</v>
      </c>
      <c r="G1515" s="5" t="s">
        <v>63</v>
      </c>
      <c r="H1515" s="2" t="n">
        <v>1</v>
      </c>
      <c r="I1515" s="2" t="n">
        <v>1</v>
      </c>
      <c r="J1515" s="2" t="n">
        <v>1</v>
      </c>
      <c r="K1515" s="7" t="n">
        <v>0.6610717613</v>
      </c>
      <c r="L1515" s="7" t="n">
        <v>0.02437940467</v>
      </c>
      <c r="M1515" s="7" t="n">
        <v>0.04373361578</v>
      </c>
      <c r="N1515" s="7" t="n">
        <v>11</v>
      </c>
      <c r="O1515" s="7" t="n">
        <v>11</v>
      </c>
      <c r="P1515" s="7" t="n">
        <v>10</v>
      </c>
      <c r="Q1515" s="2"/>
      <c r="R1515" s="7" t="n">
        <v>1.904044</v>
      </c>
      <c r="S1515" s="5" t="s">
        <v>82</v>
      </c>
      <c r="T1515" s="5" t="s">
        <v>61</v>
      </c>
    </row>
    <row r="1516" customFormat="false" ht="15" hidden="false" customHeight="false" outlineLevel="0" collapsed="false">
      <c r="A1516" s="5" t="s">
        <v>4</v>
      </c>
      <c r="B1516" s="5" t="s">
        <v>55</v>
      </c>
      <c r="C1516" s="2" t="s">
        <v>56</v>
      </c>
      <c r="D1516" s="5" t="s">
        <v>83</v>
      </c>
      <c r="E1516" s="5" t="s">
        <v>58</v>
      </c>
      <c r="F1516" s="2" t="n">
        <v>12</v>
      </c>
      <c r="G1516" s="5" t="s">
        <v>64</v>
      </c>
      <c r="H1516" s="2" t="n">
        <v>0</v>
      </c>
      <c r="I1516" s="2" t="n">
        <v>1</v>
      </c>
      <c r="J1516" s="2" t="n">
        <v>1</v>
      </c>
      <c r="K1516" s="7" t="n">
        <v>1.078963289</v>
      </c>
      <c r="L1516" s="7" t="n">
        <v>0.216864093</v>
      </c>
      <c r="M1516" s="7" t="n">
        <v>0.2260564426</v>
      </c>
      <c r="N1516" s="7" t="n">
        <v>4</v>
      </c>
      <c r="O1516" s="7" t="n">
        <v>4</v>
      </c>
      <c r="P1516" s="7" t="n">
        <v>0</v>
      </c>
      <c r="Q1516" s="2"/>
      <c r="R1516" s="7" t="n">
        <v>1.802073</v>
      </c>
      <c r="S1516" s="5" t="s">
        <v>82</v>
      </c>
      <c r="T1516" s="5" t="s">
        <v>61</v>
      </c>
    </row>
    <row r="1517" customFormat="false" ht="15" hidden="false" customHeight="false" outlineLevel="0" collapsed="false">
      <c r="A1517" s="5" t="s">
        <v>4</v>
      </c>
      <c r="B1517" s="5" t="s">
        <v>55</v>
      </c>
      <c r="C1517" s="2" t="s">
        <v>56</v>
      </c>
      <c r="D1517" s="5" t="s">
        <v>83</v>
      </c>
      <c r="E1517" s="5" t="s">
        <v>62</v>
      </c>
      <c r="F1517" s="2" t="n">
        <v>12</v>
      </c>
      <c r="G1517" s="5" t="s">
        <v>64</v>
      </c>
      <c r="H1517" s="2" t="n">
        <v>0</v>
      </c>
      <c r="I1517" s="2" t="n">
        <v>1</v>
      </c>
      <c r="J1517" s="2" t="n">
        <v>1</v>
      </c>
      <c r="K1517" s="7" t="n">
        <v>1.078963289</v>
      </c>
      <c r="L1517" s="7" t="n">
        <v>0.216864093</v>
      </c>
      <c r="M1517" s="7" t="n">
        <v>0.2260564426</v>
      </c>
      <c r="N1517" s="7" t="n">
        <v>4</v>
      </c>
      <c r="O1517" s="7" t="n">
        <v>4</v>
      </c>
      <c r="P1517" s="7" t="n">
        <v>4</v>
      </c>
      <c r="Q1517" s="2"/>
      <c r="R1517" s="7" t="n">
        <v>2.086783</v>
      </c>
      <c r="S1517" s="5" t="s">
        <v>82</v>
      </c>
      <c r="T1517" s="5" t="s">
        <v>61</v>
      </c>
    </row>
    <row r="1518" customFormat="false" ht="15" hidden="false" customHeight="false" outlineLevel="0" collapsed="false">
      <c r="A1518" s="5" t="s">
        <v>4</v>
      </c>
      <c r="B1518" s="5" t="s">
        <v>55</v>
      </c>
      <c r="C1518" s="2" t="s">
        <v>56</v>
      </c>
      <c r="D1518" s="5" t="s">
        <v>83</v>
      </c>
      <c r="E1518" s="5" t="s">
        <v>58</v>
      </c>
      <c r="F1518" s="2" t="n">
        <v>12</v>
      </c>
      <c r="G1518" s="5" t="s">
        <v>65</v>
      </c>
      <c r="H1518" s="2" t="n">
        <v>0</v>
      </c>
      <c r="I1518" s="2" t="n">
        <v>1</v>
      </c>
      <c r="J1518" s="2" t="n">
        <v>1</v>
      </c>
      <c r="K1518" s="7" t="n">
        <v>0.5470080833</v>
      </c>
      <c r="L1518" s="7" t="n">
        <v>0.08181186113</v>
      </c>
      <c r="M1518" s="7" t="n">
        <v>0.08756800786</v>
      </c>
      <c r="N1518" s="7" t="n">
        <v>10</v>
      </c>
      <c r="O1518" s="7" t="n">
        <v>10</v>
      </c>
      <c r="P1518" s="7" t="n">
        <v>0</v>
      </c>
      <c r="Q1518" s="2"/>
      <c r="R1518" s="7" t="n">
        <v>2.811355</v>
      </c>
      <c r="S1518" s="5" t="s">
        <v>82</v>
      </c>
      <c r="T1518" s="5" t="s">
        <v>61</v>
      </c>
    </row>
    <row r="1519" customFormat="false" ht="15" hidden="false" customHeight="false" outlineLevel="0" collapsed="false">
      <c r="A1519" s="5" t="s">
        <v>4</v>
      </c>
      <c r="B1519" s="5" t="s">
        <v>55</v>
      </c>
      <c r="C1519" s="2" t="s">
        <v>56</v>
      </c>
      <c r="D1519" s="5" t="s">
        <v>83</v>
      </c>
      <c r="E1519" s="5" t="s">
        <v>62</v>
      </c>
      <c r="F1519" s="2" t="n">
        <v>12</v>
      </c>
      <c r="G1519" s="5" t="s">
        <v>65</v>
      </c>
      <c r="H1519" s="2" t="n">
        <v>0</v>
      </c>
      <c r="I1519" s="2" t="n">
        <v>1</v>
      </c>
      <c r="J1519" s="2" t="n">
        <v>1</v>
      </c>
      <c r="K1519" s="7" t="n">
        <v>0.5470080833</v>
      </c>
      <c r="L1519" s="7" t="n">
        <v>0.08181186113</v>
      </c>
      <c r="M1519" s="7" t="n">
        <v>0.08756800786</v>
      </c>
      <c r="N1519" s="7" t="n">
        <v>10</v>
      </c>
      <c r="O1519" s="7" t="n">
        <v>10</v>
      </c>
      <c r="P1519" s="7" t="n">
        <v>10</v>
      </c>
      <c r="Q1519" s="2"/>
      <c r="R1519" s="7" t="n">
        <v>3.412443</v>
      </c>
      <c r="S1519" s="5" t="s">
        <v>82</v>
      </c>
      <c r="T1519" s="5" t="s">
        <v>61</v>
      </c>
    </row>
    <row r="1520" customFormat="false" ht="15" hidden="false" customHeight="false" outlineLevel="0" collapsed="false">
      <c r="A1520" s="5" t="s">
        <v>4</v>
      </c>
      <c r="B1520" s="5" t="s">
        <v>55</v>
      </c>
      <c r="C1520" s="2" t="s">
        <v>56</v>
      </c>
      <c r="D1520" s="5" t="s">
        <v>83</v>
      </c>
      <c r="E1520" s="5" t="s">
        <v>58</v>
      </c>
      <c r="F1520" s="2" t="n">
        <v>12</v>
      </c>
      <c r="G1520" s="5" t="s">
        <v>66</v>
      </c>
      <c r="H1520" s="2" t="n">
        <v>0</v>
      </c>
      <c r="I1520" s="2" t="n">
        <v>1</v>
      </c>
      <c r="J1520" s="2" t="n">
        <v>1</v>
      </c>
      <c r="K1520" s="7" t="n">
        <v>0.6979801847</v>
      </c>
      <c r="L1520" s="7" t="n">
        <v>0.0452557857</v>
      </c>
      <c r="M1520" s="7" t="n">
        <v>0.06139866767</v>
      </c>
      <c r="N1520" s="7" t="n">
        <v>6</v>
      </c>
      <c r="O1520" s="7" t="n">
        <v>6</v>
      </c>
      <c r="P1520" s="7" t="n">
        <v>0</v>
      </c>
      <c r="Q1520" s="2"/>
      <c r="R1520" s="7" t="n">
        <v>2.631199</v>
      </c>
      <c r="S1520" s="5" t="s">
        <v>82</v>
      </c>
      <c r="T1520" s="5" t="s">
        <v>61</v>
      </c>
    </row>
    <row r="1521" customFormat="false" ht="15" hidden="false" customHeight="false" outlineLevel="0" collapsed="false">
      <c r="A1521" s="5" t="s">
        <v>4</v>
      </c>
      <c r="B1521" s="5" t="s">
        <v>55</v>
      </c>
      <c r="C1521" s="2" t="s">
        <v>56</v>
      </c>
      <c r="D1521" s="5" t="s">
        <v>83</v>
      </c>
      <c r="E1521" s="5" t="s">
        <v>62</v>
      </c>
      <c r="F1521" s="2" t="n">
        <v>12</v>
      </c>
      <c r="G1521" s="5" t="s">
        <v>66</v>
      </c>
      <c r="H1521" s="2" t="n">
        <v>0</v>
      </c>
      <c r="I1521" s="2" t="n">
        <v>1</v>
      </c>
      <c r="J1521" s="2" t="n">
        <v>1</v>
      </c>
      <c r="K1521" s="7" t="n">
        <v>0.6979801847</v>
      </c>
      <c r="L1521" s="7" t="n">
        <v>0.0452557857</v>
      </c>
      <c r="M1521" s="7" t="n">
        <v>0.06139866767</v>
      </c>
      <c r="N1521" s="7" t="n">
        <v>6</v>
      </c>
      <c r="O1521" s="7" t="n">
        <v>6</v>
      </c>
      <c r="P1521" s="7" t="n">
        <v>6</v>
      </c>
      <c r="Q1521" s="2"/>
      <c r="R1521" s="7" t="n">
        <v>3.042547</v>
      </c>
      <c r="S1521" s="5" t="s">
        <v>82</v>
      </c>
      <c r="T1521" s="5" t="s">
        <v>61</v>
      </c>
    </row>
    <row r="1522" customFormat="false" ht="15" hidden="false" customHeight="false" outlineLevel="0" collapsed="false">
      <c r="A1522" s="5" t="s">
        <v>4</v>
      </c>
      <c r="B1522" s="5" t="s">
        <v>55</v>
      </c>
      <c r="C1522" s="2" t="s">
        <v>56</v>
      </c>
      <c r="D1522" s="5" t="s">
        <v>83</v>
      </c>
      <c r="E1522" s="5" t="s">
        <v>58</v>
      </c>
      <c r="F1522" s="2" t="n">
        <v>13</v>
      </c>
      <c r="G1522" s="5" t="s">
        <v>59</v>
      </c>
      <c r="H1522" s="2" t="n">
        <v>1</v>
      </c>
      <c r="I1522" s="2" t="n">
        <v>1</v>
      </c>
      <c r="J1522" s="2" t="n">
        <v>1</v>
      </c>
      <c r="K1522" s="7" t="n">
        <v>0.1217279993</v>
      </c>
      <c r="L1522" s="7" t="n">
        <v>0.03632822909</v>
      </c>
      <c r="M1522" s="7" t="n">
        <v>0.03689012907</v>
      </c>
      <c r="N1522" s="7" t="n">
        <v>9</v>
      </c>
      <c r="O1522" s="7" t="n">
        <v>9</v>
      </c>
      <c r="P1522" s="7" t="n">
        <v>0</v>
      </c>
      <c r="Q1522" s="2"/>
      <c r="R1522" s="7" t="n">
        <v>1.560096</v>
      </c>
      <c r="S1522" s="5" t="s">
        <v>82</v>
      </c>
      <c r="T1522" s="5" t="s">
        <v>61</v>
      </c>
    </row>
    <row r="1523" customFormat="false" ht="15" hidden="false" customHeight="false" outlineLevel="0" collapsed="false">
      <c r="A1523" s="5" t="s">
        <v>4</v>
      </c>
      <c r="B1523" s="5" t="s">
        <v>55</v>
      </c>
      <c r="C1523" s="2" t="s">
        <v>56</v>
      </c>
      <c r="D1523" s="5" t="s">
        <v>83</v>
      </c>
      <c r="E1523" s="5" t="s">
        <v>62</v>
      </c>
      <c r="F1523" s="2" t="n">
        <v>13</v>
      </c>
      <c r="G1523" s="5" t="s">
        <v>59</v>
      </c>
      <c r="H1523" s="2" t="n">
        <v>1</v>
      </c>
      <c r="I1523" s="2" t="n">
        <v>1</v>
      </c>
      <c r="J1523" s="2" t="n">
        <v>1</v>
      </c>
      <c r="K1523" s="7" t="n">
        <v>0.1217279993</v>
      </c>
      <c r="L1523" s="7" t="n">
        <v>0.03632822909</v>
      </c>
      <c r="M1523" s="7" t="n">
        <v>0.03689012907</v>
      </c>
      <c r="N1523" s="7" t="n">
        <v>9</v>
      </c>
      <c r="O1523" s="7" t="n">
        <v>9</v>
      </c>
      <c r="P1523" s="7" t="n">
        <v>9</v>
      </c>
      <c r="Q1523" s="2"/>
      <c r="R1523" s="7" t="n">
        <v>2.080454</v>
      </c>
      <c r="S1523" s="5" t="s">
        <v>82</v>
      </c>
      <c r="T1523" s="5" t="s">
        <v>61</v>
      </c>
    </row>
    <row r="1524" customFormat="false" ht="15" hidden="false" customHeight="false" outlineLevel="0" collapsed="false">
      <c r="A1524" s="5" t="s">
        <v>4</v>
      </c>
      <c r="B1524" s="5" t="s">
        <v>55</v>
      </c>
      <c r="C1524" s="2" t="s">
        <v>56</v>
      </c>
      <c r="D1524" s="5" t="s">
        <v>83</v>
      </c>
      <c r="E1524" s="5" t="s">
        <v>58</v>
      </c>
      <c r="F1524" s="2" t="n">
        <v>13</v>
      </c>
      <c r="G1524" s="5" t="s">
        <v>63</v>
      </c>
      <c r="H1524" s="2" t="n">
        <v>1</v>
      </c>
      <c r="I1524" s="2" t="n">
        <v>1</v>
      </c>
      <c r="J1524" s="2" t="n">
        <v>1</v>
      </c>
      <c r="K1524" s="7" t="n">
        <v>0.563267767</v>
      </c>
      <c r="L1524" s="7" t="n">
        <v>0.02846550064</v>
      </c>
      <c r="M1524" s="7" t="n">
        <v>0.04231393165</v>
      </c>
      <c r="N1524" s="7" t="n">
        <v>9</v>
      </c>
      <c r="O1524" s="7" t="n">
        <v>9</v>
      </c>
      <c r="P1524" s="7" t="n">
        <v>0</v>
      </c>
      <c r="Q1524" s="2"/>
      <c r="R1524" s="7" t="n">
        <v>1.33977</v>
      </c>
      <c r="S1524" s="5" t="s">
        <v>82</v>
      </c>
      <c r="T1524" s="5" t="s">
        <v>61</v>
      </c>
    </row>
    <row r="1525" customFormat="false" ht="15" hidden="false" customHeight="false" outlineLevel="0" collapsed="false">
      <c r="A1525" s="5" t="s">
        <v>4</v>
      </c>
      <c r="B1525" s="5" t="s">
        <v>55</v>
      </c>
      <c r="C1525" s="2" t="s">
        <v>56</v>
      </c>
      <c r="D1525" s="5" t="s">
        <v>83</v>
      </c>
      <c r="E1525" s="5" t="s">
        <v>62</v>
      </c>
      <c r="F1525" s="2" t="n">
        <v>13</v>
      </c>
      <c r="G1525" s="5" t="s">
        <v>63</v>
      </c>
      <c r="H1525" s="2" t="n">
        <v>1</v>
      </c>
      <c r="I1525" s="2" t="n">
        <v>1</v>
      </c>
      <c r="J1525" s="2" t="n">
        <v>1</v>
      </c>
      <c r="K1525" s="7" t="n">
        <v>0.563267767</v>
      </c>
      <c r="L1525" s="7" t="n">
        <v>0.02846550064</v>
      </c>
      <c r="M1525" s="7" t="n">
        <v>0.04231393165</v>
      </c>
      <c r="N1525" s="7" t="n">
        <v>9</v>
      </c>
      <c r="O1525" s="7" t="n">
        <v>9</v>
      </c>
      <c r="P1525" s="7" t="n">
        <v>9</v>
      </c>
      <c r="Q1525" s="2"/>
      <c r="R1525" s="7" t="n">
        <v>1.885186</v>
      </c>
      <c r="S1525" s="5" t="s">
        <v>82</v>
      </c>
      <c r="T1525" s="5" t="s">
        <v>61</v>
      </c>
    </row>
    <row r="1526" customFormat="false" ht="15" hidden="false" customHeight="false" outlineLevel="0" collapsed="false">
      <c r="A1526" s="5" t="s">
        <v>4</v>
      </c>
      <c r="B1526" s="5" t="s">
        <v>55</v>
      </c>
      <c r="C1526" s="2" t="s">
        <v>56</v>
      </c>
      <c r="D1526" s="5" t="s">
        <v>83</v>
      </c>
      <c r="E1526" s="5" t="s">
        <v>58</v>
      </c>
      <c r="F1526" s="2" t="n">
        <v>13</v>
      </c>
      <c r="G1526" s="5" t="s">
        <v>64</v>
      </c>
      <c r="H1526" s="2" t="n">
        <v>0</v>
      </c>
      <c r="I1526" s="2" t="n">
        <v>1</v>
      </c>
      <c r="J1526" s="2" t="n">
        <v>1</v>
      </c>
      <c r="K1526" s="7" t="n">
        <v>0.9034562652</v>
      </c>
      <c r="L1526" s="7" t="n">
        <v>0.1321155781</v>
      </c>
      <c r="M1526" s="7" t="n">
        <v>0.1443638213</v>
      </c>
      <c r="N1526" s="7" t="n">
        <v>7</v>
      </c>
      <c r="O1526" s="7" t="n">
        <v>7</v>
      </c>
      <c r="P1526" s="7" t="n">
        <v>0</v>
      </c>
      <c r="Q1526" s="2"/>
      <c r="R1526" s="7" t="n">
        <v>1.567006</v>
      </c>
      <c r="S1526" s="5" t="s">
        <v>82</v>
      </c>
      <c r="T1526" s="5" t="s">
        <v>61</v>
      </c>
    </row>
    <row r="1527" customFormat="false" ht="15" hidden="false" customHeight="false" outlineLevel="0" collapsed="false">
      <c r="A1527" s="5" t="s">
        <v>4</v>
      </c>
      <c r="B1527" s="5" t="s">
        <v>55</v>
      </c>
      <c r="C1527" s="2" t="s">
        <v>56</v>
      </c>
      <c r="D1527" s="5" t="s">
        <v>83</v>
      </c>
      <c r="E1527" s="5" t="s">
        <v>62</v>
      </c>
      <c r="F1527" s="2" t="n">
        <v>13</v>
      </c>
      <c r="G1527" s="5" t="s">
        <v>64</v>
      </c>
      <c r="H1527" s="2" t="n">
        <v>0</v>
      </c>
      <c r="I1527" s="2" t="n">
        <v>1</v>
      </c>
      <c r="J1527" s="2" t="n">
        <v>1</v>
      </c>
      <c r="K1527" s="7" t="n">
        <v>0.9034562652</v>
      </c>
      <c r="L1527" s="7" t="n">
        <v>0.1321155781</v>
      </c>
      <c r="M1527" s="7" t="n">
        <v>0.1443638213</v>
      </c>
      <c r="N1527" s="7" t="n">
        <v>7</v>
      </c>
      <c r="O1527" s="7" t="n">
        <v>7</v>
      </c>
      <c r="P1527" s="7" t="n">
        <v>7</v>
      </c>
      <c r="Q1527" s="2"/>
      <c r="R1527" s="7" t="n">
        <v>2.03678</v>
      </c>
      <c r="S1527" s="5" t="s">
        <v>82</v>
      </c>
      <c r="T1527" s="5" t="s">
        <v>61</v>
      </c>
    </row>
    <row r="1528" customFormat="false" ht="15" hidden="false" customHeight="false" outlineLevel="0" collapsed="false">
      <c r="A1528" s="5" t="s">
        <v>4</v>
      </c>
      <c r="B1528" s="5" t="s">
        <v>55</v>
      </c>
      <c r="C1528" s="2" t="s">
        <v>56</v>
      </c>
      <c r="D1528" s="5" t="s">
        <v>83</v>
      </c>
      <c r="E1528" s="5" t="s">
        <v>58</v>
      </c>
      <c r="F1528" s="2" t="n">
        <v>13</v>
      </c>
      <c r="G1528" s="5" t="s">
        <v>65</v>
      </c>
      <c r="H1528" s="2" t="n">
        <v>0</v>
      </c>
      <c r="I1528" s="2" t="n">
        <v>1</v>
      </c>
      <c r="J1528" s="2" t="n">
        <v>1</v>
      </c>
      <c r="K1528" s="7" t="n">
        <v>0.3195370771</v>
      </c>
      <c r="L1528" s="7" t="n">
        <v>0.03979046232</v>
      </c>
      <c r="M1528" s="7" t="n">
        <v>0.04484368841</v>
      </c>
      <c r="N1528" s="7" t="n">
        <v>4</v>
      </c>
      <c r="O1528" s="7" t="n">
        <v>4</v>
      </c>
      <c r="P1528" s="7" t="n">
        <v>0</v>
      </c>
      <c r="Q1528" s="2"/>
      <c r="R1528" s="7" t="n">
        <v>2.636256</v>
      </c>
      <c r="S1528" s="5" t="s">
        <v>82</v>
      </c>
      <c r="T1528" s="5" t="s">
        <v>61</v>
      </c>
    </row>
    <row r="1529" customFormat="false" ht="15" hidden="false" customHeight="false" outlineLevel="0" collapsed="false">
      <c r="A1529" s="5" t="s">
        <v>4</v>
      </c>
      <c r="B1529" s="5" t="s">
        <v>55</v>
      </c>
      <c r="C1529" s="2" t="s">
        <v>56</v>
      </c>
      <c r="D1529" s="5" t="s">
        <v>83</v>
      </c>
      <c r="E1529" s="5" t="s">
        <v>62</v>
      </c>
      <c r="F1529" s="2" t="n">
        <v>13</v>
      </c>
      <c r="G1529" s="5" t="s">
        <v>65</v>
      </c>
      <c r="H1529" s="2" t="n">
        <v>0</v>
      </c>
      <c r="I1529" s="2" t="n">
        <v>1</v>
      </c>
      <c r="J1529" s="2" t="n">
        <v>1</v>
      </c>
      <c r="K1529" s="7" t="n">
        <v>0.3195370771</v>
      </c>
      <c r="L1529" s="7" t="n">
        <v>0.03979046232</v>
      </c>
      <c r="M1529" s="7" t="n">
        <v>0.04484368841</v>
      </c>
      <c r="N1529" s="7" t="n">
        <v>4</v>
      </c>
      <c r="O1529" s="7" t="n">
        <v>4</v>
      </c>
      <c r="P1529" s="7" t="n">
        <v>4</v>
      </c>
      <c r="Q1529" s="2"/>
      <c r="R1529" s="7" t="n">
        <v>2.919946</v>
      </c>
      <c r="S1529" s="5" t="s">
        <v>82</v>
      </c>
      <c r="T1529" s="5" t="s">
        <v>61</v>
      </c>
    </row>
    <row r="1530" customFormat="false" ht="15" hidden="false" customHeight="false" outlineLevel="0" collapsed="false">
      <c r="A1530" s="5" t="s">
        <v>4</v>
      </c>
      <c r="B1530" s="5" t="s">
        <v>55</v>
      </c>
      <c r="C1530" s="2" t="s">
        <v>56</v>
      </c>
      <c r="D1530" s="5" t="s">
        <v>83</v>
      </c>
      <c r="E1530" s="5" t="s">
        <v>58</v>
      </c>
      <c r="F1530" s="2" t="n">
        <v>13</v>
      </c>
      <c r="G1530" s="5" t="s">
        <v>66</v>
      </c>
      <c r="H1530" s="2" t="n">
        <v>0</v>
      </c>
      <c r="I1530" s="2" t="n">
        <v>1</v>
      </c>
      <c r="J1530" s="2" t="n">
        <v>1</v>
      </c>
      <c r="K1530" s="7" t="n">
        <v>0.6565163315</v>
      </c>
      <c r="L1530" s="7" t="n">
        <v>0.1949967475</v>
      </c>
      <c r="M1530" s="7" t="n">
        <v>0.1973652848</v>
      </c>
      <c r="N1530" s="7" t="n">
        <v>5</v>
      </c>
      <c r="O1530" s="7" t="n">
        <v>5</v>
      </c>
      <c r="P1530" s="7" t="n">
        <v>0</v>
      </c>
      <c r="Q1530" s="2"/>
      <c r="R1530" s="7" t="n">
        <v>2.445124</v>
      </c>
      <c r="S1530" s="5" t="s">
        <v>82</v>
      </c>
      <c r="T1530" s="5" t="s">
        <v>61</v>
      </c>
    </row>
    <row r="1531" customFormat="false" ht="15" hidden="false" customHeight="false" outlineLevel="0" collapsed="false">
      <c r="A1531" s="5" t="s">
        <v>4</v>
      </c>
      <c r="B1531" s="5" t="s">
        <v>55</v>
      </c>
      <c r="C1531" s="2" t="s">
        <v>56</v>
      </c>
      <c r="D1531" s="5" t="s">
        <v>83</v>
      </c>
      <c r="E1531" s="5" t="s">
        <v>62</v>
      </c>
      <c r="F1531" s="2" t="n">
        <v>13</v>
      </c>
      <c r="G1531" s="5" t="s">
        <v>66</v>
      </c>
      <c r="H1531" s="2" t="n">
        <v>0</v>
      </c>
      <c r="I1531" s="2" t="n">
        <v>1</v>
      </c>
      <c r="J1531" s="2" t="n">
        <v>1</v>
      </c>
      <c r="K1531" s="7" t="n">
        <v>0.6565163315</v>
      </c>
      <c r="L1531" s="7" t="n">
        <v>0.1949967475</v>
      </c>
      <c r="M1531" s="7" t="n">
        <v>0.1973652848</v>
      </c>
      <c r="N1531" s="7" t="n">
        <v>5</v>
      </c>
      <c r="O1531" s="7" t="n">
        <v>5</v>
      </c>
      <c r="P1531" s="7" t="n">
        <v>5</v>
      </c>
      <c r="Q1531" s="2"/>
      <c r="R1531" s="7" t="n">
        <v>2.817505</v>
      </c>
      <c r="S1531" s="5" t="s">
        <v>82</v>
      </c>
      <c r="T1531" s="5" t="s">
        <v>61</v>
      </c>
    </row>
    <row r="1532" customFormat="false" ht="15" hidden="false" customHeight="false" outlineLevel="0" collapsed="false">
      <c r="A1532" s="5" t="s">
        <v>4</v>
      </c>
      <c r="B1532" s="5" t="s">
        <v>55</v>
      </c>
      <c r="C1532" s="2" t="s">
        <v>56</v>
      </c>
      <c r="D1532" s="5" t="s">
        <v>83</v>
      </c>
      <c r="E1532" s="5" t="s">
        <v>58</v>
      </c>
      <c r="F1532" s="2" t="n">
        <v>14</v>
      </c>
      <c r="G1532" s="5" t="s">
        <v>59</v>
      </c>
      <c r="H1532" s="2" t="n">
        <v>1</v>
      </c>
      <c r="I1532" s="2" t="n">
        <v>1</v>
      </c>
      <c r="J1532" s="2" t="n">
        <v>1</v>
      </c>
      <c r="K1532" s="7" t="n">
        <v>0.1745819626</v>
      </c>
      <c r="L1532" s="7" t="n">
        <v>0.05059356322</v>
      </c>
      <c r="M1532" s="7" t="n">
        <v>0.05151246082</v>
      </c>
      <c r="N1532" s="7" t="n">
        <v>9</v>
      </c>
      <c r="O1532" s="7" t="n">
        <v>9</v>
      </c>
      <c r="P1532" s="7" t="n">
        <v>0</v>
      </c>
      <c r="Q1532" s="2"/>
      <c r="R1532" s="7" t="n">
        <v>1.928349</v>
      </c>
      <c r="S1532" s="5" t="s">
        <v>82</v>
      </c>
      <c r="T1532" s="5" t="s">
        <v>61</v>
      </c>
    </row>
    <row r="1533" customFormat="false" ht="15" hidden="false" customHeight="false" outlineLevel="0" collapsed="false">
      <c r="A1533" s="5" t="s">
        <v>4</v>
      </c>
      <c r="B1533" s="5" t="s">
        <v>55</v>
      </c>
      <c r="C1533" s="2" t="s">
        <v>56</v>
      </c>
      <c r="D1533" s="5" t="s">
        <v>83</v>
      </c>
      <c r="E1533" s="5" t="s">
        <v>62</v>
      </c>
      <c r="F1533" s="2" t="n">
        <v>14</v>
      </c>
      <c r="G1533" s="5" t="s">
        <v>59</v>
      </c>
      <c r="H1533" s="2" t="n">
        <v>1</v>
      </c>
      <c r="I1533" s="2" t="n">
        <v>1</v>
      </c>
      <c r="J1533" s="2" t="n">
        <v>1</v>
      </c>
      <c r="K1533" s="7" t="n">
        <v>0.1745819626</v>
      </c>
      <c r="L1533" s="7" t="n">
        <v>0.05059356322</v>
      </c>
      <c r="M1533" s="7" t="n">
        <v>0.05151246082</v>
      </c>
      <c r="N1533" s="7" t="n">
        <v>9</v>
      </c>
      <c r="O1533" s="7" t="n">
        <v>9</v>
      </c>
      <c r="P1533" s="7" t="n">
        <v>9</v>
      </c>
      <c r="Q1533" s="2"/>
      <c r="R1533" s="7" t="n">
        <v>2.46322</v>
      </c>
      <c r="S1533" s="5" t="s">
        <v>82</v>
      </c>
      <c r="T1533" s="5" t="s">
        <v>61</v>
      </c>
    </row>
    <row r="1534" customFormat="false" ht="15" hidden="false" customHeight="false" outlineLevel="0" collapsed="false">
      <c r="A1534" s="5" t="s">
        <v>4</v>
      </c>
      <c r="B1534" s="5" t="s">
        <v>55</v>
      </c>
      <c r="C1534" s="2" t="s">
        <v>56</v>
      </c>
      <c r="D1534" s="5" t="s">
        <v>83</v>
      </c>
      <c r="E1534" s="5" t="s">
        <v>58</v>
      </c>
      <c r="F1534" s="2" t="n">
        <v>14</v>
      </c>
      <c r="G1534" s="5" t="s">
        <v>63</v>
      </c>
      <c r="H1534" s="2" t="n">
        <v>1</v>
      </c>
      <c r="I1534" s="2" t="n">
        <v>1</v>
      </c>
      <c r="J1534" s="2" t="n">
        <v>1</v>
      </c>
      <c r="K1534" s="7" t="n">
        <v>0.6875126588</v>
      </c>
      <c r="L1534" s="7" t="n">
        <v>0.02855900157</v>
      </c>
      <c r="M1534" s="7" t="n">
        <v>0.05502588989</v>
      </c>
      <c r="N1534" s="7" t="n">
        <v>12</v>
      </c>
      <c r="O1534" s="7" t="n">
        <v>12</v>
      </c>
      <c r="P1534" s="7" t="n">
        <v>0</v>
      </c>
      <c r="Q1534" s="2"/>
      <c r="R1534" s="7" t="n">
        <v>1.497513</v>
      </c>
      <c r="S1534" s="5" t="s">
        <v>82</v>
      </c>
      <c r="T1534" s="5" t="s">
        <v>61</v>
      </c>
    </row>
    <row r="1535" customFormat="false" ht="15" hidden="false" customHeight="false" outlineLevel="0" collapsed="false">
      <c r="A1535" s="5" t="s">
        <v>4</v>
      </c>
      <c r="B1535" s="5" t="s">
        <v>55</v>
      </c>
      <c r="C1535" s="2" t="s">
        <v>56</v>
      </c>
      <c r="D1535" s="5" t="s">
        <v>83</v>
      </c>
      <c r="E1535" s="5" t="s">
        <v>62</v>
      </c>
      <c r="F1535" s="2" t="n">
        <v>14</v>
      </c>
      <c r="G1535" s="5" t="s">
        <v>63</v>
      </c>
      <c r="H1535" s="2" t="n">
        <v>1</v>
      </c>
      <c r="I1535" s="2" t="n">
        <v>1</v>
      </c>
      <c r="J1535" s="2" t="n">
        <v>1</v>
      </c>
      <c r="K1535" s="7" t="n">
        <v>0.6875126588</v>
      </c>
      <c r="L1535" s="7" t="n">
        <v>0.02855900157</v>
      </c>
      <c r="M1535" s="7" t="n">
        <v>0.05502588989</v>
      </c>
      <c r="N1535" s="7" t="n">
        <v>12</v>
      </c>
      <c r="O1535" s="7" t="n">
        <v>12</v>
      </c>
      <c r="P1535" s="7" t="n">
        <v>12</v>
      </c>
      <c r="Q1535" s="2"/>
      <c r="R1535" s="7" t="n">
        <v>2.135576</v>
      </c>
      <c r="S1535" s="5" t="s">
        <v>82</v>
      </c>
      <c r="T1535" s="5" t="s">
        <v>61</v>
      </c>
    </row>
    <row r="1536" customFormat="false" ht="15" hidden="false" customHeight="false" outlineLevel="0" collapsed="false">
      <c r="A1536" s="5" t="s">
        <v>4</v>
      </c>
      <c r="B1536" s="5" t="s">
        <v>55</v>
      </c>
      <c r="C1536" s="2" t="s">
        <v>56</v>
      </c>
      <c r="D1536" s="5" t="s">
        <v>83</v>
      </c>
      <c r="E1536" s="5" t="s">
        <v>58</v>
      </c>
      <c r="F1536" s="2" t="n">
        <v>14</v>
      </c>
      <c r="G1536" s="5" t="s">
        <v>64</v>
      </c>
      <c r="H1536" s="2" t="n">
        <v>0</v>
      </c>
      <c r="I1536" s="2" t="n">
        <v>1</v>
      </c>
      <c r="J1536" s="2" t="n">
        <v>1</v>
      </c>
      <c r="K1536" s="7" t="n">
        <v>1.105986228</v>
      </c>
      <c r="L1536" s="7" t="n">
        <v>0.2216515326</v>
      </c>
      <c r="M1536" s="7" t="n">
        <v>0.2308949928</v>
      </c>
      <c r="N1536" s="7" t="n">
        <v>4</v>
      </c>
      <c r="O1536" s="7" t="n">
        <v>4</v>
      </c>
      <c r="P1536" s="7" t="n">
        <v>0</v>
      </c>
      <c r="Q1536" s="2"/>
      <c r="R1536" s="7" t="n">
        <v>1.50817</v>
      </c>
      <c r="S1536" s="5" t="s">
        <v>82</v>
      </c>
      <c r="T1536" s="5" t="s">
        <v>61</v>
      </c>
    </row>
    <row r="1537" customFormat="false" ht="15" hidden="false" customHeight="false" outlineLevel="0" collapsed="false">
      <c r="A1537" s="5" t="s">
        <v>4</v>
      </c>
      <c r="B1537" s="5" t="s">
        <v>55</v>
      </c>
      <c r="C1537" s="2" t="s">
        <v>56</v>
      </c>
      <c r="D1537" s="5" t="s">
        <v>83</v>
      </c>
      <c r="E1537" s="5" t="s">
        <v>62</v>
      </c>
      <c r="F1537" s="2" t="n">
        <v>14</v>
      </c>
      <c r="G1537" s="5" t="s">
        <v>64</v>
      </c>
      <c r="H1537" s="2" t="n">
        <v>0</v>
      </c>
      <c r="I1537" s="2" t="n">
        <v>1</v>
      </c>
      <c r="J1537" s="2" t="n">
        <v>1</v>
      </c>
      <c r="K1537" s="7" t="n">
        <v>1.105986228</v>
      </c>
      <c r="L1537" s="7" t="n">
        <v>0.2216515326</v>
      </c>
      <c r="M1537" s="7" t="n">
        <v>0.2308949928</v>
      </c>
      <c r="N1537" s="7" t="n">
        <v>4</v>
      </c>
      <c r="O1537" s="7" t="n">
        <v>4</v>
      </c>
      <c r="P1537" s="7" t="n">
        <v>4</v>
      </c>
      <c r="Q1537" s="2"/>
      <c r="R1537" s="7" t="n">
        <v>1.835944</v>
      </c>
      <c r="S1537" s="5" t="s">
        <v>82</v>
      </c>
      <c r="T1537" s="5" t="s">
        <v>61</v>
      </c>
    </row>
    <row r="1538" customFormat="false" ht="15" hidden="false" customHeight="false" outlineLevel="0" collapsed="false">
      <c r="A1538" s="5" t="s">
        <v>4</v>
      </c>
      <c r="B1538" s="5" t="s">
        <v>55</v>
      </c>
      <c r="C1538" s="2" t="s">
        <v>56</v>
      </c>
      <c r="D1538" s="5" t="s">
        <v>83</v>
      </c>
      <c r="E1538" s="5" t="s">
        <v>58</v>
      </c>
      <c r="F1538" s="2" t="n">
        <v>14</v>
      </c>
      <c r="G1538" s="5" t="s">
        <v>65</v>
      </c>
      <c r="H1538" s="2" t="n">
        <v>0</v>
      </c>
      <c r="I1538" s="2" t="n">
        <v>0</v>
      </c>
      <c r="J1538" s="2" t="n">
        <v>0</v>
      </c>
      <c r="K1538" s="2"/>
      <c r="L1538" s="2"/>
      <c r="M1538" s="2"/>
      <c r="N1538" s="7" t="n">
        <v>2</v>
      </c>
      <c r="O1538" s="7" t="n">
        <v>2</v>
      </c>
      <c r="P1538" s="7" t="n">
        <v>0</v>
      </c>
      <c r="Q1538" s="2"/>
      <c r="R1538" s="7" t="n">
        <v>2.581016</v>
      </c>
      <c r="S1538" s="5" t="s">
        <v>82</v>
      </c>
      <c r="T1538" s="5" t="s">
        <v>61</v>
      </c>
    </row>
    <row r="1539" customFormat="false" ht="15" hidden="false" customHeight="false" outlineLevel="0" collapsed="false">
      <c r="A1539" s="5" t="s">
        <v>4</v>
      </c>
      <c r="B1539" s="5" t="s">
        <v>55</v>
      </c>
      <c r="C1539" s="2" t="s">
        <v>56</v>
      </c>
      <c r="D1539" s="5" t="s">
        <v>83</v>
      </c>
      <c r="E1539" s="5" t="s">
        <v>62</v>
      </c>
      <c r="F1539" s="2" t="n">
        <v>14</v>
      </c>
      <c r="G1539" s="5" t="s">
        <v>65</v>
      </c>
      <c r="H1539" s="2" t="n">
        <v>0</v>
      </c>
      <c r="I1539" s="2" t="n">
        <v>0</v>
      </c>
      <c r="J1539" s="2" t="n">
        <v>0</v>
      </c>
      <c r="K1539" s="2"/>
      <c r="L1539" s="2"/>
      <c r="M1539" s="2"/>
      <c r="N1539" s="7" t="n">
        <v>2</v>
      </c>
      <c r="O1539" s="7" t="n">
        <v>2</v>
      </c>
      <c r="P1539" s="7" t="n">
        <v>0</v>
      </c>
      <c r="Q1539" s="2"/>
      <c r="R1539" s="7" t="n">
        <v>2.581056</v>
      </c>
      <c r="S1539" s="5" t="s">
        <v>82</v>
      </c>
      <c r="T1539" s="5" t="s">
        <v>61</v>
      </c>
    </row>
    <row r="1540" customFormat="false" ht="15" hidden="false" customHeight="false" outlineLevel="0" collapsed="false">
      <c r="A1540" s="5" t="s">
        <v>4</v>
      </c>
      <c r="B1540" s="5" t="s">
        <v>55</v>
      </c>
      <c r="C1540" s="2" t="s">
        <v>56</v>
      </c>
      <c r="D1540" s="5" t="s">
        <v>83</v>
      </c>
      <c r="E1540" s="5" t="s">
        <v>58</v>
      </c>
      <c r="F1540" s="2" t="n">
        <v>14</v>
      </c>
      <c r="G1540" s="5" t="s">
        <v>66</v>
      </c>
      <c r="H1540" s="2" t="n">
        <v>0</v>
      </c>
      <c r="I1540" s="2" t="n">
        <v>0</v>
      </c>
      <c r="J1540" s="2" t="n">
        <v>0</v>
      </c>
      <c r="K1540" s="2"/>
      <c r="L1540" s="2"/>
      <c r="M1540" s="2"/>
      <c r="N1540" s="7" t="n">
        <v>1</v>
      </c>
      <c r="O1540" s="7" t="n">
        <v>1</v>
      </c>
      <c r="P1540" s="7" t="n">
        <v>0</v>
      </c>
      <c r="Q1540" s="2"/>
      <c r="R1540" s="7" t="n">
        <v>2.385466</v>
      </c>
      <c r="S1540" s="5" t="s">
        <v>82</v>
      </c>
      <c r="T1540" s="5" t="s">
        <v>61</v>
      </c>
    </row>
    <row r="1541" customFormat="false" ht="15" hidden="false" customHeight="false" outlineLevel="0" collapsed="false">
      <c r="A1541" s="5" t="s">
        <v>4</v>
      </c>
      <c r="B1541" s="5" t="s">
        <v>55</v>
      </c>
      <c r="C1541" s="2" t="s">
        <v>56</v>
      </c>
      <c r="D1541" s="5" t="s">
        <v>83</v>
      </c>
      <c r="E1541" s="5" t="s">
        <v>62</v>
      </c>
      <c r="F1541" s="2" t="n">
        <v>14</v>
      </c>
      <c r="G1541" s="5" t="s">
        <v>66</v>
      </c>
      <c r="H1541" s="2" t="n">
        <v>0</v>
      </c>
      <c r="I1541" s="2" t="n">
        <v>0</v>
      </c>
      <c r="J1541" s="2" t="n">
        <v>0</v>
      </c>
      <c r="K1541" s="2"/>
      <c r="L1541" s="2"/>
      <c r="M1541" s="2"/>
      <c r="N1541" s="7" t="n">
        <v>1</v>
      </c>
      <c r="O1541" s="7" t="n">
        <v>1</v>
      </c>
      <c r="P1541" s="7" t="n">
        <v>0</v>
      </c>
      <c r="Q1541" s="2"/>
      <c r="R1541" s="7" t="n">
        <v>2.385356</v>
      </c>
      <c r="S1541" s="5" t="s">
        <v>82</v>
      </c>
      <c r="T1541" s="5" t="s">
        <v>61</v>
      </c>
    </row>
    <row r="1542" customFormat="false" ht="15" hidden="false" customHeight="false" outlineLevel="0" collapsed="false">
      <c r="A1542" s="5" t="s">
        <v>4</v>
      </c>
      <c r="B1542" s="5" t="s">
        <v>55</v>
      </c>
      <c r="C1542" s="2" t="s">
        <v>56</v>
      </c>
      <c r="D1542" s="5" t="s">
        <v>83</v>
      </c>
      <c r="E1542" s="5" t="s">
        <v>58</v>
      </c>
      <c r="F1542" s="2" t="n">
        <v>15</v>
      </c>
      <c r="G1542" s="5" t="s">
        <v>59</v>
      </c>
      <c r="H1542" s="2" t="n">
        <v>1</v>
      </c>
      <c r="I1542" s="2" t="n">
        <v>1</v>
      </c>
      <c r="J1542" s="2" t="n">
        <v>1</v>
      </c>
      <c r="K1542" s="7" t="n">
        <v>0.4066744181</v>
      </c>
      <c r="L1542" s="7" t="n">
        <v>0.06864302778</v>
      </c>
      <c r="M1542" s="7" t="n">
        <v>0.07258679638</v>
      </c>
      <c r="N1542" s="7" t="n">
        <v>9</v>
      </c>
      <c r="O1542" s="7" t="n">
        <v>9</v>
      </c>
      <c r="P1542" s="7" t="n">
        <v>0</v>
      </c>
      <c r="Q1542" s="2"/>
      <c r="R1542" s="7" t="n">
        <v>1.538353</v>
      </c>
      <c r="S1542" s="5" t="s">
        <v>82</v>
      </c>
      <c r="T1542" s="5" t="s">
        <v>61</v>
      </c>
    </row>
    <row r="1543" customFormat="false" ht="15" hidden="false" customHeight="false" outlineLevel="0" collapsed="false">
      <c r="A1543" s="5" t="s">
        <v>4</v>
      </c>
      <c r="B1543" s="5" t="s">
        <v>55</v>
      </c>
      <c r="C1543" s="2" t="s">
        <v>56</v>
      </c>
      <c r="D1543" s="5" t="s">
        <v>83</v>
      </c>
      <c r="E1543" s="5" t="s">
        <v>62</v>
      </c>
      <c r="F1543" s="2" t="n">
        <v>15</v>
      </c>
      <c r="G1543" s="5" t="s">
        <v>59</v>
      </c>
      <c r="H1543" s="2" t="n">
        <v>1</v>
      </c>
      <c r="I1543" s="2" t="n">
        <v>1</v>
      </c>
      <c r="J1543" s="2" t="n">
        <v>1</v>
      </c>
      <c r="K1543" s="7" t="n">
        <v>0.4066744181</v>
      </c>
      <c r="L1543" s="7" t="n">
        <v>0.06864302778</v>
      </c>
      <c r="M1543" s="7" t="n">
        <v>0.07258679638</v>
      </c>
      <c r="N1543" s="7" t="n">
        <v>9</v>
      </c>
      <c r="O1543" s="7" t="n">
        <v>9</v>
      </c>
      <c r="P1543" s="7" t="n">
        <v>9</v>
      </c>
      <c r="Q1543" s="2"/>
      <c r="R1543" s="7" t="n">
        <v>2.056459</v>
      </c>
      <c r="S1543" s="5" t="s">
        <v>82</v>
      </c>
      <c r="T1543" s="5" t="s">
        <v>61</v>
      </c>
    </row>
    <row r="1544" customFormat="false" ht="15" hidden="false" customHeight="false" outlineLevel="0" collapsed="false">
      <c r="A1544" s="5" t="s">
        <v>4</v>
      </c>
      <c r="B1544" s="5" t="s">
        <v>55</v>
      </c>
      <c r="C1544" s="2" t="s">
        <v>56</v>
      </c>
      <c r="D1544" s="5" t="s">
        <v>83</v>
      </c>
      <c r="E1544" s="5" t="s">
        <v>58</v>
      </c>
      <c r="F1544" s="2" t="n">
        <v>15</v>
      </c>
      <c r="G1544" s="5" t="s">
        <v>63</v>
      </c>
      <c r="H1544" s="2" t="n">
        <v>1</v>
      </c>
      <c r="I1544" s="2" t="n">
        <v>1</v>
      </c>
      <c r="J1544" s="2" t="n">
        <v>1</v>
      </c>
      <c r="K1544" s="7" t="n">
        <v>0.4669725755</v>
      </c>
      <c r="L1544" s="7" t="n">
        <v>0.03483987204</v>
      </c>
      <c r="M1544" s="7" t="n">
        <v>0.04330612718</v>
      </c>
      <c r="N1544" s="7" t="n">
        <v>12</v>
      </c>
      <c r="O1544" s="7" t="n">
        <v>12</v>
      </c>
      <c r="P1544" s="7" t="n">
        <v>0</v>
      </c>
      <c r="Q1544" s="2"/>
      <c r="R1544" s="7" t="n">
        <v>1.25139</v>
      </c>
      <c r="S1544" s="5" t="s">
        <v>82</v>
      </c>
      <c r="T1544" s="5" t="s">
        <v>61</v>
      </c>
    </row>
    <row r="1545" customFormat="false" ht="15" hidden="false" customHeight="false" outlineLevel="0" collapsed="false">
      <c r="A1545" s="5" t="s">
        <v>4</v>
      </c>
      <c r="B1545" s="5" t="s">
        <v>55</v>
      </c>
      <c r="C1545" s="2" t="s">
        <v>56</v>
      </c>
      <c r="D1545" s="5" t="s">
        <v>83</v>
      </c>
      <c r="E1545" s="5" t="s">
        <v>62</v>
      </c>
      <c r="F1545" s="2" t="n">
        <v>15</v>
      </c>
      <c r="G1545" s="5" t="s">
        <v>63</v>
      </c>
      <c r="H1545" s="2" t="n">
        <v>1</v>
      </c>
      <c r="I1545" s="2" t="n">
        <v>1</v>
      </c>
      <c r="J1545" s="2" t="n">
        <v>1</v>
      </c>
      <c r="K1545" s="7" t="n">
        <v>0.4669725755</v>
      </c>
      <c r="L1545" s="7" t="n">
        <v>0.03483987204</v>
      </c>
      <c r="M1545" s="7" t="n">
        <v>0.04330612718</v>
      </c>
      <c r="N1545" s="7" t="n">
        <v>12</v>
      </c>
      <c r="O1545" s="7" t="n">
        <v>12</v>
      </c>
      <c r="P1545" s="7" t="n">
        <v>12</v>
      </c>
      <c r="Q1545" s="2"/>
      <c r="R1545" s="7" t="n">
        <v>1.878216</v>
      </c>
      <c r="S1545" s="5" t="s">
        <v>82</v>
      </c>
      <c r="T1545" s="5" t="s">
        <v>61</v>
      </c>
    </row>
    <row r="1546" customFormat="false" ht="15" hidden="false" customHeight="false" outlineLevel="0" collapsed="false">
      <c r="A1546" s="5" t="s">
        <v>4</v>
      </c>
      <c r="B1546" s="5" t="s">
        <v>55</v>
      </c>
      <c r="C1546" s="2" t="s">
        <v>56</v>
      </c>
      <c r="D1546" s="5" t="s">
        <v>83</v>
      </c>
      <c r="E1546" s="5" t="s">
        <v>58</v>
      </c>
      <c r="F1546" s="2" t="n">
        <v>15</v>
      </c>
      <c r="G1546" s="5" t="s">
        <v>64</v>
      </c>
      <c r="H1546" s="2" t="n">
        <v>0</v>
      </c>
      <c r="I1546" s="2" t="n">
        <v>1</v>
      </c>
      <c r="J1546" s="2" t="n">
        <v>1</v>
      </c>
      <c r="K1546" s="7" t="n">
        <v>0.4655279316</v>
      </c>
      <c r="L1546" s="7" t="n">
        <v>0.1034915322</v>
      </c>
      <c r="M1546" s="7" t="n">
        <v>0.108386227</v>
      </c>
      <c r="N1546" s="7" t="n">
        <v>3</v>
      </c>
      <c r="O1546" s="7" t="n">
        <v>3</v>
      </c>
      <c r="P1546" s="7" t="n">
        <v>0</v>
      </c>
      <c r="Q1546" s="2"/>
      <c r="R1546" s="7" t="n">
        <v>1.44109</v>
      </c>
      <c r="S1546" s="5" t="s">
        <v>82</v>
      </c>
      <c r="T1546" s="5" t="s">
        <v>61</v>
      </c>
    </row>
    <row r="1547" customFormat="false" ht="15" hidden="false" customHeight="false" outlineLevel="0" collapsed="false">
      <c r="A1547" s="5" t="s">
        <v>4</v>
      </c>
      <c r="B1547" s="5" t="s">
        <v>55</v>
      </c>
      <c r="C1547" s="2" t="s">
        <v>56</v>
      </c>
      <c r="D1547" s="5" t="s">
        <v>83</v>
      </c>
      <c r="E1547" s="5" t="s">
        <v>62</v>
      </c>
      <c r="F1547" s="2" t="n">
        <v>15</v>
      </c>
      <c r="G1547" s="5" t="s">
        <v>64</v>
      </c>
      <c r="H1547" s="2" t="n">
        <v>0</v>
      </c>
      <c r="I1547" s="2" t="n">
        <v>1</v>
      </c>
      <c r="J1547" s="2" t="n">
        <v>1</v>
      </c>
      <c r="K1547" s="7" t="n">
        <v>0.4655279316</v>
      </c>
      <c r="L1547" s="7" t="n">
        <v>0.1034915322</v>
      </c>
      <c r="M1547" s="7" t="n">
        <v>0.108386227</v>
      </c>
      <c r="N1547" s="7" t="n">
        <v>3</v>
      </c>
      <c r="O1547" s="7" t="n">
        <v>3</v>
      </c>
      <c r="P1547" s="7" t="n">
        <v>3</v>
      </c>
      <c r="Q1547" s="2"/>
      <c r="R1547" s="7" t="n">
        <v>1.6173</v>
      </c>
      <c r="S1547" s="5" t="s">
        <v>82</v>
      </c>
      <c r="T1547" s="5" t="s">
        <v>61</v>
      </c>
    </row>
    <row r="1548" customFormat="false" ht="15" hidden="false" customHeight="false" outlineLevel="0" collapsed="false">
      <c r="A1548" s="5" t="s">
        <v>4</v>
      </c>
      <c r="B1548" s="5" t="s">
        <v>55</v>
      </c>
      <c r="C1548" s="2" t="s">
        <v>56</v>
      </c>
      <c r="D1548" s="5" t="s">
        <v>83</v>
      </c>
      <c r="E1548" s="5" t="s">
        <v>58</v>
      </c>
      <c r="F1548" s="2" t="n">
        <v>15</v>
      </c>
      <c r="G1548" s="5" t="s">
        <v>65</v>
      </c>
      <c r="H1548" s="2" t="n">
        <v>0</v>
      </c>
      <c r="I1548" s="2" t="n">
        <v>1</v>
      </c>
      <c r="J1548" s="2" t="n">
        <v>1</v>
      </c>
      <c r="K1548" s="7" t="n">
        <v>0.6365628391</v>
      </c>
      <c r="L1548" s="7" t="n">
        <v>0.07579237339</v>
      </c>
      <c r="M1548" s="7" t="n">
        <v>0.08351050286</v>
      </c>
      <c r="N1548" s="7" t="n">
        <v>7</v>
      </c>
      <c r="O1548" s="7" t="n">
        <v>7</v>
      </c>
      <c r="P1548" s="7" t="n">
        <v>0</v>
      </c>
      <c r="Q1548" s="2"/>
      <c r="R1548" s="7" t="n">
        <v>2.559933</v>
      </c>
      <c r="S1548" s="5" t="s">
        <v>82</v>
      </c>
      <c r="T1548" s="5" t="s">
        <v>61</v>
      </c>
    </row>
    <row r="1549" customFormat="false" ht="15" hidden="false" customHeight="false" outlineLevel="0" collapsed="false">
      <c r="A1549" s="5" t="s">
        <v>4</v>
      </c>
      <c r="B1549" s="5" t="s">
        <v>55</v>
      </c>
      <c r="C1549" s="2" t="s">
        <v>56</v>
      </c>
      <c r="D1549" s="5" t="s">
        <v>83</v>
      </c>
      <c r="E1549" s="5" t="s">
        <v>62</v>
      </c>
      <c r="F1549" s="2" t="n">
        <v>15</v>
      </c>
      <c r="G1549" s="5" t="s">
        <v>65</v>
      </c>
      <c r="H1549" s="2" t="n">
        <v>0</v>
      </c>
      <c r="I1549" s="2" t="n">
        <v>1</v>
      </c>
      <c r="J1549" s="2" t="n">
        <v>1</v>
      </c>
      <c r="K1549" s="7" t="n">
        <v>0.6365628391</v>
      </c>
      <c r="L1549" s="7" t="n">
        <v>0.07579237339</v>
      </c>
      <c r="M1549" s="7" t="n">
        <v>0.08351050286</v>
      </c>
      <c r="N1549" s="7" t="n">
        <v>7</v>
      </c>
      <c r="O1549" s="7" t="n">
        <v>7</v>
      </c>
      <c r="P1549" s="7" t="n">
        <v>7</v>
      </c>
      <c r="Q1549" s="2"/>
      <c r="R1549" s="7" t="n">
        <v>3.067654</v>
      </c>
      <c r="S1549" s="5" t="s">
        <v>82</v>
      </c>
      <c r="T1549" s="5" t="s">
        <v>61</v>
      </c>
    </row>
    <row r="1550" customFormat="false" ht="15" hidden="false" customHeight="false" outlineLevel="0" collapsed="false">
      <c r="A1550" s="5" t="s">
        <v>4</v>
      </c>
      <c r="B1550" s="5" t="s">
        <v>55</v>
      </c>
      <c r="C1550" s="2" t="s">
        <v>56</v>
      </c>
      <c r="D1550" s="5" t="s">
        <v>83</v>
      </c>
      <c r="E1550" s="5" t="s">
        <v>58</v>
      </c>
      <c r="F1550" s="2" t="n">
        <v>15</v>
      </c>
      <c r="G1550" s="5" t="s">
        <v>66</v>
      </c>
      <c r="H1550" s="2" t="n">
        <v>0</v>
      </c>
      <c r="I1550" s="2" t="n">
        <v>1</v>
      </c>
      <c r="J1550" s="2" t="n">
        <v>1</v>
      </c>
      <c r="K1550" s="7" t="n">
        <v>1.106285787</v>
      </c>
      <c r="L1550" s="7" t="n">
        <v>0.1100628541</v>
      </c>
      <c r="M1550" s="7" t="n">
        <v>0.1293552755</v>
      </c>
      <c r="N1550" s="7" t="n">
        <v>8</v>
      </c>
      <c r="O1550" s="7" t="n">
        <v>8</v>
      </c>
      <c r="P1550" s="7" t="n">
        <v>0</v>
      </c>
      <c r="Q1550" s="2"/>
      <c r="R1550" s="7" t="n">
        <v>3.258135</v>
      </c>
      <c r="S1550" s="5" t="s">
        <v>82</v>
      </c>
      <c r="T1550" s="5" t="s">
        <v>61</v>
      </c>
    </row>
    <row r="1551" customFormat="false" ht="15" hidden="false" customHeight="false" outlineLevel="0" collapsed="false">
      <c r="A1551" s="5" t="s">
        <v>4</v>
      </c>
      <c r="B1551" s="5" t="s">
        <v>55</v>
      </c>
      <c r="C1551" s="2" t="s">
        <v>56</v>
      </c>
      <c r="D1551" s="5" t="s">
        <v>83</v>
      </c>
      <c r="E1551" s="5" t="s">
        <v>62</v>
      </c>
      <c r="F1551" s="2" t="n">
        <v>15</v>
      </c>
      <c r="G1551" s="5" t="s">
        <v>66</v>
      </c>
      <c r="H1551" s="2" t="n">
        <v>0</v>
      </c>
      <c r="I1551" s="2" t="n">
        <v>1</v>
      </c>
      <c r="J1551" s="2" t="n">
        <v>1</v>
      </c>
      <c r="K1551" s="7" t="n">
        <v>1.106285787</v>
      </c>
      <c r="L1551" s="7" t="n">
        <v>0.1100628541</v>
      </c>
      <c r="M1551" s="7" t="n">
        <v>0.1293552755</v>
      </c>
      <c r="N1551" s="7" t="n">
        <v>8</v>
      </c>
      <c r="O1551" s="7" t="n">
        <v>8</v>
      </c>
      <c r="P1551" s="7" t="n">
        <v>8</v>
      </c>
      <c r="Q1551" s="2"/>
      <c r="R1551" s="7" t="n">
        <v>3.750203</v>
      </c>
      <c r="S1551" s="5" t="s">
        <v>82</v>
      </c>
      <c r="T1551" s="5" t="s">
        <v>61</v>
      </c>
    </row>
    <row r="1552" customFormat="false" ht="15" hidden="false" customHeight="false" outlineLevel="0" collapsed="false">
      <c r="A1552" s="5" t="s">
        <v>4</v>
      </c>
      <c r="B1552" s="5" t="s">
        <v>55</v>
      </c>
      <c r="C1552" s="2" t="s">
        <v>56</v>
      </c>
      <c r="D1552" s="5" t="s">
        <v>83</v>
      </c>
      <c r="E1552" s="5" t="s">
        <v>58</v>
      </c>
      <c r="F1552" s="2" t="n">
        <v>16</v>
      </c>
      <c r="G1552" s="5" t="s">
        <v>59</v>
      </c>
      <c r="H1552" s="2" t="n">
        <v>1</v>
      </c>
      <c r="I1552" s="2" t="n">
        <v>1</v>
      </c>
      <c r="J1552" s="2" t="n">
        <v>1</v>
      </c>
      <c r="K1552" s="7" t="n">
        <v>0.3760329945</v>
      </c>
      <c r="L1552" s="7" t="n">
        <v>0.06761864977</v>
      </c>
      <c r="M1552" s="7" t="n">
        <v>0.07106879155</v>
      </c>
      <c r="N1552" s="7" t="n">
        <v>8</v>
      </c>
      <c r="O1552" s="7" t="n">
        <v>8</v>
      </c>
      <c r="P1552" s="7" t="n">
        <v>0</v>
      </c>
      <c r="Q1552" s="2"/>
      <c r="R1552" s="7" t="n">
        <v>1.618232</v>
      </c>
      <c r="S1552" s="5" t="s">
        <v>82</v>
      </c>
      <c r="T1552" s="5" t="s">
        <v>61</v>
      </c>
    </row>
    <row r="1553" customFormat="false" ht="15" hidden="false" customHeight="false" outlineLevel="0" collapsed="false">
      <c r="A1553" s="5" t="s">
        <v>4</v>
      </c>
      <c r="B1553" s="5" t="s">
        <v>55</v>
      </c>
      <c r="C1553" s="2" t="s">
        <v>56</v>
      </c>
      <c r="D1553" s="5" t="s">
        <v>83</v>
      </c>
      <c r="E1553" s="5" t="s">
        <v>62</v>
      </c>
      <c r="F1553" s="2" t="n">
        <v>16</v>
      </c>
      <c r="G1553" s="5" t="s">
        <v>59</v>
      </c>
      <c r="H1553" s="2" t="n">
        <v>1</v>
      </c>
      <c r="I1553" s="2" t="n">
        <v>1</v>
      </c>
      <c r="J1553" s="2" t="n">
        <v>1</v>
      </c>
      <c r="K1553" s="7" t="n">
        <v>0.3760329945</v>
      </c>
      <c r="L1553" s="7" t="n">
        <v>0.06761864977</v>
      </c>
      <c r="M1553" s="7" t="n">
        <v>0.07106879155</v>
      </c>
      <c r="N1553" s="7" t="n">
        <v>8</v>
      </c>
      <c r="O1553" s="7" t="n">
        <v>8</v>
      </c>
      <c r="P1553" s="7" t="n">
        <v>8</v>
      </c>
      <c r="Q1553" s="2"/>
      <c r="R1553" s="7" t="n">
        <v>2.124369</v>
      </c>
      <c r="S1553" s="5" t="s">
        <v>82</v>
      </c>
      <c r="T1553" s="5" t="s">
        <v>61</v>
      </c>
    </row>
    <row r="1554" customFormat="false" ht="15" hidden="false" customHeight="false" outlineLevel="0" collapsed="false">
      <c r="A1554" s="5" t="s">
        <v>4</v>
      </c>
      <c r="B1554" s="5" t="s">
        <v>55</v>
      </c>
      <c r="C1554" s="2" t="s">
        <v>56</v>
      </c>
      <c r="D1554" s="5" t="s">
        <v>83</v>
      </c>
      <c r="E1554" s="5" t="s">
        <v>58</v>
      </c>
      <c r="F1554" s="2" t="n">
        <v>16</v>
      </c>
      <c r="G1554" s="5" t="s">
        <v>63</v>
      </c>
      <c r="H1554" s="2" t="n">
        <v>1</v>
      </c>
      <c r="I1554" s="2" t="n">
        <v>1</v>
      </c>
      <c r="J1554" s="2" t="n">
        <v>1</v>
      </c>
      <c r="K1554" s="7" t="n">
        <v>0.6149525011</v>
      </c>
      <c r="L1554" s="7" t="n">
        <v>0.04267373302</v>
      </c>
      <c r="M1554" s="7" t="n">
        <v>0.05395188286</v>
      </c>
      <c r="N1554" s="7" t="n">
        <v>12</v>
      </c>
      <c r="O1554" s="7" t="n">
        <v>12</v>
      </c>
      <c r="P1554" s="7" t="n">
        <v>0</v>
      </c>
      <c r="Q1554" s="2"/>
      <c r="R1554" s="7" t="n">
        <v>1.415802</v>
      </c>
      <c r="S1554" s="5" t="s">
        <v>82</v>
      </c>
      <c r="T1554" s="5" t="s">
        <v>61</v>
      </c>
    </row>
    <row r="1555" customFormat="false" ht="15" hidden="false" customHeight="false" outlineLevel="0" collapsed="false">
      <c r="A1555" s="5" t="s">
        <v>4</v>
      </c>
      <c r="B1555" s="5" t="s">
        <v>55</v>
      </c>
      <c r="C1555" s="2" t="s">
        <v>56</v>
      </c>
      <c r="D1555" s="5" t="s">
        <v>83</v>
      </c>
      <c r="E1555" s="5" t="s">
        <v>62</v>
      </c>
      <c r="F1555" s="2" t="n">
        <v>16</v>
      </c>
      <c r="G1555" s="5" t="s">
        <v>63</v>
      </c>
      <c r="H1555" s="2" t="n">
        <v>1</v>
      </c>
      <c r="I1555" s="2" t="n">
        <v>1</v>
      </c>
      <c r="J1555" s="2" t="n">
        <v>1</v>
      </c>
      <c r="K1555" s="7" t="n">
        <v>0.6149525011</v>
      </c>
      <c r="L1555" s="7" t="n">
        <v>0.04267373302</v>
      </c>
      <c r="M1555" s="7" t="n">
        <v>0.05395188286</v>
      </c>
      <c r="N1555" s="7" t="n">
        <v>12</v>
      </c>
      <c r="O1555" s="7" t="n">
        <v>12</v>
      </c>
      <c r="P1555" s="7" t="n">
        <v>12</v>
      </c>
      <c r="Q1555" s="2"/>
      <c r="R1555" s="7" t="n">
        <v>13.757824</v>
      </c>
      <c r="S1555" s="5" t="s">
        <v>82</v>
      </c>
      <c r="T1555" s="5" t="s">
        <v>61</v>
      </c>
    </row>
    <row r="1556" customFormat="false" ht="15" hidden="false" customHeight="false" outlineLevel="0" collapsed="false">
      <c r="A1556" s="5" t="s">
        <v>4</v>
      </c>
      <c r="B1556" s="5" t="s">
        <v>55</v>
      </c>
      <c r="C1556" s="2" t="s">
        <v>56</v>
      </c>
      <c r="D1556" s="5" t="s">
        <v>83</v>
      </c>
      <c r="E1556" s="5" t="s">
        <v>58</v>
      </c>
      <c r="F1556" s="2" t="n">
        <v>16</v>
      </c>
      <c r="G1556" s="5" t="s">
        <v>64</v>
      </c>
      <c r="H1556" s="2" t="n">
        <v>0</v>
      </c>
      <c r="I1556" s="2" t="n">
        <v>1</v>
      </c>
      <c r="J1556" s="2" t="n">
        <v>1</v>
      </c>
      <c r="K1556" s="7" t="n">
        <v>0.9704303893</v>
      </c>
      <c r="L1556" s="7" t="n">
        <v>0.1673622618</v>
      </c>
      <c r="M1556" s="7" t="n">
        <v>0.1777524671</v>
      </c>
      <c r="N1556" s="7" t="n">
        <v>5</v>
      </c>
      <c r="O1556" s="7" t="n">
        <v>5</v>
      </c>
      <c r="P1556" s="7" t="n">
        <v>0</v>
      </c>
      <c r="Q1556" s="2"/>
      <c r="R1556" s="7" t="n">
        <v>1.480167</v>
      </c>
      <c r="S1556" s="5" t="s">
        <v>82</v>
      </c>
      <c r="T1556" s="5" t="s">
        <v>61</v>
      </c>
    </row>
    <row r="1557" customFormat="false" ht="15" hidden="false" customHeight="false" outlineLevel="0" collapsed="false">
      <c r="A1557" s="5" t="s">
        <v>4</v>
      </c>
      <c r="B1557" s="5" t="s">
        <v>55</v>
      </c>
      <c r="C1557" s="2" t="s">
        <v>56</v>
      </c>
      <c r="D1557" s="5" t="s">
        <v>83</v>
      </c>
      <c r="E1557" s="5" t="s">
        <v>62</v>
      </c>
      <c r="F1557" s="2" t="n">
        <v>16</v>
      </c>
      <c r="G1557" s="5" t="s">
        <v>64</v>
      </c>
      <c r="H1557" s="2" t="n">
        <v>0</v>
      </c>
      <c r="I1557" s="2" t="n">
        <v>1</v>
      </c>
      <c r="J1557" s="2" t="n">
        <v>1</v>
      </c>
      <c r="K1557" s="7" t="n">
        <v>0.9704303893</v>
      </c>
      <c r="L1557" s="7" t="n">
        <v>0.1673622618</v>
      </c>
      <c r="M1557" s="7" t="n">
        <v>0.1777524671</v>
      </c>
      <c r="N1557" s="7" t="n">
        <v>5</v>
      </c>
      <c r="O1557" s="7" t="n">
        <v>5</v>
      </c>
      <c r="P1557" s="7" t="n">
        <v>5</v>
      </c>
      <c r="Q1557" s="2"/>
      <c r="R1557" s="7" t="n">
        <v>1.82695</v>
      </c>
      <c r="S1557" s="5" t="s">
        <v>82</v>
      </c>
      <c r="T1557" s="5" t="s">
        <v>61</v>
      </c>
    </row>
    <row r="1558" customFormat="false" ht="15" hidden="false" customHeight="false" outlineLevel="0" collapsed="false">
      <c r="A1558" s="5" t="s">
        <v>4</v>
      </c>
      <c r="B1558" s="5" t="s">
        <v>55</v>
      </c>
      <c r="C1558" s="2" t="s">
        <v>56</v>
      </c>
      <c r="D1558" s="5" t="s">
        <v>83</v>
      </c>
      <c r="E1558" s="5" t="s">
        <v>58</v>
      </c>
      <c r="F1558" s="2" t="n">
        <v>16</v>
      </c>
      <c r="G1558" s="5" t="s">
        <v>65</v>
      </c>
      <c r="H1558" s="2" t="n">
        <v>0</v>
      </c>
      <c r="I1558" s="2" t="n">
        <v>1</v>
      </c>
      <c r="J1558" s="2" t="n">
        <v>1</v>
      </c>
      <c r="K1558" s="7" t="n">
        <v>0.7673177227</v>
      </c>
      <c r="L1558" s="7" t="n">
        <v>0.2092364716</v>
      </c>
      <c r="M1558" s="7" t="n">
        <v>0.2166012726</v>
      </c>
      <c r="N1558" s="7" t="n">
        <v>5</v>
      </c>
      <c r="O1558" s="7" t="n">
        <v>5</v>
      </c>
      <c r="P1558" s="7" t="n">
        <v>0</v>
      </c>
      <c r="Q1558" s="2"/>
      <c r="R1558" s="7" t="n">
        <v>2.146412</v>
      </c>
      <c r="S1558" s="5" t="s">
        <v>82</v>
      </c>
      <c r="T1558" s="5" t="s">
        <v>61</v>
      </c>
    </row>
    <row r="1559" customFormat="false" ht="15" hidden="false" customHeight="false" outlineLevel="0" collapsed="false">
      <c r="A1559" s="5" t="s">
        <v>4</v>
      </c>
      <c r="B1559" s="5" t="s">
        <v>55</v>
      </c>
      <c r="C1559" s="2" t="s">
        <v>56</v>
      </c>
      <c r="D1559" s="5" t="s">
        <v>83</v>
      </c>
      <c r="E1559" s="5" t="s">
        <v>62</v>
      </c>
      <c r="F1559" s="2" t="n">
        <v>16</v>
      </c>
      <c r="G1559" s="5" t="s">
        <v>65</v>
      </c>
      <c r="H1559" s="2" t="n">
        <v>0</v>
      </c>
      <c r="I1559" s="2" t="n">
        <v>1</v>
      </c>
      <c r="J1559" s="2" t="n">
        <v>1</v>
      </c>
      <c r="K1559" s="7" t="n">
        <v>0.7673177227</v>
      </c>
      <c r="L1559" s="7" t="n">
        <v>0.2092364716</v>
      </c>
      <c r="M1559" s="7" t="n">
        <v>0.2166012726</v>
      </c>
      <c r="N1559" s="7" t="n">
        <v>5</v>
      </c>
      <c r="O1559" s="7" t="n">
        <v>5</v>
      </c>
      <c r="P1559" s="7" t="n">
        <v>5</v>
      </c>
      <c r="Q1559" s="2"/>
      <c r="R1559" s="7" t="n">
        <v>2.477051</v>
      </c>
      <c r="S1559" s="5" t="s">
        <v>82</v>
      </c>
      <c r="T1559" s="5" t="s">
        <v>61</v>
      </c>
    </row>
    <row r="1560" customFormat="false" ht="15" hidden="false" customHeight="false" outlineLevel="0" collapsed="false">
      <c r="A1560" s="5" t="s">
        <v>4</v>
      </c>
      <c r="B1560" s="5" t="s">
        <v>55</v>
      </c>
      <c r="C1560" s="2" t="s">
        <v>56</v>
      </c>
      <c r="D1560" s="5" t="s">
        <v>83</v>
      </c>
      <c r="E1560" s="5" t="s">
        <v>58</v>
      </c>
      <c r="F1560" s="2" t="n">
        <v>16</v>
      </c>
      <c r="G1560" s="5" t="s">
        <v>66</v>
      </c>
      <c r="H1560" s="2" t="n">
        <v>0</v>
      </c>
      <c r="I1560" s="2" t="n">
        <v>1</v>
      </c>
      <c r="J1560" s="2" t="n">
        <v>1</v>
      </c>
      <c r="K1560" s="7" t="n">
        <v>0.4228016566</v>
      </c>
      <c r="L1560" s="7" t="n">
        <v>0.02655797441</v>
      </c>
      <c r="M1560" s="7" t="n">
        <v>0.03721709449</v>
      </c>
      <c r="N1560" s="7" t="n">
        <v>3</v>
      </c>
      <c r="O1560" s="7" t="n">
        <v>3</v>
      </c>
      <c r="P1560" s="7" t="n">
        <v>0</v>
      </c>
      <c r="Q1560" s="2"/>
      <c r="R1560" s="7" t="n">
        <v>2.539164</v>
      </c>
      <c r="S1560" s="5" t="s">
        <v>82</v>
      </c>
      <c r="T1560" s="5" t="s">
        <v>61</v>
      </c>
    </row>
    <row r="1561" customFormat="false" ht="15" hidden="false" customHeight="false" outlineLevel="0" collapsed="false">
      <c r="A1561" s="5" t="s">
        <v>4</v>
      </c>
      <c r="B1561" s="5" t="s">
        <v>55</v>
      </c>
      <c r="C1561" s="2" t="s">
        <v>56</v>
      </c>
      <c r="D1561" s="5" t="s">
        <v>83</v>
      </c>
      <c r="E1561" s="5" t="s">
        <v>62</v>
      </c>
      <c r="F1561" s="2" t="n">
        <v>16</v>
      </c>
      <c r="G1561" s="5" t="s">
        <v>66</v>
      </c>
      <c r="H1561" s="2" t="n">
        <v>0</v>
      </c>
      <c r="I1561" s="2" t="n">
        <v>1</v>
      </c>
      <c r="J1561" s="2" t="n">
        <v>1</v>
      </c>
      <c r="K1561" s="7" t="n">
        <v>0.4228016566</v>
      </c>
      <c r="L1561" s="7" t="n">
        <v>0.02655797441</v>
      </c>
      <c r="M1561" s="7" t="n">
        <v>0.03721709449</v>
      </c>
      <c r="N1561" s="7" t="n">
        <v>3</v>
      </c>
      <c r="O1561" s="7" t="n">
        <v>3</v>
      </c>
      <c r="P1561" s="7" t="n">
        <v>3</v>
      </c>
      <c r="Q1561" s="2"/>
      <c r="R1561" s="7" t="n">
        <v>2.701083</v>
      </c>
      <c r="S1561" s="5" t="s">
        <v>82</v>
      </c>
      <c r="T1561" s="5" t="s">
        <v>61</v>
      </c>
    </row>
    <row r="1562" customFormat="false" ht="15" hidden="false" customHeight="false" outlineLevel="0" collapsed="false">
      <c r="A1562" s="5" t="s">
        <v>4</v>
      </c>
      <c r="B1562" s="5" t="s">
        <v>55</v>
      </c>
      <c r="C1562" s="2" t="s">
        <v>56</v>
      </c>
      <c r="D1562" s="5" t="s">
        <v>83</v>
      </c>
      <c r="E1562" s="5" t="s">
        <v>58</v>
      </c>
      <c r="F1562" s="2" t="n">
        <v>17</v>
      </c>
      <c r="G1562" s="5" t="s">
        <v>59</v>
      </c>
      <c r="H1562" s="2" t="n">
        <v>1</v>
      </c>
      <c r="I1562" s="2" t="n">
        <v>1</v>
      </c>
      <c r="J1562" s="2" t="n">
        <v>1</v>
      </c>
      <c r="K1562" s="7" t="n">
        <v>0.2801252213</v>
      </c>
      <c r="L1562" s="7" t="n">
        <v>0.05512823147</v>
      </c>
      <c r="M1562" s="7" t="n">
        <v>0.05744432125</v>
      </c>
      <c r="N1562" s="7" t="n">
        <v>9</v>
      </c>
      <c r="O1562" s="7" t="n">
        <v>9</v>
      </c>
      <c r="P1562" s="7" t="n">
        <v>0</v>
      </c>
      <c r="Q1562" s="2"/>
      <c r="R1562" s="7" t="n">
        <v>1.943983</v>
      </c>
      <c r="S1562" s="5" t="s">
        <v>82</v>
      </c>
      <c r="T1562" s="5" t="s">
        <v>61</v>
      </c>
    </row>
    <row r="1563" customFormat="false" ht="15" hidden="false" customHeight="false" outlineLevel="0" collapsed="false">
      <c r="A1563" s="5" t="s">
        <v>4</v>
      </c>
      <c r="B1563" s="5" t="s">
        <v>55</v>
      </c>
      <c r="C1563" s="2" t="s">
        <v>56</v>
      </c>
      <c r="D1563" s="5" t="s">
        <v>83</v>
      </c>
      <c r="E1563" s="5" t="s">
        <v>62</v>
      </c>
      <c r="F1563" s="2" t="n">
        <v>17</v>
      </c>
      <c r="G1563" s="5" t="s">
        <v>59</v>
      </c>
      <c r="H1563" s="2" t="n">
        <v>1</v>
      </c>
      <c r="I1563" s="2" t="n">
        <v>1</v>
      </c>
      <c r="J1563" s="2" t="n">
        <v>1</v>
      </c>
      <c r="K1563" s="7" t="n">
        <v>0.2801252213</v>
      </c>
      <c r="L1563" s="7" t="n">
        <v>0.05512823147</v>
      </c>
      <c r="M1563" s="7" t="n">
        <v>0.05744432125</v>
      </c>
      <c r="N1563" s="7" t="n">
        <v>9</v>
      </c>
      <c r="O1563" s="7" t="n">
        <v>9</v>
      </c>
      <c r="P1563" s="7" t="n">
        <v>9</v>
      </c>
      <c r="Q1563" s="2"/>
      <c r="R1563" s="7" t="n">
        <v>2.529918</v>
      </c>
      <c r="S1563" s="5" t="s">
        <v>82</v>
      </c>
      <c r="T1563" s="5" t="s">
        <v>61</v>
      </c>
    </row>
    <row r="1564" customFormat="false" ht="15" hidden="false" customHeight="false" outlineLevel="0" collapsed="false">
      <c r="A1564" s="5" t="s">
        <v>4</v>
      </c>
      <c r="B1564" s="5" t="s">
        <v>55</v>
      </c>
      <c r="C1564" s="2" t="s">
        <v>56</v>
      </c>
      <c r="D1564" s="5" t="s">
        <v>83</v>
      </c>
      <c r="E1564" s="5" t="s">
        <v>58</v>
      </c>
      <c r="F1564" s="2" t="n">
        <v>17</v>
      </c>
      <c r="G1564" s="5" t="s">
        <v>63</v>
      </c>
      <c r="H1564" s="2" t="n">
        <v>1</v>
      </c>
      <c r="I1564" s="2" t="n">
        <v>1</v>
      </c>
      <c r="J1564" s="2" t="n">
        <v>1</v>
      </c>
      <c r="K1564" s="7" t="n">
        <v>0.565504546</v>
      </c>
      <c r="L1564" s="7" t="n">
        <v>0.02402532857</v>
      </c>
      <c r="M1564" s="7" t="n">
        <v>0.03852399672</v>
      </c>
      <c r="N1564" s="7" t="n">
        <v>10</v>
      </c>
      <c r="O1564" s="7" t="n">
        <v>10</v>
      </c>
      <c r="P1564" s="7" t="n">
        <v>0</v>
      </c>
      <c r="Q1564" s="2"/>
      <c r="R1564" s="7" t="n">
        <v>1.356635</v>
      </c>
      <c r="S1564" s="5" t="s">
        <v>82</v>
      </c>
      <c r="T1564" s="5" t="s">
        <v>61</v>
      </c>
    </row>
    <row r="1565" customFormat="false" ht="15" hidden="false" customHeight="false" outlineLevel="0" collapsed="false">
      <c r="A1565" s="5" t="s">
        <v>4</v>
      </c>
      <c r="B1565" s="5" t="s">
        <v>55</v>
      </c>
      <c r="C1565" s="2" t="s">
        <v>56</v>
      </c>
      <c r="D1565" s="5" t="s">
        <v>83</v>
      </c>
      <c r="E1565" s="5" t="s">
        <v>62</v>
      </c>
      <c r="F1565" s="2" t="n">
        <v>17</v>
      </c>
      <c r="G1565" s="5" t="s">
        <v>63</v>
      </c>
      <c r="H1565" s="2" t="n">
        <v>1</v>
      </c>
      <c r="I1565" s="2" t="n">
        <v>1</v>
      </c>
      <c r="J1565" s="2" t="n">
        <v>1</v>
      </c>
      <c r="K1565" s="7" t="n">
        <v>0.565504546</v>
      </c>
      <c r="L1565" s="7" t="n">
        <v>0.02402532857</v>
      </c>
      <c r="M1565" s="7" t="n">
        <v>0.03852399672</v>
      </c>
      <c r="N1565" s="7" t="n">
        <v>10</v>
      </c>
      <c r="O1565" s="7" t="n">
        <v>10</v>
      </c>
      <c r="P1565" s="7" t="n">
        <v>10</v>
      </c>
      <c r="Q1565" s="2"/>
      <c r="R1565" s="7" t="n">
        <v>1.958124</v>
      </c>
      <c r="S1565" s="5" t="s">
        <v>82</v>
      </c>
      <c r="T1565" s="5" t="s">
        <v>61</v>
      </c>
    </row>
    <row r="1566" customFormat="false" ht="15" hidden="false" customHeight="false" outlineLevel="0" collapsed="false">
      <c r="A1566" s="5" t="s">
        <v>4</v>
      </c>
      <c r="B1566" s="5" t="s">
        <v>55</v>
      </c>
      <c r="C1566" s="2" t="s">
        <v>56</v>
      </c>
      <c r="D1566" s="5" t="s">
        <v>83</v>
      </c>
      <c r="E1566" s="5" t="s">
        <v>58</v>
      </c>
      <c r="F1566" s="2" t="n">
        <v>17</v>
      </c>
      <c r="G1566" s="5" t="s">
        <v>64</v>
      </c>
      <c r="H1566" s="2" t="n">
        <v>0</v>
      </c>
      <c r="I1566" s="2" t="n">
        <v>1</v>
      </c>
      <c r="J1566" s="2" t="n">
        <v>1</v>
      </c>
      <c r="K1566" s="7" t="n">
        <v>1.001912845</v>
      </c>
      <c r="L1566" s="7" t="n">
        <v>0.2065184888</v>
      </c>
      <c r="M1566" s="7" t="n">
        <v>0.2149020282</v>
      </c>
      <c r="N1566" s="7" t="n">
        <v>5</v>
      </c>
      <c r="O1566" s="7" t="n">
        <v>5</v>
      </c>
      <c r="P1566" s="7" t="n">
        <v>0</v>
      </c>
      <c r="Q1566" s="2"/>
      <c r="R1566" s="7" t="n">
        <v>1.525945</v>
      </c>
      <c r="S1566" s="5" t="s">
        <v>82</v>
      </c>
      <c r="T1566" s="5" t="s">
        <v>61</v>
      </c>
    </row>
    <row r="1567" customFormat="false" ht="15" hidden="false" customHeight="false" outlineLevel="0" collapsed="false">
      <c r="A1567" s="5" t="s">
        <v>4</v>
      </c>
      <c r="B1567" s="5" t="s">
        <v>55</v>
      </c>
      <c r="C1567" s="2" t="s">
        <v>56</v>
      </c>
      <c r="D1567" s="5" t="s">
        <v>83</v>
      </c>
      <c r="E1567" s="5" t="s">
        <v>62</v>
      </c>
      <c r="F1567" s="2" t="n">
        <v>17</v>
      </c>
      <c r="G1567" s="5" t="s">
        <v>64</v>
      </c>
      <c r="H1567" s="2" t="n">
        <v>0</v>
      </c>
      <c r="I1567" s="2" t="n">
        <v>1</v>
      </c>
      <c r="J1567" s="2" t="n">
        <v>1</v>
      </c>
      <c r="K1567" s="7" t="n">
        <v>1.001912845</v>
      </c>
      <c r="L1567" s="7" t="n">
        <v>0.2065184888</v>
      </c>
      <c r="M1567" s="7" t="n">
        <v>0.2149020282</v>
      </c>
      <c r="N1567" s="7" t="n">
        <v>5</v>
      </c>
      <c r="O1567" s="7" t="n">
        <v>5</v>
      </c>
      <c r="P1567" s="7" t="n">
        <v>5</v>
      </c>
      <c r="Q1567" s="2"/>
      <c r="R1567" s="7" t="n">
        <v>1.869583</v>
      </c>
      <c r="S1567" s="5" t="s">
        <v>82</v>
      </c>
      <c r="T1567" s="5" t="s">
        <v>61</v>
      </c>
    </row>
    <row r="1568" customFormat="false" ht="15" hidden="false" customHeight="false" outlineLevel="0" collapsed="false">
      <c r="A1568" s="5" t="s">
        <v>4</v>
      </c>
      <c r="B1568" s="5" t="s">
        <v>55</v>
      </c>
      <c r="C1568" s="2" t="s">
        <v>56</v>
      </c>
      <c r="D1568" s="5" t="s">
        <v>83</v>
      </c>
      <c r="E1568" s="5" t="s">
        <v>58</v>
      </c>
      <c r="F1568" s="2" t="n">
        <v>17</v>
      </c>
      <c r="G1568" s="5" t="s">
        <v>65</v>
      </c>
      <c r="H1568" s="2" t="n">
        <v>0</v>
      </c>
      <c r="I1568" s="2" t="n">
        <v>1</v>
      </c>
      <c r="J1568" s="2" t="n">
        <v>1</v>
      </c>
      <c r="K1568" s="7" t="n">
        <v>0.6976324188</v>
      </c>
      <c r="L1568" s="7" t="n">
        <v>0.1957432158</v>
      </c>
      <c r="M1568" s="7" t="n">
        <v>0.2016809576</v>
      </c>
      <c r="N1568" s="7" t="n">
        <v>4</v>
      </c>
      <c r="O1568" s="7" t="n">
        <v>4</v>
      </c>
      <c r="P1568" s="7" t="n">
        <v>0</v>
      </c>
      <c r="Q1568" s="2"/>
      <c r="R1568" s="7" t="n">
        <v>2.53107</v>
      </c>
      <c r="S1568" s="5" t="s">
        <v>82</v>
      </c>
      <c r="T1568" s="5" t="s">
        <v>61</v>
      </c>
    </row>
    <row r="1569" customFormat="false" ht="15" hidden="false" customHeight="false" outlineLevel="0" collapsed="false">
      <c r="A1569" s="5" t="s">
        <v>4</v>
      </c>
      <c r="B1569" s="5" t="s">
        <v>55</v>
      </c>
      <c r="C1569" s="2" t="s">
        <v>56</v>
      </c>
      <c r="D1569" s="5" t="s">
        <v>83</v>
      </c>
      <c r="E1569" s="5" t="s">
        <v>62</v>
      </c>
      <c r="F1569" s="2" t="n">
        <v>17</v>
      </c>
      <c r="G1569" s="5" t="s">
        <v>65</v>
      </c>
      <c r="H1569" s="2" t="n">
        <v>0</v>
      </c>
      <c r="I1569" s="2" t="n">
        <v>1</v>
      </c>
      <c r="J1569" s="2" t="n">
        <v>1</v>
      </c>
      <c r="K1569" s="7" t="n">
        <v>0.6976324188</v>
      </c>
      <c r="L1569" s="7" t="n">
        <v>0.1957432158</v>
      </c>
      <c r="M1569" s="7" t="n">
        <v>0.2016809576</v>
      </c>
      <c r="N1569" s="7" t="n">
        <v>4</v>
      </c>
      <c r="O1569" s="7" t="n">
        <v>4</v>
      </c>
      <c r="P1569" s="7" t="n">
        <v>4</v>
      </c>
      <c r="Q1569" s="2"/>
      <c r="R1569" s="7" t="n">
        <v>2.796503</v>
      </c>
      <c r="S1569" s="5" t="s">
        <v>82</v>
      </c>
      <c r="T1569" s="5" t="s">
        <v>61</v>
      </c>
    </row>
    <row r="1570" customFormat="false" ht="15" hidden="false" customHeight="false" outlineLevel="0" collapsed="false">
      <c r="A1570" s="5" t="s">
        <v>4</v>
      </c>
      <c r="B1570" s="5" t="s">
        <v>55</v>
      </c>
      <c r="C1570" s="2" t="s">
        <v>56</v>
      </c>
      <c r="D1570" s="5" t="s">
        <v>83</v>
      </c>
      <c r="E1570" s="5" t="s">
        <v>58</v>
      </c>
      <c r="F1570" s="2" t="n">
        <v>17</v>
      </c>
      <c r="G1570" s="5" t="s">
        <v>66</v>
      </c>
      <c r="H1570" s="2" t="n">
        <v>0</v>
      </c>
      <c r="I1570" s="2" t="n">
        <v>1</v>
      </c>
      <c r="J1570" s="2" t="n">
        <v>1</v>
      </c>
      <c r="K1570" s="7" t="n">
        <v>0.8528653775</v>
      </c>
      <c r="L1570" s="7" t="n">
        <v>0.1309352935</v>
      </c>
      <c r="M1570" s="7" t="n">
        <v>0.1379303486</v>
      </c>
      <c r="N1570" s="7" t="n">
        <v>6</v>
      </c>
      <c r="O1570" s="7" t="n">
        <v>6</v>
      </c>
      <c r="P1570" s="7" t="n">
        <v>0</v>
      </c>
      <c r="Q1570" s="2"/>
      <c r="R1570" s="7" t="n">
        <v>2.624609</v>
      </c>
      <c r="S1570" s="5" t="s">
        <v>82</v>
      </c>
      <c r="T1570" s="5" t="s">
        <v>61</v>
      </c>
    </row>
    <row r="1571" customFormat="false" ht="15" hidden="false" customHeight="false" outlineLevel="0" collapsed="false">
      <c r="A1571" s="5" t="s">
        <v>4</v>
      </c>
      <c r="B1571" s="5" t="s">
        <v>55</v>
      </c>
      <c r="C1571" s="2" t="s">
        <v>56</v>
      </c>
      <c r="D1571" s="5" t="s">
        <v>83</v>
      </c>
      <c r="E1571" s="5" t="s">
        <v>62</v>
      </c>
      <c r="F1571" s="2" t="n">
        <v>17</v>
      </c>
      <c r="G1571" s="5" t="s">
        <v>66</v>
      </c>
      <c r="H1571" s="2" t="n">
        <v>0</v>
      </c>
      <c r="I1571" s="2" t="n">
        <v>1</v>
      </c>
      <c r="J1571" s="2" t="n">
        <v>1</v>
      </c>
      <c r="K1571" s="7" t="n">
        <v>0.8528653775</v>
      </c>
      <c r="L1571" s="7" t="n">
        <v>0.1309352935</v>
      </c>
      <c r="M1571" s="7" t="n">
        <v>0.1379303486</v>
      </c>
      <c r="N1571" s="7" t="n">
        <v>6</v>
      </c>
      <c r="O1571" s="7" t="n">
        <v>6</v>
      </c>
      <c r="P1571" s="7" t="n">
        <v>6</v>
      </c>
      <c r="Q1571" s="2"/>
      <c r="R1571" s="7" t="n">
        <v>3.217986</v>
      </c>
      <c r="S1571" s="5" t="s">
        <v>82</v>
      </c>
      <c r="T1571" s="5" t="s">
        <v>61</v>
      </c>
    </row>
    <row r="1572" customFormat="false" ht="15" hidden="false" customHeight="false" outlineLevel="0" collapsed="false">
      <c r="A1572" s="5" t="s">
        <v>4</v>
      </c>
      <c r="B1572" s="5" t="s">
        <v>55</v>
      </c>
      <c r="C1572" s="2" t="s">
        <v>56</v>
      </c>
      <c r="D1572" s="5" t="s">
        <v>83</v>
      </c>
      <c r="E1572" s="5" t="s">
        <v>58</v>
      </c>
      <c r="F1572" s="2" t="n">
        <v>18</v>
      </c>
      <c r="G1572" s="5" t="s">
        <v>59</v>
      </c>
      <c r="H1572" s="2" t="n">
        <v>1</v>
      </c>
      <c r="I1572" s="2" t="n">
        <v>1</v>
      </c>
      <c r="J1572" s="2" t="n">
        <v>1</v>
      </c>
      <c r="K1572" s="7" t="n">
        <v>0.1794910931</v>
      </c>
      <c r="L1572" s="7" t="n">
        <v>0.06538470295</v>
      </c>
      <c r="M1572" s="7" t="n">
        <v>0.065587638</v>
      </c>
      <c r="N1572" s="7" t="n">
        <v>8</v>
      </c>
      <c r="O1572" s="7" t="n">
        <v>8</v>
      </c>
      <c r="P1572" s="7" t="n">
        <v>0</v>
      </c>
      <c r="Q1572" s="2"/>
      <c r="R1572" s="7" t="n">
        <v>1.724408</v>
      </c>
      <c r="S1572" s="5" t="s">
        <v>82</v>
      </c>
      <c r="T1572" s="5" t="s">
        <v>61</v>
      </c>
    </row>
    <row r="1573" customFormat="false" ht="15" hidden="false" customHeight="false" outlineLevel="0" collapsed="false">
      <c r="A1573" s="5" t="s">
        <v>4</v>
      </c>
      <c r="B1573" s="5" t="s">
        <v>55</v>
      </c>
      <c r="C1573" s="2" t="s">
        <v>56</v>
      </c>
      <c r="D1573" s="5" t="s">
        <v>83</v>
      </c>
      <c r="E1573" s="5" t="s">
        <v>62</v>
      </c>
      <c r="F1573" s="2" t="n">
        <v>18</v>
      </c>
      <c r="G1573" s="5" t="s">
        <v>59</v>
      </c>
      <c r="H1573" s="2" t="n">
        <v>1</v>
      </c>
      <c r="I1573" s="2" t="n">
        <v>1</v>
      </c>
      <c r="J1573" s="2" t="n">
        <v>1</v>
      </c>
      <c r="K1573" s="7" t="n">
        <v>0.1794910931</v>
      </c>
      <c r="L1573" s="7" t="n">
        <v>0.06538470295</v>
      </c>
      <c r="M1573" s="7" t="n">
        <v>0.065587638</v>
      </c>
      <c r="N1573" s="7" t="n">
        <v>8</v>
      </c>
      <c r="O1573" s="7" t="n">
        <v>8</v>
      </c>
      <c r="P1573" s="7" t="n">
        <v>8</v>
      </c>
      <c r="Q1573" s="2"/>
      <c r="R1573" s="7" t="n">
        <v>2.229125</v>
      </c>
      <c r="S1573" s="5" t="s">
        <v>82</v>
      </c>
      <c r="T1573" s="5" t="s">
        <v>61</v>
      </c>
    </row>
    <row r="1574" customFormat="false" ht="15" hidden="false" customHeight="false" outlineLevel="0" collapsed="false">
      <c r="A1574" s="5" t="s">
        <v>4</v>
      </c>
      <c r="B1574" s="5" t="s">
        <v>55</v>
      </c>
      <c r="C1574" s="2" t="s">
        <v>56</v>
      </c>
      <c r="D1574" s="5" t="s">
        <v>83</v>
      </c>
      <c r="E1574" s="5" t="s">
        <v>58</v>
      </c>
      <c r="F1574" s="2" t="n">
        <v>18</v>
      </c>
      <c r="G1574" s="5" t="s">
        <v>63</v>
      </c>
      <c r="H1574" s="2" t="n">
        <v>1</v>
      </c>
      <c r="I1574" s="2" t="n">
        <v>1</v>
      </c>
      <c r="J1574" s="2" t="n">
        <v>1</v>
      </c>
      <c r="K1574" s="7" t="n">
        <v>0.4513750362</v>
      </c>
      <c r="L1574" s="7" t="n">
        <v>0.03179015023</v>
      </c>
      <c r="M1574" s="7" t="n">
        <v>0.04224691019</v>
      </c>
      <c r="N1574" s="7" t="n">
        <v>13</v>
      </c>
      <c r="O1574" s="7" t="n">
        <v>13</v>
      </c>
      <c r="P1574" s="7" t="n">
        <v>0</v>
      </c>
      <c r="Q1574" s="2"/>
      <c r="R1574" s="7" t="n">
        <v>1.534919</v>
      </c>
      <c r="S1574" s="5" t="s">
        <v>82</v>
      </c>
      <c r="T1574" s="5" t="s">
        <v>61</v>
      </c>
    </row>
    <row r="1575" customFormat="false" ht="15" hidden="false" customHeight="false" outlineLevel="0" collapsed="false">
      <c r="A1575" s="5" t="s">
        <v>4</v>
      </c>
      <c r="B1575" s="5" t="s">
        <v>55</v>
      </c>
      <c r="C1575" s="2" t="s">
        <v>56</v>
      </c>
      <c r="D1575" s="5" t="s">
        <v>83</v>
      </c>
      <c r="E1575" s="5" t="s">
        <v>62</v>
      </c>
      <c r="F1575" s="2" t="n">
        <v>18</v>
      </c>
      <c r="G1575" s="5" t="s">
        <v>63</v>
      </c>
      <c r="H1575" s="2" t="n">
        <v>1</v>
      </c>
      <c r="I1575" s="2" t="n">
        <v>1</v>
      </c>
      <c r="J1575" s="2" t="n">
        <v>1</v>
      </c>
      <c r="K1575" s="7" t="n">
        <v>0.4513750362</v>
      </c>
      <c r="L1575" s="7" t="n">
        <v>0.03179015023</v>
      </c>
      <c r="M1575" s="7" t="n">
        <v>0.04224691019</v>
      </c>
      <c r="N1575" s="7" t="n">
        <v>13</v>
      </c>
      <c r="O1575" s="7" t="n">
        <v>13</v>
      </c>
      <c r="P1575" s="7" t="n">
        <v>13</v>
      </c>
      <c r="Q1575" s="2"/>
      <c r="R1575" s="7" t="n">
        <v>2.180994</v>
      </c>
      <c r="S1575" s="5" t="s">
        <v>82</v>
      </c>
      <c r="T1575" s="5" t="s">
        <v>61</v>
      </c>
    </row>
    <row r="1576" customFormat="false" ht="15" hidden="false" customHeight="false" outlineLevel="0" collapsed="false">
      <c r="A1576" s="5" t="s">
        <v>4</v>
      </c>
      <c r="B1576" s="5" t="s">
        <v>55</v>
      </c>
      <c r="C1576" s="2" t="s">
        <v>56</v>
      </c>
      <c r="D1576" s="5" t="s">
        <v>83</v>
      </c>
      <c r="E1576" s="5" t="s">
        <v>58</v>
      </c>
      <c r="F1576" s="2" t="n">
        <v>18</v>
      </c>
      <c r="G1576" s="5" t="s">
        <v>64</v>
      </c>
      <c r="H1576" s="2" t="n">
        <v>0</v>
      </c>
      <c r="I1576" s="2" t="n">
        <v>1</v>
      </c>
      <c r="J1576" s="2" t="n">
        <v>1</v>
      </c>
      <c r="K1576" s="7" t="n">
        <v>1.111482823</v>
      </c>
      <c r="L1576" s="7" t="n">
        <v>0.2228928732</v>
      </c>
      <c r="M1576" s="7" t="n">
        <v>0.2320234637</v>
      </c>
      <c r="N1576" s="7" t="n">
        <v>4</v>
      </c>
      <c r="O1576" s="7" t="n">
        <v>4</v>
      </c>
      <c r="P1576" s="7" t="n">
        <v>0</v>
      </c>
      <c r="Q1576" s="2"/>
      <c r="R1576" s="7" t="n">
        <v>1.325028</v>
      </c>
      <c r="S1576" s="5" t="s">
        <v>82</v>
      </c>
      <c r="T1576" s="5" t="s">
        <v>61</v>
      </c>
    </row>
    <row r="1577" customFormat="false" ht="15" hidden="false" customHeight="false" outlineLevel="0" collapsed="false">
      <c r="A1577" s="5" t="s">
        <v>4</v>
      </c>
      <c r="B1577" s="5" t="s">
        <v>55</v>
      </c>
      <c r="C1577" s="2" t="s">
        <v>56</v>
      </c>
      <c r="D1577" s="5" t="s">
        <v>83</v>
      </c>
      <c r="E1577" s="5" t="s">
        <v>62</v>
      </c>
      <c r="F1577" s="2" t="n">
        <v>18</v>
      </c>
      <c r="G1577" s="5" t="s">
        <v>64</v>
      </c>
      <c r="H1577" s="2" t="n">
        <v>0</v>
      </c>
      <c r="I1577" s="2" t="n">
        <v>1</v>
      </c>
      <c r="J1577" s="2" t="n">
        <v>1</v>
      </c>
      <c r="K1577" s="7" t="n">
        <v>1.111482823</v>
      </c>
      <c r="L1577" s="7" t="n">
        <v>0.2228928732</v>
      </c>
      <c r="M1577" s="7" t="n">
        <v>0.2320234637</v>
      </c>
      <c r="N1577" s="7" t="n">
        <v>4</v>
      </c>
      <c r="O1577" s="7" t="n">
        <v>4</v>
      </c>
      <c r="P1577" s="7" t="n">
        <v>4</v>
      </c>
      <c r="Q1577" s="2"/>
      <c r="R1577" s="7" t="n">
        <v>1.607947</v>
      </c>
      <c r="S1577" s="5" t="s">
        <v>82</v>
      </c>
      <c r="T1577" s="5" t="s">
        <v>61</v>
      </c>
    </row>
    <row r="1578" customFormat="false" ht="15" hidden="false" customHeight="false" outlineLevel="0" collapsed="false">
      <c r="A1578" s="5" t="s">
        <v>4</v>
      </c>
      <c r="B1578" s="5" t="s">
        <v>55</v>
      </c>
      <c r="C1578" s="2" t="s">
        <v>56</v>
      </c>
      <c r="D1578" s="5" t="s">
        <v>83</v>
      </c>
      <c r="E1578" s="5" t="s">
        <v>58</v>
      </c>
      <c r="F1578" s="2" t="n">
        <v>18</v>
      </c>
      <c r="G1578" s="5" t="s">
        <v>65</v>
      </c>
      <c r="H1578" s="2" t="n">
        <v>0</v>
      </c>
      <c r="I1578" s="2" t="n">
        <v>1</v>
      </c>
      <c r="J1578" s="2" t="n">
        <v>1</v>
      </c>
      <c r="K1578" s="7" t="n">
        <v>0.6261423359</v>
      </c>
      <c r="L1578" s="7" t="n">
        <v>0.1896131605</v>
      </c>
      <c r="M1578" s="7" t="n">
        <v>0.1912284636</v>
      </c>
      <c r="N1578" s="7" t="n">
        <v>3</v>
      </c>
      <c r="O1578" s="7" t="n">
        <v>3</v>
      </c>
      <c r="P1578" s="7" t="n">
        <v>0</v>
      </c>
      <c r="Q1578" s="2"/>
      <c r="R1578" s="7" t="n">
        <v>2.514936</v>
      </c>
      <c r="S1578" s="5" t="s">
        <v>82</v>
      </c>
      <c r="T1578" s="5" t="s">
        <v>61</v>
      </c>
    </row>
    <row r="1579" customFormat="false" ht="15" hidden="false" customHeight="false" outlineLevel="0" collapsed="false">
      <c r="A1579" s="5" t="s">
        <v>4</v>
      </c>
      <c r="B1579" s="5" t="s">
        <v>55</v>
      </c>
      <c r="C1579" s="2" t="s">
        <v>56</v>
      </c>
      <c r="D1579" s="5" t="s">
        <v>83</v>
      </c>
      <c r="E1579" s="5" t="s">
        <v>62</v>
      </c>
      <c r="F1579" s="2" t="n">
        <v>18</v>
      </c>
      <c r="G1579" s="5" t="s">
        <v>65</v>
      </c>
      <c r="H1579" s="2" t="n">
        <v>0</v>
      </c>
      <c r="I1579" s="2" t="n">
        <v>1</v>
      </c>
      <c r="J1579" s="2" t="n">
        <v>1</v>
      </c>
      <c r="K1579" s="7" t="n">
        <v>0.6261423359</v>
      </c>
      <c r="L1579" s="7" t="n">
        <v>0.1896131605</v>
      </c>
      <c r="M1579" s="7" t="n">
        <v>0.1912284636</v>
      </c>
      <c r="N1579" s="7" t="n">
        <v>3</v>
      </c>
      <c r="O1579" s="7" t="n">
        <v>3</v>
      </c>
      <c r="P1579" s="7" t="n">
        <v>3</v>
      </c>
      <c r="Q1579" s="2"/>
      <c r="R1579" s="7" t="n">
        <v>2.704947</v>
      </c>
      <c r="S1579" s="5" t="s">
        <v>82</v>
      </c>
      <c r="T1579" s="5" t="s">
        <v>61</v>
      </c>
    </row>
    <row r="1580" customFormat="false" ht="15" hidden="false" customHeight="false" outlineLevel="0" collapsed="false">
      <c r="A1580" s="5" t="s">
        <v>4</v>
      </c>
      <c r="B1580" s="5" t="s">
        <v>55</v>
      </c>
      <c r="C1580" s="2" t="s">
        <v>56</v>
      </c>
      <c r="D1580" s="5" t="s">
        <v>83</v>
      </c>
      <c r="E1580" s="5" t="s">
        <v>58</v>
      </c>
      <c r="F1580" s="2" t="n">
        <v>18</v>
      </c>
      <c r="G1580" s="5" t="s">
        <v>66</v>
      </c>
      <c r="H1580" s="2" t="n">
        <v>0</v>
      </c>
      <c r="I1580" s="2" t="n">
        <v>0</v>
      </c>
      <c r="J1580" s="2" t="n">
        <v>0</v>
      </c>
      <c r="K1580" s="2"/>
      <c r="L1580" s="2"/>
      <c r="M1580" s="2"/>
      <c r="N1580" s="7" t="n">
        <v>1</v>
      </c>
      <c r="O1580" s="7" t="n">
        <v>1</v>
      </c>
      <c r="P1580" s="7" t="n">
        <v>0</v>
      </c>
      <c r="Q1580" s="2"/>
      <c r="R1580" s="7" t="n">
        <v>2.503439</v>
      </c>
      <c r="S1580" s="5" t="s">
        <v>82</v>
      </c>
      <c r="T1580" s="5" t="s">
        <v>61</v>
      </c>
    </row>
    <row r="1581" customFormat="false" ht="15" hidden="false" customHeight="false" outlineLevel="0" collapsed="false">
      <c r="A1581" s="5" t="s">
        <v>4</v>
      </c>
      <c r="B1581" s="5" t="s">
        <v>55</v>
      </c>
      <c r="C1581" s="2" t="s">
        <v>56</v>
      </c>
      <c r="D1581" s="5" t="s">
        <v>83</v>
      </c>
      <c r="E1581" s="5" t="s">
        <v>62</v>
      </c>
      <c r="F1581" s="2" t="n">
        <v>18</v>
      </c>
      <c r="G1581" s="5" t="s">
        <v>66</v>
      </c>
      <c r="H1581" s="2" t="n">
        <v>0</v>
      </c>
      <c r="I1581" s="2" t="n">
        <v>0</v>
      </c>
      <c r="J1581" s="2" t="n">
        <v>0</v>
      </c>
      <c r="K1581" s="2"/>
      <c r="L1581" s="2"/>
      <c r="M1581" s="2"/>
      <c r="N1581" s="7" t="n">
        <v>1</v>
      </c>
      <c r="O1581" s="7" t="n">
        <v>1</v>
      </c>
      <c r="P1581" s="7" t="n">
        <v>0</v>
      </c>
      <c r="Q1581" s="2"/>
      <c r="R1581" s="7" t="n">
        <v>2.503499</v>
      </c>
      <c r="S1581" s="5" t="s">
        <v>82</v>
      </c>
      <c r="T1581" s="5" t="s">
        <v>61</v>
      </c>
    </row>
    <row r="1582" customFormat="false" ht="15" hidden="false" customHeight="false" outlineLevel="0" collapsed="false">
      <c r="A1582" s="5" t="s">
        <v>4</v>
      </c>
      <c r="B1582" s="5" t="s">
        <v>55</v>
      </c>
      <c r="C1582" s="2" t="s">
        <v>56</v>
      </c>
      <c r="D1582" s="5" t="s">
        <v>83</v>
      </c>
      <c r="E1582" s="5" t="s">
        <v>58</v>
      </c>
      <c r="F1582" s="2" t="n">
        <v>19</v>
      </c>
      <c r="G1582" s="5" t="s">
        <v>59</v>
      </c>
      <c r="H1582" s="2" t="n">
        <v>1</v>
      </c>
      <c r="I1582" s="2" t="n">
        <v>1</v>
      </c>
      <c r="J1582" s="2" t="n">
        <v>1</v>
      </c>
      <c r="K1582" s="7" t="n">
        <v>0.4338476066</v>
      </c>
      <c r="L1582" s="7" t="n">
        <v>0.07009830239</v>
      </c>
      <c r="M1582" s="7" t="n">
        <v>0.0757129932</v>
      </c>
      <c r="N1582" s="7" t="n">
        <v>11</v>
      </c>
      <c r="O1582" s="7" t="n">
        <v>11</v>
      </c>
      <c r="P1582" s="7" t="n">
        <v>0</v>
      </c>
      <c r="Q1582" s="2"/>
      <c r="R1582" s="7" t="n">
        <v>1.601487</v>
      </c>
      <c r="S1582" s="5" t="s">
        <v>82</v>
      </c>
      <c r="T1582" s="5" t="s">
        <v>61</v>
      </c>
    </row>
    <row r="1583" customFormat="false" ht="15" hidden="false" customHeight="false" outlineLevel="0" collapsed="false">
      <c r="A1583" s="5" t="s">
        <v>4</v>
      </c>
      <c r="B1583" s="5" t="s">
        <v>55</v>
      </c>
      <c r="C1583" s="2" t="s">
        <v>56</v>
      </c>
      <c r="D1583" s="5" t="s">
        <v>83</v>
      </c>
      <c r="E1583" s="5" t="s">
        <v>62</v>
      </c>
      <c r="F1583" s="2" t="n">
        <v>19</v>
      </c>
      <c r="G1583" s="5" t="s">
        <v>59</v>
      </c>
      <c r="H1583" s="2" t="n">
        <v>1</v>
      </c>
      <c r="I1583" s="2" t="n">
        <v>1</v>
      </c>
      <c r="J1583" s="2" t="n">
        <v>1</v>
      </c>
      <c r="K1583" s="7" t="n">
        <v>0.4338476066</v>
      </c>
      <c r="L1583" s="7" t="n">
        <v>0.07009830239</v>
      </c>
      <c r="M1583" s="7" t="n">
        <v>0.0757129932</v>
      </c>
      <c r="N1583" s="7" t="n">
        <v>11</v>
      </c>
      <c r="O1583" s="7" t="n">
        <v>11</v>
      </c>
      <c r="P1583" s="7" t="n">
        <v>11</v>
      </c>
      <c r="Q1583" s="2"/>
      <c r="R1583" s="7" t="n">
        <v>2.187564</v>
      </c>
      <c r="S1583" s="5" t="s">
        <v>82</v>
      </c>
      <c r="T1583" s="5" t="s">
        <v>61</v>
      </c>
    </row>
    <row r="1584" customFormat="false" ht="15" hidden="false" customHeight="false" outlineLevel="0" collapsed="false">
      <c r="A1584" s="5" t="s">
        <v>4</v>
      </c>
      <c r="B1584" s="5" t="s">
        <v>55</v>
      </c>
      <c r="C1584" s="2" t="s">
        <v>56</v>
      </c>
      <c r="D1584" s="5" t="s">
        <v>83</v>
      </c>
      <c r="E1584" s="5" t="s">
        <v>58</v>
      </c>
      <c r="F1584" s="2" t="n">
        <v>19</v>
      </c>
      <c r="G1584" s="5" t="s">
        <v>63</v>
      </c>
      <c r="H1584" s="2" t="n">
        <v>1</v>
      </c>
      <c r="I1584" s="2" t="n">
        <v>1</v>
      </c>
      <c r="J1584" s="2" t="n">
        <v>1</v>
      </c>
      <c r="K1584" s="7" t="n">
        <v>0.5354072114</v>
      </c>
      <c r="L1584" s="7" t="n">
        <v>0.03904017362</v>
      </c>
      <c r="M1584" s="7" t="n">
        <v>0.05072756371</v>
      </c>
      <c r="N1584" s="7" t="n">
        <v>12</v>
      </c>
      <c r="O1584" s="7" t="n">
        <v>12</v>
      </c>
      <c r="P1584" s="7" t="n">
        <v>0</v>
      </c>
      <c r="Q1584" s="2"/>
      <c r="R1584" s="7" t="n">
        <v>1.449703</v>
      </c>
      <c r="S1584" s="5" t="s">
        <v>82</v>
      </c>
      <c r="T1584" s="5" t="s">
        <v>61</v>
      </c>
    </row>
    <row r="1585" customFormat="false" ht="15" hidden="false" customHeight="false" outlineLevel="0" collapsed="false">
      <c r="A1585" s="5" t="s">
        <v>4</v>
      </c>
      <c r="B1585" s="5" t="s">
        <v>55</v>
      </c>
      <c r="C1585" s="2" t="s">
        <v>56</v>
      </c>
      <c r="D1585" s="5" t="s">
        <v>83</v>
      </c>
      <c r="E1585" s="5" t="s">
        <v>62</v>
      </c>
      <c r="F1585" s="2" t="n">
        <v>19</v>
      </c>
      <c r="G1585" s="5" t="s">
        <v>63</v>
      </c>
      <c r="H1585" s="2" t="n">
        <v>1</v>
      </c>
      <c r="I1585" s="2" t="n">
        <v>1</v>
      </c>
      <c r="J1585" s="2" t="n">
        <v>1</v>
      </c>
      <c r="K1585" s="7" t="n">
        <v>0.5354072114</v>
      </c>
      <c r="L1585" s="7" t="n">
        <v>0.03904017362</v>
      </c>
      <c r="M1585" s="7" t="n">
        <v>0.05072756371</v>
      </c>
      <c r="N1585" s="7" t="n">
        <v>12</v>
      </c>
      <c r="O1585" s="7" t="n">
        <v>12</v>
      </c>
      <c r="P1585" s="7" t="n">
        <v>11</v>
      </c>
      <c r="Q1585" s="2"/>
      <c r="R1585" s="7" t="n">
        <v>2.07746</v>
      </c>
      <c r="S1585" s="5" t="s">
        <v>82</v>
      </c>
      <c r="T1585" s="5" t="s">
        <v>61</v>
      </c>
    </row>
    <row r="1586" customFormat="false" ht="15" hidden="false" customHeight="false" outlineLevel="0" collapsed="false">
      <c r="A1586" s="5" t="s">
        <v>4</v>
      </c>
      <c r="B1586" s="5" t="s">
        <v>55</v>
      </c>
      <c r="C1586" s="2" t="s">
        <v>56</v>
      </c>
      <c r="D1586" s="5" t="s">
        <v>83</v>
      </c>
      <c r="E1586" s="5" t="s">
        <v>58</v>
      </c>
      <c r="F1586" s="2" t="n">
        <v>19</v>
      </c>
      <c r="G1586" s="5" t="s">
        <v>64</v>
      </c>
      <c r="H1586" s="2" t="n">
        <v>0</v>
      </c>
      <c r="I1586" s="2" t="n">
        <v>1</v>
      </c>
      <c r="J1586" s="2" t="n">
        <v>1</v>
      </c>
      <c r="K1586" s="7" t="n">
        <v>1.028606887</v>
      </c>
      <c r="L1586" s="7" t="n">
        <v>0.2125510074</v>
      </c>
      <c r="M1586" s="7" t="n">
        <v>0.2208219948</v>
      </c>
      <c r="N1586" s="7" t="n">
        <v>5</v>
      </c>
      <c r="O1586" s="7" t="n">
        <v>5</v>
      </c>
      <c r="P1586" s="7" t="n">
        <v>0</v>
      </c>
      <c r="Q1586" s="2"/>
      <c r="R1586" s="7" t="n">
        <v>1.376364</v>
      </c>
      <c r="S1586" s="5" t="s">
        <v>82</v>
      </c>
      <c r="T1586" s="5" t="s">
        <v>61</v>
      </c>
    </row>
    <row r="1587" customFormat="false" ht="15" hidden="false" customHeight="false" outlineLevel="0" collapsed="false">
      <c r="A1587" s="5" t="s">
        <v>4</v>
      </c>
      <c r="B1587" s="5" t="s">
        <v>55</v>
      </c>
      <c r="C1587" s="2" t="s">
        <v>56</v>
      </c>
      <c r="D1587" s="5" t="s">
        <v>83</v>
      </c>
      <c r="E1587" s="5" t="s">
        <v>62</v>
      </c>
      <c r="F1587" s="2" t="n">
        <v>19</v>
      </c>
      <c r="G1587" s="5" t="s">
        <v>64</v>
      </c>
      <c r="H1587" s="2" t="n">
        <v>0</v>
      </c>
      <c r="I1587" s="2" t="n">
        <v>1</v>
      </c>
      <c r="J1587" s="2" t="n">
        <v>1</v>
      </c>
      <c r="K1587" s="7" t="n">
        <v>1.028606887</v>
      </c>
      <c r="L1587" s="7" t="n">
        <v>0.2125510074</v>
      </c>
      <c r="M1587" s="7" t="n">
        <v>0.2208219948</v>
      </c>
      <c r="N1587" s="7" t="n">
        <v>5</v>
      </c>
      <c r="O1587" s="7" t="n">
        <v>5</v>
      </c>
      <c r="P1587" s="7" t="n">
        <v>5</v>
      </c>
      <c r="Q1587" s="2"/>
      <c r="R1587" s="7" t="n">
        <v>1.708435</v>
      </c>
      <c r="S1587" s="5" t="s">
        <v>82</v>
      </c>
      <c r="T1587" s="5" t="s">
        <v>61</v>
      </c>
    </row>
    <row r="1588" customFormat="false" ht="15" hidden="false" customHeight="false" outlineLevel="0" collapsed="false">
      <c r="A1588" s="5" t="s">
        <v>4</v>
      </c>
      <c r="B1588" s="5" t="s">
        <v>55</v>
      </c>
      <c r="C1588" s="2" t="s">
        <v>56</v>
      </c>
      <c r="D1588" s="5" t="s">
        <v>83</v>
      </c>
      <c r="E1588" s="5" t="s">
        <v>58</v>
      </c>
      <c r="F1588" s="2" t="n">
        <v>19</v>
      </c>
      <c r="G1588" s="5" t="s">
        <v>65</v>
      </c>
      <c r="H1588" s="2" t="n">
        <v>0</v>
      </c>
      <c r="I1588" s="2" t="n">
        <v>1</v>
      </c>
      <c r="J1588" s="2" t="n">
        <v>1</v>
      </c>
      <c r="K1588" s="7" t="n">
        <v>0.3536446132</v>
      </c>
      <c r="L1588" s="7" t="n">
        <v>0.08174087813</v>
      </c>
      <c r="M1588" s="7" t="n">
        <v>0.08715658246</v>
      </c>
      <c r="N1588" s="7" t="n">
        <v>5</v>
      </c>
      <c r="O1588" s="7" t="n">
        <v>5</v>
      </c>
      <c r="P1588" s="7" t="n">
        <v>0</v>
      </c>
      <c r="Q1588" s="2"/>
      <c r="R1588" s="7" t="n">
        <v>2.465334</v>
      </c>
      <c r="S1588" s="5" t="s">
        <v>82</v>
      </c>
      <c r="T1588" s="5" t="s">
        <v>61</v>
      </c>
    </row>
    <row r="1589" customFormat="false" ht="15" hidden="false" customHeight="false" outlineLevel="0" collapsed="false">
      <c r="A1589" s="5" t="s">
        <v>4</v>
      </c>
      <c r="B1589" s="5" t="s">
        <v>55</v>
      </c>
      <c r="C1589" s="2" t="s">
        <v>56</v>
      </c>
      <c r="D1589" s="5" t="s">
        <v>83</v>
      </c>
      <c r="E1589" s="5" t="s">
        <v>62</v>
      </c>
      <c r="F1589" s="2" t="n">
        <v>19</v>
      </c>
      <c r="G1589" s="5" t="s">
        <v>65</v>
      </c>
      <c r="H1589" s="2" t="n">
        <v>0</v>
      </c>
      <c r="I1589" s="2" t="n">
        <v>1</v>
      </c>
      <c r="J1589" s="2" t="n">
        <v>1</v>
      </c>
      <c r="K1589" s="7" t="n">
        <v>0.3536446132</v>
      </c>
      <c r="L1589" s="7" t="n">
        <v>0.08174087813</v>
      </c>
      <c r="M1589" s="7" t="n">
        <v>0.08715658246</v>
      </c>
      <c r="N1589" s="7" t="n">
        <v>5</v>
      </c>
      <c r="O1589" s="7" t="n">
        <v>5</v>
      </c>
      <c r="P1589" s="7" t="n">
        <v>5</v>
      </c>
      <c r="Q1589" s="2"/>
      <c r="R1589" s="7" t="n">
        <v>2.845315</v>
      </c>
      <c r="S1589" s="5" t="s">
        <v>82</v>
      </c>
      <c r="T1589" s="5" t="s">
        <v>61</v>
      </c>
    </row>
    <row r="1590" customFormat="false" ht="15" hidden="false" customHeight="false" outlineLevel="0" collapsed="false">
      <c r="A1590" s="5" t="s">
        <v>4</v>
      </c>
      <c r="B1590" s="5" t="s">
        <v>55</v>
      </c>
      <c r="C1590" s="2" t="s">
        <v>56</v>
      </c>
      <c r="D1590" s="5" t="s">
        <v>83</v>
      </c>
      <c r="E1590" s="5" t="s">
        <v>58</v>
      </c>
      <c r="F1590" s="2" t="n">
        <v>19</v>
      </c>
      <c r="G1590" s="5" t="s">
        <v>66</v>
      </c>
      <c r="H1590" s="2" t="n">
        <v>0</v>
      </c>
      <c r="I1590" s="2" t="n">
        <v>1</v>
      </c>
      <c r="J1590" s="2" t="n">
        <v>1</v>
      </c>
      <c r="K1590" s="7" t="n">
        <v>1.242618189</v>
      </c>
      <c r="L1590" s="7" t="n">
        <v>0.4228463171</v>
      </c>
      <c r="M1590" s="7" t="n">
        <v>0.4247433151</v>
      </c>
      <c r="N1590" s="7" t="n">
        <v>6</v>
      </c>
      <c r="O1590" s="7" t="n">
        <v>6</v>
      </c>
      <c r="P1590" s="7" t="n">
        <v>0</v>
      </c>
      <c r="Q1590" s="2"/>
      <c r="R1590" s="7" t="n">
        <v>2.638439</v>
      </c>
      <c r="S1590" s="5" t="s">
        <v>82</v>
      </c>
      <c r="T1590" s="5" t="s">
        <v>61</v>
      </c>
    </row>
    <row r="1591" customFormat="false" ht="15" hidden="false" customHeight="false" outlineLevel="0" collapsed="false">
      <c r="A1591" s="5" t="s">
        <v>4</v>
      </c>
      <c r="B1591" s="5" t="s">
        <v>55</v>
      </c>
      <c r="C1591" s="2" t="s">
        <v>56</v>
      </c>
      <c r="D1591" s="5" t="s">
        <v>83</v>
      </c>
      <c r="E1591" s="5" t="s">
        <v>62</v>
      </c>
      <c r="F1591" s="2" t="n">
        <v>19</v>
      </c>
      <c r="G1591" s="5" t="s">
        <v>66</v>
      </c>
      <c r="H1591" s="2" t="n">
        <v>0</v>
      </c>
      <c r="I1591" s="2" t="n">
        <v>1</v>
      </c>
      <c r="J1591" s="2" t="n">
        <v>1</v>
      </c>
      <c r="K1591" s="7" t="n">
        <v>1.242618189</v>
      </c>
      <c r="L1591" s="7" t="n">
        <v>0.4228463171</v>
      </c>
      <c r="M1591" s="7" t="n">
        <v>0.4247433151</v>
      </c>
      <c r="N1591" s="7" t="n">
        <v>6</v>
      </c>
      <c r="O1591" s="7" t="n">
        <v>6</v>
      </c>
      <c r="P1591" s="7" t="n">
        <v>6</v>
      </c>
      <c r="Q1591" s="2"/>
      <c r="R1591" s="7" t="n">
        <v>3.027013</v>
      </c>
      <c r="S1591" s="5" t="s">
        <v>82</v>
      </c>
      <c r="T1591" s="5" t="s">
        <v>61</v>
      </c>
    </row>
    <row r="1592" customFormat="false" ht="15" hidden="false" customHeight="false" outlineLevel="0" collapsed="false">
      <c r="A1592" s="5" t="s">
        <v>4</v>
      </c>
      <c r="B1592" s="5" t="s">
        <v>55</v>
      </c>
      <c r="C1592" s="2" t="s">
        <v>56</v>
      </c>
      <c r="D1592" s="5" t="s">
        <v>83</v>
      </c>
      <c r="E1592" s="5" t="s">
        <v>58</v>
      </c>
      <c r="F1592" s="2" t="n">
        <v>20</v>
      </c>
      <c r="G1592" s="5" t="s">
        <v>59</v>
      </c>
      <c r="H1592" s="2" t="n">
        <v>1</v>
      </c>
      <c r="I1592" s="2" t="n">
        <v>1</v>
      </c>
      <c r="J1592" s="2" t="n">
        <v>1</v>
      </c>
      <c r="K1592" s="7" t="n">
        <v>0.4533667295</v>
      </c>
      <c r="L1592" s="7" t="n">
        <v>0.0651084991</v>
      </c>
      <c r="M1592" s="7" t="n">
        <v>0.07002229063</v>
      </c>
      <c r="N1592" s="7" t="n">
        <v>12</v>
      </c>
      <c r="O1592" s="7" t="n">
        <v>12</v>
      </c>
      <c r="P1592" s="7" t="n">
        <v>0</v>
      </c>
      <c r="Q1592" s="2"/>
      <c r="R1592" s="7" t="n">
        <v>1.516241</v>
      </c>
      <c r="S1592" s="5" t="s">
        <v>82</v>
      </c>
      <c r="T1592" s="5" t="s">
        <v>61</v>
      </c>
    </row>
    <row r="1593" customFormat="false" ht="15" hidden="false" customHeight="false" outlineLevel="0" collapsed="false">
      <c r="A1593" s="5" t="s">
        <v>4</v>
      </c>
      <c r="B1593" s="5" t="s">
        <v>55</v>
      </c>
      <c r="C1593" s="2" t="s">
        <v>56</v>
      </c>
      <c r="D1593" s="5" t="s">
        <v>83</v>
      </c>
      <c r="E1593" s="5" t="s">
        <v>62</v>
      </c>
      <c r="F1593" s="2" t="n">
        <v>20</v>
      </c>
      <c r="G1593" s="5" t="s">
        <v>59</v>
      </c>
      <c r="H1593" s="2" t="n">
        <v>1</v>
      </c>
      <c r="I1593" s="2" t="n">
        <v>1</v>
      </c>
      <c r="J1593" s="2" t="n">
        <v>1</v>
      </c>
      <c r="K1593" s="7" t="n">
        <v>0.4533667295</v>
      </c>
      <c r="L1593" s="7" t="n">
        <v>0.0651084991</v>
      </c>
      <c r="M1593" s="7" t="n">
        <v>0.07002229063</v>
      </c>
      <c r="N1593" s="7" t="n">
        <v>12</v>
      </c>
      <c r="O1593" s="7" t="n">
        <v>12</v>
      </c>
      <c r="P1593" s="7" t="n">
        <v>12</v>
      </c>
      <c r="Q1593" s="2"/>
      <c r="R1593" s="7" t="n">
        <v>2.108125</v>
      </c>
      <c r="S1593" s="5" t="s">
        <v>82</v>
      </c>
      <c r="T1593" s="5" t="s">
        <v>61</v>
      </c>
    </row>
    <row r="1594" customFormat="false" ht="15" hidden="false" customHeight="false" outlineLevel="0" collapsed="false">
      <c r="A1594" s="5" t="s">
        <v>4</v>
      </c>
      <c r="B1594" s="5" t="s">
        <v>55</v>
      </c>
      <c r="C1594" s="2" t="s">
        <v>56</v>
      </c>
      <c r="D1594" s="5" t="s">
        <v>83</v>
      </c>
      <c r="E1594" s="5" t="s">
        <v>58</v>
      </c>
      <c r="F1594" s="2" t="n">
        <v>20</v>
      </c>
      <c r="G1594" s="5" t="s">
        <v>63</v>
      </c>
      <c r="H1594" s="2" t="n">
        <v>1</v>
      </c>
      <c r="I1594" s="2" t="n">
        <v>1</v>
      </c>
      <c r="J1594" s="2" t="n">
        <v>1</v>
      </c>
      <c r="K1594" s="7" t="n">
        <v>0.2552679019</v>
      </c>
      <c r="L1594" s="7" t="n">
        <v>0.1190250676</v>
      </c>
      <c r="M1594" s="7" t="n">
        <v>0.1207380029</v>
      </c>
      <c r="N1594" s="7" t="n">
        <v>10</v>
      </c>
      <c r="O1594" s="7" t="n">
        <v>10</v>
      </c>
      <c r="P1594" s="7" t="n">
        <v>0</v>
      </c>
      <c r="Q1594" s="2"/>
      <c r="R1594" s="7" t="n">
        <v>1.325499</v>
      </c>
      <c r="S1594" s="5" t="s">
        <v>82</v>
      </c>
      <c r="T1594" s="5" t="s">
        <v>61</v>
      </c>
    </row>
    <row r="1595" customFormat="false" ht="15" hidden="false" customHeight="false" outlineLevel="0" collapsed="false">
      <c r="A1595" s="5" t="s">
        <v>4</v>
      </c>
      <c r="B1595" s="5" t="s">
        <v>55</v>
      </c>
      <c r="C1595" s="2" t="s">
        <v>56</v>
      </c>
      <c r="D1595" s="5" t="s">
        <v>83</v>
      </c>
      <c r="E1595" s="5" t="s">
        <v>62</v>
      </c>
      <c r="F1595" s="2" t="n">
        <v>20</v>
      </c>
      <c r="G1595" s="5" t="s">
        <v>63</v>
      </c>
      <c r="H1595" s="2" t="n">
        <v>1</v>
      </c>
      <c r="I1595" s="2" t="n">
        <v>1</v>
      </c>
      <c r="J1595" s="2" t="n">
        <v>1</v>
      </c>
      <c r="K1595" s="7" t="n">
        <v>0.2552679019</v>
      </c>
      <c r="L1595" s="7" t="n">
        <v>0.1190250676</v>
      </c>
      <c r="M1595" s="7" t="n">
        <v>0.1207380029</v>
      </c>
      <c r="N1595" s="7" t="n">
        <v>10</v>
      </c>
      <c r="O1595" s="7" t="n">
        <v>10</v>
      </c>
      <c r="P1595" s="7" t="n">
        <v>10</v>
      </c>
      <c r="Q1595" s="2"/>
      <c r="R1595" s="7" t="n">
        <v>1.895972</v>
      </c>
      <c r="S1595" s="5" t="s">
        <v>82</v>
      </c>
      <c r="T1595" s="5" t="s">
        <v>61</v>
      </c>
    </row>
    <row r="1596" customFormat="false" ht="15" hidden="false" customHeight="false" outlineLevel="0" collapsed="false">
      <c r="A1596" s="5" t="s">
        <v>4</v>
      </c>
      <c r="B1596" s="5" t="s">
        <v>55</v>
      </c>
      <c r="C1596" s="2" t="s">
        <v>56</v>
      </c>
      <c r="D1596" s="5" t="s">
        <v>83</v>
      </c>
      <c r="E1596" s="5" t="s">
        <v>58</v>
      </c>
      <c r="F1596" s="2" t="n">
        <v>20</v>
      </c>
      <c r="G1596" s="5" t="s">
        <v>64</v>
      </c>
      <c r="H1596" s="2" t="n">
        <v>0</v>
      </c>
      <c r="I1596" s="2" t="n">
        <v>1</v>
      </c>
      <c r="J1596" s="2" t="n">
        <v>1</v>
      </c>
      <c r="K1596" s="7" t="n">
        <v>1.054891943</v>
      </c>
      <c r="L1596" s="7" t="n">
        <v>0.1600062969</v>
      </c>
      <c r="M1596" s="7" t="n">
        <v>0.1732072403</v>
      </c>
      <c r="N1596" s="7" t="n">
        <v>4</v>
      </c>
      <c r="O1596" s="7" t="n">
        <v>4</v>
      </c>
      <c r="P1596" s="7" t="n">
        <v>0</v>
      </c>
      <c r="Q1596" s="2"/>
      <c r="R1596" s="7" t="n">
        <v>1.487699</v>
      </c>
      <c r="S1596" s="5" t="s">
        <v>82</v>
      </c>
      <c r="T1596" s="5" t="s">
        <v>61</v>
      </c>
    </row>
    <row r="1597" customFormat="false" ht="15" hidden="false" customHeight="false" outlineLevel="0" collapsed="false">
      <c r="A1597" s="5" t="s">
        <v>4</v>
      </c>
      <c r="B1597" s="5" t="s">
        <v>55</v>
      </c>
      <c r="C1597" s="2" t="s">
        <v>56</v>
      </c>
      <c r="D1597" s="5" t="s">
        <v>83</v>
      </c>
      <c r="E1597" s="5" t="s">
        <v>62</v>
      </c>
      <c r="F1597" s="2" t="n">
        <v>20</v>
      </c>
      <c r="G1597" s="5" t="s">
        <v>64</v>
      </c>
      <c r="H1597" s="2" t="n">
        <v>0</v>
      </c>
      <c r="I1597" s="2" t="n">
        <v>1</v>
      </c>
      <c r="J1597" s="2" t="n">
        <v>1</v>
      </c>
      <c r="K1597" s="7" t="n">
        <v>1.054891943</v>
      </c>
      <c r="L1597" s="7" t="n">
        <v>0.1600062969</v>
      </c>
      <c r="M1597" s="7" t="n">
        <v>0.1732072403</v>
      </c>
      <c r="N1597" s="7" t="n">
        <v>4</v>
      </c>
      <c r="O1597" s="7" t="n">
        <v>4</v>
      </c>
      <c r="P1597" s="7" t="n">
        <v>4</v>
      </c>
      <c r="Q1597" s="2"/>
      <c r="R1597" s="7" t="n">
        <v>1.774713</v>
      </c>
      <c r="S1597" s="5" t="s">
        <v>82</v>
      </c>
      <c r="T1597" s="5" t="s">
        <v>61</v>
      </c>
    </row>
    <row r="1598" customFormat="false" ht="15" hidden="false" customHeight="false" outlineLevel="0" collapsed="false">
      <c r="A1598" s="5" t="s">
        <v>4</v>
      </c>
      <c r="B1598" s="5" t="s">
        <v>55</v>
      </c>
      <c r="C1598" s="2" t="s">
        <v>56</v>
      </c>
      <c r="D1598" s="5" t="s">
        <v>83</v>
      </c>
      <c r="E1598" s="5" t="s">
        <v>58</v>
      </c>
      <c r="F1598" s="2" t="n">
        <v>20</v>
      </c>
      <c r="G1598" s="5" t="s">
        <v>65</v>
      </c>
      <c r="H1598" s="2" t="n">
        <v>0</v>
      </c>
      <c r="I1598" s="2" t="n">
        <v>1</v>
      </c>
      <c r="J1598" s="2" t="n">
        <v>1</v>
      </c>
      <c r="K1598" s="7" t="n">
        <v>0.6460217208</v>
      </c>
      <c r="L1598" s="7" t="n">
        <v>0.1461426858</v>
      </c>
      <c r="M1598" s="7" t="n">
        <v>0.153497109</v>
      </c>
      <c r="N1598" s="7" t="n">
        <v>4</v>
      </c>
      <c r="O1598" s="7" t="n">
        <v>4</v>
      </c>
      <c r="P1598" s="7" t="n">
        <v>0</v>
      </c>
      <c r="Q1598" s="2"/>
      <c r="R1598" s="7" t="n">
        <v>2.477071</v>
      </c>
      <c r="S1598" s="5" t="s">
        <v>82</v>
      </c>
      <c r="T1598" s="5" t="s">
        <v>61</v>
      </c>
    </row>
    <row r="1599" customFormat="false" ht="15" hidden="false" customHeight="false" outlineLevel="0" collapsed="false">
      <c r="A1599" s="5" t="s">
        <v>4</v>
      </c>
      <c r="B1599" s="5" t="s">
        <v>55</v>
      </c>
      <c r="C1599" s="2" t="s">
        <v>56</v>
      </c>
      <c r="D1599" s="5" t="s">
        <v>83</v>
      </c>
      <c r="E1599" s="5" t="s">
        <v>62</v>
      </c>
      <c r="F1599" s="2" t="n">
        <v>20</v>
      </c>
      <c r="G1599" s="5" t="s">
        <v>65</v>
      </c>
      <c r="H1599" s="2" t="n">
        <v>0</v>
      </c>
      <c r="I1599" s="2" t="n">
        <v>1</v>
      </c>
      <c r="J1599" s="2" t="n">
        <v>1</v>
      </c>
      <c r="K1599" s="7" t="n">
        <v>0.6460217208</v>
      </c>
      <c r="L1599" s="7" t="n">
        <v>0.1461426858</v>
      </c>
      <c r="M1599" s="7" t="n">
        <v>0.153497109</v>
      </c>
      <c r="N1599" s="7" t="n">
        <v>4</v>
      </c>
      <c r="O1599" s="7" t="n">
        <v>4</v>
      </c>
      <c r="P1599" s="7" t="n">
        <v>4</v>
      </c>
      <c r="Q1599" s="2"/>
      <c r="R1599" s="7" t="n">
        <v>2.754581</v>
      </c>
      <c r="S1599" s="5" t="s">
        <v>82</v>
      </c>
      <c r="T1599" s="5" t="s">
        <v>61</v>
      </c>
    </row>
    <row r="1600" customFormat="false" ht="15" hidden="false" customHeight="false" outlineLevel="0" collapsed="false">
      <c r="A1600" s="5" t="s">
        <v>4</v>
      </c>
      <c r="B1600" s="5" t="s">
        <v>55</v>
      </c>
      <c r="C1600" s="2" t="s">
        <v>56</v>
      </c>
      <c r="D1600" s="5" t="s">
        <v>83</v>
      </c>
      <c r="E1600" s="5" t="s">
        <v>58</v>
      </c>
      <c r="F1600" s="2" t="n">
        <v>20</v>
      </c>
      <c r="G1600" s="5" t="s">
        <v>66</v>
      </c>
      <c r="H1600" s="2" t="n">
        <v>0</v>
      </c>
      <c r="I1600" s="2" t="n">
        <v>1</v>
      </c>
      <c r="J1600" s="2" t="n">
        <v>0</v>
      </c>
      <c r="K1600" s="7" t="n">
        <v>4.000766371</v>
      </c>
      <c r="L1600" s="7" t="n">
        <v>0.8355984087</v>
      </c>
      <c r="M1600" s="7" t="n">
        <v>0.8508553522</v>
      </c>
      <c r="N1600" s="7" t="n">
        <v>3</v>
      </c>
      <c r="O1600" s="7" t="n">
        <v>3</v>
      </c>
      <c r="P1600" s="7" t="n">
        <v>0</v>
      </c>
      <c r="Q1600" s="2"/>
      <c r="R1600" s="7" t="n">
        <v>2.420707</v>
      </c>
      <c r="S1600" s="5" t="s">
        <v>82</v>
      </c>
      <c r="T1600" s="5" t="s">
        <v>61</v>
      </c>
    </row>
    <row r="1601" customFormat="false" ht="15" hidden="false" customHeight="false" outlineLevel="0" collapsed="false">
      <c r="A1601" s="5" t="s">
        <v>4</v>
      </c>
      <c r="B1601" s="5" t="s">
        <v>55</v>
      </c>
      <c r="C1601" s="2" t="s">
        <v>56</v>
      </c>
      <c r="D1601" s="5" t="s">
        <v>83</v>
      </c>
      <c r="E1601" s="5" t="s">
        <v>62</v>
      </c>
      <c r="F1601" s="2" t="n">
        <v>20</v>
      </c>
      <c r="G1601" s="5" t="s">
        <v>66</v>
      </c>
      <c r="H1601" s="2" t="n">
        <v>0</v>
      </c>
      <c r="I1601" s="2" t="n">
        <v>1</v>
      </c>
      <c r="J1601" s="2" t="n">
        <v>0</v>
      </c>
      <c r="K1601" s="7" t="n">
        <v>4.000766371</v>
      </c>
      <c r="L1601" s="7" t="n">
        <v>0.8355984087</v>
      </c>
      <c r="M1601" s="7" t="n">
        <v>0.8508553522</v>
      </c>
      <c r="N1601" s="7" t="n">
        <v>3</v>
      </c>
      <c r="O1601" s="7" t="n">
        <v>3</v>
      </c>
      <c r="P1601" s="7" t="n">
        <v>3</v>
      </c>
      <c r="Q1601" s="2"/>
      <c r="R1601" s="7" t="n">
        <v>2.596747</v>
      </c>
      <c r="S1601" s="5" t="s">
        <v>82</v>
      </c>
      <c r="T1601" s="5" t="s">
        <v>61</v>
      </c>
    </row>
    <row r="1602" customFormat="false" ht="15" hidden="false" customHeight="false" outlineLevel="0" collapsed="false">
      <c r="A1602" s="5" t="s">
        <v>4</v>
      </c>
      <c r="B1602" s="5" t="s">
        <v>55</v>
      </c>
      <c r="C1602" s="2" t="s">
        <v>56</v>
      </c>
      <c r="D1602" s="5" t="s">
        <v>83</v>
      </c>
      <c r="E1602" s="5" t="s">
        <v>58</v>
      </c>
      <c r="F1602" s="2" t="n">
        <v>11</v>
      </c>
      <c r="G1602" s="5" t="s">
        <v>67</v>
      </c>
      <c r="H1602" s="2" t="n">
        <v>1</v>
      </c>
      <c r="I1602" s="2" t="n">
        <v>1</v>
      </c>
      <c r="J1602" s="2" t="n">
        <v>1</v>
      </c>
      <c r="K1602" s="7" t="n">
        <v>1.488090474</v>
      </c>
      <c r="L1602" s="7" t="n">
        <v>0.07388502896</v>
      </c>
      <c r="M1602" s="7" t="n">
        <v>0.1120842642</v>
      </c>
      <c r="N1602" s="7" t="n">
        <v>16</v>
      </c>
      <c r="O1602" s="7" t="n">
        <v>16</v>
      </c>
      <c r="P1602" s="7" t="n">
        <v>0</v>
      </c>
      <c r="Q1602" s="2"/>
      <c r="R1602" s="7" t="n">
        <v>2.721372</v>
      </c>
      <c r="S1602" s="5" t="s">
        <v>82</v>
      </c>
      <c r="T1602" s="5" t="s">
        <v>61</v>
      </c>
    </row>
    <row r="1603" customFormat="false" ht="15" hidden="false" customHeight="false" outlineLevel="0" collapsed="false">
      <c r="A1603" s="5" t="s">
        <v>4</v>
      </c>
      <c r="B1603" s="5" t="s">
        <v>55</v>
      </c>
      <c r="C1603" s="2" t="s">
        <v>56</v>
      </c>
      <c r="D1603" s="5" t="s">
        <v>83</v>
      </c>
      <c r="E1603" s="5" t="s">
        <v>62</v>
      </c>
      <c r="F1603" s="2" t="n">
        <v>11</v>
      </c>
      <c r="G1603" s="5" t="s">
        <v>67</v>
      </c>
      <c r="H1603" s="2" t="n">
        <v>1</v>
      </c>
      <c r="I1603" s="2" t="n">
        <v>1</v>
      </c>
      <c r="J1603" s="2" t="n">
        <v>1</v>
      </c>
      <c r="K1603" s="7" t="n">
        <v>0.138664963</v>
      </c>
      <c r="L1603" s="7" t="n">
        <v>0.02262211823</v>
      </c>
      <c r="M1603" s="7" t="n">
        <v>0.02487367411</v>
      </c>
      <c r="N1603" s="7" t="n">
        <v>16</v>
      </c>
      <c r="O1603" s="7" t="n">
        <v>16</v>
      </c>
      <c r="P1603" s="7" t="n">
        <v>14</v>
      </c>
      <c r="Q1603" s="2"/>
      <c r="R1603" s="7" t="n">
        <v>3.413766</v>
      </c>
      <c r="S1603" s="5" t="s">
        <v>82</v>
      </c>
      <c r="T1603" s="5" t="s">
        <v>61</v>
      </c>
    </row>
    <row r="1604" customFormat="false" ht="15" hidden="false" customHeight="false" outlineLevel="0" collapsed="false">
      <c r="A1604" s="5" t="s">
        <v>4</v>
      </c>
      <c r="B1604" s="5" t="s">
        <v>55</v>
      </c>
      <c r="C1604" s="2" t="s">
        <v>56</v>
      </c>
      <c r="D1604" s="5" t="s">
        <v>83</v>
      </c>
      <c r="E1604" s="5" t="s">
        <v>58</v>
      </c>
      <c r="F1604" s="2" t="n">
        <v>11</v>
      </c>
      <c r="G1604" s="5" t="s">
        <v>68</v>
      </c>
      <c r="H1604" s="2" t="n">
        <v>1</v>
      </c>
      <c r="I1604" s="2" t="n">
        <v>1</v>
      </c>
      <c r="J1604" s="2" t="n">
        <v>1</v>
      </c>
      <c r="K1604" s="7" t="n">
        <v>0.5680943869</v>
      </c>
      <c r="L1604" s="7" t="n">
        <v>0.01198764104</v>
      </c>
      <c r="M1604" s="7" t="n">
        <v>0.03711911795</v>
      </c>
      <c r="N1604" s="7" t="n">
        <v>11</v>
      </c>
      <c r="O1604" s="7" t="n">
        <v>11</v>
      </c>
      <c r="P1604" s="7" t="n">
        <v>0</v>
      </c>
      <c r="Q1604" s="2"/>
      <c r="R1604" s="7" t="n">
        <v>1.582149</v>
      </c>
      <c r="S1604" s="5" t="s">
        <v>82</v>
      </c>
      <c r="T1604" s="5" t="s">
        <v>61</v>
      </c>
    </row>
    <row r="1605" customFormat="false" ht="15" hidden="false" customHeight="false" outlineLevel="0" collapsed="false">
      <c r="A1605" s="5" t="s">
        <v>4</v>
      </c>
      <c r="B1605" s="5" t="s">
        <v>55</v>
      </c>
      <c r="C1605" s="2" t="s">
        <v>56</v>
      </c>
      <c r="D1605" s="5" t="s">
        <v>83</v>
      </c>
      <c r="E1605" s="5" t="s">
        <v>62</v>
      </c>
      <c r="F1605" s="2" t="n">
        <v>11</v>
      </c>
      <c r="G1605" s="5" t="s">
        <v>68</v>
      </c>
      <c r="H1605" s="2" t="n">
        <v>1</v>
      </c>
      <c r="I1605" s="2" t="n">
        <v>1</v>
      </c>
      <c r="J1605" s="2" t="n">
        <v>1</v>
      </c>
      <c r="K1605" s="7" t="n">
        <v>0.5680943869</v>
      </c>
      <c r="L1605" s="7" t="n">
        <v>0.01198764104</v>
      </c>
      <c r="M1605" s="7" t="n">
        <v>0.03711911795</v>
      </c>
      <c r="N1605" s="7" t="n">
        <v>11</v>
      </c>
      <c r="O1605" s="7" t="n">
        <v>11</v>
      </c>
      <c r="P1605" s="7" t="n">
        <v>11</v>
      </c>
      <c r="Q1605" s="2"/>
      <c r="R1605" s="7" t="n">
        <v>2.159773</v>
      </c>
      <c r="S1605" s="5" t="s">
        <v>82</v>
      </c>
      <c r="T1605" s="5" t="s">
        <v>61</v>
      </c>
    </row>
    <row r="1606" customFormat="false" ht="15" hidden="false" customHeight="false" outlineLevel="0" collapsed="false">
      <c r="A1606" s="5" t="s">
        <v>4</v>
      </c>
      <c r="B1606" s="5" t="s">
        <v>55</v>
      </c>
      <c r="C1606" s="2" t="s">
        <v>56</v>
      </c>
      <c r="D1606" s="5" t="s">
        <v>83</v>
      </c>
      <c r="E1606" s="5" t="s">
        <v>58</v>
      </c>
      <c r="F1606" s="2" t="n">
        <v>11</v>
      </c>
      <c r="G1606" s="5" t="s">
        <v>69</v>
      </c>
      <c r="H1606" s="2" t="n">
        <v>1</v>
      </c>
      <c r="I1606" s="2" t="n">
        <v>1</v>
      </c>
      <c r="J1606" s="2" t="n">
        <v>1</v>
      </c>
      <c r="K1606" s="7" t="n">
        <v>0.7380192993</v>
      </c>
      <c r="L1606" s="7" t="n">
        <v>0.036533854</v>
      </c>
      <c r="M1606" s="7" t="n">
        <v>0.05989237789</v>
      </c>
      <c r="N1606" s="7" t="n">
        <v>6</v>
      </c>
      <c r="O1606" s="7" t="n">
        <v>6</v>
      </c>
      <c r="P1606" s="7" t="n">
        <v>0</v>
      </c>
      <c r="Q1606" s="2"/>
      <c r="R1606" s="7" t="n">
        <v>2.621145</v>
      </c>
      <c r="S1606" s="5" t="s">
        <v>82</v>
      </c>
      <c r="T1606" s="5" t="s">
        <v>61</v>
      </c>
    </row>
    <row r="1607" customFormat="false" ht="15" hidden="false" customHeight="false" outlineLevel="0" collapsed="false">
      <c r="A1607" s="5" t="s">
        <v>4</v>
      </c>
      <c r="B1607" s="5" t="s">
        <v>55</v>
      </c>
      <c r="C1607" s="2" t="s">
        <v>56</v>
      </c>
      <c r="D1607" s="5" t="s">
        <v>83</v>
      </c>
      <c r="E1607" s="5" t="s">
        <v>62</v>
      </c>
      <c r="F1607" s="2" t="n">
        <v>11</v>
      </c>
      <c r="G1607" s="5" t="s">
        <v>69</v>
      </c>
      <c r="H1607" s="2" t="n">
        <v>1</v>
      </c>
      <c r="I1607" s="2" t="n">
        <v>1</v>
      </c>
      <c r="J1607" s="2" t="n">
        <v>1</v>
      </c>
      <c r="K1607" s="7" t="n">
        <v>0.7380192993</v>
      </c>
      <c r="L1607" s="7" t="n">
        <v>0.036533854</v>
      </c>
      <c r="M1607" s="7" t="n">
        <v>0.05989237789</v>
      </c>
      <c r="N1607" s="7" t="n">
        <v>6</v>
      </c>
      <c r="O1607" s="7" t="n">
        <v>6</v>
      </c>
      <c r="P1607" s="7" t="n">
        <v>6</v>
      </c>
      <c r="Q1607" s="2"/>
      <c r="R1607" s="7" t="n">
        <v>3.066113</v>
      </c>
      <c r="S1607" s="5" t="s">
        <v>82</v>
      </c>
      <c r="T1607" s="5" t="s">
        <v>61</v>
      </c>
    </row>
    <row r="1608" customFormat="false" ht="15" hidden="false" customHeight="false" outlineLevel="0" collapsed="false">
      <c r="A1608" s="5" t="s">
        <v>4</v>
      </c>
      <c r="B1608" s="5" t="s">
        <v>55</v>
      </c>
      <c r="C1608" s="2" t="s">
        <v>56</v>
      </c>
      <c r="D1608" s="5" t="s">
        <v>83</v>
      </c>
      <c r="E1608" s="5" t="s">
        <v>58</v>
      </c>
      <c r="F1608" s="2" t="n">
        <v>11</v>
      </c>
      <c r="G1608" s="5" t="s">
        <v>70</v>
      </c>
      <c r="H1608" s="2" t="n">
        <v>0</v>
      </c>
      <c r="I1608" s="2" t="n">
        <v>1</v>
      </c>
      <c r="J1608" s="2" t="n">
        <v>1</v>
      </c>
      <c r="K1608" s="7" t="n">
        <v>0.9905247716</v>
      </c>
      <c r="L1608" s="7" t="n">
        <v>0.05163429509</v>
      </c>
      <c r="M1608" s="7" t="n">
        <v>0.08190561679</v>
      </c>
      <c r="N1608" s="7" t="n">
        <v>6</v>
      </c>
      <c r="O1608" s="7" t="n">
        <v>6</v>
      </c>
      <c r="P1608" s="7" t="n">
        <v>0</v>
      </c>
      <c r="Q1608" s="2"/>
      <c r="R1608" s="7" t="n">
        <v>2.517141</v>
      </c>
      <c r="S1608" s="5" t="s">
        <v>82</v>
      </c>
      <c r="T1608" s="5" t="s">
        <v>61</v>
      </c>
    </row>
    <row r="1609" customFormat="false" ht="15" hidden="false" customHeight="false" outlineLevel="0" collapsed="false">
      <c r="A1609" s="5" t="s">
        <v>4</v>
      </c>
      <c r="B1609" s="5" t="s">
        <v>55</v>
      </c>
      <c r="C1609" s="2" t="s">
        <v>56</v>
      </c>
      <c r="D1609" s="5" t="s">
        <v>83</v>
      </c>
      <c r="E1609" s="5" t="s">
        <v>62</v>
      </c>
      <c r="F1609" s="2" t="n">
        <v>11</v>
      </c>
      <c r="G1609" s="5" t="s">
        <v>70</v>
      </c>
      <c r="H1609" s="2" t="n">
        <v>0</v>
      </c>
      <c r="I1609" s="2" t="n">
        <v>1</v>
      </c>
      <c r="J1609" s="2" t="n">
        <v>1</v>
      </c>
      <c r="K1609" s="7" t="n">
        <v>0.9905247716</v>
      </c>
      <c r="L1609" s="7" t="n">
        <v>0.05163429509</v>
      </c>
      <c r="M1609" s="7" t="n">
        <v>0.08190561679</v>
      </c>
      <c r="N1609" s="7" t="n">
        <v>6</v>
      </c>
      <c r="O1609" s="7" t="n">
        <v>6</v>
      </c>
      <c r="P1609" s="7" t="n">
        <v>6</v>
      </c>
      <c r="Q1609" s="2"/>
      <c r="R1609" s="7" t="n">
        <v>2.947787</v>
      </c>
      <c r="S1609" s="5" t="s">
        <v>82</v>
      </c>
      <c r="T1609" s="5" t="s">
        <v>61</v>
      </c>
    </row>
    <row r="1610" customFormat="false" ht="15" hidden="false" customHeight="false" outlineLevel="0" collapsed="false">
      <c r="A1610" s="5" t="s">
        <v>4</v>
      </c>
      <c r="B1610" s="5" t="s">
        <v>55</v>
      </c>
      <c r="C1610" s="2" t="s">
        <v>56</v>
      </c>
      <c r="D1610" s="5" t="s">
        <v>83</v>
      </c>
      <c r="E1610" s="5" t="s">
        <v>58</v>
      </c>
      <c r="F1610" s="2" t="n">
        <v>12</v>
      </c>
      <c r="G1610" s="5" t="s">
        <v>67</v>
      </c>
      <c r="H1610" s="2" t="n">
        <v>1</v>
      </c>
      <c r="I1610" s="2" t="n">
        <v>1</v>
      </c>
      <c r="J1610" s="2" t="n">
        <v>1</v>
      </c>
      <c r="K1610" s="7" t="n">
        <v>1.315683274</v>
      </c>
      <c r="L1610" s="7" t="n">
        <v>0.125715576</v>
      </c>
      <c r="M1610" s="7" t="n">
        <v>0.1532859156</v>
      </c>
      <c r="N1610" s="7" t="n">
        <v>14</v>
      </c>
      <c r="O1610" s="7" t="n">
        <v>14</v>
      </c>
      <c r="P1610" s="7" t="n">
        <v>0</v>
      </c>
      <c r="Q1610" s="2"/>
      <c r="R1610" s="7" t="n">
        <v>1.452517</v>
      </c>
      <c r="S1610" s="5" t="s">
        <v>82</v>
      </c>
      <c r="T1610" s="5" t="s">
        <v>61</v>
      </c>
    </row>
    <row r="1611" customFormat="false" ht="15" hidden="false" customHeight="false" outlineLevel="0" collapsed="false">
      <c r="A1611" s="5" t="s">
        <v>4</v>
      </c>
      <c r="B1611" s="5" t="s">
        <v>55</v>
      </c>
      <c r="C1611" s="2" t="s">
        <v>56</v>
      </c>
      <c r="D1611" s="5" t="s">
        <v>83</v>
      </c>
      <c r="E1611" s="5" t="s">
        <v>62</v>
      </c>
      <c r="F1611" s="2" t="n">
        <v>12</v>
      </c>
      <c r="G1611" s="5" t="s">
        <v>67</v>
      </c>
      <c r="H1611" s="2" t="n">
        <v>1</v>
      </c>
      <c r="I1611" s="2" t="n">
        <v>1</v>
      </c>
      <c r="J1611" s="2" t="n">
        <v>1</v>
      </c>
      <c r="K1611" s="7" t="n">
        <v>0.306537122</v>
      </c>
      <c r="L1611" s="7" t="n">
        <v>0.05469767597</v>
      </c>
      <c r="M1611" s="7" t="n">
        <v>0.05928483054</v>
      </c>
      <c r="N1611" s="7" t="n">
        <v>14</v>
      </c>
      <c r="O1611" s="7" t="n">
        <v>14</v>
      </c>
      <c r="P1611" s="7" t="n">
        <v>12</v>
      </c>
      <c r="Q1611" s="2"/>
      <c r="R1611" s="7" t="n">
        <v>2.11093</v>
      </c>
      <c r="S1611" s="5" t="s">
        <v>82</v>
      </c>
      <c r="T1611" s="5" t="s">
        <v>61</v>
      </c>
    </row>
    <row r="1612" customFormat="false" ht="15" hidden="false" customHeight="false" outlineLevel="0" collapsed="false">
      <c r="A1612" s="5" t="s">
        <v>4</v>
      </c>
      <c r="B1612" s="5" t="s">
        <v>55</v>
      </c>
      <c r="C1612" s="2" t="s">
        <v>56</v>
      </c>
      <c r="D1612" s="5" t="s">
        <v>83</v>
      </c>
      <c r="E1612" s="5" t="s">
        <v>58</v>
      </c>
      <c r="F1612" s="2" t="n">
        <v>12</v>
      </c>
      <c r="G1612" s="5" t="s">
        <v>68</v>
      </c>
      <c r="H1612" s="2" t="n">
        <v>1</v>
      </c>
      <c r="I1612" s="2" t="n">
        <v>1</v>
      </c>
      <c r="J1612" s="2" t="n">
        <v>1</v>
      </c>
      <c r="K1612" s="7" t="n">
        <v>0.9234543457</v>
      </c>
      <c r="L1612" s="7" t="n">
        <v>0.08531238751</v>
      </c>
      <c r="M1612" s="7" t="n">
        <v>0.1036398233</v>
      </c>
      <c r="N1612" s="7" t="n">
        <v>11</v>
      </c>
      <c r="O1612" s="7" t="n">
        <v>11</v>
      </c>
      <c r="P1612" s="7" t="n">
        <v>0</v>
      </c>
      <c r="Q1612" s="2"/>
      <c r="R1612" s="7" t="n">
        <v>1.859639</v>
      </c>
      <c r="S1612" s="5" t="s">
        <v>82</v>
      </c>
      <c r="T1612" s="5" t="s">
        <v>61</v>
      </c>
    </row>
    <row r="1613" customFormat="false" ht="15" hidden="false" customHeight="false" outlineLevel="0" collapsed="false">
      <c r="A1613" s="5" t="s">
        <v>4</v>
      </c>
      <c r="B1613" s="5" t="s">
        <v>55</v>
      </c>
      <c r="C1613" s="2" t="s">
        <v>56</v>
      </c>
      <c r="D1613" s="5" t="s">
        <v>83</v>
      </c>
      <c r="E1613" s="5" t="s">
        <v>62</v>
      </c>
      <c r="F1613" s="2" t="n">
        <v>12</v>
      </c>
      <c r="G1613" s="5" t="s">
        <v>68</v>
      </c>
      <c r="H1613" s="2" t="n">
        <v>1</v>
      </c>
      <c r="I1613" s="2" t="n">
        <v>1</v>
      </c>
      <c r="J1613" s="2" t="n">
        <v>1</v>
      </c>
      <c r="K1613" s="7" t="n">
        <v>0.9234543457</v>
      </c>
      <c r="L1613" s="7" t="n">
        <v>0.08531238751</v>
      </c>
      <c r="M1613" s="7" t="n">
        <v>0.1036398233</v>
      </c>
      <c r="N1613" s="7" t="n">
        <v>11</v>
      </c>
      <c r="O1613" s="7" t="n">
        <v>11</v>
      </c>
      <c r="P1613" s="7" t="n">
        <v>11</v>
      </c>
      <c r="Q1613" s="2"/>
      <c r="R1613" s="7" t="n">
        <v>2.413368</v>
      </c>
      <c r="S1613" s="5" t="s">
        <v>82</v>
      </c>
      <c r="T1613" s="5" t="s">
        <v>61</v>
      </c>
    </row>
    <row r="1614" customFormat="false" ht="15" hidden="false" customHeight="false" outlineLevel="0" collapsed="false">
      <c r="A1614" s="5" t="s">
        <v>4</v>
      </c>
      <c r="B1614" s="5" t="s">
        <v>55</v>
      </c>
      <c r="C1614" s="2" t="s">
        <v>56</v>
      </c>
      <c r="D1614" s="5" t="s">
        <v>83</v>
      </c>
      <c r="E1614" s="5" t="s">
        <v>58</v>
      </c>
      <c r="F1614" s="2" t="n">
        <v>12</v>
      </c>
      <c r="G1614" s="5" t="s">
        <v>69</v>
      </c>
      <c r="H1614" s="2" t="n">
        <v>1</v>
      </c>
      <c r="I1614" s="2" t="n">
        <v>1</v>
      </c>
      <c r="J1614" s="2" t="n">
        <v>0</v>
      </c>
      <c r="K1614" s="7" t="n">
        <v>1.93422896</v>
      </c>
      <c r="L1614" s="7" t="n">
        <v>0.687008645</v>
      </c>
      <c r="M1614" s="7" t="n">
        <v>0.6923695127</v>
      </c>
      <c r="N1614" s="7" t="n">
        <v>3</v>
      </c>
      <c r="O1614" s="7" t="n">
        <v>3</v>
      </c>
      <c r="P1614" s="7" t="n">
        <v>0</v>
      </c>
      <c r="Q1614" s="2"/>
      <c r="R1614" s="7" t="n">
        <v>2.870993</v>
      </c>
      <c r="S1614" s="5" t="s">
        <v>82</v>
      </c>
      <c r="T1614" s="5" t="s">
        <v>61</v>
      </c>
    </row>
    <row r="1615" customFormat="false" ht="15" hidden="false" customHeight="false" outlineLevel="0" collapsed="false">
      <c r="A1615" s="5" t="s">
        <v>4</v>
      </c>
      <c r="B1615" s="5" t="s">
        <v>55</v>
      </c>
      <c r="C1615" s="2" t="s">
        <v>56</v>
      </c>
      <c r="D1615" s="5" t="s">
        <v>83</v>
      </c>
      <c r="E1615" s="5" t="s">
        <v>62</v>
      </c>
      <c r="F1615" s="2" t="n">
        <v>12</v>
      </c>
      <c r="G1615" s="5" t="s">
        <v>69</v>
      </c>
      <c r="H1615" s="2" t="n">
        <v>1</v>
      </c>
      <c r="I1615" s="2" t="n">
        <v>1</v>
      </c>
      <c r="J1615" s="2" t="n">
        <v>0</v>
      </c>
      <c r="K1615" s="7" t="n">
        <v>1.93422896</v>
      </c>
      <c r="L1615" s="7" t="n">
        <v>0.687008645</v>
      </c>
      <c r="M1615" s="7" t="n">
        <v>0.6923695127</v>
      </c>
      <c r="N1615" s="7" t="n">
        <v>3</v>
      </c>
      <c r="O1615" s="7" t="n">
        <v>3</v>
      </c>
      <c r="P1615" s="7" t="n">
        <v>3</v>
      </c>
      <c r="Q1615" s="2"/>
      <c r="R1615" s="7" t="n">
        <v>3.034515</v>
      </c>
      <c r="S1615" s="5" t="s">
        <v>82</v>
      </c>
      <c r="T1615" s="5" t="s">
        <v>61</v>
      </c>
    </row>
    <row r="1616" customFormat="false" ht="15" hidden="false" customHeight="false" outlineLevel="0" collapsed="false">
      <c r="A1616" s="5" t="s">
        <v>4</v>
      </c>
      <c r="B1616" s="5" t="s">
        <v>55</v>
      </c>
      <c r="C1616" s="2" t="s">
        <v>56</v>
      </c>
      <c r="D1616" s="5" t="s">
        <v>83</v>
      </c>
      <c r="E1616" s="5" t="s">
        <v>58</v>
      </c>
      <c r="F1616" s="2" t="n">
        <v>12</v>
      </c>
      <c r="G1616" s="5" t="s">
        <v>70</v>
      </c>
      <c r="H1616" s="2" t="n">
        <v>0</v>
      </c>
      <c r="I1616" s="2" t="n">
        <v>1</v>
      </c>
      <c r="J1616" s="2" t="n">
        <v>1</v>
      </c>
      <c r="K1616" s="7" t="n">
        <v>1.544742352</v>
      </c>
      <c r="L1616" s="7" t="n">
        <v>0.1192920157</v>
      </c>
      <c r="M1616" s="7" t="n">
        <v>0.1565256613</v>
      </c>
      <c r="N1616" s="7" t="n">
        <v>8</v>
      </c>
      <c r="O1616" s="7" t="n">
        <v>8</v>
      </c>
      <c r="P1616" s="7" t="n">
        <v>0</v>
      </c>
      <c r="Q1616" s="2"/>
      <c r="R1616" s="7" t="n">
        <v>2.547495</v>
      </c>
      <c r="S1616" s="5" t="s">
        <v>82</v>
      </c>
      <c r="T1616" s="5" t="s">
        <v>61</v>
      </c>
    </row>
    <row r="1617" customFormat="false" ht="15" hidden="false" customHeight="false" outlineLevel="0" collapsed="false">
      <c r="A1617" s="5" t="s">
        <v>4</v>
      </c>
      <c r="B1617" s="5" t="s">
        <v>55</v>
      </c>
      <c r="C1617" s="2" t="s">
        <v>56</v>
      </c>
      <c r="D1617" s="5" t="s">
        <v>83</v>
      </c>
      <c r="E1617" s="5" t="s">
        <v>62</v>
      </c>
      <c r="F1617" s="2" t="n">
        <v>12</v>
      </c>
      <c r="G1617" s="5" t="s">
        <v>70</v>
      </c>
      <c r="H1617" s="2" t="n">
        <v>0</v>
      </c>
      <c r="I1617" s="2" t="n">
        <v>1</v>
      </c>
      <c r="J1617" s="2" t="n">
        <v>1</v>
      </c>
      <c r="K1617" s="7" t="n">
        <v>1.087111088</v>
      </c>
      <c r="L1617" s="7" t="n">
        <v>0.09145783721</v>
      </c>
      <c r="M1617" s="7" t="n">
        <v>0.1197825556</v>
      </c>
      <c r="N1617" s="7" t="n">
        <v>8</v>
      </c>
      <c r="O1617" s="7" t="n">
        <v>8</v>
      </c>
      <c r="P1617" s="7" t="n">
        <v>6</v>
      </c>
      <c r="Q1617" s="2"/>
      <c r="R1617" s="7" t="n">
        <v>3.142555</v>
      </c>
      <c r="S1617" s="5" t="s">
        <v>82</v>
      </c>
      <c r="T1617" s="5" t="s">
        <v>61</v>
      </c>
    </row>
    <row r="1618" customFormat="false" ht="15" hidden="false" customHeight="false" outlineLevel="0" collapsed="false">
      <c r="A1618" s="5" t="s">
        <v>4</v>
      </c>
      <c r="B1618" s="5" t="s">
        <v>55</v>
      </c>
      <c r="C1618" s="2" t="s">
        <v>56</v>
      </c>
      <c r="D1618" s="5" t="s">
        <v>83</v>
      </c>
      <c r="E1618" s="5" t="s">
        <v>58</v>
      </c>
      <c r="F1618" s="2" t="n">
        <v>13</v>
      </c>
      <c r="G1618" s="5" t="s">
        <v>67</v>
      </c>
      <c r="H1618" s="2" t="n">
        <v>1</v>
      </c>
      <c r="I1618" s="2" t="n">
        <v>1</v>
      </c>
      <c r="J1618" s="2" t="n">
        <v>1</v>
      </c>
      <c r="K1618" s="7" t="n">
        <v>0.4694288815</v>
      </c>
      <c r="L1618" s="7" t="n">
        <v>0.04746154973</v>
      </c>
      <c r="M1618" s="7" t="n">
        <v>0.05849042436</v>
      </c>
      <c r="N1618" s="7" t="n">
        <v>10</v>
      </c>
      <c r="O1618" s="7" t="n">
        <v>10</v>
      </c>
      <c r="P1618" s="7" t="n">
        <v>0</v>
      </c>
      <c r="Q1618" s="2"/>
      <c r="R1618" s="7" t="n">
        <v>1.495931</v>
      </c>
      <c r="S1618" s="5" t="s">
        <v>82</v>
      </c>
      <c r="T1618" s="5" t="s">
        <v>61</v>
      </c>
    </row>
    <row r="1619" customFormat="false" ht="15" hidden="false" customHeight="false" outlineLevel="0" collapsed="false">
      <c r="A1619" s="5" t="s">
        <v>4</v>
      </c>
      <c r="B1619" s="5" t="s">
        <v>55</v>
      </c>
      <c r="C1619" s="2" t="s">
        <v>56</v>
      </c>
      <c r="D1619" s="5" t="s">
        <v>83</v>
      </c>
      <c r="E1619" s="5" t="s">
        <v>62</v>
      </c>
      <c r="F1619" s="2" t="n">
        <v>13</v>
      </c>
      <c r="G1619" s="5" t="s">
        <v>67</v>
      </c>
      <c r="H1619" s="2" t="n">
        <v>1</v>
      </c>
      <c r="I1619" s="2" t="n">
        <v>1</v>
      </c>
      <c r="J1619" s="2" t="n">
        <v>1</v>
      </c>
      <c r="K1619" s="7" t="n">
        <v>0.1416516964</v>
      </c>
      <c r="L1619" s="7" t="n">
        <v>0.0351478243</v>
      </c>
      <c r="M1619" s="7" t="n">
        <v>0.03753660897</v>
      </c>
      <c r="N1619" s="7" t="n">
        <v>10</v>
      </c>
      <c r="O1619" s="7" t="n">
        <v>10</v>
      </c>
      <c r="P1619" s="7" t="n">
        <v>9</v>
      </c>
      <c r="Q1619" s="2"/>
      <c r="R1619" s="7" t="n">
        <v>2.061246</v>
      </c>
      <c r="S1619" s="5" t="s">
        <v>82</v>
      </c>
      <c r="T1619" s="5" t="s">
        <v>61</v>
      </c>
    </row>
    <row r="1620" customFormat="false" ht="15" hidden="false" customHeight="false" outlineLevel="0" collapsed="false">
      <c r="A1620" s="5" t="s">
        <v>4</v>
      </c>
      <c r="B1620" s="5" t="s">
        <v>55</v>
      </c>
      <c r="C1620" s="2" t="s">
        <v>56</v>
      </c>
      <c r="D1620" s="5" t="s">
        <v>83</v>
      </c>
      <c r="E1620" s="5" t="s">
        <v>58</v>
      </c>
      <c r="F1620" s="2" t="n">
        <v>13</v>
      </c>
      <c r="G1620" s="5" t="s">
        <v>68</v>
      </c>
      <c r="H1620" s="2" t="n">
        <v>1</v>
      </c>
      <c r="I1620" s="2" t="n">
        <v>1</v>
      </c>
      <c r="J1620" s="2" t="n">
        <v>1</v>
      </c>
      <c r="K1620" s="7" t="n">
        <v>0.7356882716</v>
      </c>
      <c r="L1620" s="7" t="n">
        <v>0.03865843335</v>
      </c>
      <c r="M1620" s="7" t="n">
        <v>0.06089605843</v>
      </c>
      <c r="N1620" s="7" t="n">
        <v>9</v>
      </c>
      <c r="O1620" s="7" t="n">
        <v>9</v>
      </c>
      <c r="P1620" s="7" t="n">
        <v>0</v>
      </c>
      <c r="Q1620" s="2"/>
      <c r="R1620" s="7" t="n">
        <v>1.619534</v>
      </c>
      <c r="S1620" s="5" t="s">
        <v>82</v>
      </c>
      <c r="T1620" s="5" t="s">
        <v>61</v>
      </c>
    </row>
    <row r="1621" customFormat="false" ht="15" hidden="false" customHeight="false" outlineLevel="0" collapsed="false">
      <c r="A1621" s="5" t="s">
        <v>4</v>
      </c>
      <c r="B1621" s="5" t="s">
        <v>55</v>
      </c>
      <c r="C1621" s="2" t="s">
        <v>56</v>
      </c>
      <c r="D1621" s="5" t="s">
        <v>83</v>
      </c>
      <c r="E1621" s="5" t="s">
        <v>62</v>
      </c>
      <c r="F1621" s="2" t="n">
        <v>13</v>
      </c>
      <c r="G1621" s="5" t="s">
        <v>68</v>
      </c>
      <c r="H1621" s="2" t="n">
        <v>1</v>
      </c>
      <c r="I1621" s="2" t="n">
        <v>1</v>
      </c>
      <c r="J1621" s="2" t="n">
        <v>1</v>
      </c>
      <c r="K1621" s="7" t="n">
        <v>0.7356882716</v>
      </c>
      <c r="L1621" s="7" t="n">
        <v>0.03865843335</v>
      </c>
      <c r="M1621" s="7" t="n">
        <v>0.06089605843</v>
      </c>
      <c r="N1621" s="7" t="n">
        <v>9</v>
      </c>
      <c r="O1621" s="7" t="n">
        <v>9</v>
      </c>
      <c r="P1621" s="7" t="n">
        <v>9</v>
      </c>
      <c r="Q1621" s="2"/>
      <c r="R1621" s="7" t="n">
        <v>2.186612</v>
      </c>
      <c r="S1621" s="5" t="s">
        <v>82</v>
      </c>
      <c r="T1621" s="5" t="s">
        <v>61</v>
      </c>
    </row>
    <row r="1622" customFormat="false" ht="15" hidden="false" customHeight="false" outlineLevel="0" collapsed="false">
      <c r="A1622" s="5" t="s">
        <v>4</v>
      </c>
      <c r="B1622" s="5" t="s">
        <v>55</v>
      </c>
      <c r="C1622" s="2" t="s">
        <v>56</v>
      </c>
      <c r="D1622" s="5" t="s">
        <v>83</v>
      </c>
      <c r="E1622" s="5" t="s">
        <v>58</v>
      </c>
      <c r="F1622" s="2" t="n">
        <v>13</v>
      </c>
      <c r="G1622" s="5" t="s">
        <v>69</v>
      </c>
      <c r="H1622" s="2" t="n">
        <v>1</v>
      </c>
      <c r="I1622" s="2" t="n">
        <v>1</v>
      </c>
      <c r="J1622" s="2" t="n">
        <v>1</v>
      </c>
      <c r="K1622" s="7" t="n">
        <v>0.5849637917</v>
      </c>
      <c r="L1622" s="7" t="n">
        <v>0.04910456985</v>
      </c>
      <c r="M1622" s="7" t="n">
        <v>0.06370669741</v>
      </c>
      <c r="N1622" s="7" t="n">
        <v>4</v>
      </c>
      <c r="O1622" s="7" t="n">
        <v>4</v>
      </c>
      <c r="P1622" s="7" t="n">
        <v>0</v>
      </c>
      <c r="Q1622" s="2"/>
      <c r="R1622" s="7" t="n">
        <v>2.864274</v>
      </c>
      <c r="S1622" s="5" t="s">
        <v>82</v>
      </c>
      <c r="T1622" s="5" t="s">
        <v>61</v>
      </c>
    </row>
    <row r="1623" customFormat="false" ht="15" hidden="false" customHeight="false" outlineLevel="0" collapsed="false">
      <c r="A1623" s="5" t="s">
        <v>4</v>
      </c>
      <c r="B1623" s="5" t="s">
        <v>55</v>
      </c>
      <c r="C1623" s="2" t="s">
        <v>56</v>
      </c>
      <c r="D1623" s="5" t="s">
        <v>83</v>
      </c>
      <c r="E1623" s="5" t="s">
        <v>62</v>
      </c>
      <c r="F1623" s="2" t="n">
        <v>13</v>
      </c>
      <c r="G1623" s="5" t="s">
        <v>69</v>
      </c>
      <c r="H1623" s="2" t="n">
        <v>1</v>
      </c>
      <c r="I1623" s="2" t="n">
        <v>1</v>
      </c>
      <c r="J1623" s="2" t="n">
        <v>1</v>
      </c>
      <c r="K1623" s="7" t="n">
        <v>0.5849637917</v>
      </c>
      <c r="L1623" s="7" t="n">
        <v>0.04910456985</v>
      </c>
      <c r="M1623" s="7" t="n">
        <v>0.06370669741</v>
      </c>
      <c r="N1623" s="7" t="n">
        <v>4</v>
      </c>
      <c r="O1623" s="7" t="n">
        <v>4</v>
      </c>
      <c r="P1623" s="7" t="n">
        <v>4</v>
      </c>
      <c r="Q1623" s="2"/>
      <c r="R1623" s="7" t="n">
        <v>3.157868</v>
      </c>
      <c r="S1623" s="5" t="s">
        <v>82</v>
      </c>
      <c r="T1623" s="5" t="s">
        <v>61</v>
      </c>
    </row>
    <row r="1624" customFormat="false" ht="15" hidden="false" customHeight="false" outlineLevel="0" collapsed="false">
      <c r="A1624" s="5" t="s">
        <v>4</v>
      </c>
      <c r="B1624" s="5" t="s">
        <v>55</v>
      </c>
      <c r="C1624" s="2" t="s">
        <v>56</v>
      </c>
      <c r="D1624" s="5" t="s">
        <v>83</v>
      </c>
      <c r="E1624" s="5" t="s">
        <v>58</v>
      </c>
      <c r="F1624" s="2" t="n">
        <v>13</v>
      </c>
      <c r="G1624" s="5" t="s">
        <v>70</v>
      </c>
      <c r="H1624" s="2" t="n">
        <v>0</v>
      </c>
      <c r="I1624" s="2" t="n">
        <v>1</v>
      </c>
      <c r="J1624" s="2" t="n">
        <v>1</v>
      </c>
      <c r="K1624" s="7" t="n">
        <v>0.8765878336</v>
      </c>
      <c r="L1624" s="7" t="n">
        <v>0.01737222058</v>
      </c>
      <c r="M1624" s="7" t="n">
        <v>0.06032197314</v>
      </c>
      <c r="N1624" s="7" t="n">
        <v>9</v>
      </c>
      <c r="O1624" s="7" t="n">
        <v>9</v>
      </c>
      <c r="P1624" s="7" t="n">
        <v>0</v>
      </c>
      <c r="Q1624" s="2"/>
      <c r="R1624" s="7" t="n">
        <v>2.656596</v>
      </c>
      <c r="S1624" s="5" t="s">
        <v>82</v>
      </c>
      <c r="T1624" s="5" t="s">
        <v>61</v>
      </c>
    </row>
    <row r="1625" customFormat="false" ht="15" hidden="false" customHeight="false" outlineLevel="0" collapsed="false">
      <c r="A1625" s="5" t="s">
        <v>4</v>
      </c>
      <c r="B1625" s="5" t="s">
        <v>55</v>
      </c>
      <c r="C1625" s="2" t="s">
        <v>56</v>
      </c>
      <c r="D1625" s="5" t="s">
        <v>83</v>
      </c>
      <c r="E1625" s="5" t="s">
        <v>62</v>
      </c>
      <c r="F1625" s="2" t="n">
        <v>13</v>
      </c>
      <c r="G1625" s="5" t="s">
        <v>70</v>
      </c>
      <c r="H1625" s="2" t="n">
        <v>0</v>
      </c>
      <c r="I1625" s="2" t="n">
        <v>1</v>
      </c>
      <c r="J1625" s="2" t="n">
        <v>1</v>
      </c>
      <c r="K1625" s="7" t="n">
        <v>0.8765878336</v>
      </c>
      <c r="L1625" s="7" t="n">
        <v>0.01737222058</v>
      </c>
      <c r="M1625" s="7" t="n">
        <v>0.06032197314</v>
      </c>
      <c r="N1625" s="7" t="n">
        <v>9</v>
      </c>
      <c r="O1625" s="7" t="n">
        <v>9</v>
      </c>
      <c r="P1625" s="7" t="n">
        <v>9</v>
      </c>
      <c r="Q1625" s="2"/>
      <c r="R1625" s="7" t="n">
        <v>3.178867</v>
      </c>
      <c r="S1625" s="5" t="s">
        <v>82</v>
      </c>
      <c r="T1625" s="5" t="s">
        <v>61</v>
      </c>
    </row>
    <row r="1626" customFormat="false" ht="15" hidden="false" customHeight="false" outlineLevel="0" collapsed="false">
      <c r="A1626" s="5" t="s">
        <v>4</v>
      </c>
      <c r="B1626" s="5" t="s">
        <v>55</v>
      </c>
      <c r="C1626" s="2" t="s">
        <v>56</v>
      </c>
      <c r="D1626" s="5" t="s">
        <v>83</v>
      </c>
      <c r="E1626" s="5" t="s">
        <v>58</v>
      </c>
      <c r="F1626" s="2" t="n">
        <v>14</v>
      </c>
      <c r="G1626" s="5" t="s">
        <v>67</v>
      </c>
      <c r="H1626" s="2" t="n">
        <v>1</v>
      </c>
      <c r="I1626" s="2" t="n">
        <v>1</v>
      </c>
      <c r="J1626" s="2" t="n">
        <v>1</v>
      </c>
      <c r="K1626" s="7" t="n">
        <v>1.647604626</v>
      </c>
      <c r="L1626" s="7" t="n">
        <v>0.1345461935</v>
      </c>
      <c r="M1626" s="7" t="n">
        <v>0.1737715034</v>
      </c>
      <c r="N1626" s="7" t="n">
        <v>12</v>
      </c>
      <c r="O1626" s="7" t="n">
        <v>12</v>
      </c>
      <c r="P1626" s="7" t="n">
        <v>0</v>
      </c>
      <c r="Q1626" s="2"/>
      <c r="R1626" s="7" t="n">
        <v>1.664381</v>
      </c>
      <c r="S1626" s="5" t="s">
        <v>82</v>
      </c>
      <c r="T1626" s="5" t="s">
        <v>61</v>
      </c>
    </row>
    <row r="1627" customFormat="false" ht="15" hidden="false" customHeight="false" outlineLevel="0" collapsed="false">
      <c r="A1627" s="5" t="s">
        <v>4</v>
      </c>
      <c r="B1627" s="5" t="s">
        <v>55</v>
      </c>
      <c r="C1627" s="2" t="s">
        <v>56</v>
      </c>
      <c r="D1627" s="5" t="s">
        <v>83</v>
      </c>
      <c r="E1627" s="5" t="s">
        <v>62</v>
      </c>
      <c r="F1627" s="2" t="n">
        <v>14</v>
      </c>
      <c r="G1627" s="5" t="s">
        <v>67</v>
      </c>
      <c r="H1627" s="2" t="n">
        <v>1</v>
      </c>
      <c r="I1627" s="2" t="n">
        <v>1</v>
      </c>
      <c r="J1627" s="2" t="n">
        <v>1</v>
      </c>
      <c r="K1627" s="7" t="n">
        <v>0.121606417</v>
      </c>
      <c r="L1627" s="7" t="n">
        <v>0.02443426839</v>
      </c>
      <c r="M1627" s="7" t="n">
        <v>0.02659145073</v>
      </c>
      <c r="N1627" s="7" t="n">
        <v>12</v>
      </c>
      <c r="O1627" s="7" t="n">
        <v>12</v>
      </c>
      <c r="P1627" s="7" t="n">
        <v>11</v>
      </c>
      <c r="Q1627" s="2"/>
      <c r="R1627" s="7" t="n">
        <v>2.280591</v>
      </c>
      <c r="S1627" s="5" t="s">
        <v>82</v>
      </c>
      <c r="T1627" s="5" t="s">
        <v>61</v>
      </c>
    </row>
    <row r="1628" customFormat="false" ht="15" hidden="false" customHeight="false" outlineLevel="0" collapsed="false">
      <c r="A1628" s="5" t="s">
        <v>4</v>
      </c>
      <c r="B1628" s="5" t="s">
        <v>55</v>
      </c>
      <c r="C1628" s="2" t="s">
        <v>56</v>
      </c>
      <c r="D1628" s="5" t="s">
        <v>83</v>
      </c>
      <c r="E1628" s="5" t="s">
        <v>58</v>
      </c>
      <c r="F1628" s="2" t="n">
        <v>14</v>
      </c>
      <c r="G1628" s="5" t="s">
        <v>68</v>
      </c>
      <c r="H1628" s="2" t="n">
        <v>1</v>
      </c>
      <c r="I1628" s="2" t="n">
        <v>1</v>
      </c>
      <c r="J1628" s="2" t="n">
        <v>1</v>
      </c>
      <c r="K1628" s="7" t="n">
        <v>0.8080818011</v>
      </c>
      <c r="L1628" s="7" t="n">
        <v>0.06839694808</v>
      </c>
      <c r="M1628" s="7" t="n">
        <v>0.08724136394</v>
      </c>
      <c r="N1628" s="7" t="n">
        <v>10</v>
      </c>
      <c r="O1628" s="7" t="n">
        <v>10</v>
      </c>
      <c r="P1628" s="7" t="n">
        <v>0</v>
      </c>
      <c r="Q1628" s="2"/>
      <c r="R1628" s="7" t="n">
        <v>1.728946</v>
      </c>
      <c r="S1628" s="5" t="s">
        <v>82</v>
      </c>
      <c r="T1628" s="5" t="s">
        <v>61</v>
      </c>
    </row>
    <row r="1629" customFormat="false" ht="15" hidden="false" customHeight="false" outlineLevel="0" collapsed="false">
      <c r="A1629" s="5" t="s">
        <v>4</v>
      </c>
      <c r="B1629" s="5" t="s">
        <v>55</v>
      </c>
      <c r="C1629" s="2" t="s">
        <v>56</v>
      </c>
      <c r="D1629" s="5" t="s">
        <v>83</v>
      </c>
      <c r="E1629" s="5" t="s">
        <v>62</v>
      </c>
      <c r="F1629" s="2" t="n">
        <v>14</v>
      </c>
      <c r="G1629" s="5" t="s">
        <v>68</v>
      </c>
      <c r="H1629" s="2" t="n">
        <v>1</v>
      </c>
      <c r="I1629" s="2" t="n">
        <v>1</v>
      </c>
      <c r="J1629" s="2" t="n">
        <v>1</v>
      </c>
      <c r="K1629" s="7" t="n">
        <v>0.8080818011</v>
      </c>
      <c r="L1629" s="7" t="n">
        <v>0.06839694808</v>
      </c>
      <c r="M1629" s="7" t="n">
        <v>0.08724136394</v>
      </c>
      <c r="N1629" s="7" t="n">
        <v>10</v>
      </c>
      <c r="O1629" s="7" t="n">
        <v>10</v>
      </c>
      <c r="P1629" s="7" t="n">
        <v>10</v>
      </c>
      <c r="Q1629" s="2"/>
      <c r="R1629" s="7" t="n">
        <v>2.845567</v>
      </c>
      <c r="S1629" s="5" t="s">
        <v>82</v>
      </c>
      <c r="T1629" s="5" t="s">
        <v>61</v>
      </c>
    </row>
    <row r="1630" customFormat="false" ht="15" hidden="false" customHeight="false" outlineLevel="0" collapsed="false">
      <c r="A1630" s="5" t="s">
        <v>4</v>
      </c>
      <c r="B1630" s="5" t="s">
        <v>55</v>
      </c>
      <c r="C1630" s="2" t="s">
        <v>56</v>
      </c>
      <c r="D1630" s="5" t="s">
        <v>83</v>
      </c>
      <c r="E1630" s="5" t="s">
        <v>58</v>
      </c>
      <c r="F1630" s="2" t="n">
        <v>14</v>
      </c>
      <c r="G1630" s="5" t="s">
        <v>69</v>
      </c>
      <c r="H1630" s="2" t="n">
        <v>1</v>
      </c>
      <c r="I1630" s="2" t="n">
        <v>1</v>
      </c>
      <c r="J1630" s="2" t="n">
        <v>1</v>
      </c>
      <c r="K1630" s="7" t="n">
        <v>0.5600353788</v>
      </c>
      <c r="L1630" s="7" t="n">
        <v>0.08680413037</v>
      </c>
      <c r="M1630" s="7" t="n">
        <v>0.09675952606</v>
      </c>
      <c r="N1630" s="7" t="n">
        <v>4</v>
      </c>
      <c r="O1630" s="7" t="n">
        <v>4</v>
      </c>
      <c r="P1630" s="7" t="n">
        <v>0</v>
      </c>
      <c r="Q1630" s="2"/>
      <c r="R1630" s="7" t="n">
        <v>2.75396</v>
      </c>
      <c r="S1630" s="5" t="s">
        <v>82</v>
      </c>
      <c r="T1630" s="5" t="s">
        <v>61</v>
      </c>
    </row>
    <row r="1631" customFormat="false" ht="15" hidden="false" customHeight="false" outlineLevel="0" collapsed="false">
      <c r="A1631" s="5" t="s">
        <v>4</v>
      </c>
      <c r="B1631" s="5" t="s">
        <v>55</v>
      </c>
      <c r="C1631" s="2" t="s">
        <v>56</v>
      </c>
      <c r="D1631" s="5" t="s">
        <v>83</v>
      </c>
      <c r="E1631" s="5" t="s">
        <v>62</v>
      </c>
      <c r="F1631" s="2" t="n">
        <v>14</v>
      </c>
      <c r="G1631" s="5" t="s">
        <v>69</v>
      </c>
      <c r="H1631" s="2" t="n">
        <v>1</v>
      </c>
      <c r="I1631" s="2" t="n">
        <v>1</v>
      </c>
      <c r="J1631" s="2" t="n">
        <v>1</v>
      </c>
      <c r="K1631" s="7" t="n">
        <v>0.5600353788</v>
      </c>
      <c r="L1631" s="7" t="n">
        <v>0.08680413037</v>
      </c>
      <c r="M1631" s="7" t="n">
        <v>0.09675952606</v>
      </c>
      <c r="N1631" s="7" t="n">
        <v>4</v>
      </c>
      <c r="O1631" s="7" t="n">
        <v>4</v>
      </c>
      <c r="P1631" s="7" t="n">
        <v>4</v>
      </c>
      <c r="Q1631" s="2"/>
      <c r="R1631" s="7" t="n">
        <v>3.046974</v>
      </c>
      <c r="S1631" s="5" t="s">
        <v>82</v>
      </c>
      <c r="T1631" s="5" t="s">
        <v>61</v>
      </c>
    </row>
    <row r="1632" customFormat="false" ht="15" hidden="false" customHeight="false" outlineLevel="0" collapsed="false">
      <c r="A1632" s="5" t="s">
        <v>4</v>
      </c>
      <c r="B1632" s="5" t="s">
        <v>55</v>
      </c>
      <c r="C1632" s="2" t="s">
        <v>56</v>
      </c>
      <c r="D1632" s="5" t="s">
        <v>83</v>
      </c>
      <c r="E1632" s="5" t="s">
        <v>58</v>
      </c>
      <c r="F1632" s="2" t="n">
        <v>14</v>
      </c>
      <c r="G1632" s="5" t="s">
        <v>70</v>
      </c>
      <c r="H1632" s="2" t="n">
        <v>0</v>
      </c>
      <c r="I1632" s="2" t="n">
        <v>1</v>
      </c>
      <c r="J1632" s="2" t="n">
        <v>0</v>
      </c>
      <c r="K1632" s="7" t="n">
        <v>2.130792388</v>
      </c>
      <c r="L1632" s="7" t="n">
        <v>0.123098085</v>
      </c>
      <c r="M1632" s="7" t="n">
        <v>0.1788594183</v>
      </c>
      <c r="N1632" s="7" t="n">
        <v>8</v>
      </c>
      <c r="O1632" s="7" t="n">
        <v>8</v>
      </c>
      <c r="P1632" s="7" t="n">
        <v>0</v>
      </c>
      <c r="Q1632" s="2"/>
      <c r="R1632" s="7" t="n">
        <v>2.701083</v>
      </c>
      <c r="S1632" s="5" t="s">
        <v>82</v>
      </c>
      <c r="T1632" s="5" t="s">
        <v>61</v>
      </c>
    </row>
    <row r="1633" customFormat="false" ht="15" hidden="false" customHeight="false" outlineLevel="0" collapsed="false">
      <c r="A1633" s="5" t="s">
        <v>4</v>
      </c>
      <c r="B1633" s="5" t="s">
        <v>55</v>
      </c>
      <c r="C1633" s="2" t="s">
        <v>56</v>
      </c>
      <c r="D1633" s="5" t="s">
        <v>83</v>
      </c>
      <c r="E1633" s="5" t="s">
        <v>62</v>
      </c>
      <c r="F1633" s="2" t="n">
        <v>14</v>
      </c>
      <c r="G1633" s="5" t="s">
        <v>70</v>
      </c>
      <c r="H1633" s="2" t="n">
        <v>0</v>
      </c>
      <c r="I1633" s="2" t="n">
        <v>1</v>
      </c>
      <c r="J1633" s="2" t="n">
        <v>1</v>
      </c>
      <c r="K1633" s="7" t="n">
        <v>0.8617558637</v>
      </c>
      <c r="L1633" s="7" t="n">
        <v>0.08213698502</v>
      </c>
      <c r="M1633" s="7" t="n">
        <v>0.1020931992</v>
      </c>
      <c r="N1633" s="7" t="n">
        <v>8</v>
      </c>
      <c r="O1633" s="7" t="n">
        <v>8</v>
      </c>
      <c r="P1633" s="7" t="n">
        <v>6</v>
      </c>
      <c r="Q1633" s="2"/>
      <c r="R1633" s="7" t="n">
        <v>3.383611</v>
      </c>
      <c r="S1633" s="5" t="s">
        <v>82</v>
      </c>
      <c r="T1633" s="5" t="s">
        <v>61</v>
      </c>
    </row>
    <row r="1634" customFormat="false" ht="15" hidden="false" customHeight="false" outlineLevel="0" collapsed="false">
      <c r="A1634" s="5" t="s">
        <v>4</v>
      </c>
      <c r="B1634" s="5" t="s">
        <v>55</v>
      </c>
      <c r="C1634" s="2" t="s">
        <v>56</v>
      </c>
      <c r="D1634" s="5" t="s">
        <v>83</v>
      </c>
      <c r="E1634" s="5" t="s">
        <v>58</v>
      </c>
      <c r="F1634" s="2" t="n">
        <v>15</v>
      </c>
      <c r="G1634" s="5" t="s">
        <v>67</v>
      </c>
      <c r="H1634" s="2" t="n">
        <v>1</v>
      </c>
      <c r="I1634" s="2" t="n">
        <v>1</v>
      </c>
      <c r="J1634" s="2" t="n">
        <v>1</v>
      </c>
      <c r="K1634" s="7" t="n">
        <v>1.069177529</v>
      </c>
      <c r="L1634" s="7" t="n">
        <v>0.09221621745</v>
      </c>
      <c r="M1634" s="7" t="n">
        <v>0.1154473082</v>
      </c>
      <c r="N1634" s="7" t="n">
        <v>16</v>
      </c>
      <c r="O1634" s="7" t="n">
        <v>16</v>
      </c>
      <c r="P1634" s="7" t="n">
        <v>0</v>
      </c>
      <c r="Q1634" s="2"/>
      <c r="R1634" s="7" t="n">
        <v>1.537191</v>
      </c>
      <c r="S1634" s="5" t="s">
        <v>82</v>
      </c>
      <c r="T1634" s="5" t="s">
        <v>61</v>
      </c>
    </row>
    <row r="1635" customFormat="false" ht="15" hidden="false" customHeight="false" outlineLevel="0" collapsed="false">
      <c r="A1635" s="5" t="s">
        <v>4</v>
      </c>
      <c r="B1635" s="5" t="s">
        <v>55</v>
      </c>
      <c r="C1635" s="2" t="s">
        <v>56</v>
      </c>
      <c r="D1635" s="5" t="s">
        <v>83</v>
      </c>
      <c r="E1635" s="5" t="s">
        <v>62</v>
      </c>
      <c r="F1635" s="2" t="n">
        <v>15</v>
      </c>
      <c r="G1635" s="5" t="s">
        <v>67</v>
      </c>
      <c r="H1635" s="2" t="n">
        <v>1</v>
      </c>
      <c r="I1635" s="2" t="n">
        <v>1</v>
      </c>
      <c r="J1635" s="2" t="n">
        <v>1</v>
      </c>
      <c r="K1635" s="7" t="n">
        <v>0.1300156719</v>
      </c>
      <c r="L1635" s="7" t="n">
        <v>0.02776229894</v>
      </c>
      <c r="M1635" s="7" t="n">
        <v>0.02970195904</v>
      </c>
      <c r="N1635" s="7" t="n">
        <v>16</v>
      </c>
      <c r="O1635" s="7" t="n">
        <v>16</v>
      </c>
      <c r="P1635" s="7" t="n">
        <v>15</v>
      </c>
      <c r="Q1635" s="2"/>
      <c r="R1635" s="7" t="n">
        <v>2.269884</v>
      </c>
      <c r="S1635" s="5" t="s">
        <v>82</v>
      </c>
      <c r="T1635" s="5" t="s">
        <v>61</v>
      </c>
    </row>
    <row r="1636" customFormat="false" ht="15" hidden="false" customHeight="false" outlineLevel="0" collapsed="false">
      <c r="A1636" s="5" t="s">
        <v>4</v>
      </c>
      <c r="B1636" s="5" t="s">
        <v>55</v>
      </c>
      <c r="C1636" s="2" t="s">
        <v>56</v>
      </c>
      <c r="D1636" s="5" t="s">
        <v>83</v>
      </c>
      <c r="E1636" s="5" t="s">
        <v>58</v>
      </c>
      <c r="F1636" s="2" t="n">
        <v>15</v>
      </c>
      <c r="G1636" s="5" t="s">
        <v>68</v>
      </c>
      <c r="H1636" s="2" t="n">
        <v>1</v>
      </c>
      <c r="I1636" s="2" t="n">
        <v>1</v>
      </c>
      <c r="J1636" s="2" t="n">
        <v>1</v>
      </c>
      <c r="K1636" s="7" t="n">
        <v>0.3830879218</v>
      </c>
      <c r="L1636" s="7" t="n">
        <v>0.005390401104</v>
      </c>
      <c r="M1636" s="7" t="n">
        <v>0.02654565835</v>
      </c>
      <c r="N1636" s="7" t="n">
        <v>11</v>
      </c>
      <c r="O1636" s="7" t="n">
        <v>11</v>
      </c>
      <c r="P1636" s="7" t="n">
        <v>0</v>
      </c>
      <c r="Q1636" s="2"/>
      <c r="R1636" s="7" t="n">
        <v>1.712432</v>
      </c>
      <c r="S1636" s="5" t="s">
        <v>82</v>
      </c>
      <c r="T1636" s="5" t="s">
        <v>61</v>
      </c>
    </row>
    <row r="1637" customFormat="false" ht="15" hidden="false" customHeight="false" outlineLevel="0" collapsed="false">
      <c r="A1637" s="5" t="s">
        <v>4</v>
      </c>
      <c r="B1637" s="5" t="s">
        <v>55</v>
      </c>
      <c r="C1637" s="2" t="s">
        <v>56</v>
      </c>
      <c r="D1637" s="5" t="s">
        <v>83</v>
      </c>
      <c r="E1637" s="5" t="s">
        <v>62</v>
      </c>
      <c r="F1637" s="2" t="n">
        <v>15</v>
      </c>
      <c r="G1637" s="5" t="s">
        <v>68</v>
      </c>
      <c r="H1637" s="2" t="n">
        <v>1</v>
      </c>
      <c r="I1637" s="2" t="n">
        <v>1</v>
      </c>
      <c r="J1637" s="2" t="n">
        <v>1</v>
      </c>
      <c r="K1637" s="7" t="n">
        <v>0.3830879218</v>
      </c>
      <c r="L1637" s="7" t="n">
        <v>0.005390401104</v>
      </c>
      <c r="M1637" s="7" t="n">
        <v>0.02654565835</v>
      </c>
      <c r="N1637" s="7" t="n">
        <v>11</v>
      </c>
      <c r="O1637" s="7" t="n">
        <v>11</v>
      </c>
      <c r="P1637" s="7" t="n">
        <v>11</v>
      </c>
      <c r="Q1637" s="2"/>
      <c r="R1637" s="7" t="n">
        <v>2.270276</v>
      </c>
      <c r="S1637" s="5" t="s">
        <v>82</v>
      </c>
      <c r="T1637" s="5" t="s">
        <v>61</v>
      </c>
    </row>
    <row r="1638" customFormat="false" ht="15" hidden="false" customHeight="false" outlineLevel="0" collapsed="false">
      <c r="A1638" s="5" t="s">
        <v>4</v>
      </c>
      <c r="B1638" s="5" t="s">
        <v>55</v>
      </c>
      <c r="C1638" s="2" t="s">
        <v>56</v>
      </c>
      <c r="D1638" s="5" t="s">
        <v>83</v>
      </c>
      <c r="E1638" s="5" t="s">
        <v>58</v>
      </c>
      <c r="F1638" s="2" t="n">
        <v>15</v>
      </c>
      <c r="G1638" s="5" t="s">
        <v>69</v>
      </c>
      <c r="H1638" s="2" t="n">
        <v>1</v>
      </c>
      <c r="I1638" s="2" t="n">
        <v>1</v>
      </c>
      <c r="J1638" s="2" t="n">
        <v>1</v>
      </c>
      <c r="K1638" s="7" t="n">
        <v>0.7252933363</v>
      </c>
      <c r="L1638" s="7" t="n">
        <v>0.02018479433</v>
      </c>
      <c r="M1638" s="7" t="n">
        <v>0.05053531402</v>
      </c>
      <c r="N1638" s="7" t="n">
        <v>5</v>
      </c>
      <c r="O1638" s="7" t="n">
        <v>5</v>
      </c>
      <c r="P1638" s="7" t="n">
        <v>0</v>
      </c>
      <c r="Q1638" s="2"/>
      <c r="R1638" s="7" t="n">
        <v>2.827669</v>
      </c>
      <c r="S1638" s="5" t="s">
        <v>82</v>
      </c>
      <c r="T1638" s="5" t="s">
        <v>61</v>
      </c>
    </row>
    <row r="1639" customFormat="false" ht="15" hidden="false" customHeight="false" outlineLevel="0" collapsed="false">
      <c r="A1639" s="5" t="s">
        <v>4</v>
      </c>
      <c r="B1639" s="5" t="s">
        <v>55</v>
      </c>
      <c r="C1639" s="2" t="s">
        <v>56</v>
      </c>
      <c r="D1639" s="5" t="s">
        <v>83</v>
      </c>
      <c r="E1639" s="5" t="s">
        <v>62</v>
      </c>
      <c r="F1639" s="2" t="n">
        <v>15</v>
      </c>
      <c r="G1639" s="5" t="s">
        <v>69</v>
      </c>
      <c r="H1639" s="2" t="n">
        <v>1</v>
      </c>
      <c r="I1639" s="2" t="n">
        <v>1</v>
      </c>
      <c r="J1639" s="2" t="n">
        <v>1</v>
      </c>
      <c r="K1639" s="7" t="n">
        <v>0.7252933363</v>
      </c>
      <c r="L1639" s="7" t="n">
        <v>0.02018479433</v>
      </c>
      <c r="M1639" s="7" t="n">
        <v>0.05053531402</v>
      </c>
      <c r="N1639" s="7" t="n">
        <v>5</v>
      </c>
      <c r="O1639" s="7" t="n">
        <v>5</v>
      </c>
      <c r="P1639" s="7" t="n">
        <v>5</v>
      </c>
      <c r="Q1639" s="2"/>
      <c r="R1639" s="7" t="n">
        <v>3.150526</v>
      </c>
      <c r="S1639" s="5" t="s">
        <v>82</v>
      </c>
      <c r="T1639" s="5" t="s">
        <v>61</v>
      </c>
    </row>
    <row r="1640" customFormat="false" ht="15" hidden="false" customHeight="false" outlineLevel="0" collapsed="false">
      <c r="A1640" s="5" t="s">
        <v>4</v>
      </c>
      <c r="B1640" s="5" t="s">
        <v>55</v>
      </c>
      <c r="C1640" s="2" t="s">
        <v>56</v>
      </c>
      <c r="D1640" s="5" t="s">
        <v>83</v>
      </c>
      <c r="E1640" s="5" t="s">
        <v>58</v>
      </c>
      <c r="F1640" s="2" t="n">
        <v>15</v>
      </c>
      <c r="G1640" s="5" t="s">
        <v>70</v>
      </c>
      <c r="H1640" s="2" t="n">
        <v>0</v>
      </c>
      <c r="I1640" s="2" t="n">
        <v>1</v>
      </c>
      <c r="J1640" s="2" t="n">
        <v>1</v>
      </c>
      <c r="K1640" s="7" t="n">
        <v>0.2897451913</v>
      </c>
      <c r="L1640" s="7" t="n">
        <v>0.01603798142</v>
      </c>
      <c r="M1640" s="7" t="n">
        <v>0.02480534511</v>
      </c>
      <c r="N1640" s="7" t="n">
        <v>10</v>
      </c>
      <c r="O1640" s="7" t="n">
        <v>10</v>
      </c>
      <c r="P1640" s="7" t="n">
        <v>0</v>
      </c>
      <c r="Q1640" s="2"/>
      <c r="R1640" s="7" t="n">
        <v>2.737576</v>
      </c>
      <c r="S1640" s="5" t="s">
        <v>82</v>
      </c>
      <c r="T1640" s="5" t="s">
        <v>61</v>
      </c>
    </row>
    <row r="1641" customFormat="false" ht="15" hidden="false" customHeight="false" outlineLevel="0" collapsed="false">
      <c r="A1641" s="5" t="s">
        <v>4</v>
      </c>
      <c r="B1641" s="5" t="s">
        <v>55</v>
      </c>
      <c r="C1641" s="2" t="s">
        <v>56</v>
      </c>
      <c r="D1641" s="5" t="s">
        <v>83</v>
      </c>
      <c r="E1641" s="5" t="s">
        <v>62</v>
      </c>
      <c r="F1641" s="2" t="n">
        <v>15</v>
      </c>
      <c r="G1641" s="5" t="s">
        <v>70</v>
      </c>
      <c r="H1641" s="2" t="n">
        <v>0</v>
      </c>
      <c r="I1641" s="2" t="n">
        <v>1</v>
      </c>
      <c r="J1641" s="2" t="n">
        <v>1</v>
      </c>
      <c r="K1641" s="7" t="n">
        <v>0.8582404154</v>
      </c>
      <c r="L1641" s="7" t="n">
        <v>0.0410084402</v>
      </c>
      <c r="M1641" s="7" t="n">
        <v>0.06819922257</v>
      </c>
      <c r="N1641" s="7" t="n">
        <v>10</v>
      </c>
      <c r="O1641" s="7" t="n">
        <v>10</v>
      </c>
      <c r="P1641" s="7" t="n">
        <v>8</v>
      </c>
      <c r="Q1641" s="2"/>
      <c r="R1641" s="7" t="n">
        <v>3.31563</v>
      </c>
      <c r="S1641" s="5" t="s">
        <v>82</v>
      </c>
      <c r="T1641" s="5" t="s">
        <v>61</v>
      </c>
    </row>
    <row r="1642" customFormat="false" ht="15" hidden="false" customHeight="false" outlineLevel="0" collapsed="false">
      <c r="A1642" s="5" t="s">
        <v>4</v>
      </c>
      <c r="B1642" s="5" t="s">
        <v>55</v>
      </c>
      <c r="C1642" s="2" t="s">
        <v>56</v>
      </c>
      <c r="D1642" s="5" t="s">
        <v>83</v>
      </c>
      <c r="E1642" s="5" t="s">
        <v>58</v>
      </c>
      <c r="F1642" s="2" t="n">
        <v>16</v>
      </c>
      <c r="G1642" s="5" t="s">
        <v>67</v>
      </c>
      <c r="H1642" s="2" t="n">
        <v>1</v>
      </c>
      <c r="I1642" s="2" t="n">
        <v>1</v>
      </c>
      <c r="J1642" s="2" t="n">
        <v>1</v>
      </c>
      <c r="K1642" s="7" t="n">
        <v>1.484405617</v>
      </c>
      <c r="L1642" s="7" t="n">
        <v>0.1163877547</v>
      </c>
      <c r="M1642" s="7" t="n">
        <v>0.1483968264</v>
      </c>
      <c r="N1642" s="7" t="n">
        <v>15</v>
      </c>
      <c r="O1642" s="7" t="n">
        <v>15</v>
      </c>
      <c r="P1642" s="7" t="n">
        <v>0</v>
      </c>
      <c r="Q1642" s="2"/>
      <c r="R1642" s="7" t="n">
        <v>1.659934</v>
      </c>
      <c r="S1642" s="5" t="s">
        <v>82</v>
      </c>
      <c r="T1642" s="5" t="s">
        <v>61</v>
      </c>
    </row>
    <row r="1643" customFormat="false" ht="15" hidden="false" customHeight="false" outlineLevel="0" collapsed="false">
      <c r="A1643" s="5" t="s">
        <v>4</v>
      </c>
      <c r="B1643" s="5" t="s">
        <v>55</v>
      </c>
      <c r="C1643" s="2" t="s">
        <v>56</v>
      </c>
      <c r="D1643" s="5" t="s">
        <v>83</v>
      </c>
      <c r="E1643" s="5" t="s">
        <v>62</v>
      </c>
      <c r="F1643" s="2" t="n">
        <v>16</v>
      </c>
      <c r="G1643" s="5" t="s">
        <v>67</v>
      </c>
      <c r="H1643" s="2" t="n">
        <v>1</v>
      </c>
      <c r="I1643" s="2" t="n">
        <v>1</v>
      </c>
      <c r="J1643" s="2" t="n">
        <v>1</v>
      </c>
      <c r="K1643" s="7" t="n">
        <v>0.6236690142</v>
      </c>
      <c r="L1643" s="7" t="n">
        <v>0.05086628464</v>
      </c>
      <c r="M1643" s="7" t="n">
        <v>0.06392897815</v>
      </c>
      <c r="N1643" s="7" t="n">
        <v>15</v>
      </c>
      <c r="O1643" s="7" t="n">
        <v>15</v>
      </c>
      <c r="P1643" s="7" t="n">
        <v>14</v>
      </c>
      <c r="Q1643" s="2"/>
      <c r="R1643" s="7" t="n">
        <v>2.361</v>
      </c>
      <c r="S1643" s="5" t="s">
        <v>82</v>
      </c>
      <c r="T1643" s="5" t="s">
        <v>61</v>
      </c>
    </row>
    <row r="1644" customFormat="false" ht="15" hidden="false" customHeight="false" outlineLevel="0" collapsed="false">
      <c r="A1644" s="5" t="s">
        <v>4</v>
      </c>
      <c r="B1644" s="5" t="s">
        <v>55</v>
      </c>
      <c r="C1644" s="2" t="s">
        <v>56</v>
      </c>
      <c r="D1644" s="5" t="s">
        <v>83</v>
      </c>
      <c r="E1644" s="5" t="s">
        <v>58</v>
      </c>
      <c r="F1644" s="2" t="n">
        <v>16</v>
      </c>
      <c r="G1644" s="5" t="s">
        <v>68</v>
      </c>
      <c r="H1644" s="2" t="n">
        <v>1</v>
      </c>
      <c r="I1644" s="2" t="n">
        <v>1</v>
      </c>
      <c r="J1644" s="2" t="n">
        <v>1</v>
      </c>
      <c r="K1644" s="7" t="n">
        <v>0.7031157754</v>
      </c>
      <c r="L1644" s="7" t="n">
        <v>0.05327688424</v>
      </c>
      <c r="M1644" s="7" t="n">
        <v>0.06788822131</v>
      </c>
      <c r="N1644" s="7" t="n">
        <v>10</v>
      </c>
      <c r="O1644" s="7" t="n">
        <v>10</v>
      </c>
      <c r="P1644" s="7" t="n">
        <v>0</v>
      </c>
      <c r="Q1644" s="2"/>
      <c r="R1644" s="7" t="n">
        <v>1.582249</v>
      </c>
      <c r="S1644" s="5" t="s">
        <v>82</v>
      </c>
      <c r="T1644" s="5" t="s">
        <v>61</v>
      </c>
    </row>
    <row r="1645" customFormat="false" ht="15" hidden="false" customHeight="false" outlineLevel="0" collapsed="false">
      <c r="A1645" s="5" t="s">
        <v>4</v>
      </c>
      <c r="B1645" s="5" t="s">
        <v>55</v>
      </c>
      <c r="C1645" s="2" t="s">
        <v>56</v>
      </c>
      <c r="D1645" s="5" t="s">
        <v>83</v>
      </c>
      <c r="E1645" s="5" t="s">
        <v>62</v>
      </c>
      <c r="F1645" s="2" t="n">
        <v>16</v>
      </c>
      <c r="G1645" s="5" t="s">
        <v>68</v>
      </c>
      <c r="H1645" s="2" t="n">
        <v>1</v>
      </c>
      <c r="I1645" s="2" t="n">
        <v>1</v>
      </c>
      <c r="J1645" s="2" t="n">
        <v>1</v>
      </c>
      <c r="K1645" s="7" t="n">
        <v>0.7031157754</v>
      </c>
      <c r="L1645" s="7" t="n">
        <v>0.05327688424</v>
      </c>
      <c r="M1645" s="7" t="n">
        <v>0.06788822131</v>
      </c>
      <c r="N1645" s="7" t="n">
        <v>10</v>
      </c>
      <c r="O1645" s="7" t="n">
        <v>10</v>
      </c>
      <c r="P1645" s="7" t="n">
        <v>10</v>
      </c>
      <c r="Q1645" s="2"/>
      <c r="R1645" s="7" t="n">
        <v>2.119683</v>
      </c>
      <c r="S1645" s="5" t="s">
        <v>82</v>
      </c>
      <c r="T1645" s="5" t="s">
        <v>61</v>
      </c>
    </row>
    <row r="1646" customFormat="false" ht="15" hidden="false" customHeight="false" outlineLevel="0" collapsed="false">
      <c r="A1646" s="5" t="s">
        <v>4</v>
      </c>
      <c r="B1646" s="5" t="s">
        <v>55</v>
      </c>
      <c r="C1646" s="2" t="s">
        <v>56</v>
      </c>
      <c r="D1646" s="5" t="s">
        <v>83</v>
      </c>
      <c r="E1646" s="5" t="s">
        <v>58</v>
      </c>
      <c r="F1646" s="2" t="n">
        <v>16</v>
      </c>
      <c r="G1646" s="5" t="s">
        <v>69</v>
      </c>
      <c r="H1646" s="2" t="n">
        <v>1</v>
      </c>
      <c r="I1646" s="2" t="n">
        <v>0</v>
      </c>
      <c r="J1646" s="2" t="n">
        <v>0</v>
      </c>
      <c r="K1646" s="2"/>
      <c r="L1646" s="2"/>
      <c r="M1646" s="2"/>
      <c r="N1646" s="7" t="n">
        <v>2</v>
      </c>
      <c r="O1646" s="7" t="n">
        <v>2</v>
      </c>
      <c r="P1646" s="7" t="n">
        <v>0</v>
      </c>
      <c r="Q1646" s="2"/>
      <c r="R1646" s="7" t="n">
        <v>2.290957</v>
      </c>
      <c r="S1646" s="5" t="s">
        <v>82</v>
      </c>
      <c r="T1646" s="5" t="s">
        <v>61</v>
      </c>
    </row>
    <row r="1647" customFormat="false" ht="15" hidden="false" customHeight="false" outlineLevel="0" collapsed="false">
      <c r="A1647" s="5" t="s">
        <v>4</v>
      </c>
      <c r="B1647" s="5" t="s">
        <v>55</v>
      </c>
      <c r="C1647" s="2" t="s">
        <v>56</v>
      </c>
      <c r="D1647" s="5" t="s">
        <v>83</v>
      </c>
      <c r="E1647" s="5" t="s">
        <v>62</v>
      </c>
      <c r="F1647" s="2" t="n">
        <v>16</v>
      </c>
      <c r="G1647" s="5" t="s">
        <v>69</v>
      </c>
      <c r="H1647" s="2" t="n">
        <v>1</v>
      </c>
      <c r="I1647" s="2" t="n">
        <v>0</v>
      </c>
      <c r="J1647" s="2" t="n">
        <v>0</v>
      </c>
      <c r="K1647" s="2"/>
      <c r="L1647" s="2"/>
      <c r="M1647" s="2"/>
      <c r="N1647" s="7" t="n">
        <v>2</v>
      </c>
      <c r="O1647" s="7" t="n">
        <v>2</v>
      </c>
      <c r="P1647" s="7" t="n">
        <v>0</v>
      </c>
      <c r="Q1647" s="2"/>
      <c r="R1647" s="7" t="n">
        <v>2.290957</v>
      </c>
      <c r="S1647" s="5" t="s">
        <v>82</v>
      </c>
      <c r="T1647" s="5" t="s">
        <v>61</v>
      </c>
    </row>
    <row r="1648" customFormat="false" ht="15" hidden="false" customHeight="false" outlineLevel="0" collapsed="false">
      <c r="A1648" s="5" t="s">
        <v>4</v>
      </c>
      <c r="B1648" s="5" t="s">
        <v>55</v>
      </c>
      <c r="C1648" s="2" t="s">
        <v>56</v>
      </c>
      <c r="D1648" s="5" t="s">
        <v>83</v>
      </c>
      <c r="E1648" s="5" t="s">
        <v>58</v>
      </c>
      <c r="F1648" s="2" t="n">
        <v>16</v>
      </c>
      <c r="G1648" s="5" t="s">
        <v>70</v>
      </c>
      <c r="H1648" s="2" t="n">
        <v>0</v>
      </c>
      <c r="I1648" s="2" t="n">
        <v>1</v>
      </c>
      <c r="J1648" s="2" t="n">
        <v>1</v>
      </c>
      <c r="K1648" s="7" t="n">
        <v>0.3640624801</v>
      </c>
      <c r="L1648" s="7" t="n">
        <v>0.03929573195</v>
      </c>
      <c r="M1648" s="7" t="n">
        <v>0.04714313678</v>
      </c>
      <c r="N1648" s="7" t="n">
        <v>7</v>
      </c>
      <c r="O1648" s="7" t="n">
        <v>7</v>
      </c>
      <c r="P1648" s="7" t="n">
        <v>0</v>
      </c>
      <c r="Q1648" s="2"/>
      <c r="R1648" s="7" t="n">
        <v>2.633423</v>
      </c>
      <c r="S1648" s="5" t="s">
        <v>82</v>
      </c>
      <c r="T1648" s="5" t="s">
        <v>61</v>
      </c>
    </row>
    <row r="1649" customFormat="false" ht="15" hidden="false" customHeight="false" outlineLevel="0" collapsed="false">
      <c r="A1649" s="5" t="s">
        <v>4</v>
      </c>
      <c r="B1649" s="5" t="s">
        <v>55</v>
      </c>
      <c r="C1649" s="2" t="s">
        <v>56</v>
      </c>
      <c r="D1649" s="5" t="s">
        <v>83</v>
      </c>
      <c r="E1649" s="5" t="s">
        <v>62</v>
      </c>
      <c r="F1649" s="2" t="n">
        <v>16</v>
      </c>
      <c r="G1649" s="5" t="s">
        <v>70</v>
      </c>
      <c r="H1649" s="2" t="n">
        <v>0</v>
      </c>
      <c r="I1649" s="2" t="n">
        <v>1</v>
      </c>
      <c r="J1649" s="2" t="n">
        <v>1</v>
      </c>
      <c r="K1649" s="7" t="n">
        <v>1.160836801</v>
      </c>
      <c r="L1649" s="7" t="n">
        <v>0.09686199784</v>
      </c>
      <c r="M1649" s="7" t="n">
        <v>0.1255680949</v>
      </c>
      <c r="N1649" s="7" t="n">
        <v>7</v>
      </c>
      <c r="O1649" s="7" t="n">
        <v>7</v>
      </c>
      <c r="P1649" s="7" t="n">
        <v>6</v>
      </c>
      <c r="Q1649" s="2"/>
      <c r="R1649" s="7" t="n">
        <v>3.120462</v>
      </c>
      <c r="S1649" s="5" t="s">
        <v>82</v>
      </c>
      <c r="T1649" s="5" t="s">
        <v>61</v>
      </c>
    </row>
    <row r="1650" customFormat="false" ht="15" hidden="false" customHeight="false" outlineLevel="0" collapsed="false">
      <c r="A1650" s="5" t="s">
        <v>4</v>
      </c>
      <c r="B1650" s="5" t="s">
        <v>55</v>
      </c>
      <c r="C1650" s="2" t="s">
        <v>56</v>
      </c>
      <c r="D1650" s="5" t="s">
        <v>83</v>
      </c>
      <c r="E1650" s="5" t="s">
        <v>58</v>
      </c>
      <c r="F1650" s="2" t="n">
        <v>17</v>
      </c>
      <c r="G1650" s="5" t="s">
        <v>67</v>
      </c>
      <c r="H1650" s="2" t="n">
        <v>1</v>
      </c>
      <c r="I1650" s="2" t="n">
        <v>1</v>
      </c>
      <c r="J1650" s="2" t="n">
        <v>1</v>
      </c>
      <c r="K1650" s="7" t="n">
        <v>0.3675247184</v>
      </c>
      <c r="L1650" s="7" t="n">
        <v>0.04575241416</v>
      </c>
      <c r="M1650" s="7" t="n">
        <v>0.05354331796</v>
      </c>
      <c r="N1650" s="7" t="n">
        <v>16</v>
      </c>
      <c r="O1650" s="7" t="n">
        <v>16</v>
      </c>
      <c r="P1650" s="7" t="n">
        <v>0</v>
      </c>
      <c r="Q1650" s="2"/>
      <c r="R1650" s="7" t="n">
        <v>1.446337</v>
      </c>
      <c r="S1650" s="5" t="s">
        <v>82</v>
      </c>
      <c r="T1650" s="5" t="s">
        <v>61</v>
      </c>
    </row>
    <row r="1651" customFormat="false" ht="15" hidden="false" customHeight="false" outlineLevel="0" collapsed="false">
      <c r="A1651" s="5" t="s">
        <v>4</v>
      </c>
      <c r="B1651" s="5" t="s">
        <v>55</v>
      </c>
      <c r="C1651" s="2" t="s">
        <v>56</v>
      </c>
      <c r="D1651" s="5" t="s">
        <v>83</v>
      </c>
      <c r="E1651" s="5" t="s">
        <v>62</v>
      </c>
      <c r="F1651" s="2" t="n">
        <v>17</v>
      </c>
      <c r="G1651" s="5" t="s">
        <v>67</v>
      </c>
      <c r="H1651" s="2" t="n">
        <v>1</v>
      </c>
      <c r="I1651" s="2" t="n">
        <v>1</v>
      </c>
      <c r="J1651" s="2" t="n">
        <v>1</v>
      </c>
      <c r="K1651" s="7" t="n">
        <v>0.3675247184</v>
      </c>
      <c r="L1651" s="7" t="n">
        <v>0.04575241416</v>
      </c>
      <c r="M1651" s="7" t="n">
        <v>0.05354331796</v>
      </c>
      <c r="N1651" s="7" t="n">
        <v>16</v>
      </c>
      <c r="O1651" s="7" t="n">
        <v>16</v>
      </c>
      <c r="P1651" s="7" t="n">
        <v>15</v>
      </c>
      <c r="Q1651" s="2"/>
      <c r="R1651" s="7" t="n">
        <v>2.180522</v>
      </c>
      <c r="S1651" s="5" t="s">
        <v>82</v>
      </c>
      <c r="T1651" s="5" t="s">
        <v>61</v>
      </c>
    </row>
    <row r="1652" customFormat="false" ht="15" hidden="false" customHeight="false" outlineLevel="0" collapsed="false">
      <c r="A1652" s="5" t="s">
        <v>4</v>
      </c>
      <c r="B1652" s="5" t="s">
        <v>55</v>
      </c>
      <c r="C1652" s="2" t="s">
        <v>56</v>
      </c>
      <c r="D1652" s="5" t="s">
        <v>83</v>
      </c>
      <c r="E1652" s="5" t="s">
        <v>58</v>
      </c>
      <c r="F1652" s="2" t="n">
        <v>17</v>
      </c>
      <c r="G1652" s="5" t="s">
        <v>68</v>
      </c>
      <c r="H1652" s="2" t="n">
        <v>1</v>
      </c>
      <c r="I1652" s="2" t="n">
        <v>1</v>
      </c>
      <c r="J1652" s="2" t="n">
        <v>1</v>
      </c>
      <c r="K1652" s="7" t="n">
        <v>0.9501222527</v>
      </c>
      <c r="L1652" s="7" t="n">
        <v>0.04924583003</v>
      </c>
      <c r="M1652" s="7" t="n">
        <v>0.0760768063</v>
      </c>
      <c r="N1652" s="7" t="n">
        <v>10</v>
      </c>
      <c r="O1652" s="7" t="n">
        <v>10</v>
      </c>
      <c r="P1652" s="7" t="n">
        <v>0</v>
      </c>
      <c r="Q1652" s="2"/>
      <c r="R1652" s="7" t="n">
        <v>1.762566</v>
      </c>
      <c r="S1652" s="5" t="s">
        <v>82</v>
      </c>
      <c r="T1652" s="5" t="s">
        <v>61</v>
      </c>
    </row>
    <row r="1653" customFormat="false" ht="15" hidden="false" customHeight="false" outlineLevel="0" collapsed="false">
      <c r="A1653" s="5" t="s">
        <v>4</v>
      </c>
      <c r="B1653" s="5" t="s">
        <v>55</v>
      </c>
      <c r="C1653" s="2" t="s">
        <v>56</v>
      </c>
      <c r="D1653" s="5" t="s">
        <v>83</v>
      </c>
      <c r="E1653" s="5" t="s">
        <v>62</v>
      </c>
      <c r="F1653" s="2" t="n">
        <v>17</v>
      </c>
      <c r="G1653" s="5" t="s">
        <v>68</v>
      </c>
      <c r="H1653" s="2" t="n">
        <v>1</v>
      </c>
      <c r="I1653" s="2" t="n">
        <v>1</v>
      </c>
      <c r="J1653" s="2" t="n">
        <v>1</v>
      </c>
      <c r="K1653" s="7" t="n">
        <v>0.9501222527</v>
      </c>
      <c r="L1653" s="7" t="n">
        <v>0.04924583003</v>
      </c>
      <c r="M1653" s="7" t="n">
        <v>0.0760768063</v>
      </c>
      <c r="N1653" s="7" t="n">
        <v>10</v>
      </c>
      <c r="O1653" s="7" t="n">
        <v>10</v>
      </c>
      <c r="P1653" s="7" t="n">
        <v>10</v>
      </c>
      <c r="Q1653" s="2"/>
      <c r="R1653" s="7" t="n">
        <v>2.298338</v>
      </c>
      <c r="S1653" s="5" t="s">
        <v>82</v>
      </c>
      <c r="T1653" s="5" t="s">
        <v>61</v>
      </c>
    </row>
    <row r="1654" customFormat="false" ht="15" hidden="false" customHeight="false" outlineLevel="0" collapsed="false">
      <c r="A1654" s="5" t="s">
        <v>4</v>
      </c>
      <c r="B1654" s="5" t="s">
        <v>55</v>
      </c>
      <c r="C1654" s="2" t="s">
        <v>56</v>
      </c>
      <c r="D1654" s="5" t="s">
        <v>83</v>
      </c>
      <c r="E1654" s="5" t="s">
        <v>58</v>
      </c>
      <c r="F1654" s="2" t="n">
        <v>17</v>
      </c>
      <c r="G1654" s="5" t="s">
        <v>69</v>
      </c>
      <c r="H1654" s="2" t="n">
        <v>1</v>
      </c>
      <c r="I1654" s="2" t="n">
        <v>1</v>
      </c>
      <c r="J1654" s="2" t="n">
        <v>1</v>
      </c>
      <c r="K1654" s="7" t="n">
        <v>0.7612392849</v>
      </c>
      <c r="L1654" s="7" t="n">
        <v>0.1142550838</v>
      </c>
      <c r="M1654" s="7" t="n">
        <v>0.1250729421</v>
      </c>
      <c r="N1654" s="7" t="n">
        <v>11</v>
      </c>
      <c r="O1654" s="7" t="n">
        <v>11</v>
      </c>
      <c r="P1654" s="7" t="n">
        <v>0</v>
      </c>
      <c r="Q1654" s="2"/>
      <c r="R1654" s="7" t="n">
        <v>2.742944</v>
      </c>
      <c r="S1654" s="5" t="s">
        <v>82</v>
      </c>
      <c r="T1654" s="5" t="s">
        <v>61</v>
      </c>
    </row>
    <row r="1655" customFormat="false" ht="15" hidden="false" customHeight="false" outlineLevel="0" collapsed="false">
      <c r="A1655" s="5" t="s">
        <v>4</v>
      </c>
      <c r="B1655" s="5" t="s">
        <v>55</v>
      </c>
      <c r="C1655" s="2" t="s">
        <v>56</v>
      </c>
      <c r="D1655" s="5" t="s">
        <v>83</v>
      </c>
      <c r="E1655" s="5" t="s">
        <v>62</v>
      </c>
      <c r="F1655" s="2" t="n">
        <v>17</v>
      </c>
      <c r="G1655" s="5" t="s">
        <v>69</v>
      </c>
      <c r="H1655" s="2" t="n">
        <v>1</v>
      </c>
      <c r="I1655" s="2" t="n">
        <v>1</v>
      </c>
      <c r="J1655" s="2" t="n">
        <v>1</v>
      </c>
      <c r="K1655" s="7" t="n">
        <v>0.7612392849</v>
      </c>
      <c r="L1655" s="7" t="n">
        <v>0.1142550838</v>
      </c>
      <c r="M1655" s="7" t="n">
        <v>0.1250729421</v>
      </c>
      <c r="N1655" s="7" t="n">
        <v>11</v>
      </c>
      <c r="O1655" s="7" t="n">
        <v>11</v>
      </c>
      <c r="P1655" s="7" t="n">
        <v>11</v>
      </c>
      <c r="Q1655" s="2"/>
      <c r="R1655" s="7" t="n">
        <v>3.345985</v>
      </c>
      <c r="S1655" s="5" t="s">
        <v>82</v>
      </c>
      <c r="T1655" s="5" t="s">
        <v>61</v>
      </c>
    </row>
    <row r="1656" customFormat="false" ht="15" hidden="false" customHeight="false" outlineLevel="0" collapsed="false">
      <c r="A1656" s="5" t="s">
        <v>4</v>
      </c>
      <c r="B1656" s="5" t="s">
        <v>55</v>
      </c>
      <c r="C1656" s="2" t="s">
        <v>56</v>
      </c>
      <c r="D1656" s="5" t="s">
        <v>83</v>
      </c>
      <c r="E1656" s="5" t="s">
        <v>58</v>
      </c>
      <c r="F1656" s="2" t="n">
        <v>17</v>
      </c>
      <c r="G1656" s="5" t="s">
        <v>70</v>
      </c>
      <c r="H1656" s="2" t="n">
        <v>0</v>
      </c>
      <c r="I1656" s="2" t="n">
        <v>1</v>
      </c>
      <c r="J1656" s="2" t="n">
        <v>1</v>
      </c>
      <c r="K1656" s="7" t="n">
        <v>0.3002260007</v>
      </c>
      <c r="L1656" s="7" t="n">
        <v>0.02278775502</v>
      </c>
      <c r="M1656" s="7" t="n">
        <v>0.03198630797</v>
      </c>
      <c r="N1656" s="7" t="n">
        <v>8</v>
      </c>
      <c r="O1656" s="7" t="n">
        <v>8</v>
      </c>
      <c r="P1656" s="7" t="n">
        <v>0</v>
      </c>
      <c r="Q1656" s="2"/>
      <c r="R1656" s="7" t="n">
        <v>2.753951</v>
      </c>
      <c r="S1656" s="5" t="s">
        <v>82</v>
      </c>
      <c r="T1656" s="5" t="s">
        <v>61</v>
      </c>
    </row>
    <row r="1657" customFormat="false" ht="15" hidden="false" customHeight="false" outlineLevel="0" collapsed="false">
      <c r="A1657" s="5" t="s">
        <v>4</v>
      </c>
      <c r="B1657" s="5" t="s">
        <v>55</v>
      </c>
      <c r="C1657" s="2" t="s">
        <v>56</v>
      </c>
      <c r="D1657" s="5" t="s">
        <v>83</v>
      </c>
      <c r="E1657" s="5" t="s">
        <v>62</v>
      </c>
      <c r="F1657" s="2" t="n">
        <v>17</v>
      </c>
      <c r="G1657" s="5" t="s">
        <v>70</v>
      </c>
      <c r="H1657" s="2" t="n">
        <v>0</v>
      </c>
      <c r="I1657" s="2" t="n">
        <v>1</v>
      </c>
      <c r="J1657" s="2" t="n">
        <v>1</v>
      </c>
      <c r="K1657" s="7" t="n">
        <v>0.2112183631</v>
      </c>
      <c r="L1657" s="7" t="n">
        <v>0.02280741601</v>
      </c>
      <c r="M1657" s="7" t="n">
        <v>0.02876965897</v>
      </c>
      <c r="N1657" s="7" t="n">
        <v>8</v>
      </c>
      <c r="O1657" s="7" t="n">
        <v>8</v>
      </c>
      <c r="P1657" s="7" t="n">
        <v>7</v>
      </c>
      <c r="Q1657" s="2"/>
      <c r="R1657" s="7" t="n">
        <v>3.309862</v>
      </c>
      <c r="S1657" s="5" t="s">
        <v>82</v>
      </c>
      <c r="T1657" s="5" t="s">
        <v>61</v>
      </c>
    </row>
    <row r="1658" customFormat="false" ht="15" hidden="false" customHeight="false" outlineLevel="0" collapsed="false">
      <c r="A1658" s="5" t="s">
        <v>4</v>
      </c>
      <c r="B1658" s="5" t="s">
        <v>55</v>
      </c>
      <c r="C1658" s="2" t="s">
        <v>56</v>
      </c>
      <c r="D1658" s="5" t="s">
        <v>83</v>
      </c>
      <c r="E1658" s="5" t="s">
        <v>58</v>
      </c>
      <c r="F1658" s="2" t="n">
        <v>18</v>
      </c>
      <c r="G1658" s="5" t="s">
        <v>67</v>
      </c>
      <c r="H1658" s="2" t="n">
        <v>1</v>
      </c>
      <c r="I1658" s="2" t="n">
        <v>1</v>
      </c>
      <c r="J1658" s="2" t="n">
        <v>1</v>
      </c>
      <c r="K1658" s="7" t="n">
        <v>0.8401291693</v>
      </c>
      <c r="L1658" s="7" t="n">
        <v>0.02923212019</v>
      </c>
      <c r="M1658" s="7" t="n">
        <v>0.06040454581</v>
      </c>
      <c r="N1658" s="7" t="n">
        <v>7</v>
      </c>
      <c r="O1658" s="7" t="n">
        <v>7</v>
      </c>
      <c r="P1658" s="7" t="n">
        <v>0</v>
      </c>
      <c r="Q1658" s="2"/>
      <c r="R1658" s="7" t="n">
        <v>1.661496</v>
      </c>
      <c r="S1658" s="5" t="s">
        <v>82</v>
      </c>
      <c r="T1658" s="5" t="s">
        <v>61</v>
      </c>
    </row>
    <row r="1659" customFormat="false" ht="15" hidden="false" customHeight="false" outlineLevel="0" collapsed="false">
      <c r="A1659" s="5" t="s">
        <v>4</v>
      </c>
      <c r="B1659" s="5" t="s">
        <v>55</v>
      </c>
      <c r="C1659" s="2" t="s">
        <v>56</v>
      </c>
      <c r="D1659" s="5" t="s">
        <v>83</v>
      </c>
      <c r="E1659" s="5" t="s">
        <v>62</v>
      </c>
      <c r="F1659" s="2" t="n">
        <v>18</v>
      </c>
      <c r="G1659" s="5" t="s">
        <v>67</v>
      </c>
      <c r="H1659" s="2" t="n">
        <v>1</v>
      </c>
      <c r="I1659" s="2" t="n">
        <v>1</v>
      </c>
      <c r="J1659" s="2" t="n">
        <v>1</v>
      </c>
      <c r="K1659" s="7" t="n">
        <v>0.8401291693</v>
      </c>
      <c r="L1659" s="7" t="n">
        <v>0.02923212019</v>
      </c>
      <c r="M1659" s="7" t="n">
        <v>0.06040454581</v>
      </c>
      <c r="N1659" s="7" t="n">
        <v>7</v>
      </c>
      <c r="O1659" s="7" t="n">
        <v>7</v>
      </c>
      <c r="P1659" s="7" t="n">
        <v>7</v>
      </c>
      <c r="Q1659" s="2"/>
      <c r="R1659" s="7" t="n">
        <v>2.148035</v>
      </c>
      <c r="S1659" s="5" t="s">
        <v>82</v>
      </c>
      <c r="T1659" s="5" t="s">
        <v>61</v>
      </c>
    </row>
    <row r="1660" customFormat="false" ht="15" hidden="false" customHeight="false" outlineLevel="0" collapsed="false">
      <c r="A1660" s="5" t="s">
        <v>4</v>
      </c>
      <c r="B1660" s="5" t="s">
        <v>55</v>
      </c>
      <c r="C1660" s="2" t="s">
        <v>56</v>
      </c>
      <c r="D1660" s="5" t="s">
        <v>83</v>
      </c>
      <c r="E1660" s="5" t="s">
        <v>58</v>
      </c>
      <c r="F1660" s="2" t="n">
        <v>18</v>
      </c>
      <c r="G1660" s="5" t="s">
        <v>68</v>
      </c>
      <c r="H1660" s="2" t="n">
        <v>1</v>
      </c>
      <c r="I1660" s="2" t="n">
        <v>1</v>
      </c>
      <c r="J1660" s="2" t="n">
        <v>1</v>
      </c>
      <c r="K1660" s="7" t="n">
        <v>0.4627920076</v>
      </c>
      <c r="L1660" s="7" t="n">
        <v>0.0271931818</v>
      </c>
      <c r="M1660" s="7" t="n">
        <v>0.04311733034</v>
      </c>
      <c r="N1660" s="7" t="n">
        <v>11</v>
      </c>
      <c r="O1660" s="7" t="n">
        <v>11</v>
      </c>
      <c r="P1660" s="7" t="n">
        <v>0</v>
      </c>
      <c r="Q1660" s="2"/>
      <c r="R1660" s="7" t="n">
        <v>1.662597</v>
      </c>
      <c r="S1660" s="5" t="s">
        <v>82</v>
      </c>
      <c r="T1660" s="5" t="s">
        <v>61</v>
      </c>
    </row>
    <row r="1661" customFormat="false" ht="15" hidden="false" customHeight="false" outlineLevel="0" collapsed="false">
      <c r="A1661" s="5" t="s">
        <v>4</v>
      </c>
      <c r="B1661" s="5" t="s">
        <v>55</v>
      </c>
      <c r="C1661" s="2" t="s">
        <v>56</v>
      </c>
      <c r="D1661" s="5" t="s">
        <v>83</v>
      </c>
      <c r="E1661" s="5" t="s">
        <v>62</v>
      </c>
      <c r="F1661" s="2" t="n">
        <v>18</v>
      </c>
      <c r="G1661" s="5" t="s">
        <v>68</v>
      </c>
      <c r="H1661" s="2" t="n">
        <v>1</v>
      </c>
      <c r="I1661" s="2" t="n">
        <v>1</v>
      </c>
      <c r="J1661" s="2" t="n">
        <v>1</v>
      </c>
      <c r="K1661" s="7" t="n">
        <v>0.4627920076</v>
      </c>
      <c r="L1661" s="7" t="n">
        <v>0.0271931818</v>
      </c>
      <c r="M1661" s="7" t="n">
        <v>0.04311733034</v>
      </c>
      <c r="N1661" s="7" t="n">
        <v>11</v>
      </c>
      <c r="O1661" s="7" t="n">
        <v>11</v>
      </c>
      <c r="P1661" s="7" t="n">
        <v>11</v>
      </c>
      <c r="Q1661" s="2"/>
      <c r="R1661" s="7" t="n">
        <v>2.209715</v>
      </c>
      <c r="S1661" s="5" t="s">
        <v>82</v>
      </c>
      <c r="T1661" s="5" t="s">
        <v>61</v>
      </c>
    </row>
    <row r="1662" customFormat="false" ht="15" hidden="false" customHeight="false" outlineLevel="0" collapsed="false">
      <c r="A1662" s="5" t="s">
        <v>4</v>
      </c>
      <c r="B1662" s="5" t="s">
        <v>55</v>
      </c>
      <c r="C1662" s="2" t="s">
        <v>56</v>
      </c>
      <c r="D1662" s="5" t="s">
        <v>83</v>
      </c>
      <c r="E1662" s="5" t="s">
        <v>58</v>
      </c>
      <c r="F1662" s="2" t="n">
        <v>18</v>
      </c>
      <c r="G1662" s="5" t="s">
        <v>69</v>
      </c>
      <c r="H1662" s="2" t="n">
        <v>1</v>
      </c>
      <c r="I1662" s="2" t="n">
        <v>1</v>
      </c>
      <c r="J1662" s="2" t="n">
        <v>1</v>
      </c>
      <c r="K1662" s="7" t="n">
        <v>0.3093030478</v>
      </c>
      <c r="L1662" s="7" t="n">
        <v>0.06251301458</v>
      </c>
      <c r="M1662" s="7" t="n">
        <v>0.06658465642</v>
      </c>
      <c r="N1662" s="7" t="n">
        <v>5</v>
      </c>
      <c r="O1662" s="7" t="n">
        <v>5</v>
      </c>
      <c r="P1662" s="7" t="n">
        <v>0</v>
      </c>
      <c r="Q1662" s="2"/>
      <c r="R1662" s="7" t="n">
        <v>2.72652</v>
      </c>
      <c r="S1662" s="5" t="s">
        <v>82</v>
      </c>
      <c r="T1662" s="5" t="s">
        <v>61</v>
      </c>
    </row>
    <row r="1663" customFormat="false" ht="15" hidden="false" customHeight="false" outlineLevel="0" collapsed="false">
      <c r="A1663" s="5" t="s">
        <v>4</v>
      </c>
      <c r="B1663" s="5" t="s">
        <v>55</v>
      </c>
      <c r="C1663" s="2" t="s">
        <v>56</v>
      </c>
      <c r="D1663" s="5" t="s">
        <v>83</v>
      </c>
      <c r="E1663" s="5" t="s">
        <v>62</v>
      </c>
      <c r="F1663" s="2" t="n">
        <v>18</v>
      </c>
      <c r="G1663" s="5" t="s">
        <v>69</v>
      </c>
      <c r="H1663" s="2" t="n">
        <v>1</v>
      </c>
      <c r="I1663" s="2" t="n">
        <v>1</v>
      </c>
      <c r="J1663" s="2" t="n">
        <v>1</v>
      </c>
      <c r="K1663" s="7" t="n">
        <v>0.3093030478</v>
      </c>
      <c r="L1663" s="7" t="n">
        <v>0.06251301458</v>
      </c>
      <c r="M1663" s="7" t="n">
        <v>0.06658465642</v>
      </c>
      <c r="N1663" s="7" t="n">
        <v>5</v>
      </c>
      <c r="O1663" s="7" t="n">
        <v>5</v>
      </c>
      <c r="P1663" s="7" t="n">
        <v>5</v>
      </c>
      <c r="Q1663" s="2"/>
      <c r="R1663" s="7" t="n">
        <v>3.104168</v>
      </c>
      <c r="S1663" s="5" t="s">
        <v>82</v>
      </c>
      <c r="T1663" s="5" t="s">
        <v>61</v>
      </c>
    </row>
    <row r="1664" customFormat="false" ht="15" hidden="false" customHeight="false" outlineLevel="0" collapsed="false">
      <c r="A1664" s="5" t="s">
        <v>4</v>
      </c>
      <c r="B1664" s="5" t="s">
        <v>55</v>
      </c>
      <c r="C1664" s="2" t="s">
        <v>56</v>
      </c>
      <c r="D1664" s="5" t="s">
        <v>83</v>
      </c>
      <c r="E1664" s="5" t="s">
        <v>58</v>
      </c>
      <c r="F1664" s="2" t="n">
        <v>18</v>
      </c>
      <c r="G1664" s="5" t="s">
        <v>70</v>
      </c>
      <c r="H1664" s="2" t="n">
        <v>0</v>
      </c>
      <c r="I1664" s="2" t="n">
        <v>1</v>
      </c>
      <c r="J1664" s="2" t="n">
        <v>1</v>
      </c>
      <c r="K1664" s="7" t="n">
        <v>0.3334367021</v>
      </c>
      <c r="L1664" s="7" t="n">
        <v>0.03079860237</v>
      </c>
      <c r="M1664" s="7" t="n">
        <v>0.0388974283</v>
      </c>
      <c r="N1664" s="7" t="n">
        <v>14</v>
      </c>
      <c r="O1664" s="7" t="n">
        <v>14</v>
      </c>
      <c r="P1664" s="7" t="n">
        <v>0</v>
      </c>
      <c r="Q1664" s="2"/>
      <c r="R1664" s="7" t="n">
        <v>2.956179</v>
      </c>
      <c r="S1664" s="5" t="s">
        <v>82</v>
      </c>
      <c r="T1664" s="5" t="s">
        <v>61</v>
      </c>
    </row>
    <row r="1665" customFormat="false" ht="15" hidden="false" customHeight="false" outlineLevel="0" collapsed="false">
      <c r="A1665" s="5" t="s">
        <v>4</v>
      </c>
      <c r="B1665" s="5" t="s">
        <v>55</v>
      </c>
      <c r="C1665" s="2" t="s">
        <v>56</v>
      </c>
      <c r="D1665" s="5" t="s">
        <v>83</v>
      </c>
      <c r="E1665" s="5" t="s">
        <v>62</v>
      </c>
      <c r="F1665" s="2" t="n">
        <v>18</v>
      </c>
      <c r="G1665" s="5" t="s">
        <v>70</v>
      </c>
      <c r="H1665" s="2" t="n">
        <v>0</v>
      </c>
      <c r="I1665" s="2" t="n">
        <v>1</v>
      </c>
      <c r="J1665" s="2" t="n">
        <v>1</v>
      </c>
      <c r="K1665" s="7" t="n">
        <v>0.737603861</v>
      </c>
      <c r="L1665" s="7" t="n">
        <v>0.0552322507</v>
      </c>
      <c r="M1665" s="7" t="n">
        <v>0.07537772425</v>
      </c>
      <c r="N1665" s="7" t="n">
        <v>14</v>
      </c>
      <c r="O1665" s="7" t="n">
        <v>14</v>
      </c>
      <c r="P1665" s="7" t="n">
        <v>12</v>
      </c>
      <c r="Q1665" s="2"/>
      <c r="R1665" s="7" t="n">
        <v>3.644517</v>
      </c>
      <c r="S1665" s="5" t="s">
        <v>82</v>
      </c>
      <c r="T1665" s="5" t="s">
        <v>61</v>
      </c>
    </row>
    <row r="1666" customFormat="false" ht="15" hidden="false" customHeight="false" outlineLevel="0" collapsed="false">
      <c r="A1666" s="5" t="s">
        <v>4</v>
      </c>
      <c r="B1666" s="5" t="s">
        <v>55</v>
      </c>
      <c r="C1666" s="2" t="s">
        <v>56</v>
      </c>
      <c r="D1666" s="5" t="s">
        <v>83</v>
      </c>
      <c r="E1666" s="5" t="s">
        <v>58</v>
      </c>
      <c r="F1666" s="2" t="n">
        <v>19</v>
      </c>
      <c r="G1666" s="5" t="s">
        <v>67</v>
      </c>
      <c r="H1666" s="2" t="n">
        <v>1</v>
      </c>
      <c r="I1666" s="2" t="n">
        <v>1</v>
      </c>
      <c r="J1666" s="2" t="n">
        <v>1</v>
      </c>
      <c r="K1666" s="7" t="n">
        <v>1.546602849</v>
      </c>
      <c r="L1666" s="7" t="n">
        <v>0.1129198778</v>
      </c>
      <c r="M1666" s="7" t="n">
        <v>0.1487310355</v>
      </c>
      <c r="N1666" s="7" t="n">
        <v>13</v>
      </c>
      <c r="O1666" s="7" t="n">
        <v>13</v>
      </c>
      <c r="P1666" s="7" t="n">
        <v>0</v>
      </c>
      <c r="Q1666" s="2"/>
      <c r="R1666" s="7" t="n">
        <v>1.390565</v>
      </c>
      <c r="S1666" s="5" t="s">
        <v>82</v>
      </c>
      <c r="T1666" s="5" t="s">
        <v>61</v>
      </c>
    </row>
    <row r="1667" customFormat="false" ht="15" hidden="false" customHeight="false" outlineLevel="0" collapsed="false">
      <c r="A1667" s="5" t="s">
        <v>4</v>
      </c>
      <c r="B1667" s="5" t="s">
        <v>55</v>
      </c>
      <c r="C1667" s="2" t="s">
        <v>56</v>
      </c>
      <c r="D1667" s="5" t="s">
        <v>83</v>
      </c>
      <c r="E1667" s="5" t="s">
        <v>62</v>
      </c>
      <c r="F1667" s="2" t="n">
        <v>19</v>
      </c>
      <c r="G1667" s="5" t="s">
        <v>67</v>
      </c>
      <c r="H1667" s="2" t="n">
        <v>1</v>
      </c>
      <c r="I1667" s="2" t="n">
        <v>1</v>
      </c>
      <c r="J1667" s="2" t="n">
        <v>1</v>
      </c>
      <c r="K1667" s="7" t="n">
        <v>0.4345557076</v>
      </c>
      <c r="L1667" s="7" t="n">
        <v>0.06650628793</v>
      </c>
      <c r="M1667" s="7" t="n">
        <v>0.07303768687</v>
      </c>
      <c r="N1667" s="7" t="n">
        <v>13</v>
      </c>
      <c r="O1667" s="7" t="n">
        <v>13</v>
      </c>
      <c r="P1667" s="7" t="n">
        <v>12</v>
      </c>
      <c r="Q1667" s="2"/>
      <c r="R1667" s="7" t="n">
        <v>2.050741</v>
      </c>
      <c r="S1667" s="5" t="s">
        <v>82</v>
      </c>
      <c r="T1667" s="5" t="s">
        <v>61</v>
      </c>
    </row>
    <row r="1668" customFormat="false" ht="15" hidden="false" customHeight="false" outlineLevel="0" collapsed="false">
      <c r="A1668" s="5" t="s">
        <v>4</v>
      </c>
      <c r="B1668" s="5" t="s">
        <v>55</v>
      </c>
      <c r="C1668" s="2" t="s">
        <v>56</v>
      </c>
      <c r="D1668" s="5" t="s">
        <v>83</v>
      </c>
      <c r="E1668" s="5" t="s">
        <v>58</v>
      </c>
      <c r="F1668" s="2" t="n">
        <v>19</v>
      </c>
      <c r="G1668" s="5" t="s">
        <v>68</v>
      </c>
      <c r="H1668" s="2" t="n">
        <v>1</v>
      </c>
      <c r="I1668" s="2" t="n">
        <v>1</v>
      </c>
      <c r="J1668" s="2" t="n">
        <v>1</v>
      </c>
      <c r="K1668" s="7" t="n">
        <v>0.4671728038</v>
      </c>
      <c r="L1668" s="7" t="n">
        <v>0.01009018801</v>
      </c>
      <c r="M1668" s="7" t="n">
        <v>0.03108475955</v>
      </c>
      <c r="N1668" s="7" t="n">
        <v>13</v>
      </c>
      <c r="O1668" s="7" t="n">
        <v>13</v>
      </c>
      <c r="P1668" s="7" t="n">
        <v>0</v>
      </c>
      <c r="Q1668" s="2"/>
      <c r="R1668" s="7" t="n">
        <v>1.415582</v>
      </c>
      <c r="S1668" s="5" t="s">
        <v>82</v>
      </c>
      <c r="T1668" s="5" t="s">
        <v>61</v>
      </c>
    </row>
    <row r="1669" customFormat="false" ht="15" hidden="false" customHeight="false" outlineLevel="0" collapsed="false">
      <c r="A1669" s="5" t="s">
        <v>4</v>
      </c>
      <c r="B1669" s="5" t="s">
        <v>55</v>
      </c>
      <c r="C1669" s="2" t="s">
        <v>56</v>
      </c>
      <c r="D1669" s="5" t="s">
        <v>83</v>
      </c>
      <c r="E1669" s="5" t="s">
        <v>62</v>
      </c>
      <c r="F1669" s="2" t="n">
        <v>19</v>
      </c>
      <c r="G1669" s="5" t="s">
        <v>68</v>
      </c>
      <c r="H1669" s="2" t="n">
        <v>1</v>
      </c>
      <c r="I1669" s="2" t="n">
        <v>1</v>
      </c>
      <c r="J1669" s="2" t="n">
        <v>1</v>
      </c>
      <c r="K1669" s="7" t="n">
        <v>0.4671728038</v>
      </c>
      <c r="L1669" s="7" t="n">
        <v>0.01009018801</v>
      </c>
      <c r="M1669" s="7" t="n">
        <v>0.03108475955</v>
      </c>
      <c r="N1669" s="7" t="n">
        <v>13</v>
      </c>
      <c r="O1669" s="7" t="n">
        <v>13</v>
      </c>
      <c r="P1669" s="7" t="n">
        <v>13</v>
      </c>
      <c r="Q1669" s="2"/>
      <c r="R1669" s="7" t="n">
        <v>2.030922</v>
      </c>
      <c r="S1669" s="5" t="s">
        <v>82</v>
      </c>
      <c r="T1669" s="5" t="s">
        <v>61</v>
      </c>
    </row>
    <row r="1670" customFormat="false" ht="15" hidden="false" customHeight="false" outlineLevel="0" collapsed="false">
      <c r="A1670" s="5" t="s">
        <v>4</v>
      </c>
      <c r="B1670" s="5" t="s">
        <v>55</v>
      </c>
      <c r="C1670" s="2" t="s">
        <v>56</v>
      </c>
      <c r="D1670" s="5" t="s">
        <v>83</v>
      </c>
      <c r="E1670" s="5" t="s">
        <v>58</v>
      </c>
      <c r="F1670" s="2" t="n">
        <v>19</v>
      </c>
      <c r="G1670" s="5" t="s">
        <v>69</v>
      </c>
      <c r="H1670" s="2" t="n">
        <v>1</v>
      </c>
      <c r="I1670" s="2" t="n">
        <v>1</v>
      </c>
      <c r="J1670" s="2" t="n">
        <v>1</v>
      </c>
      <c r="K1670" s="7" t="n">
        <v>0.5112060067</v>
      </c>
      <c r="L1670" s="7" t="n">
        <v>0.06465285137</v>
      </c>
      <c r="M1670" s="7" t="n">
        <v>0.072492792</v>
      </c>
      <c r="N1670" s="7" t="n">
        <v>11</v>
      </c>
      <c r="O1670" s="7" t="n">
        <v>11</v>
      </c>
      <c r="P1670" s="7" t="n">
        <v>0</v>
      </c>
      <c r="Q1670" s="2"/>
      <c r="R1670" s="7" t="n">
        <v>2.493104</v>
      </c>
      <c r="S1670" s="5" t="s">
        <v>82</v>
      </c>
      <c r="T1670" s="5" t="s">
        <v>61</v>
      </c>
    </row>
    <row r="1671" customFormat="false" ht="15" hidden="false" customHeight="false" outlineLevel="0" collapsed="false">
      <c r="A1671" s="5" t="s">
        <v>4</v>
      </c>
      <c r="B1671" s="5" t="s">
        <v>55</v>
      </c>
      <c r="C1671" s="2" t="s">
        <v>56</v>
      </c>
      <c r="D1671" s="5" t="s">
        <v>83</v>
      </c>
      <c r="E1671" s="5" t="s">
        <v>62</v>
      </c>
      <c r="F1671" s="2" t="n">
        <v>19</v>
      </c>
      <c r="G1671" s="5" t="s">
        <v>69</v>
      </c>
      <c r="H1671" s="2" t="n">
        <v>1</v>
      </c>
      <c r="I1671" s="2" t="n">
        <v>1</v>
      </c>
      <c r="J1671" s="2" t="n">
        <v>1</v>
      </c>
      <c r="K1671" s="7" t="n">
        <v>0.5112060067</v>
      </c>
      <c r="L1671" s="7" t="n">
        <v>0.06465285137</v>
      </c>
      <c r="M1671" s="7" t="n">
        <v>0.072492792</v>
      </c>
      <c r="N1671" s="7" t="n">
        <v>11</v>
      </c>
      <c r="O1671" s="7" t="n">
        <v>11</v>
      </c>
      <c r="P1671" s="7" t="n">
        <v>11</v>
      </c>
      <c r="Q1671" s="2"/>
      <c r="R1671" s="7" t="n">
        <v>3.110958</v>
      </c>
      <c r="S1671" s="5" t="s">
        <v>82</v>
      </c>
      <c r="T1671" s="5" t="s">
        <v>61</v>
      </c>
    </row>
    <row r="1672" customFormat="false" ht="15" hidden="false" customHeight="false" outlineLevel="0" collapsed="false">
      <c r="A1672" s="5" t="s">
        <v>4</v>
      </c>
      <c r="B1672" s="5" t="s">
        <v>55</v>
      </c>
      <c r="C1672" s="2" t="s">
        <v>56</v>
      </c>
      <c r="D1672" s="5" t="s">
        <v>83</v>
      </c>
      <c r="E1672" s="5" t="s">
        <v>58</v>
      </c>
      <c r="F1672" s="2" t="n">
        <v>19</v>
      </c>
      <c r="G1672" s="5" t="s">
        <v>70</v>
      </c>
      <c r="H1672" s="2" t="n">
        <v>0</v>
      </c>
      <c r="I1672" s="2" t="n">
        <v>1</v>
      </c>
      <c r="J1672" s="2" t="n">
        <v>0</v>
      </c>
      <c r="K1672" s="7" t="n">
        <v>3.206663936</v>
      </c>
      <c r="L1672" s="7" t="n">
        <v>0.2903537919</v>
      </c>
      <c r="M1672" s="7" t="n">
        <v>0.3624414565</v>
      </c>
      <c r="N1672" s="7" t="n">
        <v>7</v>
      </c>
      <c r="O1672" s="7" t="n">
        <v>7</v>
      </c>
      <c r="P1672" s="7" t="n">
        <v>0</v>
      </c>
      <c r="Q1672" s="2"/>
      <c r="R1672" s="7" t="n">
        <v>2.877123</v>
      </c>
      <c r="S1672" s="5" t="s">
        <v>82</v>
      </c>
      <c r="T1672" s="5" t="s">
        <v>61</v>
      </c>
    </row>
    <row r="1673" customFormat="false" ht="15" hidden="false" customHeight="false" outlineLevel="0" collapsed="false">
      <c r="A1673" s="5" t="s">
        <v>4</v>
      </c>
      <c r="B1673" s="5" t="s">
        <v>55</v>
      </c>
      <c r="C1673" s="2" t="s">
        <v>56</v>
      </c>
      <c r="D1673" s="5" t="s">
        <v>83</v>
      </c>
      <c r="E1673" s="5" t="s">
        <v>62</v>
      </c>
      <c r="F1673" s="2" t="n">
        <v>19</v>
      </c>
      <c r="G1673" s="5" t="s">
        <v>70</v>
      </c>
      <c r="H1673" s="2" t="n">
        <v>0</v>
      </c>
      <c r="I1673" s="2" t="n">
        <v>1</v>
      </c>
      <c r="J1673" s="2" t="n">
        <v>1</v>
      </c>
      <c r="K1673" s="7" t="n">
        <v>1.222744962</v>
      </c>
      <c r="L1673" s="7" t="n">
        <v>0.08373274456</v>
      </c>
      <c r="M1673" s="7" t="n">
        <v>0.1208888019</v>
      </c>
      <c r="N1673" s="7" t="n">
        <v>7</v>
      </c>
      <c r="O1673" s="7" t="n">
        <v>7</v>
      </c>
      <c r="P1673" s="7" t="n">
        <v>6</v>
      </c>
      <c r="Q1673" s="2"/>
      <c r="R1673" s="7" t="n">
        <v>3.358104</v>
      </c>
      <c r="S1673" s="5" t="s">
        <v>82</v>
      </c>
      <c r="T1673" s="5" t="s">
        <v>61</v>
      </c>
    </row>
    <row r="1674" customFormat="false" ht="15" hidden="false" customHeight="false" outlineLevel="0" collapsed="false">
      <c r="A1674" s="5" t="s">
        <v>4</v>
      </c>
      <c r="B1674" s="5" t="s">
        <v>55</v>
      </c>
      <c r="C1674" s="2" t="s">
        <v>56</v>
      </c>
      <c r="D1674" s="5" t="s">
        <v>83</v>
      </c>
      <c r="E1674" s="5" t="s">
        <v>58</v>
      </c>
      <c r="F1674" s="2" t="n">
        <v>20</v>
      </c>
      <c r="G1674" s="5" t="s">
        <v>67</v>
      </c>
      <c r="H1674" s="2" t="n">
        <v>1</v>
      </c>
      <c r="I1674" s="2" t="n">
        <v>1</v>
      </c>
      <c r="J1674" s="2" t="n">
        <v>0</v>
      </c>
      <c r="K1674" s="7" t="n">
        <v>2.392087197</v>
      </c>
      <c r="L1674" s="7" t="n">
        <v>0.1083033697</v>
      </c>
      <c r="M1674" s="7" t="n">
        <v>0.1730757019</v>
      </c>
      <c r="N1674" s="7" t="n">
        <v>13</v>
      </c>
      <c r="O1674" s="7" t="n">
        <v>13</v>
      </c>
      <c r="P1674" s="7" t="n">
        <v>0</v>
      </c>
      <c r="Q1674" s="2"/>
      <c r="R1674" s="7" t="n">
        <v>1.541508</v>
      </c>
      <c r="S1674" s="5" t="s">
        <v>82</v>
      </c>
      <c r="T1674" s="5" t="s">
        <v>61</v>
      </c>
    </row>
    <row r="1675" customFormat="false" ht="15" hidden="false" customHeight="false" outlineLevel="0" collapsed="false">
      <c r="A1675" s="5" t="s">
        <v>4</v>
      </c>
      <c r="B1675" s="5" t="s">
        <v>55</v>
      </c>
      <c r="C1675" s="2" t="s">
        <v>56</v>
      </c>
      <c r="D1675" s="5" t="s">
        <v>83</v>
      </c>
      <c r="E1675" s="5" t="s">
        <v>62</v>
      </c>
      <c r="F1675" s="2" t="n">
        <v>20</v>
      </c>
      <c r="G1675" s="5" t="s">
        <v>67</v>
      </c>
      <c r="H1675" s="2" t="n">
        <v>1</v>
      </c>
      <c r="I1675" s="2" t="n">
        <v>1</v>
      </c>
      <c r="J1675" s="2" t="n">
        <v>1</v>
      </c>
      <c r="K1675" s="7" t="n">
        <v>0.5565019148</v>
      </c>
      <c r="L1675" s="7" t="n">
        <v>0.04237049334</v>
      </c>
      <c r="M1675" s="7" t="n">
        <v>0.05480448787</v>
      </c>
      <c r="N1675" s="7" t="n">
        <v>13</v>
      </c>
      <c r="O1675" s="7" t="n">
        <v>13</v>
      </c>
      <c r="P1675" s="7" t="n">
        <v>12</v>
      </c>
      <c r="Q1675" s="2"/>
      <c r="R1675" s="7" t="n">
        <v>2.248102</v>
      </c>
      <c r="S1675" s="5" t="s">
        <v>82</v>
      </c>
      <c r="T1675" s="5" t="s">
        <v>61</v>
      </c>
    </row>
    <row r="1676" customFormat="false" ht="15" hidden="false" customHeight="false" outlineLevel="0" collapsed="false">
      <c r="A1676" s="5" t="s">
        <v>4</v>
      </c>
      <c r="B1676" s="5" t="s">
        <v>55</v>
      </c>
      <c r="C1676" s="2" t="s">
        <v>56</v>
      </c>
      <c r="D1676" s="5" t="s">
        <v>83</v>
      </c>
      <c r="E1676" s="5" t="s">
        <v>58</v>
      </c>
      <c r="F1676" s="2" t="n">
        <v>20</v>
      </c>
      <c r="G1676" s="5" t="s">
        <v>68</v>
      </c>
      <c r="H1676" s="2" t="n">
        <v>1</v>
      </c>
      <c r="I1676" s="2" t="n">
        <v>1</v>
      </c>
      <c r="J1676" s="2" t="n">
        <v>1</v>
      </c>
      <c r="K1676" s="7" t="n">
        <v>0.4235486846</v>
      </c>
      <c r="L1676" s="7" t="n">
        <v>0.02322339755</v>
      </c>
      <c r="M1676" s="7" t="n">
        <v>0.03407413077</v>
      </c>
      <c r="N1676" s="7" t="n">
        <v>14</v>
      </c>
      <c r="O1676" s="7" t="n">
        <v>14</v>
      </c>
      <c r="P1676" s="7" t="n">
        <v>0</v>
      </c>
      <c r="Q1676" s="2"/>
      <c r="R1676" s="7" t="n">
        <v>1.658652</v>
      </c>
      <c r="S1676" s="5" t="s">
        <v>82</v>
      </c>
      <c r="T1676" s="5" t="s">
        <v>61</v>
      </c>
    </row>
    <row r="1677" customFormat="false" ht="15" hidden="false" customHeight="false" outlineLevel="0" collapsed="false">
      <c r="A1677" s="5" t="s">
        <v>4</v>
      </c>
      <c r="B1677" s="5" t="s">
        <v>55</v>
      </c>
      <c r="C1677" s="2" t="s">
        <v>56</v>
      </c>
      <c r="D1677" s="5" t="s">
        <v>83</v>
      </c>
      <c r="E1677" s="5" t="s">
        <v>62</v>
      </c>
      <c r="F1677" s="2" t="n">
        <v>20</v>
      </c>
      <c r="G1677" s="5" t="s">
        <v>68</v>
      </c>
      <c r="H1677" s="2" t="n">
        <v>1</v>
      </c>
      <c r="I1677" s="2" t="n">
        <v>1</v>
      </c>
      <c r="J1677" s="2" t="n">
        <v>1</v>
      </c>
      <c r="K1677" s="7" t="n">
        <v>0.4235486846</v>
      </c>
      <c r="L1677" s="7" t="n">
        <v>0.02322339755</v>
      </c>
      <c r="M1677" s="7" t="n">
        <v>0.03407413077</v>
      </c>
      <c r="N1677" s="7" t="n">
        <v>14</v>
      </c>
      <c r="O1677" s="7" t="n">
        <v>14</v>
      </c>
      <c r="P1677" s="7" t="n">
        <v>14</v>
      </c>
      <c r="Q1677" s="2"/>
      <c r="R1677" s="7" t="n">
        <v>2.29978</v>
      </c>
      <c r="S1677" s="5" t="s">
        <v>82</v>
      </c>
      <c r="T1677" s="5" t="s">
        <v>61</v>
      </c>
    </row>
    <row r="1678" customFormat="false" ht="15" hidden="false" customHeight="false" outlineLevel="0" collapsed="false">
      <c r="A1678" s="5" t="s">
        <v>4</v>
      </c>
      <c r="B1678" s="5" t="s">
        <v>55</v>
      </c>
      <c r="C1678" s="2" t="s">
        <v>56</v>
      </c>
      <c r="D1678" s="5" t="s">
        <v>83</v>
      </c>
      <c r="E1678" s="5" t="s">
        <v>58</v>
      </c>
      <c r="F1678" s="2" t="n">
        <v>20</v>
      </c>
      <c r="G1678" s="5" t="s">
        <v>69</v>
      </c>
      <c r="H1678" s="2" t="n">
        <v>1</v>
      </c>
      <c r="I1678" s="2" t="n">
        <v>1</v>
      </c>
      <c r="J1678" s="2" t="n">
        <v>1</v>
      </c>
      <c r="K1678" s="7" t="n">
        <v>0.6033872698</v>
      </c>
      <c r="L1678" s="7" t="n">
        <v>0.07108682112</v>
      </c>
      <c r="M1678" s="7" t="n">
        <v>0.0821022688</v>
      </c>
      <c r="N1678" s="7" t="n">
        <v>6</v>
      </c>
      <c r="O1678" s="7" t="n">
        <v>6</v>
      </c>
      <c r="P1678" s="7" t="n">
        <v>0</v>
      </c>
      <c r="Q1678" s="2"/>
      <c r="R1678" s="7" t="n">
        <v>2.718268</v>
      </c>
      <c r="S1678" s="5" t="s">
        <v>82</v>
      </c>
      <c r="T1678" s="5" t="s">
        <v>61</v>
      </c>
    </row>
    <row r="1679" customFormat="false" ht="15" hidden="false" customHeight="false" outlineLevel="0" collapsed="false">
      <c r="A1679" s="5" t="s">
        <v>4</v>
      </c>
      <c r="B1679" s="5" t="s">
        <v>55</v>
      </c>
      <c r="C1679" s="2" t="s">
        <v>56</v>
      </c>
      <c r="D1679" s="5" t="s">
        <v>83</v>
      </c>
      <c r="E1679" s="5" t="s">
        <v>62</v>
      </c>
      <c r="F1679" s="2" t="n">
        <v>20</v>
      </c>
      <c r="G1679" s="5" t="s">
        <v>69</v>
      </c>
      <c r="H1679" s="2" t="n">
        <v>1</v>
      </c>
      <c r="I1679" s="2" t="n">
        <v>1</v>
      </c>
      <c r="J1679" s="2" t="n">
        <v>1</v>
      </c>
      <c r="K1679" s="7" t="n">
        <v>0.6033872698</v>
      </c>
      <c r="L1679" s="7" t="n">
        <v>0.07108682112</v>
      </c>
      <c r="M1679" s="7" t="n">
        <v>0.0821022688</v>
      </c>
      <c r="N1679" s="7" t="n">
        <v>6</v>
      </c>
      <c r="O1679" s="7" t="n">
        <v>6</v>
      </c>
      <c r="P1679" s="7" t="n">
        <v>6</v>
      </c>
      <c r="Q1679" s="2"/>
      <c r="R1679" s="7" t="n">
        <v>3.129025</v>
      </c>
      <c r="S1679" s="5" t="s">
        <v>82</v>
      </c>
      <c r="T1679" s="5" t="s">
        <v>61</v>
      </c>
    </row>
    <row r="1680" customFormat="false" ht="15" hidden="false" customHeight="false" outlineLevel="0" collapsed="false">
      <c r="A1680" s="5" t="s">
        <v>4</v>
      </c>
      <c r="B1680" s="5" t="s">
        <v>55</v>
      </c>
      <c r="C1680" s="2" t="s">
        <v>56</v>
      </c>
      <c r="D1680" s="5" t="s">
        <v>83</v>
      </c>
      <c r="E1680" s="5" t="s">
        <v>58</v>
      </c>
      <c r="F1680" s="2" t="n">
        <v>20</v>
      </c>
      <c r="G1680" s="5" t="s">
        <v>70</v>
      </c>
      <c r="H1680" s="2" t="n">
        <v>0</v>
      </c>
      <c r="I1680" s="2" t="n">
        <v>1</v>
      </c>
      <c r="J1680" s="2" t="n">
        <v>1</v>
      </c>
      <c r="K1680" s="7" t="n">
        <v>1.353160204</v>
      </c>
      <c r="L1680" s="7" t="n">
        <v>0.07027048024</v>
      </c>
      <c r="M1680" s="7" t="n">
        <v>0.1055775309</v>
      </c>
      <c r="N1680" s="7" t="n">
        <v>13</v>
      </c>
      <c r="O1680" s="7" t="n">
        <v>13</v>
      </c>
      <c r="P1680" s="7" t="n">
        <v>0</v>
      </c>
      <c r="Q1680" s="2"/>
      <c r="R1680" s="7" t="n">
        <v>2.519614</v>
      </c>
      <c r="S1680" s="5" t="s">
        <v>82</v>
      </c>
      <c r="T1680" s="5" t="s">
        <v>61</v>
      </c>
    </row>
    <row r="1681" customFormat="false" ht="15" hidden="false" customHeight="false" outlineLevel="0" collapsed="false">
      <c r="A1681" s="5" t="s">
        <v>4</v>
      </c>
      <c r="B1681" s="5" t="s">
        <v>55</v>
      </c>
      <c r="C1681" s="2" t="s">
        <v>56</v>
      </c>
      <c r="D1681" s="5" t="s">
        <v>83</v>
      </c>
      <c r="E1681" s="5" t="s">
        <v>62</v>
      </c>
      <c r="F1681" s="2" t="n">
        <v>20</v>
      </c>
      <c r="G1681" s="5" t="s">
        <v>70</v>
      </c>
      <c r="H1681" s="2" t="n">
        <v>0</v>
      </c>
      <c r="I1681" s="2" t="n">
        <v>1</v>
      </c>
      <c r="J1681" s="2" t="n">
        <v>1</v>
      </c>
      <c r="K1681" s="7" t="n">
        <v>0.6868620632</v>
      </c>
      <c r="L1681" s="7" t="n">
        <v>0.03449667734</v>
      </c>
      <c r="M1681" s="7" t="n">
        <v>0.05641093535</v>
      </c>
      <c r="N1681" s="7" t="n">
        <v>13</v>
      </c>
      <c r="O1681" s="7" t="n">
        <v>13</v>
      </c>
      <c r="P1681" s="7" t="n">
        <v>11</v>
      </c>
      <c r="Q1681" s="2"/>
      <c r="R1681" s="7" t="n">
        <v>3.197937</v>
      </c>
      <c r="S1681" s="5" t="s">
        <v>82</v>
      </c>
      <c r="T1681" s="5" t="s">
        <v>61</v>
      </c>
    </row>
    <row r="1682" customFormat="false" ht="15" hidden="false" customHeight="false" outlineLevel="0" collapsed="false">
      <c r="A1682" s="5" t="s">
        <v>4</v>
      </c>
      <c r="B1682" s="5" t="s">
        <v>55</v>
      </c>
      <c r="C1682" s="2" t="s">
        <v>56</v>
      </c>
      <c r="D1682" s="5" t="s">
        <v>83</v>
      </c>
      <c r="E1682" s="5" t="s">
        <v>58</v>
      </c>
      <c r="F1682" s="2" t="n">
        <v>11</v>
      </c>
      <c r="G1682" s="5" t="s">
        <v>71</v>
      </c>
      <c r="H1682" s="2" t="n">
        <v>1</v>
      </c>
      <c r="I1682" s="2" t="n">
        <v>1</v>
      </c>
      <c r="J1682" s="2" t="n">
        <v>1</v>
      </c>
      <c r="K1682" s="7" t="n">
        <v>0.4850473396</v>
      </c>
      <c r="L1682" s="7" t="n">
        <v>0.04937606011</v>
      </c>
      <c r="M1682" s="7" t="n">
        <v>0.05837198295</v>
      </c>
      <c r="N1682" s="7" t="n">
        <v>11</v>
      </c>
      <c r="O1682" s="7" t="n">
        <v>11</v>
      </c>
      <c r="P1682" s="7" t="n">
        <v>0</v>
      </c>
      <c r="Q1682" s="2"/>
      <c r="R1682" s="7" t="n">
        <v>1.411707</v>
      </c>
      <c r="S1682" s="5" t="s">
        <v>82</v>
      </c>
      <c r="T1682" s="5" t="s">
        <v>61</v>
      </c>
    </row>
    <row r="1683" customFormat="false" ht="15" hidden="false" customHeight="false" outlineLevel="0" collapsed="false">
      <c r="A1683" s="5" t="s">
        <v>4</v>
      </c>
      <c r="B1683" s="5" t="s">
        <v>55</v>
      </c>
      <c r="C1683" s="2" t="s">
        <v>56</v>
      </c>
      <c r="D1683" s="5" t="s">
        <v>83</v>
      </c>
      <c r="E1683" s="5" t="s">
        <v>62</v>
      </c>
      <c r="F1683" s="2" t="n">
        <v>11</v>
      </c>
      <c r="G1683" s="5" t="s">
        <v>71</v>
      </c>
      <c r="H1683" s="2" t="n">
        <v>1</v>
      </c>
      <c r="I1683" s="2" t="n">
        <v>1</v>
      </c>
      <c r="J1683" s="2" t="n">
        <v>1</v>
      </c>
      <c r="K1683" s="7" t="n">
        <v>0.4850473396</v>
      </c>
      <c r="L1683" s="7" t="n">
        <v>0.04937606011</v>
      </c>
      <c r="M1683" s="7" t="n">
        <v>0.05837198295</v>
      </c>
      <c r="N1683" s="7" t="n">
        <v>11</v>
      </c>
      <c r="O1683" s="7" t="n">
        <v>11</v>
      </c>
      <c r="P1683" s="7" t="n">
        <v>11</v>
      </c>
      <c r="Q1683" s="2"/>
      <c r="R1683" s="7" t="n">
        <v>2.006376</v>
      </c>
      <c r="S1683" s="5" t="s">
        <v>82</v>
      </c>
      <c r="T1683" s="5" t="s">
        <v>61</v>
      </c>
    </row>
    <row r="1684" customFormat="false" ht="15" hidden="false" customHeight="false" outlineLevel="0" collapsed="false">
      <c r="A1684" s="5" t="s">
        <v>4</v>
      </c>
      <c r="B1684" s="5" t="s">
        <v>55</v>
      </c>
      <c r="C1684" s="2" t="s">
        <v>56</v>
      </c>
      <c r="D1684" s="5" t="s">
        <v>83</v>
      </c>
      <c r="E1684" s="5" t="s">
        <v>58</v>
      </c>
      <c r="F1684" s="2" t="n">
        <v>11</v>
      </c>
      <c r="G1684" s="5" t="s">
        <v>72</v>
      </c>
      <c r="H1684" s="2" t="n">
        <v>1</v>
      </c>
      <c r="I1684" s="2" t="n">
        <v>1</v>
      </c>
      <c r="J1684" s="2" t="n">
        <v>1</v>
      </c>
      <c r="K1684" s="7" t="n">
        <v>0.261045559</v>
      </c>
      <c r="L1684" s="7" t="n">
        <v>0.04854981735</v>
      </c>
      <c r="M1684" s="7" t="n">
        <v>0.05173800114</v>
      </c>
      <c r="N1684" s="7" t="n">
        <v>11</v>
      </c>
      <c r="O1684" s="7" t="n">
        <v>11</v>
      </c>
      <c r="P1684" s="7" t="n">
        <v>0</v>
      </c>
      <c r="Q1684" s="2"/>
      <c r="R1684" s="7" t="n">
        <v>2.538842</v>
      </c>
      <c r="S1684" s="5" t="s">
        <v>82</v>
      </c>
      <c r="T1684" s="5" t="s">
        <v>61</v>
      </c>
    </row>
    <row r="1685" customFormat="false" ht="15" hidden="false" customHeight="false" outlineLevel="0" collapsed="false">
      <c r="A1685" s="5" t="s">
        <v>4</v>
      </c>
      <c r="B1685" s="5" t="s">
        <v>55</v>
      </c>
      <c r="C1685" s="2" t="s">
        <v>56</v>
      </c>
      <c r="D1685" s="5" t="s">
        <v>83</v>
      </c>
      <c r="E1685" s="5" t="s">
        <v>62</v>
      </c>
      <c r="F1685" s="2" t="n">
        <v>11</v>
      </c>
      <c r="G1685" s="5" t="s">
        <v>72</v>
      </c>
      <c r="H1685" s="2" t="n">
        <v>1</v>
      </c>
      <c r="I1685" s="2" t="n">
        <v>1</v>
      </c>
      <c r="J1685" s="2" t="n">
        <v>1</v>
      </c>
      <c r="K1685" s="7" t="n">
        <v>0.261045559</v>
      </c>
      <c r="L1685" s="7" t="n">
        <v>0.04854981735</v>
      </c>
      <c r="M1685" s="7" t="n">
        <v>0.05173800114</v>
      </c>
      <c r="N1685" s="7" t="n">
        <v>11</v>
      </c>
      <c r="O1685" s="7" t="n">
        <v>11</v>
      </c>
      <c r="P1685" s="7" t="n">
        <v>11</v>
      </c>
      <c r="Q1685" s="2"/>
      <c r="R1685" s="7" t="n">
        <v>3.152018</v>
      </c>
      <c r="S1685" s="5" t="s">
        <v>82</v>
      </c>
      <c r="T1685" s="5" t="s">
        <v>61</v>
      </c>
    </row>
    <row r="1686" customFormat="false" ht="15" hidden="false" customHeight="false" outlineLevel="0" collapsed="false">
      <c r="A1686" s="5" t="s">
        <v>4</v>
      </c>
      <c r="B1686" s="5" t="s">
        <v>55</v>
      </c>
      <c r="C1686" s="2" t="s">
        <v>56</v>
      </c>
      <c r="D1686" s="5" t="s">
        <v>83</v>
      </c>
      <c r="E1686" s="5" t="s">
        <v>58</v>
      </c>
      <c r="F1686" s="2" t="n">
        <v>11</v>
      </c>
      <c r="G1686" s="5" t="s">
        <v>73</v>
      </c>
      <c r="H1686" s="2" t="n">
        <v>0</v>
      </c>
      <c r="I1686" s="2" t="n">
        <v>1</v>
      </c>
      <c r="J1686" s="2" t="n">
        <v>1</v>
      </c>
      <c r="K1686" s="7" t="n">
        <v>0.3207800078</v>
      </c>
      <c r="L1686" s="7" t="n">
        <v>0.09149477849</v>
      </c>
      <c r="M1686" s="7" t="n">
        <v>0.09299544002</v>
      </c>
      <c r="N1686" s="7" t="n">
        <v>9</v>
      </c>
      <c r="O1686" s="7" t="n">
        <v>9</v>
      </c>
      <c r="P1686" s="7" t="n">
        <v>0</v>
      </c>
      <c r="Q1686" s="2"/>
      <c r="R1686" s="7" t="n">
        <v>2.130189</v>
      </c>
      <c r="S1686" s="5" t="s">
        <v>82</v>
      </c>
      <c r="T1686" s="5" t="s">
        <v>61</v>
      </c>
    </row>
    <row r="1687" customFormat="false" ht="15" hidden="false" customHeight="false" outlineLevel="0" collapsed="false">
      <c r="A1687" s="5" t="s">
        <v>4</v>
      </c>
      <c r="B1687" s="5" t="s">
        <v>55</v>
      </c>
      <c r="C1687" s="2" t="s">
        <v>56</v>
      </c>
      <c r="D1687" s="5" t="s">
        <v>83</v>
      </c>
      <c r="E1687" s="5" t="s">
        <v>62</v>
      </c>
      <c r="F1687" s="2" t="n">
        <v>11</v>
      </c>
      <c r="G1687" s="5" t="s">
        <v>73</v>
      </c>
      <c r="H1687" s="2" t="n">
        <v>0</v>
      </c>
      <c r="I1687" s="2" t="n">
        <v>1</v>
      </c>
      <c r="J1687" s="2" t="n">
        <v>1</v>
      </c>
      <c r="K1687" s="7" t="n">
        <v>0.3207800078</v>
      </c>
      <c r="L1687" s="7" t="n">
        <v>0.09149477849</v>
      </c>
      <c r="M1687" s="7" t="n">
        <v>0.09299544002</v>
      </c>
      <c r="N1687" s="7" t="n">
        <v>9</v>
      </c>
      <c r="O1687" s="7" t="n">
        <v>9</v>
      </c>
      <c r="P1687" s="7" t="n">
        <v>9</v>
      </c>
      <c r="Q1687" s="2"/>
      <c r="R1687" s="7" t="n">
        <v>2.664568</v>
      </c>
      <c r="S1687" s="5" t="s">
        <v>82</v>
      </c>
      <c r="T1687" s="5" t="s">
        <v>61</v>
      </c>
    </row>
    <row r="1688" customFormat="false" ht="15" hidden="false" customHeight="false" outlineLevel="0" collapsed="false">
      <c r="A1688" s="5" t="s">
        <v>4</v>
      </c>
      <c r="B1688" s="5" t="s">
        <v>55</v>
      </c>
      <c r="C1688" s="2" t="s">
        <v>56</v>
      </c>
      <c r="D1688" s="5" t="s">
        <v>83</v>
      </c>
      <c r="E1688" s="5" t="s">
        <v>58</v>
      </c>
      <c r="F1688" s="2" t="n">
        <v>12</v>
      </c>
      <c r="G1688" s="5" t="s">
        <v>71</v>
      </c>
      <c r="H1688" s="2" t="n">
        <v>1</v>
      </c>
      <c r="I1688" s="2" t="n">
        <v>1</v>
      </c>
      <c r="J1688" s="2" t="n">
        <v>1</v>
      </c>
      <c r="K1688" s="7" t="n">
        <v>0.2908453827</v>
      </c>
      <c r="L1688" s="7" t="n">
        <v>0.02320301902</v>
      </c>
      <c r="M1688" s="7" t="n">
        <v>0.02910803703</v>
      </c>
      <c r="N1688" s="7" t="n">
        <v>9</v>
      </c>
      <c r="O1688" s="7" t="n">
        <v>9</v>
      </c>
      <c r="P1688" s="7" t="n">
        <v>0</v>
      </c>
      <c r="Q1688" s="2"/>
      <c r="R1688" s="7" t="n">
        <v>1.362784</v>
      </c>
      <c r="S1688" s="5" t="s">
        <v>82</v>
      </c>
      <c r="T1688" s="5" t="s">
        <v>61</v>
      </c>
    </row>
    <row r="1689" customFormat="false" ht="15" hidden="false" customHeight="false" outlineLevel="0" collapsed="false">
      <c r="A1689" s="5" t="s">
        <v>4</v>
      </c>
      <c r="B1689" s="5" t="s">
        <v>55</v>
      </c>
      <c r="C1689" s="2" t="s">
        <v>56</v>
      </c>
      <c r="D1689" s="5" t="s">
        <v>83</v>
      </c>
      <c r="E1689" s="5" t="s">
        <v>62</v>
      </c>
      <c r="F1689" s="2" t="n">
        <v>12</v>
      </c>
      <c r="G1689" s="5" t="s">
        <v>71</v>
      </c>
      <c r="H1689" s="2" t="n">
        <v>1</v>
      </c>
      <c r="I1689" s="2" t="n">
        <v>1</v>
      </c>
      <c r="J1689" s="2" t="n">
        <v>1</v>
      </c>
      <c r="K1689" s="7" t="n">
        <v>0.2908453827</v>
      </c>
      <c r="L1689" s="7" t="n">
        <v>0.02320301902</v>
      </c>
      <c r="M1689" s="7" t="n">
        <v>0.02910803703</v>
      </c>
      <c r="N1689" s="7" t="n">
        <v>9</v>
      </c>
      <c r="O1689" s="7" t="n">
        <v>9</v>
      </c>
      <c r="P1689" s="7" t="n">
        <v>9</v>
      </c>
      <c r="Q1689" s="2"/>
      <c r="R1689" s="7" t="n">
        <v>2.117239</v>
      </c>
      <c r="S1689" s="5" t="s">
        <v>82</v>
      </c>
      <c r="T1689" s="5" t="s">
        <v>61</v>
      </c>
    </row>
    <row r="1690" customFormat="false" ht="15" hidden="false" customHeight="false" outlineLevel="0" collapsed="false">
      <c r="A1690" s="5" t="s">
        <v>4</v>
      </c>
      <c r="B1690" s="5" t="s">
        <v>55</v>
      </c>
      <c r="C1690" s="2" t="s">
        <v>56</v>
      </c>
      <c r="D1690" s="5" t="s">
        <v>83</v>
      </c>
      <c r="E1690" s="5" t="s">
        <v>58</v>
      </c>
      <c r="F1690" s="2" t="n">
        <v>12</v>
      </c>
      <c r="G1690" s="5" t="s">
        <v>72</v>
      </c>
      <c r="H1690" s="2" t="n">
        <v>1</v>
      </c>
      <c r="I1690" s="2" t="n">
        <v>1</v>
      </c>
      <c r="J1690" s="2" t="n">
        <v>1</v>
      </c>
      <c r="K1690" s="7" t="n">
        <v>0.2966814904</v>
      </c>
      <c r="L1690" s="7" t="n">
        <v>0.04971622729</v>
      </c>
      <c r="M1690" s="7" t="n">
        <v>0.05429243037</v>
      </c>
      <c r="N1690" s="7" t="n">
        <v>8</v>
      </c>
      <c r="O1690" s="7" t="n">
        <v>8</v>
      </c>
      <c r="P1690" s="7" t="n">
        <v>0</v>
      </c>
      <c r="Q1690" s="2"/>
      <c r="R1690" s="7" t="n">
        <v>2.264177</v>
      </c>
      <c r="S1690" s="5" t="s">
        <v>82</v>
      </c>
      <c r="T1690" s="5" t="s">
        <v>61</v>
      </c>
    </row>
    <row r="1691" customFormat="false" ht="15" hidden="false" customHeight="false" outlineLevel="0" collapsed="false">
      <c r="A1691" s="5" t="s">
        <v>4</v>
      </c>
      <c r="B1691" s="5" t="s">
        <v>55</v>
      </c>
      <c r="C1691" s="2" t="s">
        <v>56</v>
      </c>
      <c r="D1691" s="5" t="s">
        <v>83</v>
      </c>
      <c r="E1691" s="5" t="s">
        <v>62</v>
      </c>
      <c r="F1691" s="2" t="n">
        <v>12</v>
      </c>
      <c r="G1691" s="5" t="s">
        <v>72</v>
      </c>
      <c r="H1691" s="2" t="n">
        <v>1</v>
      </c>
      <c r="I1691" s="2" t="n">
        <v>1</v>
      </c>
      <c r="J1691" s="2" t="n">
        <v>1</v>
      </c>
      <c r="K1691" s="7" t="n">
        <v>0.2966814904</v>
      </c>
      <c r="L1691" s="7" t="n">
        <v>0.04971622729</v>
      </c>
      <c r="M1691" s="7" t="n">
        <v>0.05429243037</v>
      </c>
      <c r="N1691" s="7" t="n">
        <v>8</v>
      </c>
      <c r="O1691" s="7" t="n">
        <v>8</v>
      </c>
      <c r="P1691" s="7" t="n">
        <v>8</v>
      </c>
      <c r="Q1691" s="2"/>
      <c r="R1691" s="7" t="n">
        <v>2.876492</v>
      </c>
      <c r="S1691" s="5" t="s">
        <v>82</v>
      </c>
      <c r="T1691" s="5" t="s">
        <v>61</v>
      </c>
    </row>
    <row r="1692" customFormat="false" ht="15" hidden="false" customHeight="false" outlineLevel="0" collapsed="false">
      <c r="A1692" s="5" t="s">
        <v>4</v>
      </c>
      <c r="B1692" s="5" t="s">
        <v>55</v>
      </c>
      <c r="C1692" s="2" t="s">
        <v>56</v>
      </c>
      <c r="D1692" s="5" t="s">
        <v>83</v>
      </c>
      <c r="E1692" s="5" t="s">
        <v>58</v>
      </c>
      <c r="F1692" s="2" t="n">
        <v>12</v>
      </c>
      <c r="G1692" s="5" t="s">
        <v>73</v>
      </c>
      <c r="H1692" s="2" t="n">
        <v>0</v>
      </c>
      <c r="I1692" s="2" t="n">
        <v>1</v>
      </c>
      <c r="J1692" s="2" t="n">
        <v>1</v>
      </c>
      <c r="K1692" s="7" t="n">
        <v>0.394540732</v>
      </c>
      <c r="L1692" s="7" t="n">
        <v>0.0960153669</v>
      </c>
      <c r="M1692" s="7" t="n">
        <v>0.09736701598</v>
      </c>
      <c r="N1692" s="7" t="n">
        <v>9</v>
      </c>
      <c r="O1692" s="7" t="n">
        <v>9</v>
      </c>
      <c r="P1692" s="7" t="n">
        <v>0</v>
      </c>
      <c r="Q1692" s="2"/>
      <c r="R1692" s="7" t="n">
        <v>2.012555</v>
      </c>
      <c r="S1692" s="5" t="s">
        <v>82</v>
      </c>
      <c r="T1692" s="5" t="s">
        <v>61</v>
      </c>
    </row>
    <row r="1693" customFormat="false" ht="15" hidden="false" customHeight="false" outlineLevel="0" collapsed="false">
      <c r="A1693" s="5" t="s">
        <v>4</v>
      </c>
      <c r="B1693" s="5" t="s">
        <v>55</v>
      </c>
      <c r="C1693" s="2" t="s">
        <v>56</v>
      </c>
      <c r="D1693" s="5" t="s">
        <v>83</v>
      </c>
      <c r="E1693" s="5" t="s">
        <v>62</v>
      </c>
      <c r="F1693" s="2" t="n">
        <v>12</v>
      </c>
      <c r="G1693" s="5" t="s">
        <v>73</v>
      </c>
      <c r="H1693" s="2" t="n">
        <v>0</v>
      </c>
      <c r="I1693" s="2" t="n">
        <v>1</v>
      </c>
      <c r="J1693" s="2" t="n">
        <v>1</v>
      </c>
      <c r="K1693" s="7" t="n">
        <v>0.394540732</v>
      </c>
      <c r="L1693" s="7" t="n">
        <v>0.0960153669</v>
      </c>
      <c r="M1693" s="7" t="n">
        <v>0.09736701598</v>
      </c>
      <c r="N1693" s="7" t="n">
        <v>9</v>
      </c>
      <c r="O1693" s="7" t="n">
        <v>9</v>
      </c>
      <c r="P1693" s="7" t="n">
        <v>9</v>
      </c>
      <c r="Q1693" s="2"/>
      <c r="R1693" s="7" t="n">
        <v>2.566674</v>
      </c>
      <c r="S1693" s="5" t="s">
        <v>82</v>
      </c>
      <c r="T1693" s="5" t="s">
        <v>61</v>
      </c>
    </row>
    <row r="1694" customFormat="false" ht="15" hidden="false" customHeight="false" outlineLevel="0" collapsed="false">
      <c r="A1694" s="5" t="s">
        <v>4</v>
      </c>
      <c r="B1694" s="5" t="s">
        <v>55</v>
      </c>
      <c r="C1694" s="2" t="s">
        <v>56</v>
      </c>
      <c r="D1694" s="5" t="s">
        <v>83</v>
      </c>
      <c r="E1694" s="5" t="s">
        <v>58</v>
      </c>
      <c r="F1694" s="2" t="n">
        <v>13</v>
      </c>
      <c r="G1694" s="5" t="s">
        <v>71</v>
      </c>
      <c r="H1694" s="2" t="n">
        <v>1</v>
      </c>
      <c r="I1694" s="2" t="n">
        <v>1</v>
      </c>
      <c r="J1694" s="2" t="n">
        <v>1</v>
      </c>
      <c r="K1694" s="7" t="n">
        <v>0.5289861812</v>
      </c>
      <c r="L1694" s="7" t="n">
        <v>0.04098498378</v>
      </c>
      <c r="M1694" s="7" t="n">
        <v>0.0522296335</v>
      </c>
      <c r="N1694" s="7" t="n">
        <v>8</v>
      </c>
      <c r="O1694" s="7" t="n">
        <v>8</v>
      </c>
      <c r="P1694" s="7" t="n">
        <v>0</v>
      </c>
      <c r="Q1694" s="2"/>
      <c r="R1694" s="7" t="n">
        <v>1.483672</v>
      </c>
      <c r="S1694" s="5" t="s">
        <v>82</v>
      </c>
      <c r="T1694" s="5" t="s">
        <v>61</v>
      </c>
    </row>
    <row r="1695" customFormat="false" ht="15" hidden="false" customHeight="false" outlineLevel="0" collapsed="false">
      <c r="A1695" s="5" t="s">
        <v>4</v>
      </c>
      <c r="B1695" s="5" t="s">
        <v>55</v>
      </c>
      <c r="C1695" s="2" t="s">
        <v>56</v>
      </c>
      <c r="D1695" s="5" t="s">
        <v>83</v>
      </c>
      <c r="E1695" s="5" t="s">
        <v>62</v>
      </c>
      <c r="F1695" s="2" t="n">
        <v>13</v>
      </c>
      <c r="G1695" s="5" t="s">
        <v>71</v>
      </c>
      <c r="H1695" s="2" t="n">
        <v>1</v>
      </c>
      <c r="I1695" s="2" t="n">
        <v>1</v>
      </c>
      <c r="J1695" s="2" t="n">
        <v>1</v>
      </c>
      <c r="K1695" s="7" t="n">
        <v>0.5289861812</v>
      </c>
      <c r="L1695" s="7" t="n">
        <v>0.04098498378</v>
      </c>
      <c r="M1695" s="7" t="n">
        <v>0.0522296335</v>
      </c>
      <c r="N1695" s="7" t="n">
        <v>8</v>
      </c>
      <c r="O1695" s="7" t="n">
        <v>8</v>
      </c>
      <c r="P1695" s="7" t="n">
        <v>8</v>
      </c>
      <c r="Q1695" s="2"/>
      <c r="R1695" s="7" t="n">
        <v>2.140474</v>
      </c>
      <c r="S1695" s="5" t="s">
        <v>82</v>
      </c>
      <c r="T1695" s="5" t="s">
        <v>61</v>
      </c>
    </row>
    <row r="1696" customFormat="false" ht="15" hidden="false" customHeight="false" outlineLevel="0" collapsed="false">
      <c r="A1696" s="5" t="s">
        <v>4</v>
      </c>
      <c r="B1696" s="5" t="s">
        <v>55</v>
      </c>
      <c r="C1696" s="2" t="s">
        <v>56</v>
      </c>
      <c r="D1696" s="5" t="s">
        <v>83</v>
      </c>
      <c r="E1696" s="5" t="s">
        <v>58</v>
      </c>
      <c r="F1696" s="2" t="n">
        <v>13</v>
      </c>
      <c r="G1696" s="5" t="s">
        <v>72</v>
      </c>
      <c r="H1696" s="2" t="n">
        <v>1</v>
      </c>
      <c r="I1696" s="2" t="n">
        <v>1</v>
      </c>
      <c r="J1696" s="2" t="n">
        <v>1</v>
      </c>
      <c r="K1696" s="7" t="n">
        <v>0.325660715</v>
      </c>
      <c r="L1696" s="7" t="n">
        <v>0.07072675124</v>
      </c>
      <c r="M1696" s="7" t="n">
        <v>0.07676565248</v>
      </c>
      <c r="N1696" s="7" t="n">
        <v>5</v>
      </c>
      <c r="O1696" s="7" t="n">
        <v>5</v>
      </c>
      <c r="P1696" s="7" t="n">
        <v>0</v>
      </c>
      <c r="Q1696" s="2"/>
      <c r="R1696" s="7" t="n">
        <v>2.340169</v>
      </c>
      <c r="S1696" s="5" t="s">
        <v>82</v>
      </c>
      <c r="T1696" s="5" t="s">
        <v>61</v>
      </c>
    </row>
    <row r="1697" customFormat="false" ht="15" hidden="false" customHeight="false" outlineLevel="0" collapsed="false">
      <c r="A1697" s="5" t="s">
        <v>4</v>
      </c>
      <c r="B1697" s="5" t="s">
        <v>55</v>
      </c>
      <c r="C1697" s="2" t="s">
        <v>56</v>
      </c>
      <c r="D1697" s="5" t="s">
        <v>83</v>
      </c>
      <c r="E1697" s="5" t="s">
        <v>62</v>
      </c>
      <c r="F1697" s="2" t="n">
        <v>13</v>
      </c>
      <c r="G1697" s="5" t="s">
        <v>72</v>
      </c>
      <c r="H1697" s="2" t="n">
        <v>1</v>
      </c>
      <c r="I1697" s="2" t="n">
        <v>1</v>
      </c>
      <c r="J1697" s="2" t="n">
        <v>1</v>
      </c>
      <c r="K1697" s="7" t="n">
        <v>0.325660715</v>
      </c>
      <c r="L1697" s="7" t="n">
        <v>0.07072675124</v>
      </c>
      <c r="M1697" s="7" t="n">
        <v>0.07676565248</v>
      </c>
      <c r="N1697" s="7" t="n">
        <v>5</v>
      </c>
      <c r="O1697" s="7" t="n">
        <v>5</v>
      </c>
      <c r="P1697" s="7" t="n">
        <v>5</v>
      </c>
      <c r="Q1697" s="2"/>
      <c r="R1697" s="7" t="n">
        <v>2.886967</v>
      </c>
      <c r="S1697" s="5" t="s">
        <v>82</v>
      </c>
      <c r="T1697" s="5" t="s">
        <v>61</v>
      </c>
    </row>
    <row r="1698" customFormat="false" ht="15" hidden="false" customHeight="false" outlineLevel="0" collapsed="false">
      <c r="A1698" s="5" t="s">
        <v>4</v>
      </c>
      <c r="B1698" s="5" t="s">
        <v>55</v>
      </c>
      <c r="C1698" s="2" t="s">
        <v>56</v>
      </c>
      <c r="D1698" s="5" t="s">
        <v>83</v>
      </c>
      <c r="E1698" s="5" t="s">
        <v>58</v>
      </c>
      <c r="F1698" s="2" t="n">
        <v>13</v>
      </c>
      <c r="G1698" s="5" t="s">
        <v>73</v>
      </c>
      <c r="H1698" s="2" t="n">
        <v>0</v>
      </c>
      <c r="I1698" s="2" t="n">
        <v>0</v>
      </c>
      <c r="J1698" s="2" t="n">
        <v>0</v>
      </c>
      <c r="K1698" s="2"/>
      <c r="L1698" s="2"/>
      <c r="M1698" s="2"/>
      <c r="N1698" s="7" t="n">
        <v>1</v>
      </c>
      <c r="O1698" s="7" t="n">
        <v>1</v>
      </c>
      <c r="P1698" s="7" t="n">
        <v>0</v>
      </c>
      <c r="Q1698" s="2"/>
      <c r="R1698" s="7" t="n">
        <v>2.241182</v>
      </c>
      <c r="S1698" s="5" t="s">
        <v>82</v>
      </c>
      <c r="T1698" s="5" t="s">
        <v>61</v>
      </c>
    </row>
    <row r="1699" customFormat="false" ht="15" hidden="false" customHeight="false" outlineLevel="0" collapsed="false">
      <c r="A1699" s="5" t="s">
        <v>4</v>
      </c>
      <c r="B1699" s="5" t="s">
        <v>55</v>
      </c>
      <c r="C1699" s="2" t="s">
        <v>56</v>
      </c>
      <c r="D1699" s="5" t="s">
        <v>83</v>
      </c>
      <c r="E1699" s="5" t="s">
        <v>62</v>
      </c>
      <c r="F1699" s="2" t="n">
        <v>13</v>
      </c>
      <c r="G1699" s="5" t="s">
        <v>73</v>
      </c>
      <c r="H1699" s="2" t="n">
        <v>0</v>
      </c>
      <c r="I1699" s="2" t="n">
        <v>0</v>
      </c>
      <c r="J1699" s="2" t="n">
        <v>0</v>
      </c>
      <c r="K1699" s="2"/>
      <c r="L1699" s="2"/>
      <c r="M1699" s="2"/>
      <c r="N1699" s="7" t="n">
        <v>1</v>
      </c>
      <c r="O1699" s="7" t="n">
        <v>1</v>
      </c>
      <c r="P1699" s="7" t="n">
        <v>0</v>
      </c>
      <c r="Q1699" s="2"/>
      <c r="R1699" s="7" t="n">
        <v>2.241163</v>
      </c>
      <c r="S1699" s="5" t="s">
        <v>82</v>
      </c>
      <c r="T1699" s="5" t="s">
        <v>61</v>
      </c>
    </row>
    <row r="1700" customFormat="false" ht="15" hidden="false" customHeight="false" outlineLevel="0" collapsed="false">
      <c r="A1700" s="5" t="s">
        <v>4</v>
      </c>
      <c r="B1700" s="5" t="s">
        <v>55</v>
      </c>
      <c r="C1700" s="2" t="s">
        <v>56</v>
      </c>
      <c r="D1700" s="5" t="s">
        <v>83</v>
      </c>
      <c r="E1700" s="5" t="s">
        <v>58</v>
      </c>
      <c r="F1700" s="2" t="n">
        <v>14</v>
      </c>
      <c r="G1700" s="5" t="s">
        <v>71</v>
      </c>
      <c r="H1700" s="2" t="n">
        <v>1</v>
      </c>
      <c r="I1700" s="2" t="n">
        <v>1</v>
      </c>
      <c r="J1700" s="2" t="n">
        <v>1</v>
      </c>
      <c r="K1700" s="7" t="n">
        <v>0.5027052217</v>
      </c>
      <c r="L1700" s="7" t="n">
        <v>0.01127123494</v>
      </c>
      <c r="M1700" s="7" t="n">
        <v>0.03525376364</v>
      </c>
      <c r="N1700" s="7" t="n">
        <v>7</v>
      </c>
      <c r="O1700" s="7" t="n">
        <v>7</v>
      </c>
      <c r="P1700" s="7" t="n">
        <v>0</v>
      </c>
      <c r="Q1700" s="2"/>
      <c r="R1700" s="7" t="n">
        <v>1.50215</v>
      </c>
      <c r="S1700" s="5" t="s">
        <v>82</v>
      </c>
      <c r="T1700" s="5" t="s">
        <v>61</v>
      </c>
    </row>
    <row r="1701" customFormat="false" ht="15" hidden="false" customHeight="false" outlineLevel="0" collapsed="false">
      <c r="A1701" s="5" t="s">
        <v>4</v>
      </c>
      <c r="B1701" s="5" t="s">
        <v>55</v>
      </c>
      <c r="C1701" s="2" t="s">
        <v>56</v>
      </c>
      <c r="D1701" s="5" t="s">
        <v>83</v>
      </c>
      <c r="E1701" s="5" t="s">
        <v>62</v>
      </c>
      <c r="F1701" s="2" t="n">
        <v>14</v>
      </c>
      <c r="G1701" s="5" t="s">
        <v>71</v>
      </c>
      <c r="H1701" s="2" t="n">
        <v>1</v>
      </c>
      <c r="I1701" s="2" t="n">
        <v>1</v>
      </c>
      <c r="J1701" s="2" t="n">
        <v>1</v>
      </c>
      <c r="K1701" s="7" t="n">
        <v>0.5027052217</v>
      </c>
      <c r="L1701" s="7" t="n">
        <v>0.01127123494</v>
      </c>
      <c r="M1701" s="7" t="n">
        <v>0.03525376364</v>
      </c>
      <c r="N1701" s="7" t="n">
        <v>7</v>
      </c>
      <c r="O1701" s="7" t="n">
        <v>7</v>
      </c>
      <c r="P1701" s="7" t="n">
        <v>7</v>
      </c>
      <c r="Q1701" s="2"/>
      <c r="R1701" s="7" t="n">
        <v>1.969261</v>
      </c>
      <c r="S1701" s="5" t="s">
        <v>82</v>
      </c>
      <c r="T1701" s="5" t="s">
        <v>61</v>
      </c>
    </row>
    <row r="1702" customFormat="false" ht="15" hidden="false" customHeight="false" outlineLevel="0" collapsed="false">
      <c r="A1702" s="5" t="s">
        <v>4</v>
      </c>
      <c r="B1702" s="5" t="s">
        <v>55</v>
      </c>
      <c r="C1702" s="2" t="s">
        <v>56</v>
      </c>
      <c r="D1702" s="5" t="s">
        <v>83</v>
      </c>
      <c r="E1702" s="5" t="s">
        <v>58</v>
      </c>
      <c r="F1702" s="2" t="n">
        <v>14</v>
      </c>
      <c r="G1702" s="5" t="s">
        <v>72</v>
      </c>
      <c r="H1702" s="2" t="n">
        <v>1</v>
      </c>
      <c r="I1702" s="2" t="n">
        <v>1</v>
      </c>
      <c r="J1702" s="2" t="n">
        <v>1</v>
      </c>
      <c r="K1702" s="7" t="n">
        <v>0.2294189732</v>
      </c>
      <c r="L1702" s="7" t="n">
        <v>0.06572871193</v>
      </c>
      <c r="M1702" s="7" t="n">
        <v>0.06650980364</v>
      </c>
      <c r="N1702" s="7" t="n">
        <v>11</v>
      </c>
      <c r="O1702" s="7" t="n">
        <v>11</v>
      </c>
      <c r="P1702" s="7" t="n">
        <v>0</v>
      </c>
      <c r="Q1702" s="2"/>
      <c r="R1702" s="7" t="n">
        <v>2.584169</v>
      </c>
      <c r="S1702" s="5" t="s">
        <v>82</v>
      </c>
      <c r="T1702" s="5" t="s">
        <v>61</v>
      </c>
    </row>
    <row r="1703" customFormat="false" ht="15" hidden="false" customHeight="false" outlineLevel="0" collapsed="false">
      <c r="A1703" s="5" t="s">
        <v>4</v>
      </c>
      <c r="B1703" s="5" t="s">
        <v>55</v>
      </c>
      <c r="C1703" s="2" t="s">
        <v>56</v>
      </c>
      <c r="D1703" s="5" t="s">
        <v>83</v>
      </c>
      <c r="E1703" s="5" t="s">
        <v>62</v>
      </c>
      <c r="F1703" s="2" t="n">
        <v>14</v>
      </c>
      <c r="G1703" s="5" t="s">
        <v>72</v>
      </c>
      <c r="H1703" s="2" t="n">
        <v>1</v>
      </c>
      <c r="I1703" s="2" t="n">
        <v>1</v>
      </c>
      <c r="J1703" s="2" t="n">
        <v>1</v>
      </c>
      <c r="K1703" s="7" t="n">
        <v>0.2294189732</v>
      </c>
      <c r="L1703" s="7" t="n">
        <v>0.06572871193</v>
      </c>
      <c r="M1703" s="7" t="n">
        <v>0.06650980364</v>
      </c>
      <c r="N1703" s="7" t="n">
        <v>11</v>
      </c>
      <c r="O1703" s="7" t="n">
        <v>11</v>
      </c>
      <c r="P1703" s="7" t="n">
        <v>11</v>
      </c>
      <c r="Q1703" s="2"/>
      <c r="R1703" s="7" t="n">
        <v>3.181933</v>
      </c>
      <c r="S1703" s="5" t="s">
        <v>82</v>
      </c>
      <c r="T1703" s="5" t="s">
        <v>61</v>
      </c>
    </row>
    <row r="1704" customFormat="false" ht="15" hidden="false" customHeight="false" outlineLevel="0" collapsed="false">
      <c r="A1704" s="5" t="s">
        <v>4</v>
      </c>
      <c r="B1704" s="5" t="s">
        <v>55</v>
      </c>
      <c r="C1704" s="2" t="s">
        <v>56</v>
      </c>
      <c r="D1704" s="5" t="s">
        <v>83</v>
      </c>
      <c r="E1704" s="5" t="s">
        <v>58</v>
      </c>
      <c r="F1704" s="2" t="n">
        <v>14</v>
      </c>
      <c r="G1704" s="5" t="s">
        <v>73</v>
      </c>
      <c r="H1704" s="2" t="n">
        <v>0</v>
      </c>
      <c r="I1704" s="2" t="n">
        <v>1</v>
      </c>
      <c r="J1704" s="2" t="n">
        <v>1</v>
      </c>
      <c r="K1704" s="7" t="n">
        <v>0.6368640013</v>
      </c>
      <c r="L1704" s="7" t="n">
        <v>0.3873281188</v>
      </c>
      <c r="M1704" s="7" t="n">
        <v>0.3847448111</v>
      </c>
      <c r="N1704" s="7" t="n">
        <v>6</v>
      </c>
      <c r="O1704" s="7" t="n">
        <v>6</v>
      </c>
      <c r="P1704" s="7" t="n">
        <v>0</v>
      </c>
      <c r="Q1704" s="2"/>
      <c r="R1704" s="7" t="n">
        <v>2.405145</v>
      </c>
      <c r="S1704" s="5" t="s">
        <v>82</v>
      </c>
      <c r="T1704" s="5" t="s">
        <v>61</v>
      </c>
    </row>
    <row r="1705" customFormat="false" ht="15" hidden="false" customHeight="false" outlineLevel="0" collapsed="false">
      <c r="A1705" s="5" t="s">
        <v>4</v>
      </c>
      <c r="B1705" s="5" t="s">
        <v>55</v>
      </c>
      <c r="C1705" s="2" t="s">
        <v>56</v>
      </c>
      <c r="D1705" s="5" t="s">
        <v>83</v>
      </c>
      <c r="E1705" s="5" t="s">
        <v>62</v>
      </c>
      <c r="F1705" s="2" t="n">
        <v>14</v>
      </c>
      <c r="G1705" s="5" t="s">
        <v>73</v>
      </c>
      <c r="H1705" s="2" t="n">
        <v>0</v>
      </c>
      <c r="I1705" s="2" t="n">
        <v>1</v>
      </c>
      <c r="J1705" s="2" t="n">
        <v>1</v>
      </c>
      <c r="K1705" s="7" t="n">
        <v>0.6368640013</v>
      </c>
      <c r="L1705" s="7" t="n">
        <v>0.3873281188</v>
      </c>
      <c r="M1705" s="7" t="n">
        <v>0.3847448111</v>
      </c>
      <c r="N1705" s="7" t="n">
        <v>6</v>
      </c>
      <c r="O1705" s="7" t="n">
        <v>6</v>
      </c>
      <c r="P1705" s="7" t="n">
        <v>6</v>
      </c>
      <c r="Q1705" s="2"/>
      <c r="R1705" s="7" t="n">
        <v>2.809673</v>
      </c>
      <c r="S1705" s="5" t="s">
        <v>82</v>
      </c>
      <c r="T1705" s="5" t="s">
        <v>61</v>
      </c>
    </row>
    <row r="1706" customFormat="false" ht="15" hidden="false" customHeight="false" outlineLevel="0" collapsed="false">
      <c r="A1706" s="5" t="s">
        <v>4</v>
      </c>
      <c r="B1706" s="5" t="s">
        <v>55</v>
      </c>
      <c r="C1706" s="2" t="s">
        <v>56</v>
      </c>
      <c r="D1706" s="5" t="s">
        <v>83</v>
      </c>
      <c r="E1706" s="5" t="s">
        <v>58</v>
      </c>
      <c r="F1706" s="2" t="n">
        <v>15</v>
      </c>
      <c r="G1706" s="5" t="s">
        <v>71</v>
      </c>
      <c r="H1706" s="2" t="n">
        <v>1</v>
      </c>
      <c r="I1706" s="2" t="n">
        <v>1</v>
      </c>
      <c r="J1706" s="2" t="n">
        <v>1</v>
      </c>
      <c r="K1706" s="7" t="n">
        <v>0.4420629646</v>
      </c>
      <c r="L1706" s="7" t="n">
        <v>0.03120041893</v>
      </c>
      <c r="M1706" s="7" t="n">
        <v>0.03987412246</v>
      </c>
      <c r="N1706" s="7" t="n">
        <v>10</v>
      </c>
      <c r="O1706" s="7" t="n">
        <v>10</v>
      </c>
      <c r="P1706" s="7" t="n">
        <v>0</v>
      </c>
      <c r="Q1706" s="2"/>
      <c r="R1706" s="7" t="n">
        <v>1.297187</v>
      </c>
      <c r="S1706" s="5" t="s">
        <v>82</v>
      </c>
      <c r="T1706" s="5" t="s">
        <v>61</v>
      </c>
    </row>
    <row r="1707" customFormat="false" ht="15" hidden="false" customHeight="false" outlineLevel="0" collapsed="false">
      <c r="A1707" s="5" t="s">
        <v>4</v>
      </c>
      <c r="B1707" s="5" t="s">
        <v>55</v>
      </c>
      <c r="C1707" s="2" t="s">
        <v>56</v>
      </c>
      <c r="D1707" s="5" t="s">
        <v>83</v>
      </c>
      <c r="E1707" s="5" t="s">
        <v>62</v>
      </c>
      <c r="F1707" s="2" t="n">
        <v>15</v>
      </c>
      <c r="G1707" s="5" t="s">
        <v>71</v>
      </c>
      <c r="H1707" s="2" t="n">
        <v>1</v>
      </c>
      <c r="I1707" s="2" t="n">
        <v>1</v>
      </c>
      <c r="J1707" s="2" t="n">
        <v>1</v>
      </c>
      <c r="K1707" s="7" t="n">
        <v>0.4420629646</v>
      </c>
      <c r="L1707" s="7" t="n">
        <v>0.03120041893</v>
      </c>
      <c r="M1707" s="7" t="n">
        <v>0.03987412246</v>
      </c>
      <c r="N1707" s="7" t="n">
        <v>10</v>
      </c>
      <c r="O1707" s="7" t="n">
        <v>10</v>
      </c>
      <c r="P1707" s="7" t="n">
        <v>10</v>
      </c>
      <c r="Q1707" s="2"/>
      <c r="R1707" s="7" t="n">
        <v>1.851616</v>
      </c>
      <c r="S1707" s="5" t="s">
        <v>82</v>
      </c>
      <c r="T1707" s="5" t="s">
        <v>61</v>
      </c>
    </row>
    <row r="1708" customFormat="false" ht="15" hidden="false" customHeight="false" outlineLevel="0" collapsed="false">
      <c r="A1708" s="5" t="s">
        <v>4</v>
      </c>
      <c r="B1708" s="5" t="s">
        <v>55</v>
      </c>
      <c r="C1708" s="2" t="s">
        <v>56</v>
      </c>
      <c r="D1708" s="5" t="s">
        <v>83</v>
      </c>
      <c r="E1708" s="5" t="s">
        <v>58</v>
      </c>
      <c r="F1708" s="2" t="n">
        <v>15</v>
      </c>
      <c r="G1708" s="5" t="s">
        <v>72</v>
      </c>
      <c r="H1708" s="2" t="n">
        <v>1</v>
      </c>
      <c r="I1708" s="2" t="n">
        <v>1</v>
      </c>
      <c r="J1708" s="2" t="n">
        <v>1</v>
      </c>
      <c r="K1708" s="7" t="n">
        <v>0.2762724205</v>
      </c>
      <c r="L1708" s="7" t="n">
        <v>0.07639226595</v>
      </c>
      <c r="M1708" s="7" t="n">
        <v>0.07699203566</v>
      </c>
      <c r="N1708" s="7" t="n">
        <v>13</v>
      </c>
      <c r="O1708" s="7" t="n">
        <v>13</v>
      </c>
      <c r="P1708" s="7" t="n">
        <v>0</v>
      </c>
      <c r="Q1708" s="2"/>
      <c r="R1708" s="7" t="n">
        <v>2.244368</v>
      </c>
      <c r="S1708" s="5" t="s">
        <v>82</v>
      </c>
      <c r="T1708" s="5" t="s">
        <v>61</v>
      </c>
    </row>
    <row r="1709" customFormat="false" ht="15" hidden="false" customHeight="false" outlineLevel="0" collapsed="false">
      <c r="A1709" s="5" t="s">
        <v>4</v>
      </c>
      <c r="B1709" s="5" t="s">
        <v>55</v>
      </c>
      <c r="C1709" s="2" t="s">
        <v>56</v>
      </c>
      <c r="D1709" s="5" t="s">
        <v>83</v>
      </c>
      <c r="E1709" s="5" t="s">
        <v>62</v>
      </c>
      <c r="F1709" s="2" t="n">
        <v>15</v>
      </c>
      <c r="G1709" s="5" t="s">
        <v>72</v>
      </c>
      <c r="H1709" s="2" t="n">
        <v>1</v>
      </c>
      <c r="I1709" s="2" t="n">
        <v>1</v>
      </c>
      <c r="J1709" s="2" t="n">
        <v>1</v>
      </c>
      <c r="K1709" s="7" t="n">
        <v>0.2762724205</v>
      </c>
      <c r="L1709" s="7" t="n">
        <v>0.07639226595</v>
      </c>
      <c r="M1709" s="7" t="n">
        <v>0.07699203566</v>
      </c>
      <c r="N1709" s="7" t="n">
        <v>13</v>
      </c>
      <c r="O1709" s="7" t="n">
        <v>13</v>
      </c>
      <c r="P1709" s="7" t="n">
        <v>13</v>
      </c>
      <c r="Q1709" s="2"/>
      <c r="R1709" s="7" t="n">
        <v>2.88198</v>
      </c>
      <c r="S1709" s="5" t="s">
        <v>82</v>
      </c>
      <c r="T1709" s="5" t="s">
        <v>61</v>
      </c>
    </row>
    <row r="1710" customFormat="false" ht="15" hidden="false" customHeight="false" outlineLevel="0" collapsed="false">
      <c r="A1710" s="5" t="s">
        <v>4</v>
      </c>
      <c r="B1710" s="5" t="s">
        <v>55</v>
      </c>
      <c r="C1710" s="2" t="s">
        <v>56</v>
      </c>
      <c r="D1710" s="5" t="s">
        <v>83</v>
      </c>
      <c r="E1710" s="5" t="s">
        <v>58</v>
      </c>
      <c r="F1710" s="2" t="n">
        <v>15</v>
      </c>
      <c r="G1710" s="5" t="s">
        <v>73</v>
      </c>
      <c r="H1710" s="2" t="n">
        <v>0</v>
      </c>
      <c r="I1710" s="2" t="n">
        <v>1</v>
      </c>
      <c r="J1710" s="2" t="n">
        <v>1</v>
      </c>
      <c r="K1710" s="7" t="n">
        <v>0.3989884441</v>
      </c>
      <c r="L1710" s="7" t="n">
        <v>0.1421001773</v>
      </c>
      <c r="M1710" s="7" t="n">
        <v>0.1419184108</v>
      </c>
      <c r="N1710" s="7" t="n">
        <v>14</v>
      </c>
      <c r="O1710" s="7" t="n">
        <v>14</v>
      </c>
      <c r="P1710" s="7" t="n">
        <v>0</v>
      </c>
      <c r="Q1710" s="2"/>
      <c r="R1710" s="7" t="n">
        <v>2.534445</v>
      </c>
      <c r="S1710" s="5" t="s">
        <v>82</v>
      </c>
      <c r="T1710" s="5" t="s">
        <v>61</v>
      </c>
    </row>
    <row r="1711" customFormat="false" ht="15" hidden="false" customHeight="false" outlineLevel="0" collapsed="false">
      <c r="A1711" s="5" t="s">
        <v>4</v>
      </c>
      <c r="B1711" s="5" t="s">
        <v>55</v>
      </c>
      <c r="C1711" s="2" t="s">
        <v>56</v>
      </c>
      <c r="D1711" s="5" t="s">
        <v>83</v>
      </c>
      <c r="E1711" s="5" t="s">
        <v>62</v>
      </c>
      <c r="F1711" s="2" t="n">
        <v>15</v>
      </c>
      <c r="G1711" s="5" t="s">
        <v>73</v>
      </c>
      <c r="H1711" s="2" t="n">
        <v>0</v>
      </c>
      <c r="I1711" s="2" t="n">
        <v>1</v>
      </c>
      <c r="J1711" s="2" t="n">
        <v>1</v>
      </c>
      <c r="K1711" s="7" t="n">
        <v>0.3989884441</v>
      </c>
      <c r="L1711" s="7" t="n">
        <v>0.1421001773</v>
      </c>
      <c r="M1711" s="7" t="n">
        <v>0.1419184108</v>
      </c>
      <c r="N1711" s="7" t="n">
        <v>14</v>
      </c>
      <c r="O1711" s="7" t="n">
        <v>14</v>
      </c>
      <c r="P1711" s="7" t="n">
        <v>14</v>
      </c>
      <c r="Q1711" s="2"/>
      <c r="R1711" s="7" t="n">
        <v>3.222072</v>
      </c>
      <c r="S1711" s="5" t="s">
        <v>82</v>
      </c>
      <c r="T1711" s="5" t="s">
        <v>61</v>
      </c>
    </row>
    <row r="1712" customFormat="false" ht="15" hidden="false" customHeight="false" outlineLevel="0" collapsed="false">
      <c r="A1712" s="5" t="s">
        <v>4</v>
      </c>
      <c r="B1712" s="5" t="s">
        <v>55</v>
      </c>
      <c r="C1712" s="2" t="s">
        <v>56</v>
      </c>
      <c r="D1712" s="5" t="s">
        <v>83</v>
      </c>
      <c r="E1712" s="5" t="s">
        <v>58</v>
      </c>
      <c r="F1712" s="2" t="n">
        <v>16</v>
      </c>
      <c r="G1712" s="5" t="s">
        <v>71</v>
      </c>
      <c r="H1712" s="2" t="n">
        <v>1</v>
      </c>
      <c r="I1712" s="2" t="n">
        <v>1</v>
      </c>
      <c r="J1712" s="2" t="n">
        <v>1</v>
      </c>
      <c r="K1712" s="7" t="n">
        <v>0.5296384759</v>
      </c>
      <c r="L1712" s="7" t="n">
        <v>0.07418995642</v>
      </c>
      <c r="M1712" s="7" t="n">
        <v>0.0825325314</v>
      </c>
      <c r="N1712" s="7" t="n">
        <v>8</v>
      </c>
      <c r="O1712" s="7" t="n">
        <v>8</v>
      </c>
      <c r="P1712" s="7" t="n">
        <v>0</v>
      </c>
      <c r="Q1712" s="2"/>
      <c r="R1712" s="7" t="n">
        <v>1.309946</v>
      </c>
      <c r="S1712" s="5" t="s">
        <v>82</v>
      </c>
      <c r="T1712" s="5" t="s">
        <v>61</v>
      </c>
    </row>
    <row r="1713" customFormat="false" ht="15" hidden="false" customHeight="false" outlineLevel="0" collapsed="false">
      <c r="A1713" s="5" t="s">
        <v>4</v>
      </c>
      <c r="B1713" s="5" t="s">
        <v>55</v>
      </c>
      <c r="C1713" s="2" t="s">
        <v>56</v>
      </c>
      <c r="D1713" s="5" t="s">
        <v>83</v>
      </c>
      <c r="E1713" s="5" t="s">
        <v>62</v>
      </c>
      <c r="F1713" s="2" t="n">
        <v>16</v>
      </c>
      <c r="G1713" s="5" t="s">
        <v>71</v>
      </c>
      <c r="H1713" s="2" t="n">
        <v>1</v>
      </c>
      <c r="I1713" s="2" t="n">
        <v>1</v>
      </c>
      <c r="J1713" s="2" t="n">
        <v>1</v>
      </c>
      <c r="K1713" s="7" t="n">
        <v>0.5296384759</v>
      </c>
      <c r="L1713" s="7" t="n">
        <v>0.07418995642</v>
      </c>
      <c r="M1713" s="7" t="n">
        <v>0.0825325314</v>
      </c>
      <c r="N1713" s="7" t="n">
        <v>8</v>
      </c>
      <c r="O1713" s="7" t="n">
        <v>8</v>
      </c>
      <c r="P1713" s="7" t="n">
        <v>8</v>
      </c>
      <c r="Q1713" s="2"/>
      <c r="R1713" s="7" t="n">
        <v>1.899799</v>
      </c>
      <c r="S1713" s="5" t="s">
        <v>82</v>
      </c>
      <c r="T1713" s="5" t="s">
        <v>61</v>
      </c>
    </row>
    <row r="1714" customFormat="false" ht="15" hidden="false" customHeight="false" outlineLevel="0" collapsed="false">
      <c r="A1714" s="5" t="s">
        <v>4</v>
      </c>
      <c r="B1714" s="5" t="s">
        <v>55</v>
      </c>
      <c r="C1714" s="2" t="s">
        <v>56</v>
      </c>
      <c r="D1714" s="5" t="s">
        <v>83</v>
      </c>
      <c r="E1714" s="5" t="s">
        <v>58</v>
      </c>
      <c r="F1714" s="2" t="n">
        <v>16</v>
      </c>
      <c r="G1714" s="5" t="s">
        <v>72</v>
      </c>
      <c r="H1714" s="2" t="n">
        <v>1</v>
      </c>
      <c r="I1714" s="2" t="n">
        <v>1</v>
      </c>
      <c r="J1714" s="2" t="n">
        <v>1</v>
      </c>
      <c r="K1714" s="7" t="n">
        <v>0.3060555931</v>
      </c>
      <c r="L1714" s="7" t="n">
        <v>0.04275957255</v>
      </c>
      <c r="M1714" s="7" t="n">
        <v>0.04659428693</v>
      </c>
      <c r="N1714" s="7" t="n">
        <v>7</v>
      </c>
      <c r="O1714" s="7" t="n">
        <v>7</v>
      </c>
      <c r="P1714" s="7" t="n">
        <v>0</v>
      </c>
      <c r="Q1714" s="2"/>
      <c r="R1714" s="7" t="n">
        <v>1.921029</v>
      </c>
      <c r="S1714" s="5" t="s">
        <v>82</v>
      </c>
      <c r="T1714" s="5" t="s">
        <v>61</v>
      </c>
    </row>
    <row r="1715" customFormat="false" ht="15" hidden="false" customHeight="false" outlineLevel="0" collapsed="false">
      <c r="A1715" s="5" t="s">
        <v>4</v>
      </c>
      <c r="B1715" s="5" t="s">
        <v>55</v>
      </c>
      <c r="C1715" s="2" t="s">
        <v>56</v>
      </c>
      <c r="D1715" s="5" t="s">
        <v>83</v>
      </c>
      <c r="E1715" s="5" t="s">
        <v>62</v>
      </c>
      <c r="F1715" s="2" t="n">
        <v>16</v>
      </c>
      <c r="G1715" s="5" t="s">
        <v>72</v>
      </c>
      <c r="H1715" s="2" t="n">
        <v>1</v>
      </c>
      <c r="I1715" s="2" t="n">
        <v>1</v>
      </c>
      <c r="J1715" s="2" t="n">
        <v>1</v>
      </c>
      <c r="K1715" s="7" t="n">
        <v>0.3060555931</v>
      </c>
      <c r="L1715" s="7" t="n">
        <v>0.04275957255</v>
      </c>
      <c r="M1715" s="7" t="n">
        <v>0.04659428693</v>
      </c>
      <c r="N1715" s="7" t="n">
        <v>7</v>
      </c>
      <c r="O1715" s="7" t="n">
        <v>7</v>
      </c>
      <c r="P1715" s="7" t="n">
        <v>7</v>
      </c>
      <c r="Q1715" s="2"/>
      <c r="R1715" s="7" t="n">
        <v>2.392536</v>
      </c>
      <c r="S1715" s="5" t="s">
        <v>82</v>
      </c>
      <c r="T1715" s="5" t="s">
        <v>61</v>
      </c>
    </row>
    <row r="1716" customFormat="false" ht="15" hidden="false" customHeight="false" outlineLevel="0" collapsed="false">
      <c r="A1716" s="5" t="s">
        <v>4</v>
      </c>
      <c r="B1716" s="5" t="s">
        <v>55</v>
      </c>
      <c r="C1716" s="2" t="s">
        <v>56</v>
      </c>
      <c r="D1716" s="5" t="s">
        <v>83</v>
      </c>
      <c r="E1716" s="5" t="s">
        <v>58</v>
      </c>
      <c r="F1716" s="2" t="n">
        <v>16</v>
      </c>
      <c r="G1716" s="5" t="s">
        <v>73</v>
      </c>
      <c r="H1716" s="2" t="n">
        <v>0</v>
      </c>
      <c r="I1716" s="2" t="n">
        <v>1</v>
      </c>
      <c r="J1716" s="2" t="n">
        <v>1</v>
      </c>
      <c r="K1716" s="7" t="n">
        <v>0.7449596156</v>
      </c>
      <c r="L1716" s="7" t="n">
        <v>0.2812236301</v>
      </c>
      <c r="M1716" s="7" t="n">
        <v>0.2808507347</v>
      </c>
      <c r="N1716" s="7" t="n">
        <v>3</v>
      </c>
      <c r="O1716" s="7" t="n">
        <v>3</v>
      </c>
      <c r="P1716" s="7" t="n">
        <v>0</v>
      </c>
      <c r="Q1716" s="2"/>
      <c r="R1716" s="7" t="n">
        <v>2.257817</v>
      </c>
      <c r="S1716" s="5" t="s">
        <v>82</v>
      </c>
      <c r="T1716" s="5" t="s">
        <v>61</v>
      </c>
    </row>
    <row r="1717" customFormat="false" ht="15" hidden="false" customHeight="false" outlineLevel="0" collapsed="false">
      <c r="A1717" s="5" t="s">
        <v>4</v>
      </c>
      <c r="B1717" s="5" t="s">
        <v>55</v>
      </c>
      <c r="C1717" s="2" t="s">
        <v>56</v>
      </c>
      <c r="D1717" s="5" t="s">
        <v>83</v>
      </c>
      <c r="E1717" s="5" t="s">
        <v>62</v>
      </c>
      <c r="F1717" s="2" t="n">
        <v>16</v>
      </c>
      <c r="G1717" s="5" t="s">
        <v>73</v>
      </c>
      <c r="H1717" s="2" t="n">
        <v>0</v>
      </c>
      <c r="I1717" s="2" t="n">
        <v>1</v>
      </c>
      <c r="J1717" s="2" t="n">
        <v>1</v>
      </c>
      <c r="K1717" s="7" t="n">
        <v>0.7449596156</v>
      </c>
      <c r="L1717" s="7" t="n">
        <v>0.2812236301</v>
      </c>
      <c r="M1717" s="7" t="n">
        <v>0.2808507347</v>
      </c>
      <c r="N1717" s="7" t="n">
        <v>3</v>
      </c>
      <c r="O1717" s="7" t="n">
        <v>3</v>
      </c>
      <c r="P1717" s="7" t="n">
        <v>3</v>
      </c>
      <c r="Q1717" s="2"/>
      <c r="R1717" s="7" t="n">
        <v>2.448359</v>
      </c>
      <c r="S1717" s="5" t="s">
        <v>82</v>
      </c>
      <c r="T1717" s="5" t="s">
        <v>61</v>
      </c>
    </row>
    <row r="1718" customFormat="false" ht="15" hidden="false" customHeight="false" outlineLevel="0" collapsed="false">
      <c r="A1718" s="5" t="s">
        <v>4</v>
      </c>
      <c r="B1718" s="5" t="s">
        <v>55</v>
      </c>
      <c r="C1718" s="2" t="s">
        <v>56</v>
      </c>
      <c r="D1718" s="5" t="s">
        <v>83</v>
      </c>
      <c r="E1718" s="5" t="s">
        <v>58</v>
      </c>
      <c r="F1718" s="2" t="n">
        <v>17</v>
      </c>
      <c r="G1718" s="5" t="s">
        <v>71</v>
      </c>
      <c r="H1718" s="2" t="n">
        <v>1</v>
      </c>
      <c r="I1718" s="2" t="n">
        <v>1</v>
      </c>
      <c r="J1718" s="2" t="n">
        <v>1</v>
      </c>
      <c r="K1718" s="7" t="n">
        <v>1.05082194</v>
      </c>
      <c r="L1718" s="7" t="n">
        <v>0.1249900088</v>
      </c>
      <c r="M1718" s="7" t="n">
        <v>0.138910756</v>
      </c>
      <c r="N1718" s="7" t="n">
        <v>8</v>
      </c>
      <c r="O1718" s="7" t="n">
        <v>8</v>
      </c>
      <c r="P1718" s="7" t="n">
        <v>0</v>
      </c>
      <c r="Q1718" s="2"/>
      <c r="R1718" s="7" t="n">
        <v>1.208816</v>
      </c>
      <c r="S1718" s="5" t="s">
        <v>82</v>
      </c>
      <c r="T1718" s="5" t="s">
        <v>61</v>
      </c>
    </row>
    <row r="1719" customFormat="false" ht="15" hidden="false" customHeight="false" outlineLevel="0" collapsed="false">
      <c r="A1719" s="5" t="s">
        <v>4</v>
      </c>
      <c r="B1719" s="5" t="s">
        <v>55</v>
      </c>
      <c r="C1719" s="2" t="s">
        <v>56</v>
      </c>
      <c r="D1719" s="5" t="s">
        <v>83</v>
      </c>
      <c r="E1719" s="5" t="s">
        <v>62</v>
      </c>
      <c r="F1719" s="2" t="n">
        <v>17</v>
      </c>
      <c r="G1719" s="5" t="s">
        <v>71</v>
      </c>
      <c r="H1719" s="2" t="n">
        <v>1</v>
      </c>
      <c r="I1719" s="2" t="n">
        <v>1</v>
      </c>
      <c r="J1719" s="2" t="n">
        <v>1</v>
      </c>
      <c r="K1719" s="7" t="n">
        <v>1.05082194</v>
      </c>
      <c r="L1719" s="7" t="n">
        <v>0.1249900088</v>
      </c>
      <c r="M1719" s="7" t="n">
        <v>0.138910756</v>
      </c>
      <c r="N1719" s="7" t="n">
        <v>8</v>
      </c>
      <c r="O1719" s="7" t="n">
        <v>8</v>
      </c>
      <c r="P1719" s="7" t="n">
        <v>8</v>
      </c>
      <c r="Q1719" s="2"/>
      <c r="R1719" s="7" t="n">
        <v>1.720713</v>
      </c>
      <c r="S1719" s="5" t="s">
        <v>82</v>
      </c>
      <c r="T1719" s="5" t="s">
        <v>61</v>
      </c>
    </row>
    <row r="1720" customFormat="false" ht="15" hidden="false" customHeight="false" outlineLevel="0" collapsed="false">
      <c r="A1720" s="5" t="s">
        <v>4</v>
      </c>
      <c r="B1720" s="5" t="s">
        <v>55</v>
      </c>
      <c r="C1720" s="2" t="s">
        <v>56</v>
      </c>
      <c r="D1720" s="5" t="s">
        <v>83</v>
      </c>
      <c r="E1720" s="5" t="s">
        <v>58</v>
      </c>
      <c r="F1720" s="2" t="n">
        <v>17</v>
      </c>
      <c r="G1720" s="5" t="s">
        <v>72</v>
      </c>
      <c r="H1720" s="2" t="n">
        <v>1</v>
      </c>
      <c r="I1720" s="2" t="n">
        <v>1</v>
      </c>
      <c r="J1720" s="2" t="n">
        <v>1</v>
      </c>
      <c r="K1720" s="7" t="n">
        <v>0.7439489621</v>
      </c>
      <c r="L1720" s="7" t="n">
        <v>0.1609777142</v>
      </c>
      <c r="M1720" s="7" t="n">
        <v>0.1649891501</v>
      </c>
      <c r="N1720" s="7" t="n">
        <v>10</v>
      </c>
      <c r="O1720" s="7" t="n">
        <v>10</v>
      </c>
      <c r="P1720" s="7" t="n">
        <v>0</v>
      </c>
      <c r="Q1720" s="2"/>
      <c r="R1720" s="7" t="n">
        <v>2.946235</v>
      </c>
      <c r="S1720" s="5" t="s">
        <v>82</v>
      </c>
      <c r="T1720" s="5" t="s">
        <v>61</v>
      </c>
    </row>
    <row r="1721" customFormat="false" ht="15" hidden="false" customHeight="false" outlineLevel="0" collapsed="false">
      <c r="A1721" s="5" t="s">
        <v>4</v>
      </c>
      <c r="B1721" s="5" t="s">
        <v>55</v>
      </c>
      <c r="C1721" s="2" t="s">
        <v>56</v>
      </c>
      <c r="D1721" s="5" t="s">
        <v>83</v>
      </c>
      <c r="E1721" s="5" t="s">
        <v>62</v>
      </c>
      <c r="F1721" s="2" t="n">
        <v>17</v>
      </c>
      <c r="G1721" s="5" t="s">
        <v>72</v>
      </c>
      <c r="H1721" s="2" t="n">
        <v>1</v>
      </c>
      <c r="I1721" s="2" t="n">
        <v>1</v>
      </c>
      <c r="J1721" s="2" t="n">
        <v>1</v>
      </c>
      <c r="K1721" s="7" t="n">
        <v>0.7439489621</v>
      </c>
      <c r="L1721" s="7" t="n">
        <v>0.1609777142</v>
      </c>
      <c r="M1721" s="7" t="n">
        <v>0.1649891501</v>
      </c>
      <c r="N1721" s="7" t="n">
        <v>10</v>
      </c>
      <c r="O1721" s="7" t="n">
        <v>10</v>
      </c>
      <c r="P1721" s="7" t="n">
        <v>10</v>
      </c>
      <c r="Q1721" s="2"/>
      <c r="R1721" s="7" t="n">
        <v>3.611348</v>
      </c>
      <c r="S1721" s="5" t="s">
        <v>82</v>
      </c>
      <c r="T1721" s="5" t="s">
        <v>61</v>
      </c>
    </row>
    <row r="1722" customFormat="false" ht="15" hidden="false" customHeight="false" outlineLevel="0" collapsed="false">
      <c r="A1722" s="5" t="s">
        <v>4</v>
      </c>
      <c r="B1722" s="5" t="s">
        <v>55</v>
      </c>
      <c r="C1722" s="2" t="s">
        <v>56</v>
      </c>
      <c r="D1722" s="5" t="s">
        <v>83</v>
      </c>
      <c r="E1722" s="5" t="s">
        <v>58</v>
      </c>
      <c r="F1722" s="2" t="n">
        <v>17</v>
      </c>
      <c r="G1722" s="5" t="s">
        <v>73</v>
      </c>
      <c r="H1722" s="2" t="n">
        <v>0</v>
      </c>
      <c r="I1722" s="2" t="n">
        <v>0</v>
      </c>
      <c r="J1722" s="2" t="n">
        <v>0</v>
      </c>
      <c r="K1722" s="2"/>
      <c r="L1722" s="2"/>
      <c r="M1722" s="2"/>
      <c r="N1722" s="7" t="n">
        <v>2</v>
      </c>
      <c r="O1722" s="7" t="n">
        <v>2</v>
      </c>
      <c r="P1722" s="7" t="n">
        <v>0</v>
      </c>
      <c r="Q1722" s="2"/>
      <c r="R1722" s="7" t="n">
        <v>2.172342</v>
      </c>
      <c r="S1722" s="5" t="s">
        <v>82</v>
      </c>
      <c r="T1722" s="5" t="s">
        <v>61</v>
      </c>
    </row>
    <row r="1723" customFormat="false" ht="15" hidden="false" customHeight="false" outlineLevel="0" collapsed="false">
      <c r="A1723" s="5" t="s">
        <v>4</v>
      </c>
      <c r="B1723" s="5" t="s">
        <v>55</v>
      </c>
      <c r="C1723" s="2" t="s">
        <v>56</v>
      </c>
      <c r="D1723" s="5" t="s">
        <v>83</v>
      </c>
      <c r="E1723" s="5" t="s">
        <v>62</v>
      </c>
      <c r="F1723" s="2" t="n">
        <v>17</v>
      </c>
      <c r="G1723" s="5" t="s">
        <v>73</v>
      </c>
      <c r="H1723" s="2" t="n">
        <v>0</v>
      </c>
      <c r="I1723" s="2" t="n">
        <v>0</v>
      </c>
      <c r="J1723" s="2" t="n">
        <v>0</v>
      </c>
      <c r="K1723" s="2"/>
      <c r="L1723" s="2"/>
      <c r="M1723" s="2"/>
      <c r="N1723" s="7" t="n">
        <v>2</v>
      </c>
      <c r="O1723" s="7" t="n">
        <v>2</v>
      </c>
      <c r="P1723" s="7" t="n">
        <v>0</v>
      </c>
      <c r="Q1723" s="2"/>
      <c r="R1723" s="7" t="n">
        <v>2.172241</v>
      </c>
      <c r="S1723" s="5" t="s">
        <v>82</v>
      </c>
      <c r="T1723" s="5" t="s">
        <v>61</v>
      </c>
    </row>
    <row r="1724" customFormat="false" ht="15" hidden="false" customHeight="false" outlineLevel="0" collapsed="false">
      <c r="A1724" s="5" t="s">
        <v>4</v>
      </c>
      <c r="B1724" s="5" t="s">
        <v>55</v>
      </c>
      <c r="C1724" s="2" t="s">
        <v>56</v>
      </c>
      <c r="D1724" s="5" t="s">
        <v>83</v>
      </c>
      <c r="E1724" s="5" t="s">
        <v>58</v>
      </c>
      <c r="F1724" s="2" t="n">
        <v>18</v>
      </c>
      <c r="G1724" s="5" t="s">
        <v>71</v>
      </c>
      <c r="H1724" s="2" t="n">
        <v>1</v>
      </c>
      <c r="I1724" s="2" t="n">
        <v>1</v>
      </c>
      <c r="J1724" s="2" t="n">
        <v>1</v>
      </c>
      <c r="K1724" s="7" t="n">
        <v>0.5785289563</v>
      </c>
      <c r="L1724" s="7" t="n">
        <v>0.03916436714</v>
      </c>
      <c r="M1724" s="7" t="n">
        <v>0.05197257282</v>
      </c>
      <c r="N1724" s="7" t="n">
        <v>8</v>
      </c>
      <c r="O1724" s="7" t="n">
        <v>8</v>
      </c>
      <c r="P1724" s="7" t="n">
        <v>0</v>
      </c>
      <c r="Q1724" s="2"/>
      <c r="R1724" s="7" t="n">
        <v>1.324317</v>
      </c>
      <c r="S1724" s="5" t="s">
        <v>82</v>
      </c>
      <c r="T1724" s="5" t="s">
        <v>61</v>
      </c>
    </row>
    <row r="1725" customFormat="false" ht="15" hidden="false" customHeight="false" outlineLevel="0" collapsed="false">
      <c r="A1725" s="5" t="s">
        <v>4</v>
      </c>
      <c r="B1725" s="5" t="s">
        <v>55</v>
      </c>
      <c r="C1725" s="2" t="s">
        <v>56</v>
      </c>
      <c r="D1725" s="5" t="s">
        <v>83</v>
      </c>
      <c r="E1725" s="5" t="s">
        <v>62</v>
      </c>
      <c r="F1725" s="2" t="n">
        <v>18</v>
      </c>
      <c r="G1725" s="5" t="s">
        <v>71</v>
      </c>
      <c r="H1725" s="2" t="n">
        <v>1</v>
      </c>
      <c r="I1725" s="2" t="n">
        <v>1</v>
      </c>
      <c r="J1725" s="2" t="n">
        <v>1</v>
      </c>
      <c r="K1725" s="7" t="n">
        <v>0.5785289563</v>
      </c>
      <c r="L1725" s="7" t="n">
        <v>0.03916436714</v>
      </c>
      <c r="M1725" s="7" t="n">
        <v>0.05197257282</v>
      </c>
      <c r="N1725" s="7" t="n">
        <v>8</v>
      </c>
      <c r="O1725" s="7" t="n">
        <v>8</v>
      </c>
      <c r="P1725" s="7" t="n">
        <v>8</v>
      </c>
      <c r="Q1725" s="2"/>
      <c r="R1725" s="7" t="n">
        <v>1.87424</v>
      </c>
      <c r="S1725" s="5" t="s">
        <v>82</v>
      </c>
      <c r="T1725" s="5" t="s">
        <v>61</v>
      </c>
    </row>
    <row r="1726" customFormat="false" ht="15" hidden="false" customHeight="false" outlineLevel="0" collapsed="false">
      <c r="A1726" s="5" t="s">
        <v>4</v>
      </c>
      <c r="B1726" s="5" t="s">
        <v>55</v>
      </c>
      <c r="C1726" s="2" t="s">
        <v>56</v>
      </c>
      <c r="D1726" s="5" t="s">
        <v>83</v>
      </c>
      <c r="E1726" s="5" t="s">
        <v>58</v>
      </c>
      <c r="F1726" s="2" t="n">
        <v>18</v>
      </c>
      <c r="G1726" s="5" t="s">
        <v>72</v>
      </c>
      <c r="H1726" s="2" t="n">
        <v>1</v>
      </c>
      <c r="I1726" s="2" t="n">
        <v>1</v>
      </c>
      <c r="J1726" s="2" t="n">
        <v>1</v>
      </c>
      <c r="K1726" s="7" t="n">
        <v>0.1031730682</v>
      </c>
      <c r="L1726" s="7" t="n">
        <v>0.01628238888</v>
      </c>
      <c r="M1726" s="7" t="n">
        <v>0.01748494769</v>
      </c>
      <c r="N1726" s="7" t="n">
        <v>8</v>
      </c>
      <c r="O1726" s="7" t="n">
        <v>8</v>
      </c>
      <c r="P1726" s="7" t="n">
        <v>0</v>
      </c>
      <c r="Q1726" s="2"/>
      <c r="R1726" s="7" t="n">
        <v>2.353359</v>
      </c>
      <c r="S1726" s="5" t="s">
        <v>82</v>
      </c>
      <c r="T1726" s="5" t="s">
        <v>61</v>
      </c>
    </row>
    <row r="1727" customFormat="false" ht="15" hidden="false" customHeight="false" outlineLevel="0" collapsed="false">
      <c r="A1727" s="5" t="s">
        <v>4</v>
      </c>
      <c r="B1727" s="5" t="s">
        <v>55</v>
      </c>
      <c r="C1727" s="2" t="s">
        <v>56</v>
      </c>
      <c r="D1727" s="5" t="s">
        <v>83</v>
      </c>
      <c r="E1727" s="5" t="s">
        <v>62</v>
      </c>
      <c r="F1727" s="2" t="n">
        <v>18</v>
      </c>
      <c r="G1727" s="5" t="s">
        <v>72</v>
      </c>
      <c r="H1727" s="2" t="n">
        <v>1</v>
      </c>
      <c r="I1727" s="2" t="n">
        <v>1</v>
      </c>
      <c r="J1727" s="2" t="n">
        <v>1</v>
      </c>
      <c r="K1727" s="7" t="n">
        <v>0.1031730682</v>
      </c>
      <c r="L1727" s="7" t="n">
        <v>0.01628238888</v>
      </c>
      <c r="M1727" s="7" t="n">
        <v>0.01748494769</v>
      </c>
      <c r="N1727" s="7" t="n">
        <v>8</v>
      </c>
      <c r="O1727" s="7" t="n">
        <v>8</v>
      </c>
      <c r="P1727" s="7" t="n">
        <v>8</v>
      </c>
      <c r="Q1727" s="2"/>
      <c r="R1727" s="7" t="n">
        <v>2.863033</v>
      </c>
      <c r="S1727" s="5" t="s">
        <v>82</v>
      </c>
      <c r="T1727" s="5" t="s">
        <v>61</v>
      </c>
    </row>
    <row r="1728" customFormat="false" ht="15" hidden="false" customHeight="false" outlineLevel="0" collapsed="false">
      <c r="A1728" s="5" t="s">
        <v>4</v>
      </c>
      <c r="B1728" s="5" t="s">
        <v>55</v>
      </c>
      <c r="C1728" s="2" t="s">
        <v>56</v>
      </c>
      <c r="D1728" s="5" t="s">
        <v>83</v>
      </c>
      <c r="E1728" s="5" t="s">
        <v>58</v>
      </c>
      <c r="F1728" s="2" t="n">
        <v>18</v>
      </c>
      <c r="G1728" s="5" t="s">
        <v>73</v>
      </c>
      <c r="H1728" s="2" t="n">
        <v>0</v>
      </c>
      <c r="I1728" s="2" t="n">
        <v>1</v>
      </c>
      <c r="J1728" s="2" t="n">
        <v>1</v>
      </c>
      <c r="K1728" s="7" t="n">
        <v>0.4646105845</v>
      </c>
      <c r="L1728" s="7" t="n">
        <v>0.09079949601</v>
      </c>
      <c r="M1728" s="7" t="n">
        <v>0.09547080486</v>
      </c>
      <c r="N1728" s="7" t="n">
        <v>7</v>
      </c>
      <c r="O1728" s="7" t="n">
        <v>7</v>
      </c>
      <c r="P1728" s="7" t="n">
        <v>0</v>
      </c>
      <c r="Q1728" s="2"/>
      <c r="R1728" s="7" t="n">
        <v>2.56417</v>
      </c>
      <c r="S1728" s="5" t="s">
        <v>82</v>
      </c>
      <c r="T1728" s="5" t="s">
        <v>61</v>
      </c>
    </row>
    <row r="1729" customFormat="false" ht="15" hidden="false" customHeight="false" outlineLevel="0" collapsed="false">
      <c r="A1729" s="5" t="s">
        <v>4</v>
      </c>
      <c r="B1729" s="5" t="s">
        <v>55</v>
      </c>
      <c r="C1729" s="2" t="s">
        <v>56</v>
      </c>
      <c r="D1729" s="5" t="s">
        <v>83</v>
      </c>
      <c r="E1729" s="5" t="s">
        <v>62</v>
      </c>
      <c r="F1729" s="2" t="n">
        <v>18</v>
      </c>
      <c r="G1729" s="5" t="s">
        <v>73</v>
      </c>
      <c r="H1729" s="2" t="n">
        <v>0</v>
      </c>
      <c r="I1729" s="2" t="n">
        <v>1</v>
      </c>
      <c r="J1729" s="2" t="n">
        <v>1</v>
      </c>
      <c r="K1729" s="7" t="n">
        <v>0.4646105845</v>
      </c>
      <c r="L1729" s="7" t="n">
        <v>0.09079949601</v>
      </c>
      <c r="M1729" s="7" t="n">
        <v>0.09547080486</v>
      </c>
      <c r="N1729" s="7" t="n">
        <v>7</v>
      </c>
      <c r="O1729" s="7" t="n">
        <v>7</v>
      </c>
      <c r="P1729" s="7" t="n">
        <v>7</v>
      </c>
      <c r="Q1729" s="2"/>
      <c r="R1729" s="7" t="n">
        <v>3.030849</v>
      </c>
      <c r="S1729" s="5" t="s">
        <v>82</v>
      </c>
      <c r="T1729" s="5" t="s">
        <v>61</v>
      </c>
    </row>
    <row r="1730" customFormat="false" ht="15" hidden="false" customHeight="false" outlineLevel="0" collapsed="false">
      <c r="A1730" s="5" t="s">
        <v>4</v>
      </c>
      <c r="B1730" s="5" t="s">
        <v>55</v>
      </c>
      <c r="C1730" s="2" t="s">
        <v>56</v>
      </c>
      <c r="D1730" s="5" t="s">
        <v>83</v>
      </c>
      <c r="E1730" s="5" t="s">
        <v>58</v>
      </c>
      <c r="F1730" s="2" t="n">
        <v>19</v>
      </c>
      <c r="G1730" s="5" t="s">
        <v>71</v>
      </c>
      <c r="H1730" s="2" t="n">
        <v>1</v>
      </c>
      <c r="I1730" s="2" t="n">
        <v>1</v>
      </c>
      <c r="J1730" s="2" t="n">
        <v>1</v>
      </c>
      <c r="K1730" s="7" t="n">
        <v>0.7120694171</v>
      </c>
      <c r="L1730" s="7" t="n">
        <v>0.01890467156</v>
      </c>
      <c r="M1730" s="7" t="n">
        <v>0.04766913601</v>
      </c>
      <c r="N1730" s="7" t="n">
        <v>11</v>
      </c>
      <c r="O1730" s="7" t="n">
        <v>11</v>
      </c>
      <c r="P1730" s="7" t="n">
        <v>0</v>
      </c>
      <c r="Q1730" s="2"/>
      <c r="R1730" s="7" t="n">
        <v>1.19045</v>
      </c>
      <c r="S1730" s="5" t="s">
        <v>82</v>
      </c>
      <c r="T1730" s="5" t="s">
        <v>61</v>
      </c>
    </row>
    <row r="1731" customFormat="false" ht="15" hidden="false" customHeight="false" outlineLevel="0" collapsed="false">
      <c r="A1731" s="5" t="s">
        <v>4</v>
      </c>
      <c r="B1731" s="5" t="s">
        <v>55</v>
      </c>
      <c r="C1731" s="2" t="s">
        <v>56</v>
      </c>
      <c r="D1731" s="5" t="s">
        <v>83</v>
      </c>
      <c r="E1731" s="5" t="s">
        <v>62</v>
      </c>
      <c r="F1731" s="2" t="n">
        <v>19</v>
      </c>
      <c r="G1731" s="5" t="s">
        <v>71</v>
      </c>
      <c r="H1731" s="2" t="n">
        <v>1</v>
      </c>
      <c r="I1731" s="2" t="n">
        <v>1</v>
      </c>
      <c r="J1731" s="2" t="n">
        <v>1</v>
      </c>
      <c r="K1731" s="7" t="n">
        <v>0.7120694171</v>
      </c>
      <c r="L1731" s="7" t="n">
        <v>0.01890467156</v>
      </c>
      <c r="M1731" s="7" t="n">
        <v>0.04766913601</v>
      </c>
      <c r="N1731" s="7" t="n">
        <v>11</v>
      </c>
      <c r="O1731" s="7" t="n">
        <v>11</v>
      </c>
      <c r="P1731" s="7" t="n">
        <v>11</v>
      </c>
      <c r="Q1731" s="2"/>
      <c r="R1731" s="7" t="n">
        <v>1.794964</v>
      </c>
      <c r="S1731" s="5" t="s">
        <v>82</v>
      </c>
      <c r="T1731" s="5" t="s">
        <v>61</v>
      </c>
    </row>
    <row r="1732" customFormat="false" ht="15" hidden="false" customHeight="false" outlineLevel="0" collapsed="false">
      <c r="A1732" s="5" t="s">
        <v>4</v>
      </c>
      <c r="B1732" s="5" t="s">
        <v>55</v>
      </c>
      <c r="C1732" s="2" t="s">
        <v>56</v>
      </c>
      <c r="D1732" s="5" t="s">
        <v>83</v>
      </c>
      <c r="E1732" s="5" t="s">
        <v>58</v>
      </c>
      <c r="F1732" s="2" t="n">
        <v>19</v>
      </c>
      <c r="G1732" s="5" t="s">
        <v>72</v>
      </c>
      <c r="H1732" s="2" t="n">
        <v>1</v>
      </c>
      <c r="I1732" s="2" t="n">
        <v>1</v>
      </c>
      <c r="J1732" s="2" t="n">
        <v>1</v>
      </c>
      <c r="K1732" s="7" t="n">
        <v>1.138835149</v>
      </c>
      <c r="L1732" s="7" t="n">
        <v>0.07122696622</v>
      </c>
      <c r="M1732" s="7" t="n">
        <v>0.1039068308</v>
      </c>
      <c r="N1732" s="7" t="n">
        <v>13</v>
      </c>
      <c r="O1732" s="7" t="n">
        <v>13</v>
      </c>
      <c r="P1732" s="7" t="n">
        <v>0</v>
      </c>
      <c r="Q1732" s="2"/>
      <c r="R1732" s="7" t="n">
        <v>2.283916</v>
      </c>
      <c r="S1732" s="5" t="s">
        <v>82</v>
      </c>
      <c r="T1732" s="5" t="s">
        <v>61</v>
      </c>
    </row>
    <row r="1733" customFormat="false" ht="15" hidden="false" customHeight="false" outlineLevel="0" collapsed="false">
      <c r="A1733" s="5" t="s">
        <v>4</v>
      </c>
      <c r="B1733" s="5" t="s">
        <v>55</v>
      </c>
      <c r="C1733" s="2" t="s">
        <v>56</v>
      </c>
      <c r="D1733" s="5" t="s">
        <v>83</v>
      </c>
      <c r="E1733" s="5" t="s">
        <v>62</v>
      </c>
      <c r="F1733" s="2" t="n">
        <v>19</v>
      </c>
      <c r="G1733" s="5" t="s">
        <v>72</v>
      </c>
      <c r="H1733" s="2" t="n">
        <v>1</v>
      </c>
      <c r="I1733" s="2" t="n">
        <v>1</v>
      </c>
      <c r="J1733" s="2" t="n">
        <v>1</v>
      </c>
      <c r="K1733" s="7" t="n">
        <v>1.138835149</v>
      </c>
      <c r="L1733" s="7" t="n">
        <v>0.07122696622</v>
      </c>
      <c r="M1733" s="7" t="n">
        <v>0.1039068308</v>
      </c>
      <c r="N1733" s="7" t="n">
        <v>13</v>
      </c>
      <c r="O1733" s="7" t="n">
        <v>13</v>
      </c>
      <c r="P1733" s="7" t="n">
        <v>13</v>
      </c>
      <c r="Q1733" s="2"/>
      <c r="R1733" s="7" t="n">
        <v>2.923511</v>
      </c>
      <c r="S1733" s="5" t="s">
        <v>82</v>
      </c>
      <c r="T1733" s="5" t="s">
        <v>61</v>
      </c>
    </row>
    <row r="1734" customFormat="false" ht="15" hidden="false" customHeight="false" outlineLevel="0" collapsed="false">
      <c r="A1734" s="5" t="s">
        <v>4</v>
      </c>
      <c r="B1734" s="5" t="s">
        <v>55</v>
      </c>
      <c r="C1734" s="2" t="s">
        <v>56</v>
      </c>
      <c r="D1734" s="5" t="s">
        <v>83</v>
      </c>
      <c r="E1734" s="5" t="s">
        <v>58</v>
      </c>
      <c r="F1734" s="2" t="n">
        <v>19</v>
      </c>
      <c r="G1734" s="5" t="s">
        <v>73</v>
      </c>
      <c r="H1734" s="2" t="n">
        <v>0</v>
      </c>
      <c r="I1734" s="2" t="n">
        <v>1</v>
      </c>
      <c r="J1734" s="2" t="n">
        <v>1</v>
      </c>
      <c r="K1734" s="7" t="n">
        <v>0.3104641357</v>
      </c>
      <c r="L1734" s="7" t="n">
        <v>0.07316238032</v>
      </c>
      <c r="M1734" s="7" t="n">
        <v>0.07543165743</v>
      </c>
      <c r="N1734" s="7" t="n">
        <v>14</v>
      </c>
      <c r="O1734" s="7" t="n">
        <v>14</v>
      </c>
      <c r="P1734" s="7" t="n">
        <v>0</v>
      </c>
      <c r="Q1734" s="2"/>
      <c r="R1734" s="7" t="n">
        <v>2.521166</v>
      </c>
      <c r="S1734" s="5" t="s">
        <v>82</v>
      </c>
      <c r="T1734" s="5" t="s">
        <v>61</v>
      </c>
    </row>
    <row r="1735" customFormat="false" ht="15" hidden="false" customHeight="false" outlineLevel="0" collapsed="false">
      <c r="A1735" s="5" t="s">
        <v>4</v>
      </c>
      <c r="B1735" s="5" t="s">
        <v>55</v>
      </c>
      <c r="C1735" s="2" t="s">
        <v>56</v>
      </c>
      <c r="D1735" s="5" t="s">
        <v>83</v>
      </c>
      <c r="E1735" s="5" t="s">
        <v>62</v>
      </c>
      <c r="F1735" s="2" t="n">
        <v>19</v>
      </c>
      <c r="G1735" s="5" t="s">
        <v>73</v>
      </c>
      <c r="H1735" s="2" t="n">
        <v>0</v>
      </c>
      <c r="I1735" s="2" t="n">
        <v>1</v>
      </c>
      <c r="J1735" s="2" t="n">
        <v>1</v>
      </c>
      <c r="K1735" s="7" t="n">
        <v>0.3104641357</v>
      </c>
      <c r="L1735" s="7" t="n">
        <v>0.07316238032</v>
      </c>
      <c r="M1735" s="7" t="n">
        <v>0.07543165743</v>
      </c>
      <c r="N1735" s="7" t="n">
        <v>14</v>
      </c>
      <c r="O1735" s="7" t="n">
        <v>14</v>
      </c>
      <c r="P1735" s="7" t="n">
        <v>14</v>
      </c>
      <c r="Q1735" s="2"/>
      <c r="R1735" s="7" t="n">
        <v>3.214101</v>
      </c>
      <c r="S1735" s="5" t="s">
        <v>82</v>
      </c>
      <c r="T1735" s="5" t="s">
        <v>61</v>
      </c>
    </row>
    <row r="1736" customFormat="false" ht="15" hidden="false" customHeight="false" outlineLevel="0" collapsed="false">
      <c r="A1736" s="5" t="s">
        <v>4</v>
      </c>
      <c r="B1736" s="5" t="s">
        <v>55</v>
      </c>
      <c r="C1736" s="2" t="s">
        <v>56</v>
      </c>
      <c r="D1736" s="5" t="s">
        <v>83</v>
      </c>
      <c r="E1736" s="5" t="s">
        <v>58</v>
      </c>
      <c r="F1736" s="2" t="n">
        <v>20</v>
      </c>
      <c r="G1736" s="5" t="s">
        <v>71</v>
      </c>
      <c r="H1736" s="2" t="n">
        <v>1</v>
      </c>
      <c r="I1736" s="2" t="n">
        <v>1</v>
      </c>
      <c r="J1736" s="2" t="n">
        <v>1</v>
      </c>
      <c r="K1736" s="7" t="n">
        <v>0.5001050265</v>
      </c>
      <c r="L1736" s="7" t="n">
        <v>0.02719623291</v>
      </c>
      <c r="M1736" s="7" t="n">
        <v>0.04201396887</v>
      </c>
      <c r="N1736" s="7" t="n">
        <v>9</v>
      </c>
      <c r="O1736" s="7" t="n">
        <v>9</v>
      </c>
      <c r="P1736" s="7" t="n">
        <v>0</v>
      </c>
      <c r="Q1736" s="2"/>
      <c r="R1736" s="7" t="n">
        <v>1.453168</v>
      </c>
      <c r="S1736" s="5" t="s">
        <v>82</v>
      </c>
      <c r="T1736" s="5" t="s">
        <v>61</v>
      </c>
    </row>
    <row r="1737" customFormat="false" ht="15" hidden="false" customHeight="false" outlineLevel="0" collapsed="false">
      <c r="A1737" s="5" t="s">
        <v>4</v>
      </c>
      <c r="B1737" s="5" t="s">
        <v>55</v>
      </c>
      <c r="C1737" s="2" t="s">
        <v>56</v>
      </c>
      <c r="D1737" s="5" t="s">
        <v>83</v>
      </c>
      <c r="E1737" s="5" t="s">
        <v>62</v>
      </c>
      <c r="F1737" s="2" t="n">
        <v>20</v>
      </c>
      <c r="G1737" s="5" t="s">
        <v>71</v>
      </c>
      <c r="H1737" s="2" t="n">
        <v>1</v>
      </c>
      <c r="I1737" s="2" t="n">
        <v>1</v>
      </c>
      <c r="J1737" s="2" t="n">
        <v>1</v>
      </c>
      <c r="K1737" s="7" t="n">
        <v>0.5001050265</v>
      </c>
      <c r="L1737" s="7" t="n">
        <v>0.02719623291</v>
      </c>
      <c r="M1737" s="7" t="n">
        <v>0.04201396887</v>
      </c>
      <c r="N1737" s="7" t="n">
        <v>9</v>
      </c>
      <c r="O1737" s="7" t="n">
        <v>9</v>
      </c>
      <c r="P1737" s="7" t="n">
        <v>9</v>
      </c>
      <c r="Q1737" s="2"/>
      <c r="R1737" s="7" t="n">
        <v>2.129837</v>
      </c>
      <c r="S1737" s="5" t="s">
        <v>82</v>
      </c>
      <c r="T1737" s="5" t="s">
        <v>61</v>
      </c>
    </row>
    <row r="1738" customFormat="false" ht="15" hidden="false" customHeight="false" outlineLevel="0" collapsed="false">
      <c r="A1738" s="5" t="s">
        <v>4</v>
      </c>
      <c r="B1738" s="5" t="s">
        <v>55</v>
      </c>
      <c r="C1738" s="2" t="s">
        <v>56</v>
      </c>
      <c r="D1738" s="5" t="s">
        <v>83</v>
      </c>
      <c r="E1738" s="5" t="s">
        <v>58</v>
      </c>
      <c r="F1738" s="2" t="n">
        <v>20</v>
      </c>
      <c r="G1738" s="5" t="s">
        <v>72</v>
      </c>
      <c r="H1738" s="2" t="n">
        <v>1</v>
      </c>
      <c r="I1738" s="2" t="n">
        <v>1</v>
      </c>
      <c r="J1738" s="2" t="n">
        <v>1</v>
      </c>
      <c r="K1738" s="7" t="n">
        <v>0.2794395994</v>
      </c>
      <c r="L1738" s="7" t="n">
        <v>0.1086283521</v>
      </c>
      <c r="M1738" s="7" t="n">
        <v>0.1099604615</v>
      </c>
      <c r="N1738" s="7" t="n">
        <v>11</v>
      </c>
      <c r="O1738" s="7" t="n">
        <v>11</v>
      </c>
      <c r="P1738" s="7" t="n">
        <v>0</v>
      </c>
      <c r="Q1738" s="2"/>
      <c r="R1738" s="7" t="n">
        <v>2.613874</v>
      </c>
      <c r="S1738" s="5" t="s">
        <v>82</v>
      </c>
      <c r="T1738" s="5" t="s">
        <v>61</v>
      </c>
    </row>
    <row r="1739" customFormat="false" ht="15" hidden="false" customHeight="false" outlineLevel="0" collapsed="false">
      <c r="A1739" s="5" t="s">
        <v>4</v>
      </c>
      <c r="B1739" s="5" t="s">
        <v>55</v>
      </c>
      <c r="C1739" s="2" t="s">
        <v>56</v>
      </c>
      <c r="D1739" s="5" t="s">
        <v>83</v>
      </c>
      <c r="E1739" s="5" t="s">
        <v>62</v>
      </c>
      <c r="F1739" s="2" t="n">
        <v>20</v>
      </c>
      <c r="G1739" s="5" t="s">
        <v>72</v>
      </c>
      <c r="H1739" s="2" t="n">
        <v>1</v>
      </c>
      <c r="I1739" s="2" t="n">
        <v>1</v>
      </c>
      <c r="J1739" s="2" t="n">
        <v>1</v>
      </c>
      <c r="K1739" s="7" t="n">
        <v>0.1287666156</v>
      </c>
      <c r="L1739" s="7" t="n">
        <v>0.07553291493</v>
      </c>
      <c r="M1739" s="7" t="n">
        <v>0.07570479618</v>
      </c>
      <c r="N1739" s="7" t="n">
        <v>11</v>
      </c>
      <c r="O1739" s="7" t="n">
        <v>11</v>
      </c>
      <c r="P1739" s="7" t="n">
        <v>10</v>
      </c>
      <c r="Q1739" s="2"/>
      <c r="R1739" s="7" t="n">
        <v>3.198457</v>
      </c>
      <c r="S1739" s="5" t="s">
        <v>82</v>
      </c>
      <c r="T1739" s="5" t="s">
        <v>61</v>
      </c>
    </row>
    <row r="1740" customFormat="false" ht="15" hidden="false" customHeight="false" outlineLevel="0" collapsed="false">
      <c r="A1740" s="5" t="s">
        <v>4</v>
      </c>
      <c r="B1740" s="5" t="s">
        <v>55</v>
      </c>
      <c r="C1740" s="2" t="s">
        <v>56</v>
      </c>
      <c r="D1740" s="5" t="s">
        <v>83</v>
      </c>
      <c r="E1740" s="5" t="s">
        <v>58</v>
      </c>
      <c r="F1740" s="2" t="n">
        <v>20</v>
      </c>
      <c r="G1740" s="5" t="s">
        <v>73</v>
      </c>
      <c r="H1740" s="2" t="n">
        <v>0</v>
      </c>
      <c r="I1740" s="2" t="n">
        <v>1</v>
      </c>
      <c r="J1740" s="2" t="n">
        <v>1</v>
      </c>
      <c r="K1740" s="7" t="n">
        <v>0.2981974415</v>
      </c>
      <c r="L1740" s="7" t="n">
        <v>0.07332658075</v>
      </c>
      <c r="M1740" s="7" t="n">
        <v>0.07439081567</v>
      </c>
      <c r="N1740" s="7" t="n">
        <v>10</v>
      </c>
      <c r="O1740" s="7" t="n">
        <v>10</v>
      </c>
      <c r="P1740" s="7" t="n">
        <v>0</v>
      </c>
      <c r="Q1740" s="2"/>
      <c r="R1740" s="7" t="n">
        <v>2.831904</v>
      </c>
      <c r="S1740" s="5" t="s">
        <v>82</v>
      </c>
      <c r="T1740" s="5" t="s">
        <v>61</v>
      </c>
    </row>
    <row r="1741" customFormat="false" ht="15" hidden="false" customHeight="false" outlineLevel="0" collapsed="false">
      <c r="A1741" s="5" t="s">
        <v>4</v>
      </c>
      <c r="B1741" s="5" t="s">
        <v>55</v>
      </c>
      <c r="C1741" s="2" t="s">
        <v>56</v>
      </c>
      <c r="D1741" s="5" t="s">
        <v>83</v>
      </c>
      <c r="E1741" s="5" t="s">
        <v>62</v>
      </c>
      <c r="F1741" s="2" t="n">
        <v>20</v>
      </c>
      <c r="G1741" s="5" t="s">
        <v>73</v>
      </c>
      <c r="H1741" s="2" t="n">
        <v>0</v>
      </c>
      <c r="I1741" s="2" t="n">
        <v>1</v>
      </c>
      <c r="J1741" s="2" t="n">
        <v>1</v>
      </c>
      <c r="K1741" s="7" t="n">
        <v>1.095194271</v>
      </c>
      <c r="L1741" s="7" t="n">
        <v>0.09822310944</v>
      </c>
      <c r="M1741" s="7" t="n">
        <v>0.1175560256</v>
      </c>
      <c r="N1741" s="7" t="n">
        <v>10</v>
      </c>
      <c r="O1741" s="7" t="n">
        <v>10</v>
      </c>
      <c r="P1741" s="7" t="n">
        <v>9</v>
      </c>
      <c r="Q1741" s="2"/>
      <c r="R1741" s="7" t="n">
        <v>3.415778</v>
      </c>
      <c r="S1741" s="5" t="s">
        <v>82</v>
      </c>
      <c r="T1741" s="5" t="s">
        <v>61</v>
      </c>
    </row>
    <row r="1742" customFormat="false" ht="15" hidden="false" customHeight="false" outlineLevel="0" collapsed="false">
      <c r="A1742" s="5" t="s">
        <v>4</v>
      </c>
      <c r="B1742" s="5" t="s">
        <v>55</v>
      </c>
      <c r="C1742" s="2" t="s">
        <v>56</v>
      </c>
      <c r="D1742" s="5" t="s">
        <v>83</v>
      </c>
      <c r="E1742" s="5" t="s">
        <v>58</v>
      </c>
      <c r="F1742" s="2" t="n">
        <v>11</v>
      </c>
      <c r="G1742" s="5" t="s">
        <v>74</v>
      </c>
      <c r="H1742" s="2" t="n">
        <v>1</v>
      </c>
      <c r="I1742" s="2" t="n">
        <v>1</v>
      </c>
      <c r="J1742" s="2" t="n">
        <v>1</v>
      </c>
      <c r="K1742" s="7" t="n">
        <v>0.2127988499</v>
      </c>
      <c r="L1742" s="7" t="n">
        <v>0.08990784825</v>
      </c>
      <c r="M1742" s="7" t="n">
        <v>0.09184726739</v>
      </c>
      <c r="N1742" s="7" t="n">
        <v>5</v>
      </c>
      <c r="O1742" s="7" t="n">
        <v>5</v>
      </c>
      <c r="P1742" s="7" t="n">
        <v>0</v>
      </c>
      <c r="Q1742" s="2"/>
      <c r="R1742" s="7" t="n">
        <v>2.355772</v>
      </c>
      <c r="S1742" s="5" t="s">
        <v>82</v>
      </c>
      <c r="T1742" s="5" t="s">
        <v>61</v>
      </c>
    </row>
    <row r="1743" customFormat="false" ht="15" hidden="false" customHeight="false" outlineLevel="0" collapsed="false">
      <c r="A1743" s="5" t="s">
        <v>4</v>
      </c>
      <c r="B1743" s="5" t="s">
        <v>55</v>
      </c>
      <c r="C1743" s="2" t="s">
        <v>56</v>
      </c>
      <c r="D1743" s="5" t="s">
        <v>83</v>
      </c>
      <c r="E1743" s="5" t="s">
        <v>62</v>
      </c>
      <c r="F1743" s="2" t="n">
        <v>11</v>
      </c>
      <c r="G1743" s="5" t="s">
        <v>74</v>
      </c>
      <c r="H1743" s="2" t="n">
        <v>1</v>
      </c>
      <c r="I1743" s="2" t="n">
        <v>1</v>
      </c>
      <c r="J1743" s="2" t="n">
        <v>1</v>
      </c>
      <c r="K1743" s="7" t="n">
        <v>0.2127988499</v>
      </c>
      <c r="L1743" s="7" t="n">
        <v>0.08990784825</v>
      </c>
      <c r="M1743" s="7" t="n">
        <v>0.09184726739</v>
      </c>
      <c r="N1743" s="7" t="n">
        <v>5</v>
      </c>
      <c r="O1743" s="7" t="n">
        <v>5</v>
      </c>
      <c r="P1743" s="7" t="n">
        <v>5</v>
      </c>
      <c r="Q1743" s="2"/>
      <c r="R1743" s="7" t="n">
        <v>2.715813</v>
      </c>
      <c r="S1743" s="5" t="s">
        <v>82</v>
      </c>
      <c r="T1743" s="5" t="s">
        <v>61</v>
      </c>
    </row>
    <row r="1744" customFormat="false" ht="15" hidden="false" customHeight="false" outlineLevel="0" collapsed="false">
      <c r="A1744" s="5" t="s">
        <v>4</v>
      </c>
      <c r="B1744" s="5" t="s">
        <v>55</v>
      </c>
      <c r="C1744" s="2" t="s">
        <v>56</v>
      </c>
      <c r="D1744" s="5" t="s">
        <v>83</v>
      </c>
      <c r="E1744" s="5" t="s">
        <v>58</v>
      </c>
      <c r="F1744" s="2" t="n">
        <v>11</v>
      </c>
      <c r="G1744" s="5" t="s">
        <v>75</v>
      </c>
      <c r="H1744" s="2" t="n">
        <v>1</v>
      </c>
      <c r="I1744" s="2" t="n">
        <v>1</v>
      </c>
      <c r="J1744" s="2" t="n">
        <v>1</v>
      </c>
      <c r="K1744" s="7" t="n">
        <v>0.2046903177</v>
      </c>
      <c r="L1744" s="7" t="n">
        <v>0.08424973266</v>
      </c>
      <c r="M1744" s="7" t="n">
        <v>0.08476317097</v>
      </c>
      <c r="N1744" s="7" t="n">
        <v>15</v>
      </c>
      <c r="O1744" s="7" t="n">
        <v>15</v>
      </c>
      <c r="P1744" s="7" t="n">
        <v>0</v>
      </c>
      <c r="Q1744" s="2"/>
      <c r="R1744" s="7" t="n">
        <v>2.329944</v>
      </c>
      <c r="S1744" s="5" t="s">
        <v>82</v>
      </c>
      <c r="T1744" s="5" t="s">
        <v>61</v>
      </c>
    </row>
    <row r="1745" customFormat="false" ht="15" hidden="false" customHeight="false" outlineLevel="0" collapsed="false">
      <c r="A1745" s="5" t="s">
        <v>4</v>
      </c>
      <c r="B1745" s="5" t="s">
        <v>55</v>
      </c>
      <c r="C1745" s="2" t="s">
        <v>56</v>
      </c>
      <c r="D1745" s="5" t="s">
        <v>83</v>
      </c>
      <c r="E1745" s="5" t="s">
        <v>62</v>
      </c>
      <c r="F1745" s="2" t="n">
        <v>11</v>
      </c>
      <c r="G1745" s="5" t="s">
        <v>75</v>
      </c>
      <c r="H1745" s="2" t="n">
        <v>1</v>
      </c>
      <c r="I1745" s="2" t="n">
        <v>1</v>
      </c>
      <c r="J1745" s="2" t="n">
        <v>1</v>
      </c>
      <c r="K1745" s="7" t="n">
        <v>0.1779870844</v>
      </c>
      <c r="L1745" s="7" t="n">
        <v>0.04456486591</v>
      </c>
      <c r="M1745" s="7" t="n">
        <v>0.04589282325</v>
      </c>
      <c r="N1745" s="7" t="n">
        <v>15</v>
      </c>
      <c r="O1745" s="7" t="n">
        <v>15</v>
      </c>
      <c r="P1745" s="7" t="n">
        <v>14</v>
      </c>
      <c r="Q1745" s="2"/>
      <c r="R1745" s="7" t="n">
        <v>2.964602</v>
      </c>
      <c r="S1745" s="5" t="s">
        <v>82</v>
      </c>
      <c r="T1745" s="5" t="s">
        <v>61</v>
      </c>
    </row>
    <row r="1746" customFormat="false" ht="15" hidden="false" customHeight="false" outlineLevel="0" collapsed="false">
      <c r="A1746" s="5" t="s">
        <v>4</v>
      </c>
      <c r="B1746" s="5" t="s">
        <v>55</v>
      </c>
      <c r="C1746" s="2" t="s">
        <v>56</v>
      </c>
      <c r="D1746" s="5" t="s">
        <v>83</v>
      </c>
      <c r="E1746" s="5" t="s">
        <v>58</v>
      </c>
      <c r="F1746" s="2" t="n">
        <v>12</v>
      </c>
      <c r="G1746" s="5" t="s">
        <v>74</v>
      </c>
      <c r="H1746" s="2" t="n">
        <v>1</v>
      </c>
      <c r="I1746" s="2" t="n">
        <v>1</v>
      </c>
      <c r="J1746" s="2" t="n">
        <v>1</v>
      </c>
      <c r="K1746" s="7" t="n">
        <v>0.2542697202</v>
      </c>
      <c r="L1746" s="7" t="n">
        <v>0.07078065899</v>
      </c>
      <c r="M1746" s="7" t="n">
        <v>0.07312320236</v>
      </c>
      <c r="N1746" s="7" t="n">
        <v>10</v>
      </c>
      <c r="O1746" s="7" t="n">
        <v>10</v>
      </c>
      <c r="P1746" s="7" t="n">
        <v>0</v>
      </c>
      <c r="Q1746" s="2"/>
      <c r="R1746" s="7" t="n">
        <v>2.640312</v>
      </c>
      <c r="S1746" s="5" t="s">
        <v>82</v>
      </c>
      <c r="T1746" s="5" t="s">
        <v>61</v>
      </c>
    </row>
    <row r="1747" customFormat="false" ht="15" hidden="false" customHeight="false" outlineLevel="0" collapsed="false">
      <c r="A1747" s="5" t="s">
        <v>4</v>
      </c>
      <c r="B1747" s="5" t="s">
        <v>55</v>
      </c>
      <c r="C1747" s="2" t="s">
        <v>56</v>
      </c>
      <c r="D1747" s="5" t="s">
        <v>83</v>
      </c>
      <c r="E1747" s="5" t="s">
        <v>62</v>
      </c>
      <c r="F1747" s="2" t="n">
        <v>12</v>
      </c>
      <c r="G1747" s="5" t="s">
        <v>74</v>
      </c>
      <c r="H1747" s="2" t="n">
        <v>1</v>
      </c>
      <c r="I1747" s="2" t="n">
        <v>1</v>
      </c>
      <c r="J1747" s="2" t="n">
        <v>1</v>
      </c>
      <c r="K1747" s="7" t="n">
        <v>0.2542697202</v>
      </c>
      <c r="L1747" s="7" t="n">
        <v>0.07078065899</v>
      </c>
      <c r="M1747" s="7" t="n">
        <v>0.07312320236</v>
      </c>
      <c r="N1747" s="7" t="n">
        <v>10</v>
      </c>
      <c r="O1747" s="7" t="n">
        <v>10</v>
      </c>
      <c r="P1747" s="7" t="n">
        <v>10</v>
      </c>
      <c r="Q1747" s="2"/>
      <c r="R1747" s="7" t="n">
        <v>3.215553</v>
      </c>
      <c r="S1747" s="5" t="s">
        <v>82</v>
      </c>
      <c r="T1747" s="5" t="s">
        <v>61</v>
      </c>
    </row>
    <row r="1748" customFormat="false" ht="15" hidden="false" customHeight="false" outlineLevel="0" collapsed="false">
      <c r="A1748" s="5" t="s">
        <v>4</v>
      </c>
      <c r="B1748" s="5" t="s">
        <v>55</v>
      </c>
      <c r="C1748" s="2" t="s">
        <v>56</v>
      </c>
      <c r="D1748" s="5" t="s">
        <v>83</v>
      </c>
      <c r="E1748" s="5" t="s">
        <v>58</v>
      </c>
      <c r="F1748" s="2" t="n">
        <v>12</v>
      </c>
      <c r="G1748" s="5" t="s">
        <v>75</v>
      </c>
      <c r="H1748" s="2" t="n">
        <v>1</v>
      </c>
      <c r="I1748" s="2" t="n">
        <v>1</v>
      </c>
      <c r="J1748" s="2" t="n">
        <v>1</v>
      </c>
      <c r="K1748" s="7" t="n">
        <v>0.75748116</v>
      </c>
      <c r="L1748" s="7" t="n">
        <v>0.1380676001</v>
      </c>
      <c r="M1748" s="7" t="n">
        <v>0.1471721373</v>
      </c>
      <c r="N1748" s="7" t="n">
        <v>15</v>
      </c>
      <c r="O1748" s="7" t="n">
        <v>15</v>
      </c>
      <c r="P1748" s="7" t="n">
        <v>0</v>
      </c>
      <c r="Q1748" s="2"/>
      <c r="R1748" s="7" t="n">
        <v>2.372627</v>
      </c>
      <c r="S1748" s="5" t="s">
        <v>82</v>
      </c>
      <c r="T1748" s="5" t="s">
        <v>61</v>
      </c>
    </row>
    <row r="1749" customFormat="false" ht="15" hidden="false" customHeight="false" outlineLevel="0" collapsed="false">
      <c r="A1749" s="5" t="s">
        <v>4</v>
      </c>
      <c r="B1749" s="5" t="s">
        <v>55</v>
      </c>
      <c r="C1749" s="2" t="s">
        <v>56</v>
      </c>
      <c r="D1749" s="5" t="s">
        <v>83</v>
      </c>
      <c r="E1749" s="5" t="s">
        <v>62</v>
      </c>
      <c r="F1749" s="2" t="n">
        <v>12</v>
      </c>
      <c r="G1749" s="5" t="s">
        <v>75</v>
      </c>
      <c r="H1749" s="2" t="n">
        <v>1</v>
      </c>
      <c r="I1749" s="2" t="n">
        <v>1</v>
      </c>
      <c r="J1749" s="2" t="n">
        <v>1</v>
      </c>
      <c r="K1749" s="7" t="n">
        <v>0.1756971867</v>
      </c>
      <c r="L1749" s="7" t="n">
        <v>0.09127752658</v>
      </c>
      <c r="M1749" s="7" t="n">
        <v>0.09178045426</v>
      </c>
      <c r="N1749" s="7" t="n">
        <v>15</v>
      </c>
      <c r="O1749" s="7" t="n">
        <v>15</v>
      </c>
      <c r="P1749" s="7" t="n">
        <v>13</v>
      </c>
      <c r="Q1749" s="2"/>
      <c r="R1749" s="7" t="n">
        <v>3.047134</v>
      </c>
      <c r="S1749" s="5" t="s">
        <v>82</v>
      </c>
      <c r="T1749" s="5" t="s">
        <v>61</v>
      </c>
    </row>
    <row r="1750" customFormat="false" ht="15" hidden="false" customHeight="false" outlineLevel="0" collapsed="false">
      <c r="A1750" s="5" t="s">
        <v>4</v>
      </c>
      <c r="B1750" s="5" t="s">
        <v>55</v>
      </c>
      <c r="C1750" s="2" t="s">
        <v>56</v>
      </c>
      <c r="D1750" s="5" t="s">
        <v>83</v>
      </c>
      <c r="E1750" s="5" t="s">
        <v>58</v>
      </c>
      <c r="F1750" s="2" t="n">
        <v>13</v>
      </c>
      <c r="G1750" s="5" t="s">
        <v>74</v>
      </c>
      <c r="H1750" s="2" t="n">
        <v>1</v>
      </c>
      <c r="I1750" s="2" t="n">
        <v>1</v>
      </c>
      <c r="J1750" s="2" t="n">
        <v>1</v>
      </c>
      <c r="K1750" s="7" t="n">
        <v>0.3169915412</v>
      </c>
      <c r="L1750" s="7" t="n">
        <v>0.07638233573</v>
      </c>
      <c r="M1750" s="7" t="n">
        <v>0.07946213709</v>
      </c>
      <c r="N1750" s="7" t="n">
        <v>10</v>
      </c>
      <c r="O1750" s="7" t="n">
        <v>10</v>
      </c>
      <c r="P1750" s="7" t="n">
        <v>0</v>
      </c>
      <c r="Q1750" s="2"/>
      <c r="R1750" s="7" t="n">
        <v>2.621455</v>
      </c>
      <c r="S1750" s="5" t="s">
        <v>82</v>
      </c>
      <c r="T1750" s="5" t="s">
        <v>61</v>
      </c>
    </row>
    <row r="1751" customFormat="false" ht="15" hidden="false" customHeight="false" outlineLevel="0" collapsed="false">
      <c r="A1751" s="5" t="s">
        <v>4</v>
      </c>
      <c r="B1751" s="5" t="s">
        <v>55</v>
      </c>
      <c r="C1751" s="2" t="s">
        <v>56</v>
      </c>
      <c r="D1751" s="5" t="s">
        <v>83</v>
      </c>
      <c r="E1751" s="5" t="s">
        <v>62</v>
      </c>
      <c r="F1751" s="2" t="n">
        <v>13</v>
      </c>
      <c r="G1751" s="5" t="s">
        <v>74</v>
      </c>
      <c r="H1751" s="2" t="n">
        <v>1</v>
      </c>
      <c r="I1751" s="2" t="n">
        <v>1</v>
      </c>
      <c r="J1751" s="2" t="n">
        <v>1</v>
      </c>
      <c r="K1751" s="7" t="n">
        <v>0.3169915412</v>
      </c>
      <c r="L1751" s="7" t="n">
        <v>0.07638233573</v>
      </c>
      <c r="M1751" s="7" t="n">
        <v>0.07946213709</v>
      </c>
      <c r="N1751" s="7" t="n">
        <v>10</v>
      </c>
      <c r="O1751" s="7" t="n">
        <v>10</v>
      </c>
      <c r="P1751" s="7" t="n">
        <v>10</v>
      </c>
      <c r="Q1751" s="2"/>
      <c r="R1751" s="7" t="n">
        <v>3.207842</v>
      </c>
      <c r="S1751" s="5" t="s">
        <v>82</v>
      </c>
      <c r="T1751" s="5" t="s">
        <v>61</v>
      </c>
    </row>
    <row r="1752" customFormat="false" ht="15" hidden="false" customHeight="false" outlineLevel="0" collapsed="false">
      <c r="A1752" s="5" t="s">
        <v>4</v>
      </c>
      <c r="B1752" s="5" t="s">
        <v>55</v>
      </c>
      <c r="C1752" s="2" t="s">
        <v>56</v>
      </c>
      <c r="D1752" s="5" t="s">
        <v>83</v>
      </c>
      <c r="E1752" s="5" t="s">
        <v>58</v>
      </c>
      <c r="F1752" s="2" t="n">
        <v>13</v>
      </c>
      <c r="G1752" s="5" t="s">
        <v>75</v>
      </c>
      <c r="H1752" s="2" t="n">
        <v>1</v>
      </c>
      <c r="I1752" s="2" t="n">
        <v>1</v>
      </c>
      <c r="J1752" s="2" t="n">
        <v>1</v>
      </c>
      <c r="K1752" s="7" t="n">
        <v>0.09229811955</v>
      </c>
      <c r="L1752" s="7" t="n">
        <v>0.07785156077</v>
      </c>
      <c r="M1752" s="7" t="n">
        <v>0.07834053832</v>
      </c>
      <c r="N1752" s="7" t="n">
        <v>9</v>
      </c>
      <c r="O1752" s="7" t="n">
        <v>9</v>
      </c>
      <c r="P1752" s="7" t="n">
        <v>0</v>
      </c>
      <c r="Q1752" s="2"/>
      <c r="R1752" s="7" t="n">
        <v>2.472545</v>
      </c>
      <c r="S1752" s="5" t="s">
        <v>82</v>
      </c>
      <c r="T1752" s="5" t="s">
        <v>61</v>
      </c>
    </row>
    <row r="1753" customFormat="false" ht="15" hidden="false" customHeight="false" outlineLevel="0" collapsed="false">
      <c r="A1753" s="5" t="s">
        <v>4</v>
      </c>
      <c r="B1753" s="5" t="s">
        <v>55</v>
      </c>
      <c r="C1753" s="2" t="s">
        <v>56</v>
      </c>
      <c r="D1753" s="5" t="s">
        <v>83</v>
      </c>
      <c r="E1753" s="5" t="s">
        <v>62</v>
      </c>
      <c r="F1753" s="2" t="n">
        <v>13</v>
      </c>
      <c r="G1753" s="5" t="s">
        <v>75</v>
      </c>
      <c r="H1753" s="2" t="n">
        <v>1</v>
      </c>
      <c r="I1753" s="2" t="n">
        <v>1</v>
      </c>
      <c r="J1753" s="2" t="n">
        <v>1</v>
      </c>
      <c r="K1753" s="7" t="n">
        <v>0.09229811955</v>
      </c>
      <c r="L1753" s="7" t="n">
        <v>0.07785156077</v>
      </c>
      <c r="M1753" s="7" t="n">
        <v>0.07834053832</v>
      </c>
      <c r="N1753" s="7" t="n">
        <v>9</v>
      </c>
      <c r="O1753" s="7" t="n">
        <v>9</v>
      </c>
      <c r="P1753" s="7" t="n">
        <v>9</v>
      </c>
      <c r="Q1753" s="2"/>
      <c r="R1753" s="7" t="n">
        <v>2.979293</v>
      </c>
      <c r="S1753" s="5" t="s">
        <v>82</v>
      </c>
      <c r="T1753" s="5" t="s">
        <v>61</v>
      </c>
    </row>
    <row r="1754" customFormat="false" ht="15" hidden="false" customHeight="false" outlineLevel="0" collapsed="false">
      <c r="A1754" s="5" t="s">
        <v>4</v>
      </c>
      <c r="B1754" s="5" t="s">
        <v>55</v>
      </c>
      <c r="C1754" s="2" t="s">
        <v>56</v>
      </c>
      <c r="D1754" s="5" t="s">
        <v>83</v>
      </c>
      <c r="E1754" s="5" t="s">
        <v>58</v>
      </c>
      <c r="F1754" s="2" t="n">
        <v>14</v>
      </c>
      <c r="G1754" s="5" t="s">
        <v>74</v>
      </c>
      <c r="H1754" s="2" t="n">
        <v>1</v>
      </c>
      <c r="I1754" s="2" t="n">
        <v>1</v>
      </c>
      <c r="J1754" s="2" t="n">
        <v>1</v>
      </c>
      <c r="K1754" s="7" t="n">
        <v>0.7165096993</v>
      </c>
      <c r="L1754" s="7" t="n">
        <v>0.1194350562</v>
      </c>
      <c r="M1754" s="7" t="n">
        <v>0.1291410867</v>
      </c>
      <c r="N1754" s="7" t="n">
        <v>5</v>
      </c>
      <c r="O1754" s="7" t="n">
        <v>5</v>
      </c>
      <c r="P1754" s="7" t="n">
        <v>0</v>
      </c>
      <c r="Q1754" s="2"/>
      <c r="R1754" s="7" t="n">
        <v>2.536409</v>
      </c>
      <c r="S1754" s="5" t="s">
        <v>82</v>
      </c>
      <c r="T1754" s="5" t="s">
        <v>61</v>
      </c>
    </row>
    <row r="1755" customFormat="false" ht="15" hidden="false" customHeight="false" outlineLevel="0" collapsed="false">
      <c r="A1755" s="5" t="s">
        <v>4</v>
      </c>
      <c r="B1755" s="5" t="s">
        <v>55</v>
      </c>
      <c r="C1755" s="2" t="s">
        <v>56</v>
      </c>
      <c r="D1755" s="5" t="s">
        <v>83</v>
      </c>
      <c r="E1755" s="5" t="s">
        <v>62</v>
      </c>
      <c r="F1755" s="2" t="n">
        <v>14</v>
      </c>
      <c r="G1755" s="5" t="s">
        <v>74</v>
      </c>
      <c r="H1755" s="2" t="n">
        <v>1</v>
      </c>
      <c r="I1755" s="2" t="n">
        <v>1</v>
      </c>
      <c r="J1755" s="2" t="n">
        <v>1</v>
      </c>
      <c r="K1755" s="7" t="n">
        <v>0.7165096993</v>
      </c>
      <c r="L1755" s="7" t="n">
        <v>0.1194350562</v>
      </c>
      <c r="M1755" s="7" t="n">
        <v>0.1291410867</v>
      </c>
      <c r="N1755" s="7" t="n">
        <v>5</v>
      </c>
      <c r="O1755" s="7" t="n">
        <v>5</v>
      </c>
      <c r="P1755" s="7" t="n">
        <v>5</v>
      </c>
      <c r="Q1755" s="2"/>
      <c r="R1755" s="7" t="n">
        <v>2.938072</v>
      </c>
      <c r="S1755" s="5" t="s">
        <v>82</v>
      </c>
      <c r="T1755" s="5" t="s">
        <v>61</v>
      </c>
    </row>
    <row r="1756" customFormat="false" ht="15" hidden="false" customHeight="false" outlineLevel="0" collapsed="false">
      <c r="A1756" s="5" t="s">
        <v>4</v>
      </c>
      <c r="B1756" s="5" t="s">
        <v>55</v>
      </c>
      <c r="C1756" s="2" t="s">
        <v>56</v>
      </c>
      <c r="D1756" s="5" t="s">
        <v>83</v>
      </c>
      <c r="E1756" s="5" t="s">
        <v>58</v>
      </c>
      <c r="F1756" s="2" t="n">
        <v>14</v>
      </c>
      <c r="G1756" s="5" t="s">
        <v>75</v>
      </c>
      <c r="H1756" s="2" t="n">
        <v>1</v>
      </c>
      <c r="I1756" s="2" t="n">
        <v>1</v>
      </c>
      <c r="J1756" s="2" t="n">
        <v>1</v>
      </c>
      <c r="K1756" s="7" t="n">
        <v>0.4618680378</v>
      </c>
      <c r="L1756" s="7" t="n">
        <v>0.1400277815</v>
      </c>
      <c r="M1756" s="7" t="n">
        <v>0.1421254583</v>
      </c>
      <c r="N1756" s="7" t="n">
        <v>16</v>
      </c>
      <c r="O1756" s="7" t="n">
        <v>16</v>
      </c>
      <c r="P1756" s="7" t="n">
        <v>0</v>
      </c>
      <c r="Q1756" s="2"/>
      <c r="R1756" s="7" t="n">
        <v>2.661233</v>
      </c>
      <c r="S1756" s="5" t="s">
        <v>82</v>
      </c>
      <c r="T1756" s="5" t="s">
        <v>61</v>
      </c>
    </row>
    <row r="1757" customFormat="false" ht="15" hidden="false" customHeight="false" outlineLevel="0" collapsed="false">
      <c r="A1757" s="5" t="s">
        <v>4</v>
      </c>
      <c r="B1757" s="5" t="s">
        <v>55</v>
      </c>
      <c r="C1757" s="2" t="s">
        <v>56</v>
      </c>
      <c r="D1757" s="5" t="s">
        <v>83</v>
      </c>
      <c r="E1757" s="5" t="s">
        <v>62</v>
      </c>
      <c r="F1757" s="2" t="n">
        <v>14</v>
      </c>
      <c r="G1757" s="5" t="s">
        <v>75</v>
      </c>
      <c r="H1757" s="2" t="n">
        <v>1</v>
      </c>
      <c r="I1757" s="2" t="n">
        <v>1</v>
      </c>
      <c r="J1757" s="2" t="n">
        <v>1</v>
      </c>
      <c r="K1757" s="7" t="n">
        <v>0.4727293353</v>
      </c>
      <c r="L1757" s="7" t="n">
        <v>0.0849547657</v>
      </c>
      <c r="M1757" s="7" t="n">
        <v>0.09061660124</v>
      </c>
      <c r="N1757" s="7" t="n">
        <v>16</v>
      </c>
      <c r="O1757" s="7" t="n">
        <v>16</v>
      </c>
      <c r="P1757" s="7" t="n">
        <v>14</v>
      </c>
      <c r="Q1757" s="2"/>
      <c r="R1757" s="7" t="n">
        <v>3.364733</v>
      </c>
      <c r="S1757" s="5" t="s">
        <v>82</v>
      </c>
      <c r="T1757" s="5" t="s">
        <v>61</v>
      </c>
    </row>
    <row r="1758" customFormat="false" ht="15" hidden="false" customHeight="false" outlineLevel="0" collapsed="false">
      <c r="A1758" s="5" t="s">
        <v>4</v>
      </c>
      <c r="B1758" s="5" t="s">
        <v>55</v>
      </c>
      <c r="C1758" s="2" t="s">
        <v>56</v>
      </c>
      <c r="D1758" s="5" t="s">
        <v>83</v>
      </c>
      <c r="E1758" s="5" t="s">
        <v>58</v>
      </c>
      <c r="F1758" s="2" t="n">
        <v>15</v>
      </c>
      <c r="G1758" s="5" t="s">
        <v>74</v>
      </c>
      <c r="H1758" s="2" t="n">
        <v>1</v>
      </c>
      <c r="I1758" s="2" t="n">
        <v>1</v>
      </c>
      <c r="J1758" s="2" t="n">
        <v>1</v>
      </c>
      <c r="K1758" s="7" t="n">
        <v>0.1559740456</v>
      </c>
      <c r="L1758" s="7" t="n">
        <v>0.05158340927</v>
      </c>
      <c r="M1758" s="7" t="n">
        <v>0.05304914973</v>
      </c>
      <c r="N1758" s="7" t="n">
        <v>9</v>
      </c>
      <c r="O1758" s="7" t="n">
        <v>9</v>
      </c>
      <c r="P1758" s="7" t="n">
        <v>0</v>
      </c>
      <c r="Q1758" s="2"/>
      <c r="R1758" s="7" t="n">
        <v>2.613784</v>
      </c>
      <c r="S1758" s="5" t="s">
        <v>82</v>
      </c>
      <c r="T1758" s="5" t="s">
        <v>61</v>
      </c>
    </row>
    <row r="1759" customFormat="false" ht="15" hidden="false" customHeight="false" outlineLevel="0" collapsed="false">
      <c r="A1759" s="5" t="s">
        <v>4</v>
      </c>
      <c r="B1759" s="5" t="s">
        <v>55</v>
      </c>
      <c r="C1759" s="2" t="s">
        <v>56</v>
      </c>
      <c r="D1759" s="5" t="s">
        <v>83</v>
      </c>
      <c r="E1759" s="5" t="s">
        <v>62</v>
      </c>
      <c r="F1759" s="2" t="n">
        <v>15</v>
      </c>
      <c r="G1759" s="5" t="s">
        <v>74</v>
      </c>
      <c r="H1759" s="2" t="n">
        <v>1</v>
      </c>
      <c r="I1759" s="2" t="n">
        <v>1</v>
      </c>
      <c r="J1759" s="2" t="n">
        <v>1</v>
      </c>
      <c r="K1759" s="7" t="n">
        <v>0.1559740456</v>
      </c>
      <c r="L1759" s="7" t="n">
        <v>0.05158340927</v>
      </c>
      <c r="M1759" s="7" t="n">
        <v>0.05304914973</v>
      </c>
      <c r="N1759" s="7" t="n">
        <v>9</v>
      </c>
      <c r="O1759" s="7" t="n">
        <v>9</v>
      </c>
      <c r="P1759" s="7" t="n">
        <v>9</v>
      </c>
      <c r="Q1759" s="2"/>
      <c r="R1759" s="7" t="n">
        <v>3.27436</v>
      </c>
      <c r="S1759" s="5" t="s">
        <v>82</v>
      </c>
      <c r="T1759" s="5" t="s">
        <v>61</v>
      </c>
    </row>
    <row r="1760" customFormat="false" ht="15" hidden="false" customHeight="false" outlineLevel="0" collapsed="false">
      <c r="A1760" s="5" t="s">
        <v>4</v>
      </c>
      <c r="B1760" s="5" t="s">
        <v>55</v>
      </c>
      <c r="C1760" s="2" t="s">
        <v>56</v>
      </c>
      <c r="D1760" s="5" t="s">
        <v>83</v>
      </c>
      <c r="E1760" s="5" t="s">
        <v>58</v>
      </c>
      <c r="F1760" s="2" t="n">
        <v>15</v>
      </c>
      <c r="G1760" s="5" t="s">
        <v>75</v>
      </c>
      <c r="H1760" s="2" t="n">
        <v>1</v>
      </c>
      <c r="I1760" s="2" t="n">
        <v>1</v>
      </c>
      <c r="J1760" s="2" t="n">
        <v>1</v>
      </c>
      <c r="K1760" s="7" t="n">
        <v>1.084825035</v>
      </c>
      <c r="L1760" s="7" t="n">
        <v>0.1759590585</v>
      </c>
      <c r="M1760" s="7" t="n">
        <v>0.1902752714</v>
      </c>
      <c r="N1760" s="7" t="n">
        <v>13</v>
      </c>
      <c r="O1760" s="7" t="n">
        <v>13</v>
      </c>
      <c r="P1760" s="7" t="n">
        <v>0</v>
      </c>
      <c r="Q1760" s="2"/>
      <c r="R1760" s="7" t="n">
        <v>2.85504</v>
      </c>
      <c r="S1760" s="5" t="s">
        <v>82</v>
      </c>
      <c r="T1760" s="5" t="s">
        <v>61</v>
      </c>
    </row>
    <row r="1761" customFormat="false" ht="15" hidden="false" customHeight="false" outlineLevel="0" collapsed="false">
      <c r="A1761" s="5" t="s">
        <v>4</v>
      </c>
      <c r="B1761" s="5" t="s">
        <v>55</v>
      </c>
      <c r="C1761" s="2" t="s">
        <v>56</v>
      </c>
      <c r="D1761" s="5" t="s">
        <v>83</v>
      </c>
      <c r="E1761" s="5" t="s">
        <v>62</v>
      </c>
      <c r="F1761" s="2" t="n">
        <v>15</v>
      </c>
      <c r="G1761" s="5" t="s">
        <v>75</v>
      </c>
      <c r="H1761" s="2" t="n">
        <v>1</v>
      </c>
      <c r="I1761" s="2" t="n">
        <v>1</v>
      </c>
      <c r="J1761" s="2" t="n">
        <v>1</v>
      </c>
      <c r="K1761" s="7" t="n">
        <v>0.03893107069</v>
      </c>
      <c r="L1761" s="7" t="n">
        <v>0.07710662852</v>
      </c>
      <c r="M1761" s="7" t="n">
        <v>0.07726051114</v>
      </c>
      <c r="N1761" s="7" t="n">
        <v>13</v>
      </c>
      <c r="O1761" s="7" t="n">
        <v>13</v>
      </c>
      <c r="P1761" s="7" t="n">
        <v>12</v>
      </c>
      <c r="Q1761" s="2"/>
      <c r="R1761" s="7" t="n">
        <v>3.426295</v>
      </c>
      <c r="S1761" s="5" t="s">
        <v>82</v>
      </c>
      <c r="T1761" s="5" t="s">
        <v>61</v>
      </c>
    </row>
    <row r="1762" customFormat="false" ht="15" hidden="false" customHeight="false" outlineLevel="0" collapsed="false">
      <c r="A1762" s="5" t="s">
        <v>4</v>
      </c>
      <c r="B1762" s="5" t="s">
        <v>55</v>
      </c>
      <c r="C1762" s="2" t="s">
        <v>56</v>
      </c>
      <c r="D1762" s="5" t="s">
        <v>83</v>
      </c>
      <c r="E1762" s="5" t="s">
        <v>58</v>
      </c>
      <c r="F1762" s="2" t="n">
        <v>16</v>
      </c>
      <c r="G1762" s="5" t="s">
        <v>74</v>
      </c>
      <c r="H1762" s="2" t="n">
        <v>1</v>
      </c>
      <c r="I1762" s="2" t="n">
        <v>1</v>
      </c>
      <c r="J1762" s="2" t="n">
        <v>1</v>
      </c>
      <c r="K1762" s="7" t="n">
        <v>0.2636510242</v>
      </c>
      <c r="L1762" s="7" t="n">
        <v>0.09874219768</v>
      </c>
      <c r="M1762" s="7" t="n">
        <v>0.100866982</v>
      </c>
      <c r="N1762" s="7" t="n">
        <v>10</v>
      </c>
      <c r="O1762" s="7" t="n">
        <v>10</v>
      </c>
      <c r="P1762" s="7" t="n">
        <v>0</v>
      </c>
      <c r="Q1762" s="2"/>
      <c r="R1762" s="7" t="n">
        <v>2.160653</v>
      </c>
      <c r="S1762" s="5" t="s">
        <v>82</v>
      </c>
      <c r="T1762" s="5" t="s">
        <v>61</v>
      </c>
    </row>
    <row r="1763" customFormat="false" ht="15" hidden="false" customHeight="false" outlineLevel="0" collapsed="false">
      <c r="A1763" s="5" t="s">
        <v>4</v>
      </c>
      <c r="B1763" s="5" t="s">
        <v>55</v>
      </c>
      <c r="C1763" s="2" t="s">
        <v>56</v>
      </c>
      <c r="D1763" s="5" t="s">
        <v>83</v>
      </c>
      <c r="E1763" s="5" t="s">
        <v>62</v>
      </c>
      <c r="F1763" s="2" t="n">
        <v>16</v>
      </c>
      <c r="G1763" s="5" t="s">
        <v>74</v>
      </c>
      <c r="H1763" s="2" t="n">
        <v>1</v>
      </c>
      <c r="I1763" s="2" t="n">
        <v>1</v>
      </c>
      <c r="J1763" s="2" t="n">
        <v>1</v>
      </c>
      <c r="K1763" s="7" t="n">
        <v>0.2636510242</v>
      </c>
      <c r="L1763" s="7" t="n">
        <v>0.09874219768</v>
      </c>
      <c r="M1763" s="7" t="n">
        <v>0.100866982</v>
      </c>
      <c r="N1763" s="7" t="n">
        <v>10</v>
      </c>
      <c r="O1763" s="7" t="n">
        <v>10</v>
      </c>
      <c r="P1763" s="7" t="n">
        <v>10</v>
      </c>
      <c r="Q1763" s="2"/>
      <c r="R1763" s="7" t="n">
        <v>2.709614</v>
      </c>
      <c r="S1763" s="5" t="s">
        <v>82</v>
      </c>
      <c r="T1763" s="5" t="s">
        <v>61</v>
      </c>
    </row>
    <row r="1764" customFormat="false" ht="15" hidden="false" customHeight="false" outlineLevel="0" collapsed="false">
      <c r="A1764" s="5" t="s">
        <v>4</v>
      </c>
      <c r="B1764" s="5" t="s">
        <v>55</v>
      </c>
      <c r="C1764" s="2" t="s">
        <v>56</v>
      </c>
      <c r="D1764" s="5" t="s">
        <v>83</v>
      </c>
      <c r="E1764" s="5" t="s">
        <v>58</v>
      </c>
      <c r="F1764" s="2" t="n">
        <v>16</v>
      </c>
      <c r="G1764" s="5" t="s">
        <v>75</v>
      </c>
      <c r="H1764" s="2" t="n">
        <v>1</v>
      </c>
      <c r="I1764" s="2" t="n">
        <v>1</v>
      </c>
      <c r="J1764" s="2" t="n">
        <v>1</v>
      </c>
      <c r="K1764" s="7" t="n">
        <v>0.0781294874</v>
      </c>
      <c r="L1764" s="7" t="n">
        <v>0.05449765988</v>
      </c>
      <c r="M1764" s="7" t="n">
        <v>0.05493307796</v>
      </c>
      <c r="N1764" s="7" t="n">
        <v>14</v>
      </c>
      <c r="O1764" s="7" t="n">
        <v>14</v>
      </c>
      <c r="P1764" s="7" t="n">
        <v>0</v>
      </c>
      <c r="Q1764" s="2"/>
      <c r="R1764" s="7" t="n">
        <v>2.485875</v>
      </c>
      <c r="S1764" s="5" t="s">
        <v>82</v>
      </c>
      <c r="T1764" s="5" t="s">
        <v>61</v>
      </c>
    </row>
    <row r="1765" customFormat="false" ht="15" hidden="false" customHeight="false" outlineLevel="0" collapsed="false">
      <c r="A1765" s="5" t="s">
        <v>4</v>
      </c>
      <c r="B1765" s="5" t="s">
        <v>55</v>
      </c>
      <c r="C1765" s="2" t="s">
        <v>56</v>
      </c>
      <c r="D1765" s="5" t="s">
        <v>83</v>
      </c>
      <c r="E1765" s="5" t="s">
        <v>62</v>
      </c>
      <c r="F1765" s="2" t="n">
        <v>16</v>
      </c>
      <c r="G1765" s="5" t="s">
        <v>75</v>
      </c>
      <c r="H1765" s="2" t="n">
        <v>1</v>
      </c>
      <c r="I1765" s="2" t="n">
        <v>1</v>
      </c>
      <c r="J1765" s="2" t="n">
        <v>1</v>
      </c>
      <c r="K1765" s="7" t="n">
        <v>0.0781294874</v>
      </c>
      <c r="L1765" s="7" t="n">
        <v>0.05449765988</v>
      </c>
      <c r="M1765" s="7" t="n">
        <v>0.05493307796</v>
      </c>
      <c r="N1765" s="7" t="n">
        <v>14</v>
      </c>
      <c r="O1765" s="7" t="n">
        <v>14</v>
      </c>
      <c r="P1765" s="7" t="n">
        <v>14</v>
      </c>
      <c r="Q1765" s="2"/>
      <c r="R1765" s="7" t="n">
        <v>3.119191</v>
      </c>
      <c r="S1765" s="5" t="s">
        <v>82</v>
      </c>
      <c r="T1765" s="5" t="s">
        <v>61</v>
      </c>
    </row>
    <row r="1766" customFormat="false" ht="15" hidden="false" customHeight="false" outlineLevel="0" collapsed="false">
      <c r="A1766" s="5" t="s">
        <v>4</v>
      </c>
      <c r="B1766" s="5" t="s">
        <v>55</v>
      </c>
      <c r="C1766" s="2" t="s">
        <v>56</v>
      </c>
      <c r="D1766" s="5" t="s">
        <v>83</v>
      </c>
      <c r="E1766" s="5" t="s">
        <v>58</v>
      </c>
      <c r="F1766" s="2" t="n">
        <v>17</v>
      </c>
      <c r="G1766" s="5" t="s">
        <v>74</v>
      </c>
      <c r="H1766" s="2" t="n">
        <v>1</v>
      </c>
      <c r="I1766" s="2" t="n">
        <v>1</v>
      </c>
      <c r="J1766" s="2" t="n">
        <v>1</v>
      </c>
      <c r="K1766" s="7" t="n">
        <v>0.1663351816</v>
      </c>
      <c r="L1766" s="7" t="n">
        <v>0.06077391737</v>
      </c>
      <c r="M1766" s="7" t="n">
        <v>0.0617016075</v>
      </c>
      <c r="N1766" s="7" t="n">
        <v>10</v>
      </c>
      <c r="O1766" s="7" t="n">
        <v>10</v>
      </c>
      <c r="P1766" s="7" t="n">
        <v>0</v>
      </c>
      <c r="Q1766" s="2"/>
      <c r="R1766" s="7" t="n">
        <v>2.541175</v>
      </c>
      <c r="S1766" s="5" t="s">
        <v>82</v>
      </c>
      <c r="T1766" s="5" t="s">
        <v>61</v>
      </c>
    </row>
    <row r="1767" customFormat="false" ht="15" hidden="false" customHeight="false" outlineLevel="0" collapsed="false">
      <c r="A1767" s="5" t="s">
        <v>4</v>
      </c>
      <c r="B1767" s="5" t="s">
        <v>55</v>
      </c>
      <c r="C1767" s="2" t="s">
        <v>56</v>
      </c>
      <c r="D1767" s="5" t="s">
        <v>83</v>
      </c>
      <c r="E1767" s="5" t="s">
        <v>62</v>
      </c>
      <c r="F1767" s="2" t="n">
        <v>17</v>
      </c>
      <c r="G1767" s="5" t="s">
        <v>74</v>
      </c>
      <c r="H1767" s="2" t="n">
        <v>1</v>
      </c>
      <c r="I1767" s="2" t="n">
        <v>1</v>
      </c>
      <c r="J1767" s="2" t="n">
        <v>1</v>
      </c>
      <c r="K1767" s="7" t="n">
        <v>0.1663351816</v>
      </c>
      <c r="L1767" s="7" t="n">
        <v>0.06077391737</v>
      </c>
      <c r="M1767" s="7" t="n">
        <v>0.0617016075</v>
      </c>
      <c r="N1767" s="7" t="n">
        <v>10</v>
      </c>
      <c r="O1767" s="7" t="n">
        <v>10</v>
      </c>
      <c r="P1767" s="7" t="n">
        <v>10</v>
      </c>
      <c r="Q1767" s="2"/>
      <c r="R1767" s="7" t="n">
        <v>3.120682</v>
      </c>
      <c r="S1767" s="5" t="s">
        <v>82</v>
      </c>
      <c r="T1767" s="5" t="s">
        <v>61</v>
      </c>
    </row>
    <row r="1768" customFormat="false" ht="15" hidden="false" customHeight="false" outlineLevel="0" collapsed="false">
      <c r="A1768" s="5" t="s">
        <v>4</v>
      </c>
      <c r="B1768" s="5" t="s">
        <v>55</v>
      </c>
      <c r="C1768" s="2" t="s">
        <v>56</v>
      </c>
      <c r="D1768" s="5" t="s">
        <v>83</v>
      </c>
      <c r="E1768" s="5" t="s">
        <v>58</v>
      </c>
      <c r="F1768" s="2" t="n">
        <v>17</v>
      </c>
      <c r="G1768" s="5" t="s">
        <v>75</v>
      </c>
      <c r="H1768" s="2" t="n">
        <v>1</v>
      </c>
      <c r="I1768" s="2" t="n">
        <v>1</v>
      </c>
      <c r="J1768" s="2" t="n">
        <v>1</v>
      </c>
      <c r="K1768" s="7" t="n">
        <v>0.1268596644</v>
      </c>
      <c r="L1768" s="7" t="n">
        <v>0.05411912541</v>
      </c>
      <c r="M1768" s="7" t="n">
        <v>0.05446419406</v>
      </c>
      <c r="N1768" s="7" t="n">
        <v>10</v>
      </c>
      <c r="O1768" s="7" t="n">
        <v>10</v>
      </c>
      <c r="P1768" s="7" t="n">
        <v>0</v>
      </c>
      <c r="Q1768" s="2"/>
      <c r="R1768" s="7" t="n">
        <v>2.581606</v>
      </c>
      <c r="S1768" s="5" t="s">
        <v>82</v>
      </c>
      <c r="T1768" s="5" t="s">
        <v>61</v>
      </c>
    </row>
    <row r="1769" customFormat="false" ht="15" hidden="false" customHeight="false" outlineLevel="0" collapsed="false">
      <c r="A1769" s="5" t="s">
        <v>4</v>
      </c>
      <c r="B1769" s="5" t="s">
        <v>55</v>
      </c>
      <c r="C1769" s="2" t="s">
        <v>56</v>
      </c>
      <c r="D1769" s="5" t="s">
        <v>83</v>
      </c>
      <c r="E1769" s="5" t="s">
        <v>62</v>
      </c>
      <c r="F1769" s="2" t="n">
        <v>17</v>
      </c>
      <c r="G1769" s="5" t="s">
        <v>75</v>
      </c>
      <c r="H1769" s="2" t="n">
        <v>1</v>
      </c>
      <c r="I1769" s="2" t="n">
        <v>1</v>
      </c>
      <c r="J1769" s="2" t="n">
        <v>1</v>
      </c>
      <c r="K1769" s="7" t="n">
        <v>0.1268596644</v>
      </c>
      <c r="L1769" s="7" t="n">
        <v>0.05411912541</v>
      </c>
      <c r="M1769" s="7" t="n">
        <v>0.05446419406</v>
      </c>
      <c r="N1769" s="7" t="n">
        <v>10</v>
      </c>
      <c r="O1769" s="7" t="n">
        <v>10</v>
      </c>
      <c r="P1769" s="7" t="n">
        <v>10</v>
      </c>
      <c r="Q1769" s="2"/>
      <c r="R1769" s="7" t="n">
        <v>3.271004</v>
      </c>
      <c r="S1769" s="5" t="s">
        <v>82</v>
      </c>
      <c r="T1769" s="5" t="s">
        <v>61</v>
      </c>
    </row>
    <row r="1770" customFormat="false" ht="15" hidden="false" customHeight="false" outlineLevel="0" collapsed="false">
      <c r="A1770" s="5" t="s">
        <v>4</v>
      </c>
      <c r="B1770" s="5" t="s">
        <v>55</v>
      </c>
      <c r="C1770" s="2" t="s">
        <v>56</v>
      </c>
      <c r="D1770" s="5" t="s">
        <v>83</v>
      </c>
      <c r="E1770" s="5" t="s">
        <v>58</v>
      </c>
      <c r="F1770" s="2" t="n">
        <v>18</v>
      </c>
      <c r="G1770" s="5" t="s">
        <v>74</v>
      </c>
      <c r="H1770" s="2" t="n">
        <v>1</v>
      </c>
      <c r="I1770" s="2" t="n">
        <v>1</v>
      </c>
      <c r="J1770" s="2" t="n">
        <v>1</v>
      </c>
      <c r="K1770" s="7" t="n">
        <v>0.3676085871</v>
      </c>
      <c r="L1770" s="7" t="n">
        <v>0.07201948374</v>
      </c>
      <c r="M1770" s="7" t="n">
        <v>0.07634238551</v>
      </c>
      <c r="N1770" s="7" t="n">
        <v>7</v>
      </c>
      <c r="O1770" s="7" t="n">
        <v>7</v>
      </c>
      <c r="P1770" s="7" t="n">
        <v>0</v>
      </c>
      <c r="Q1770" s="2"/>
      <c r="R1770" s="7" t="n">
        <v>2.463962</v>
      </c>
      <c r="S1770" s="5" t="s">
        <v>82</v>
      </c>
      <c r="T1770" s="5" t="s">
        <v>61</v>
      </c>
    </row>
    <row r="1771" customFormat="false" ht="15" hidden="false" customHeight="false" outlineLevel="0" collapsed="false">
      <c r="A1771" s="5" t="s">
        <v>4</v>
      </c>
      <c r="B1771" s="5" t="s">
        <v>55</v>
      </c>
      <c r="C1771" s="2" t="s">
        <v>56</v>
      </c>
      <c r="D1771" s="5" t="s">
        <v>83</v>
      </c>
      <c r="E1771" s="5" t="s">
        <v>62</v>
      </c>
      <c r="F1771" s="2" t="n">
        <v>18</v>
      </c>
      <c r="G1771" s="5" t="s">
        <v>74</v>
      </c>
      <c r="H1771" s="2" t="n">
        <v>1</v>
      </c>
      <c r="I1771" s="2" t="n">
        <v>1</v>
      </c>
      <c r="J1771" s="2" t="n">
        <v>1</v>
      </c>
      <c r="K1771" s="7" t="n">
        <v>0.3676085871</v>
      </c>
      <c r="L1771" s="7" t="n">
        <v>0.07201948374</v>
      </c>
      <c r="M1771" s="7" t="n">
        <v>0.07634238551</v>
      </c>
      <c r="N1771" s="7" t="n">
        <v>7</v>
      </c>
      <c r="O1771" s="7" t="n">
        <v>7</v>
      </c>
      <c r="P1771" s="7" t="n">
        <v>7</v>
      </c>
      <c r="Q1771" s="2"/>
      <c r="R1771" s="7" t="n">
        <v>2.953856</v>
      </c>
      <c r="S1771" s="5" t="s">
        <v>82</v>
      </c>
      <c r="T1771" s="5" t="s">
        <v>61</v>
      </c>
    </row>
    <row r="1772" customFormat="false" ht="15" hidden="false" customHeight="false" outlineLevel="0" collapsed="false">
      <c r="A1772" s="5" t="s">
        <v>4</v>
      </c>
      <c r="B1772" s="5" t="s">
        <v>55</v>
      </c>
      <c r="C1772" s="2" t="s">
        <v>56</v>
      </c>
      <c r="D1772" s="5" t="s">
        <v>83</v>
      </c>
      <c r="E1772" s="5" t="s">
        <v>58</v>
      </c>
      <c r="F1772" s="2" t="n">
        <v>18</v>
      </c>
      <c r="G1772" s="5" t="s">
        <v>75</v>
      </c>
      <c r="H1772" s="2" t="n">
        <v>1</v>
      </c>
      <c r="I1772" s="2" t="n">
        <v>1</v>
      </c>
      <c r="J1772" s="2" t="n">
        <v>1</v>
      </c>
      <c r="K1772" s="7" t="n">
        <v>0.07939085204</v>
      </c>
      <c r="L1772" s="7" t="n">
        <v>0.1025314497</v>
      </c>
      <c r="M1772" s="7" t="n">
        <v>0.1026815231</v>
      </c>
      <c r="N1772" s="7" t="n">
        <v>14</v>
      </c>
      <c r="O1772" s="7" t="n">
        <v>14</v>
      </c>
      <c r="P1772" s="7" t="n">
        <v>0</v>
      </c>
      <c r="Q1772" s="2"/>
      <c r="R1772" s="7" t="n">
        <v>2.592051</v>
      </c>
      <c r="S1772" s="5" t="s">
        <v>82</v>
      </c>
      <c r="T1772" s="5" t="s">
        <v>61</v>
      </c>
    </row>
    <row r="1773" customFormat="false" ht="15" hidden="false" customHeight="false" outlineLevel="0" collapsed="false">
      <c r="A1773" s="5" t="s">
        <v>4</v>
      </c>
      <c r="B1773" s="5" t="s">
        <v>55</v>
      </c>
      <c r="C1773" s="2" t="s">
        <v>56</v>
      </c>
      <c r="D1773" s="5" t="s">
        <v>83</v>
      </c>
      <c r="E1773" s="5" t="s">
        <v>62</v>
      </c>
      <c r="F1773" s="2" t="n">
        <v>18</v>
      </c>
      <c r="G1773" s="5" t="s">
        <v>75</v>
      </c>
      <c r="H1773" s="2" t="n">
        <v>1</v>
      </c>
      <c r="I1773" s="2" t="n">
        <v>1</v>
      </c>
      <c r="J1773" s="2" t="n">
        <v>1</v>
      </c>
      <c r="K1773" s="7" t="n">
        <v>0.108503811</v>
      </c>
      <c r="L1773" s="7" t="n">
        <v>0.04911792055</v>
      </c>
      <c r="M1773" s="7" t="n">
        <v>0.04970143515</v>
      </c>
      <c r="N1773" s="7" t="n">
        <v>14</v>
      </c>
      <c r="O1773" s="7" t="n">
        <v>14</v>
      </c>
      <c r="P1773" s="7" t="n">
        <v>13</v>
      </c>
      <c r="Q1773" s="2"/>
      <c r="R1773" s="7" t="n">
        <v>3.242432</v>
      </c>
      <c r="S1773" s="5" t="s">
        <v>82</v>
      </c>
      <c r="T1773" s="5" t="s">
        <v>61</v>
      </c>
    </row>
    <row r="1774" customFormat="false" ht="15" hidden="false" customHeight="false" outlineLevel="0" collapsed="false">
      <c r="A1774" s="5" t="s">
        <v>4</v>
      </c>
      <c r="B1774" s="5" t="s">
        <v>55</v>
      </c>
      <c r="C1774" s="2" t="s">
        <v>56</v>
      </c>
      <c r="D1774" s="5" t="s">
        <v>83</v>
      </c>
      <c r="E1774" s="5" t="s">
        <v>58</v>
      </c>
      <c r="F1774" s="2" t="n">
        <v>19</v>
      </c>
      <c r="G1774" s="5" t="s">
        <v>74</v>
      </c>
      <c r="H1774" s="2" t="n">
        <v>1</v>
      </c>
      <c r="I1774" s="2" t="n">
        <v>1</v>
      </c>
      <c r="J1774" s="2" t="n">
        <v>1</v>
      </c>
      <c r="K1774" s="7" t="n">
        <v>0.2654473739</v>
      </c>
      <c r="L1774" s="7" t="n">
        <v>0.09478011908</v>
      </c>
      <c r="M1774" s="7" t="n">
        <v>0.09640028151</v>
      </c>
      <c r="N1774" s="7" t="n">
        <v>13</v>
      </c>
      <c r="O1774" s="7" t="n">
        <v>13</v>
      </c>
      <c r="P1774" s="7" t="n">
        <v>0</v>
      </c>
      <c r="Q1774" s="2"/>
      <c r="R1774" s="7" t="n">
        <v>2.328862</v>
      </c>
      <c r="S1774" s="5" t="s">
        <v>82</v>
      </c>
      <c r="T1774" s="5" t="s">
        <v>61</v>
      </c>
    </row>
    <row r="1775" customFormat="false" ht="15" hidden="false" customHeight="false" outlineLevel="0" collapsed="false">
      <c r="A1775" s="5" t="s">
        <v>4</v>
      </c>
      <c r="B1775" s="5" t="s">
        <v>55</v>
      </c>
      <c r="C1775" s="2" t="s">
        <v>56</v>
      </c>
      <c r="D1775" s="5" t="s">
        <v>83</v>
      </c>
      <c r="E1775" s="5" t="s">
        <v>62</v>
      </c>
      <c r="F1775" s="2" t="n">
        <v>19</v>
      </c>
      <c r="G1775" s="5" t="s">
        <v>74</v>
      </c>
      <c r="H1775" s="2" t="n">
        <v>1</v>
      </c>
      <c r="I1775" s="2" t="n">
        <v>1</v>
      </c>
      <c r="J1775" s="2" t="n">
        <v>1</v>
      </c>
      <c r="K1775" s="7" t="n">
        <v>0.2654473739</v>
      </c>
      <c r="L1775" s="7" t="n">
        <v>0.09478011908</v>
      </c>
      <c r="M1775" s="7" t="n">
        <v>0.09640028151</v>
      </c>
      <c r="N1775" s="7" t="n">
        <v>13</v>
      </c>
      <c r="O1775" s="7" t="n">
        <v>13</v>
      </c>
      <c r="P1775" s="7" t="n">
        <v>13</v>
      </c>
      <c r="Q1775" s="2"/>
      <c r="R1775" s="7" t="n">
        <v>3.015386</v>
      </c>
      <c r="S1775" s="5" t="s">
        <v>82</v>
      </c>
      <c r="T1775" s="5" t="s">
        <v>61</v>
      </c>
    </row>
    <row r="1776" customFormat="false" ht="15" hidden="false" customHeight="false" outlineLevel="0" collapsed="false">
      <c r="A1776" s="5" t="s">
        <v>4</v>
      </c>
      <c r="B1776" s="5" t="s">
        <v>55</v>
      </c>
      <c r="C1776" s="2" t="s">
        <v>56</v>
      </c>
      <c r="D1776" s="5" t="s">
        <v>83</v>
      </c>
      <c r="E1776" s="5" t="s">
        <v>58</v>
      </c>
      <c r="F1776" s="2" t="n">
        <v>19</v>
      </c>
      <c r="G1776" s="5" t="s">
        <v>75</v>
      </c>
      <c r="H1776" s="2" t="n">
        <v>1</v>
      </c>
      <c r="I1776" s="2" t="n">
        <v>1</v>
      </c>
      <c r="J1776" s="2" t="n">
        <v>1</v>
      </c>
      <c r="K1776" s="7" t="n">
        <v>0.1492156415</v>
      </c>
      <c r="L1776" s="7" t="n">
        <v>0.09170655612</v>
      </c>
      <c r="M1776" s="7" t="n">
        <v>0.09236400088</v>
      </c>
      <c r="N1776" s="7" t="n">
        <v>11</v>
      </c>
      <c r="O1776" s="7" t="n">
        <v>11</v>
      </c>
      <c r="P1776" s="7" t="n">
        <v>0</v>
      </c>
      <c r="Q1776" s="2"/>
      <c r="R1776" s="7" t="n">
        <v>2.665389</v>
      </c>
      <c r="S1776" s="5" t="s">
        <v>82</v>
      </c>
      <c r="T1776" s="5" t="s">
        <v>61</v>
      </c>
    </row>
    <row r="1777" customFormat="false" ht="15" hidden="false" customHeight="false" outlineLevel="0" collapsed="false">
      <c r="A1777" s="5" t="s">
        <v>4</v>
      </c>
      <c r="B1777" s="5" t="s">
        <v>55</v>
      </c>
      <c r="C1777" s="2" t="s">
        <v>56</v>
      </c>
      <c r="D1777" s="5" t="s">
        <v>83</v>
      </c>
      <c r="E1777" s="5" t="s">
        <v>62</v>
      </c>
      <c r="F1777" s="2" t="n">
        <v>19</v>
      </c>
      <c r="G1777" s="5" t="s">
        <v>75</v>
      </c>
      <c r="H1777" s="2" t="n">
        <v>1</v>
      </c>
      <c r="I1777" s="2" t="n">
        <v>1</v>
      </c>
      <c r="J1777" s="2" t="n">
        <v>1</v>
      </c>
      <c r="K1777" s="7" t="n">
        <v>0.1492156415</v>
      </c>
      <c r="L1777" s="7" t="n">
        <v>0.09170655612</v>
      </c>
      <c r="M1777" s="7" t="n">
        <v>0.09236400088</v>
      </c>
      <c r="N1777" s="7" t="n">
        <v>11</v>
      </c>
      <c r="O1777" s="7" t="n">
        <v>11</v>
      </c>
      <c r="P1777" s="7" t="n">
        <v>11</v>
      </c>
      <c r="Q1777" s="2"/>
      <c r="R1777" s="7" t="n">
        <v>3.239568</v>
      </c>
      <c r="S1777" s="5" t="s">
        <v>82</v>
      </c>
      <c r="T1777" s="5" t="s">
        <v>61</v>
      </c>
    </row>
    <row r="1778" customFormat="false" ht="15" hidden="false" customHeight="false" outlineLevel="0" collapsed="false">
      <c r="A1778" s="5" t="s">
        <v>4</v>
      </c>
      <c r="B1778" s="5" t="s">
        <v>55</v>
      </c>
      <c r="C1778" s="2" t="s">
        <v>56</v>
      </c>
      <c r="D1778" s="5" t="s">
        <v>83</v>
      </c>
      <c r="E1778" s="5" t="s">
        <v>58</v>
      </c>
      <c r="F1778" s="2" t="n">
        <v>20</v>
      </c>
      <c r="G1778" s="5" t="s">
        <v>74</v>
      </c>
      <c r="H1778" s="2" t="n">
        <v>1</v>
      </c>
      <c r="I1778" s="2" t="n">
        <v>1</v>
      </c>
      <c r="J1778" s="2" t="n">
        <v>1</v>
      </c>
      <c r="K1778" s="7" t="n">
        <v>0.1481080031</v>
      </c>
      <c r="L1778" s="7" t="n">
        <v>0.05976605889</v>
      </c>
      <c r="M1778" s="7" t="n">
        <v>0.06082998488</v>
      </c>
      <c r="N1778" s="7" t="n">
        <v>9</v>
      </c>
      <c r="O1778" s="7" t="n">
        <v>9</v>
      </c>
      <c r="P1778" s="7" t="n">
        <v>0</v>
      </c>
      <c r="Q1778" s="2"/>
      <c r="R1778" s="7" t="n">
        <v>2.604018</v>
      </c>
      <c r="S1778" s="5" t="s">
        <v>82</v>
      </c>
      <c r="T1778" s="5" t="s">
        <v>61</v>
      </c>
    </row>
    <row r="1779" customFormat="false" ht="15" hidden="false" customHeight="false" outlineLevel="0" collapsed="false">
      <c r="A1779" s="5" t="s">
        <v>4</v>
      </c>
      <c r="B1779" s="5" t="s">
        <v>55</v>
      </c>
      <c r="C1779" s="2" t="s">
        <v>56</v>
      </c>
      <c r="D1779" s="5" t="s">
        <v>83</v>
      </c>
      <c r="E1779" s="5" t="s">
        <v>62</v>
      </c>
      <c r="F1779" s="2" t="n">
        <v>20</v>
      </c>
      <c r="G1779" s="5" t="s">
        <v>74</v>
      </c>
      <c r="H1779" s="2" t="n">
        <v>1</v>
      </c>
      <c r="I1779" s="2" t="n">
        <v>1</v>
      </c>
      <c r="J1779" s="2" t="n">
        <v>1</v>
      </c>
      <c r="K1779" s="7" t="n">
        <v>0.1481080031</v>
      </c>
      <c r="L1779" s="7" t="n">
        <v>0.05976605889</v>
      </c>
      <c r="M1779" s="7" t="n">
        <v>0.06082998488</v>
      </c>
      <c r="N1779" s="7" t="n">
        <v>9</v>
      </c>
      <c r="O1779" s="7" t="n">
        <v>9</v>
      </c>
      <c r="P1779" s="7" t="n">
        <v>9</v>
      </c>
      <c r="Q1779" s="2"/>
      <c r="R1779" s="7" t="n">
        <v>3.164957</v>
      </c>
      <c r="S1779" s="5" t="s">
        <v>82</v>
      </c>
      <c r="T1779" s="5" t="s">
        <v>61</v>
      </c>
    </row>
    <row r="1780" customFormat="false" ht="15" hidden="false" customHeight="false" outlineLevel="0" collapsed="false">
      <c r="A1780" s="5" t="s">
        <v>4</v>
      </c>
      <c r="B1780" s="5" t="s">
        <v>55</v>
      </c>
      <c r="C1780" s="2" t="s">
        <v>56</v>
      </c>
      <c r="D1780" s="5" t="s">
        <v>83</v>
      </c>
      <c r="E1780" s="5" t="s">
        <v>58</v>
      </c>
      <c r="F1780" s="2" t="n">
        <v>20</v>
      </c>
      <c r="G1780" s="5" t="s">
        <v>75</v>
      </c>
      <c r="H1780" s="2" t="n">
        <v>1</v>
      </c>
      <c r="I1780" s="2" t="n">
        <v>1</v>
      </c>
      <c r="J1780" s="2" t="n">
        <v>1</v>
      </c>
      <c r="K1780" s="7" t="n">
        <v>1.211600973</v>
      </c>
      <c r="L1780" s="7" t="n">
        <v>0.245948353</v>
      </c>
      <c r="M1780" s="7" t="n">
        <v>0.2602749084</v>
      </c>
      <c r="N1780" s="7" t="n">
        <v>7</v>
      </c>
      <c r="O1780" s="7" t="n">
        <v>7</v>
      </c>
      <c r="P1780" s="7" t="n">
        <v>0</v>
      </c>
      <c r="Q1780" s="2"/>
      <c r="R1780" s="7" t="n">
        <v>3.007856</v>
      </c>
      <c r="S1780" s="5" t="s">
        <v>82</v>
      </c>
      <c r="T1780" s="5" t="s">
        <v>61</v>
      </c>
    </row>
    <row r="1781" customFormat="false" ht="15" hidden="false" customHeight="false" outlineLevel="0" collapsed="false">
      <c r="A1781" s="5" t="s">
        <v>4</v>
      </c>
      <c r="B1781" s="5" t="s">
        <v>55</v>
      </c>
      <c r="C1781" s="2" t="s">
        <v>56</v>
      </c>
      <c r="D1781" s="5" t="s">
        <v>83</v>
      </c>
      <c r="E1781" s="5" t="s">
        <v>62</v>
      </c>
      <c r="F1781" s="2" t="n">
        <v>20</v>
      </c>
      <c r="G1781" s="5" t="s">
        <v>75</v>
      </c>
      <c r="H1781" s="2" t="n">
        <v>1</v>
      </c>
      <c r="I1781" s="2" t="n">
        <v>1</v>
      </c>
      <c r="J1781" s="2" t="n">
        <v>1</v>
      </c>
      <c r="K1781" s="7" t="n">
        <v>0.1617847103</v>
      </c>
      <c r="L1781" s="7" t="n">
        <v>0.1305861158</v>
      </c>
      <c r="M1781" s="7" t="n">
        <v>0.1312413838</v>
      </c>
      <c r="N1781" s="7" t="n">
        <v>7</v>
      </c>
      <c r="O1781" s="7" t="n">
        <v>7</v>
      </c>
      <c r="P1781" s="7" t="n">
        <v>6</v>
      </c>
      <c r="Q1781" s="2"/>
      <c r="R1781" s="7" t="n">
        <v>3.587853</v>
      </c>
      <c r="S1781" s="5" t="s">
        <v>82</v>
      </c>
      <c r="T1781" s="5" t="s">
        <v>61</v>
      </c>
    </row>
    <row r="1782" customFormat="false" ht="15" hidden="false" customHeight="false" outlineLevel="0" collapsed="false">
      <c r="A1782" s="5" t="s">
        <v>4</v>
      </c>
      <c r="B1782" s="5" t="s">
        <v>55</v>
      </c>
      <c r="C1782" s="2" t="s">
        <v>56</v>
      </c>
      <c r="D1782" s="5" t="s">
        <v>83</v>
      </c>
      <c r="E1782" s="5" t="s">
        <v>58</v>
      </c>
      <c r="F1782" s="2" t="n">
        <v>11</v>
      </c>
      <c r="G1782" s="5" t="s">
        <v>76</v>
      </c>
      <c r="H1782" s="2" t="n">
        <v>1</v>
      </c>
      <c r="I1782" s="2" t="n">
        <v>1</v>
      </c>
      <c r="J1782" s="2" t="n">
        <v>1</v>
      </c>
      <c r="K1782" s="7" t="n">
        <v>0.8753651472</v>
      </c>
      <c r="L1782" s="7" t="n">
        <v>0.03526712708</v>
      </c>
      <c r="M1782" s="7" t="n">
        <v>0.06444620448</v>
      </c>
      <c r="N1782" s="7" t="n">
        <v>6</v>
      </c>
      <c r="O1782" s="7" t="n">
        <v>6</v>
      </c>
      <c r="P1782" s="7" t="n">
        <v>0</v>
      </c>
      <c r="Q1782" s="2"/>
      <c r="R1782" s="7" t="n">
        <v>3.438933</v>
      </c>
      <c r="S1782" s="5" t="s">
        <v>82</v>
      </c>
      <c r="T1782" s="5" t="s">
        <v>61</v>
      </c>
    </row>
    <row r="1783" customFormat="false" ht="15" hidden="false" customHeight="false" outlineLevel="0" collapsed="false">
      <c r="A1783" s="5" t="s">
        <v>4</v>
      </c>
      <c r="B1783" s="5" t="s">
        <v>55</v>
      </c>
      <c r="C1783" s="2" t="s">
        <v>56</v>
      </c>
      <c r="D1783" s="5" t="s">
        <v>83</v>
      </c>
      <c r="E1783" s="5" t="s">
        <v>62</v>
      </c>
      <c r="F1783" s="2" t="n">
        <v>11</v>
      </c>
      <c r="G1783" s="5" t="s">
        <v>76</v>
      </c>
      <c r="H1783" s="2" t="n">
        <v>1</v>
      </c>
      <c r="I1783" s="2" t="n">
        <v>1</v>
      </c>
      <c r="J1783" s="2" t="n">
        <v>1</v>
      </c>
      <c r="K1783" s="7" t="n">
        <v>0.8753651472</v>
      </c>
      <c r="L1783" s="7" t="n">
        <v>0.03526712708</v>
      </c>
      <c r="M1783" s="7" t="n">
        <v>0.06444620448</v>
      </c>
      <c r="N1783" s="7" t="n">
        <v>6</v>
      </c>
      <c r="O1783" s="7" t="n">
        <v>6</v>
      </c>
      <c r="P1783" s="7" t="n">
        <v>6</v>
      </c>
      <c r="Q1783" s="2"/>
      <c r="R1783" s="7" t="n">
        <v>3.874607</v>
      </c>
      <c r="S1783" s="5" t="s">
        <v>82</v>
      </c>
      <c r="T1783" s="5" t="s">
        <v>61</v>
      </c>
    </row>
    <row r="1784" customFormat="false" ht="15" hidden="false" customHeight="false" outlineLevel="0" collapsed="false">
      <c r="A1784" s="5" t="s">
        <v>4</v>
      </c>
      <c r="B1784" s="5" t="s">
        <v>55</v>
      </c>
      <c r="C1784" s="2" t="s">
        <v>56</v>
      </c>
      <c r="D1784" s="5" t="s">
        <v>83</v>
      </c>
      <c r="E1784" s="5" t="s">
        <v>58</v>
      </c>
      <c r="F1784" s="2" t="n">
        <v>12</v>
      </c>
      <c r="G1784" s="5" t="s">
        <v>76</v>
      </c>
      <c r="H1784" s="2" t="n">
        <v>1</v>
      </c>
      <c r="I1784" s="2" t="n">
        <v>1</v>
      </c>
      <c r="J1784" s="2" t="n">
        <v>1</v>
      </c>
      <c r="K1784" s="7" t="n">
        <v>0.08735095326</v>
      </c>
      <c r="L1784" s="7" t="n">
        <v>0.01551389171</v>
      </c>
      <c r="M1784" s="7" t="n">
        <v>0.01625884182</v>
      </c>
      <c r="N1784" s="7" t="n">
        <v>15</v>
      </c>
      <c r="O1784" s="7" t="n">
        <v>15</v>
      </c>
      <c r="P1784" s="7" t="n">
        <v>0</v>
      </c>
      <c r="Q1784" s="2"/>
      <c r="R1784" s="7" t="n">
        <v>3.847287</v>
      </c>
      <c r="S1784" s="5" t="s">
        <v>82</v>
      </c>
      <c r="T1784" s="5" t="s">
        <v>61</v>
      </c>
    </row>
    <row r="1785" customFormat="false" ht="15" hidden="false" customHeight="false" outlineLevel="0" collapsed="false">
      <c r="A1785" s="5" t="s">
        <v>4</v>
      </c>
      <c r="B1785" s="5" t="s">
        <v>55</v>
      </c>
      <c r="C1785" s="2" t="s">
        <v>56</v>
      </c>
      <c r="D1785" s="5" t="s">
        <v>83</v>
      </c>
      <c r="E1785" s="5" t="s">
        <v>62</v>
      </c>
      <c r="F1785" s="2" t="n">
        <v>12</v>
      </c>
      <c r="G1785" s="5" t="s">
        <v>76</v>
      </c>
      <c r="H1785" s="2" t="n">
        <v>1</v>
      </c>
      <c r="I1785" s="2" t="n">
        <v>1</v>
      </c>
      <c r="J1785" s="2" t="n">
        <v>1</v>
      </c>
      <c r="K1785" s="7" t="n">
        <v>0.08735095326</v>
      </c>
      <c r="L1785" s="7" t="n">
        <v>0.01551389171</v>
      </c>
      <c r="M1785" s="7" t="n">
        <v>0.01625884182</v>
      </c>
      <c r="N1785" s="7" t="n">
        <v>15</v>
      </c>
      <c r="O1785" s="7" t="n">
        <v>15</v>
      </c>
      <c r="P1785" s="7" t="n">
        <v>15</v>
      </c>
      <c r="Q1785" s="2"/>
      <c r="R1785" s="7" t="n">
        <v>5.232084</v>
      </c>
      <c r="S1785" s="5" t="s">
        <v>82</v>
      </c>
      <c r="T1785" s="5" t="s">
        <v>61</v>
      </c>
    </row>
    <row r="1786" customFormat="false" ht="15" hidden="false" customHeight="false" outlineLevel="0" collapsed="false">
      <c r="A1786" s="5" t="s">
        <v>4</v>
      </c>
      <c r="B1786" s="5" t="s">
        <v>55</v>
      </c>
      <c r="C1786" s="2" t="s">
        <v>56</v>
      </c>
      <c r="D1786" s="5" t="s">
        <v>83</v>
      </c>
      <c r="E1786" s="5" t="s">
        <v>58</v>
      </c>
      <c r="F1786" s="2" t="n">
        <v>13</v>
      </c>
      <c r="G1786" s="5" t="s">
        <v>76</v>
      </c>
      <c r="H1786" s="2" t="n">
        <v>1</v>
      </c>
      <c r="I1786" s="2" t="n">
        <v>1</v>
      </c>
      <c r="J1786" s="2" t="n">
        <v>1</v>
      </c>
      <c r="K1786" s="7" t="n">
        <v>0.2452466117</v>
      </c>
      <c r="L1786" s="7" t="n">
        <v>0.03248314731</v>
      </c>
      <c r="M1786" s="7" t="n">
        <v>0.03650871776</v>
      </c>
      <c r="N1786" s="7" t="n">
        <v>13</v>
      </c>
      <c r="O1786" s="7" t="n">
        <v>13</v>
      </c>
      <c r="P1786" s="7" t="n">
        <v>0</v>
      </c>
      <c r="Q1786" s="2"/>
      <c r="R1786" s="7" t="n">
        <v>4.212226</v>
      </c>
      <c r="S1786" s="5" t="s">
        <v>82</v>
      </c>
      <c r="T1786" s="5" t="s">
        <v>61</v>
      </c>
    </row>
    <row r="1787" customFormat="false" ht="15" hidden="false" customHeight="false" outlineLevel="0" collapsed="false">
      <c r="A1787" s="5" t="s">
        <v>4</v>
      </c>
      <c r="B1787" s="5" t="s">
        <v>55</v>
      </c>
      <c r="C1787" s="2" t="s">
        <v>56</v>
      </c>
      <c r="D1787" s="5" t="s">
        <v>83</v>
      </c>
      <c r="E1787" s="5" t="s">
        <v>62</v>
      </c>
      <c r="F1787" s="2" t="n">
        <v>13</v>
      </c>
      <c r="G1787" s="5" t="s">
        <v>76</v>
      </c>
      <c r="H1787" s="2" t="n">
        <v>1</v>
      </c>
      <c r="I1787" s="2" t="n">
        <v>1</v>
      </c>
      <c r="J1787" s="2" t="n">
        <v>1</v>
      </c>
      <c r="K1787" s="7" t="n">
        <v>0.2452466117</v>
      </c>
      <c r="L1787" s="7" t="n">
        <v>0.03248314731</v>
      </c>
      <c r="M1787" s="7" t="n">
        <v>0.03650871776</v>
      </c>
      <c r="N1787" s="7" t="n">
        <v>13</v>
      </c>
      <c r="O1787" s="7" t="n">
        <v>13</v>
      </c>
      <c r="P1787" s="7" t="n">
        <v>13</v>
      </c>
      <c r="Q1787" s="2"/>
      <c r="R1787" s="7" t="n">
        <v>4.906923</v>
      </c>
      <c r="S1787" s="5" t="s">
        <v>82</v>
      </c>
      <c r="T1787" s="5" t="s">
        <v>61</v>
      </c>
    </row>
    <row r="1788" customFormat="false" ht="15" hidden="false" customHeight="false" outlineLevel="0" collapsed="false">
      <c r="A1788" s="5" t="s">
        <v>4</v>
      </c>
      <c r="B1788" s="5" t="s">
        <v>55</v>
      </c>
      <c r="C1788" s="2" t="s">
        <v>56</v>
      </c>
      <c r="D1788" s="5" t="s">
        <v>83</v>
      </c>
      <c r="E1788" s="5" t="s">
        <v>58</v>
      </c>
      <c r="F1788" s="2" t="n">
        <v>14</v>
      </c>
      <c r="G1788" s="5" t="s">
        <v>76</v>
      </c>
      <c r="H1788" s="2" t="n">
        <v>1</v>
      </c>
      <c r="I1788" s="2" t="n">
        <v>1</v>
      </c>
      <c r="J1788" s="2" t="n">
        <v>1</v>
      </c>
      <c r="K1788" s="7" t="n">
        <v>0.4220093127</v>
      </c>
      <c r="L1788" s="7" t="n">
        <v>0.04876126354</v>
      </c>
      <c r="M1788" s="7" t="n">
        <v>0.0562152801</v>
      </c>
      <c r="N1788" s="7" t="n">
        <v>12</v>
      </c>
      <c r="O1788" s="7" t="n">
        <v>12</v>
      </c>
      <c r="P1788" s="7" t="n">
        <v>0</v>
      </c>
      <c r="Q1788" s="2"/>
      <c r="R1788" s="7" t="n">
        <v>3.883761</v>
      </c>
      <c r="S1788" s="5" t="s">
        <v>82</v>
      </c>
      <c r="T1788" s="5" t="s">
        <v>61</v>
      </c>
    </row>
    <row r="1789" customFormat="false" ht="15" hidden="false" customHeight="false" outlineLevel="0" collapsed="false">
      <c r="A1789" s="5" t="s">
        <v>4</v>
      </c>
      <c r="B1789" s="5" t="s">
        <v>55</v>
      </c>
      <c r="C1789" s="2" t="s">
        <v>56</v>
      </c>
      <c r="D1789" s="5" t="s">
        <v>83</v>
      </c>
      <c r="E1789" s="5" t="s">
        <v>62</v>
      </c>
      <c r="F1789" s="2" t="n">
        <v>14</v>
      </c>
      <c r="G1789" s="5" t="s">
        <v>76</v>
      </c>
      <c r="H1789" s="2" t="n">
        <v>1</v>
      </c>
      <c r="I1789" s="2" t="n">
        <v>1</v>
      </c>
      <c r="J1789" s="2" t="n">
        <v>1</v>
      </c>
      <c r="K1789" s="7" t="n">
        <v>0.4220093127</v>
      </c>
      <c r="L1789" s="7" t="n">
        <v>0.04876126354</v>
      </c>
      <c r="M1789" s="7" t="n">
        <v>0.0562152801</v>
      </c>
      <c r="N1789" s="7" t="n">
        <v>12</v>
      </c>
      <c r="O1789" s="7" t="n">
        <v>12</v>
      </c>
      <c r="P1789" s="7" t="n">
        <v>12</v>
      </c>
      <c r="Q1789" s="2"/>
      <c r="R1789" s="7" t="n">
        <v>4.455746</v>
      </c>
      <c r="S1789" s="5" t="s">
        <v>82</v>
      </c>
      <c r="T1789" s="5" t="s">
        <v>61</v>
      </c>
    </row>
    <row r="1790" customFormat="false" ht="15" hidden="false" customHeight="false" outlineLevel="0" collapsed="false">
      <c r="A1790" s="5" t="s">
        <v>4</v>
      </c>
      <c r="B1790" s="5" t="s">
        <v>55</v>
      </c>
      <c r="C1790" s="2" t="s">
        <v>56</v>
      </c>
      <c r="D1790" s="5" t="s">
        <v>83</v>
      </c>
      <c r="E1790" s="5" t="s">
        <v>58</v>
      </c>
      <c r="F1790" s="2" t="n">
        <v>15</v>
      </c>
      <c r="G1790" s="5" t="s">
        <v>76</v>
      </c>
      <c r="H1790" s="2" t="n">
        <v>1</v>
      </c>
      <c r="I1790" s="2" t="n">
        <v>1</v>
      </c>
      <c r="J1790" s="2" t="n">
        <v>1</v>
      </c>
      <c r="K1790" s="7" t="n">
        <v>0.3597737943</v>
      </c>
      <c r="L1790" s="7" t="n">
        <v>0.03896831685</v>
      </c>
      <c r="M1790" s="7" t="n">
        <v>0.0438923136</v>
      </c>
      <c r="N1790" s="7" t="n">
        <v>17</v>
      </c>
      <c r="O1790" s="7" t="n">
        <v>17</v>
      </c>
      <c r="P1790" s="7" t="n">
        <v>0</v>
      </c>
      <c r="Q1790" s="2"/>
      <c r="R1790" s="7" t="n">
        <v>3.679517</v>
      </c>
      <c r="S1790" s="5" t="s">
        <v>82</v>
      </c>
      <c r="T1790" s="5" t="s">
        <v>61</v>
      </c>
    </row>
    <row r="1791" customFormat="false" ht="15" hidden="false" customHeight="false" outlineLevel="0" collapsed="false">
      <c r="A1791" s="5" t="s">
        <v>4</v>
      </c>
      <c r="B1791" s="5" t="s">
        <v>55</v>
      </c>
      <c r="C1791" s="2" t="s">
        <v>56</v>
      </c>
      <c r="D1791" s="5" t="s">
        <v>83</v>
      </c>
      <c r="E1791" s="5" t="s">
        <v>62</v>
      </c>
      <c r="F1791" s="2" t="n">
        <v>15</v>
      </c>
      <c r="G1791" s="5" t="s">
        <v>76</v>
      </c>
      <c r="H1791" s="2" t="n">
        <v>1</v>
      </c>
      <c r="I1791" s="2" t="n">
        <v>1</v>
      </c>
      <c r="J1791" s="2" t="n">
        <v>1</v>
      </c>
      <c r="K1791" s="7" t="n">
        <v>0.3597737943</v>
      </c>
      <c r="L1791" s="7" t="n">
        <v>0.03896831685</v>
      </c>
      <c r="M1791" s="7" t="n">
        <v>0.0438923136</v>
      </c>
      <c r="N1791" s="7" t="n">
        <v>17</v>
      </c>
      <c r="O1791" s="7" t="n">
        <v>17</v>
      </c>
      <c r="P1791" s="7" t="n">
        <v>17</v>
      </c>
      <c r="Q1791" s="2"/>
      <c r="R1791" s="7" t="n">
        <v>4.469124</v>
      </c>
      <c r="S1791" s="5" t="s">
        <v>82</v>
      </c>
      <c r="T1791" s="5" t="s">
        <v>61</v>
      </c>
    </row>
    <row r="1792" customFormat="false" ht="15" hidden="false" customHeight="false" outlineLevel="0" collapsed="false">
      <c r="A1792" s="5" t="s">
        <v>4</v>
      </c>
      <c r="B1792" s="5" t="s">
        <v>55</v>
      </c>
      <c r="C1792" s="2" t="s">
        <v>56</v>
      </c>
      <c r="D1792" s="5" t="s">
        <v>83</v>
      </c>
      <c r="E1792" s="5" t="s">
        <v>58</v>
      </c>
      <c r="F1792" s="2" t="n">
        <v>16</v>
      </c>
      <c r="G1792" s="5" t="s">
        <v>76</v>
      </c>
      <c r="H1792" s="2" t="n">
        <v>1</v>
      </c>
      <c r="I1792" s="2" t="n">
        <v>1</v>
      </c>
      <c r="J1792" s="2" t="n">
        <v>1</v>
      </c>
      <c r="K1792" s="7" t="n">
        <v>0.8200739118</v>
      </c>
      <c r="L1792" s="7" t="n">
        <v>0.06985861664</v>
      </c>
      <c r="M1792" s="7" t="n">
        <v>0.08529926547</v>
      </c>
      <c r="N1792" s="7" t="n">
        <v>15</v>
      </c>
      <c r="O1792" s="7" t="n">
        <v>15</v>
      </c>
      <c r="P1792" s="7" t="n">
        <v>0</v>
      </c>
      <c r="Q1792" s="2"/>
      <c r="R1792" s="7" t="n">
        <v>3.316863</v>
      </c>
      <c r="S1792" s="5" t="s">
        <v>82</v>
      </c>
      <c r="T1792" s="5" t="s">
        <v>61</v>
      </c>
    </row>
    <row r="1793" customFormat="false" ht="15" hidden="false" customHeight="false" outlineLevel="0" collapsed="false">
      <c r="A1793" s="5" t="s">
        <v>4</v>
      </c>
      <c r="B1793" s="5" t="s">
        <v>55</v>
      </c>
      <c r="C1793" s="2" t="s">
        <v>56</v>
      </c>
      <c r="D1793" s="5" t="s">
        <v>83</v>
      </c>
      <c r="E1793" s="5" t="s">
        <v>62</v>
      </c>
      <c r="F1793" s="2" t="n">
        <v>16</v>
      </c>
      <c r="G1793" s="5" t="s">
        <v>76</v>
      </c>
      <c r="H1793" s="2" t="n">
        <v>1</v>
      </c>
      <c r="I1793" s="2" t="n">
        <v>1</v>
      </c>
      <c r="J1793" s="2" t="n">
        <v>1</v>
      </c>
      <c r="K1793" s="7" t="n">
        <v>0.380221988</v>
      </c>
      <c r="L1793" s="7" t="n">
        <v>0.03118991755</v>
      </c>
      <c r="M1793" s="7" t="n">
        <v>0.03755265485</v>
      </c>
      <c r="N1793" s="7" t="n">
        <v>15</v>
      </c>
      <c r="O1793" s="7" t="n">
        <v>15</v>
      </c>
      <c r="P1793" s="7" t="n">
        <v>14</v>
      </c>
      <c r="Q1793" s="2"/>
      <c r="R1793" s="7" t="n">
        <v>4.071949</v>
      </c>
      <c r="S1793" s="5" t="s">
        <v>82</v>
      </c>
      <c r="T1793" s="5" t="s">
        <v>61</v>
      </c>
    </row>
    <row r="1794" customFormat="false" ht="15" hidden="false" customHeight="false" outlineLevel="0" collapsed="false">
      <c r="A1794" s="5" t="s">
        <v>4</v>
      </c>
      <c r="B1794" s="5" t="s">
        <v>55</v>
      </c>
      <c r="C1794" s="2" t="s">
        <v>56</v>
      </c>
      <c r="D1794" s="5" t="s">
        <v>83</v>
      </c>
      <c r="E1794" s="5" t="s">
        <v>58</v>
      </c>
      <c r="F1794" s="2" t="n">
        <v>17</v>
      </c>
      <c r="G1794" s="5" t="s">
        <v>76</v>
      </c>
      <c r="H1794" s="2" t="n">
        <v>1</v>
      </c>
      <c r="I1794" s="2" t="n">
        <v>1</v>
      </c>
      <c r="J1794" s="2" t="n">
        <v>1</v>
      </c>
      <c r="K1794" s="7" t="n">
        <v>0.7560479602</v>
      </c>
      <c r="L1794" s="7" t="n">
        <v>0.09142448523</v>
      </c>
      <c r="M1794" s="7" t="n">
        <v>0.1020894787</v>
      </c>
      <c r="N1794" s="7" t="n">
        <v>10</v>
      </c>
      <c r="O1794" s="7" t="n">
        <v>10</v>
      </c>
      <c r="P1794" s="7" t="n">
        <v>0</v>
      </c>
      <c r="Q1794" s="2"/>
      <c r="R1794" s="7" t="n">
        <v>3.770823</v>
      </c>
      <c r="S1794" s="5" t="s">
        <v>82</v>
      </c>
      <c r="T1794" s="5" t="s">
        <v>61</v>
      </c>
    </row>
    <row r="1795" customFormat="false" ht="15" hidden="false" customHeight="false" outlineLevel="0" collapsed="false">
      <c r="A1795" s="5" t="s">
        <v>4</v>
      </c>
      <c r="B1795" s="5" t="s">
        <v>55</v>
      </c>
      <c r="C1795" s="2" t="s">
        <v>56</v>
      </c>
      <c r="D1795" s="5" t="s">
        <v>83</v>
      </c>
      <c r="E1795" s="5" t="s">
        <v>62</v>
      </c>
      <c r="F1795" s="2" t="n">
        <v>17</v>
      </c>
      <c r="G1795" s="5" t="s">
        <v>76</v>
      </c>
      <c r="H1795" s="2" t="n">
        <v>1</v>
      </c>
      <c r="I1795" s="2" t="n">
        <v>1</v>
      </c>
      <c r="J1795" s="2" t="n">
        <v>1</v>
      </c>
      <c r="K1795" s="7" t="n">
        <v>0.7560479602</v>
      </c>
      <c r="L1795" s="7" t="n">
        <v>0.09142448523</v>
      </c>
      <c r="M1795" s="7" t="n">
        <v>0.1020894787</v>
      </c>
      <c r="N1795" s="7" t="n">
        <v>10</v>
      </c>
      <c r="O1795" s="7" t="n">
        <v>10</v>
      </c>
      <c r="P1795" s="7" t="n">
        <v>10</v>
      </c>
      <c r="Q1795" s="2"/>
      <c r="R1795" s="7" t="n">
        <v>4.335757</v>
      </c>
      <c r="S1795" s="5" t="s">
        <v>82</v>
      </c>
      <c r="T1795" s="5" t="s">
        <v>61</v>
      </c>
    </row>
    <row r="1796" customFormat="false" ht="15" hidden="false" customHeight="false" outlineLevel="0" collapsed="false">
      <c r="A1796" s="5" t="s">
        <v>4</v>
      </c>
      <c r="B1796" s="5" t="s">
        <v>55</v>
      </c>
      <c r="C1796" s="2" t="s">
        <v>56</v>
      </c>
      <c r="D1796" s="5" t="s">
        <v>83</v>
      </c>
      <c r="E1796" s="5" t="s">
        <v>58</v>
      </c>
      <c r="F1796" s="2" t="n">
        <v>18</v>
      </c>
      <c r="G1796" s="5" t="s">
        <v>76</v>
      </c>
      <c r="H1796" s="2" t="n">
        <v>1</v>
      </c>
      <c r="I1796" s="2" t="n">
        <v>1</v>
      </c>
      <c r="J1796" s="2" t="n">
        <v>1</v>
      </c>
      <c r="K1796" s="7" t="n">
        <v>0.3121135887</v>
      </c>
      <c r="L1796" s="7" t="n">
        <v>0.03637741038</v>
      </c>
      <c r="M1796" s="7" t="n">
        <v>0.04218326634</v>
      </c>
      <c r="N1796" s="7" t="n">
        <v>13</v>
      </c>
      <c r="O1796" s="7" t="n">
        <v>13</v>
      </c>
      <c r="P1796" s="7" t="n">
        <v>0</v>
      </c>
      <c r="Q1796" s="2"/>
      <c r="R1796" s="7" t="n">
        <v>3.561174</v>
      </c>
      <c r="S1796" s="5" t="s">
        <v>82</v>
      </c>
      <c r="T1796" s="5" t="s">
        <v>61</v>
      </c>
    </row>
    <row r="1797" customFormat="false" ht="15" hidden="false" customHeight="false" outlineLevel="0" collapsed="false">
      <c r="A1797" s="5" t="s">
        <v>4</v>
      </c>
      <c r="B1797" s="5" t="s">
        <v>55</v>
      </c>
      <c r="C1797" s="2" t="s">
        <v>56</v>
      </c>
      <c r="D1797" s="5" t="s">
        <v>83</v>
      </c>
      <c r="E1797" s="5" t="s">
        <v>62</v>
      </c>
      <c r="F1797" s="2" t="n">
        <v>18</v>
      </c>
      <c r="G1797" s="5" t="s">
        <v>76</v>
      </c>
      <c r="H1797" s="2" t="n">
        <v>1</v>
      </c>
      <c r="I1797" s="2" t="n">
        <v>1</v>
      </c>
      <c r="J1797" s="2" t="n">
        <v>1</v>
      </c>
      <c r="K1797" s="7" t="n">
        <v>0.3121135887</v>
      </c>
      <c r="L1797" s="7" t="n">
        <v>0.03637741038</v>
      </c>
      <c r="M1797" s="7" t="n">
        <v>0.04218326634</v>
      </c>
      <c r="N1797" s="7" t="n">
        <v>13</v>
      </c>
      <c r="O1797" s="7" t="n">
        <v>13</v>
      </c>
      <c r="P1797" s="7" t="n">
        <v>13</v>
      </c>
      <c r="Q1797" s="2"/>
      <c r="R1797" s="7" t="n">
        <v>4.202382</v>
      </c>
      <c r="S1797" s="5" t="s">
        <v>82</v>
      </c>
      <c r="T1797" s="5" t="s">
        <v>61</v>
      </c>
    </row>
    <row r="1798" customFormat="false" ht="15" hidden="false" customHeight="false" outlineLevel="0" collapsed="false">
      <c r="A1798" s="5" t="s">
        <v>4</v>
      </c>
      <c r="B1798" s="5" t="s">
        <v>55</v>
      </c>
      <c r="C1798" s="2" t="s">
        <v>56</v>
      </c>
      <c r="D1798" s="5" t="s">
        <v>83</v>
      </c>
      <c r="E1798" s="5" t="s">
        <v>58</v>
      </c>
      <c r="F1798" s="2" t="n">
        <v>19</v>
      </c>
      <c r="G1798" s="5" t="s">
        <v>76</v>
      </c>
      <c r="H1798" s="2" t="n">
        <v>1</v>
      </c>
      <c r="I1798" s="2" t="n">
        <v>1</v>
      </c>
      <c r="J1798" s="2" t="n">
        <v>1</v>
      </c>
      <c r="K1798" s="7" t="n">
        <v>0.1542370971</v>
      </c>
      <c r="L1798" s="7" t="n">
        <v>0.06138621843</v>
      </c>
      <c r="M1798" s="7" t="n">
        <v>0.06180020099</v>
      </c>
      <c r="N1798" s="7" t="n">
        <v>12</v>
      </c>
      <c r="O1798" s="7" t="n">
        <v>12</v>
      </c>
      <c r="P1798" s="7" t="n">
        <v>0</v>
      </c>
      <c r="Q1798" s="2"/>
      <c r="R1798" s="7" t="n">
        <v>3.695973</v>
      </c>
      <c r="S1798" s="5" t="s">
        <v>82</v>
      </c>
      <c r="T1798" s="5" t="s">
        <v>61</v>
      </c>
    </row>
    <row r="1799" customFormat="false" ht="15" hidden="false" customHeight="false" outlineLevel="0" collapsed="false">
      <c r="A1799" s="5" t="s">
        <v>4</v>
      </c>
      <c r="B1799" s="5" t="s">
        <v>55</v>
      </c>
      <c r="C1799" s="2" t="s">
        <v>56</v>
      </c>
      <c r="D1799" s="5" t="s">
        <v>83</v>
      </c>
      <c r="E1799" s="5" t="s">
        <v>62</v>
      </c>
      <c r="F1799" s="2" t="n">
        <v>19</v>
      </c>
      <c r="G1799" s="5" t="s">
        <v>76</v>
      </c>
      <c r="H1799" s="2" t="n">
        <v>1</v>
      </c>
      <c r="I1799" s="2" t="n">
        <v>1</v>
      </c>
      <c r="J1799" s="2" t="n">
        <v>1</v>
      </c>
      <c r="K1799" s="7" t="n">
        <v>0.1542370971</v>
      </c>
      <c r="L1799" s="7" t="n">
        <v>0.06138621843</v>
      </c>
      <c r="M1799" s="7" t="n">
        <v>0.06180020099</v>
      </c>
      <c r="N1799" s="7" t="n">
        <v>12</v>
      </c>
      <c r="O1799" s="7" t="n">
        <v>12</v>
      </c>
      <c r="P1799" s="7" t="n">
        <v>12</v>
      </c>
      <c r="Q1799" s="2"/>
      <c r="R1799" s="7" t="n">
        <v>4.310911</v>
      </c>
      <c r="S1799" s="5" t="s">
        <v>82</v>
      </c>
      <c r="T1799" s="5" t="s">
        <v>61</v>
      </c>
    </row>
    <row r="1800" customFormat="false" ht="15" hidden="false" customHeight="false" outlineLevel="0" collapsed="false">
      <c r="A1800" s="5" t="s">
        <v>4</v>
      </c>
      <c r="B1800" s="5" t="s">
        <v>55</v>
      </c>
      <c r="C1800" s="2" t="s">
        <v>56</v>
      </c>
      <c r="D1800" s="5" t="s">
        <v>83</v>
      </c>
      <c r="E1800" s="5" t="s">
        <v>58</v>
      </c>
      <c r="F1800" s="2" t="n">
        <v>20</v>
      </c>
      <c r="G1800" s="5" t="s">
        <v>76</v>
      </c>
      <c r="H1800" s="2" t="n">
        <v>1</v>
      </c>
      <c r="I1800" s="2" t="n">
        <v>1</v>
      </c>
      <c r="J1800" s="2" t="n">
        <v>1</v>
      </c>
      <c r="K1800" s="7" t="n">
        <v>0.3313301514</v>
      </c>
      <c r="L1800" s="7" t="n">
        <v>0.01607175519</v>
      </c>
      <c r="M1800" s="7" t="n">
        <v>0.02435114922</v>
      </c>
      <c r="N1800" s="7" t="n">
        <v>13</v>
      </c>
      <c r="O1800" s="7" t="n">
        <v>13</v>
      </c>
      <c r="P1800" s="7" t="n">
        <v>0</v>
      </c>
      <c r="Q1800" s="2"/>
      <c r="R1800" s="7" t="n">
        <v>3.617597</v>
      </c>
      <c r="S1800" s="5" t="s">
        <v>82</v>
      </c>
      <c r="T1800" s="5" t="s">
        <v>61</v>
      </c>
    </row>
    <row r="1801" customFormat="false" ht="15" hidden="false" customHeight="false" outlineLevel="0" collapsed="false">
      <c r="A1801" s="5" t="s">
        <v>4</v>
      </c>
      <c r="B1801" s="5" t="s">
        <v>55</v>
      </c>
      <c r="C1801" s="2" t="s">
        <v>56</v>
      </c>
      <c r="D1801" s="5" t="s">
        <v>83</v>
      </c>
      <c r="E1801" s="5" t="s">
        <v>62</v>
      </c>
      <c r="F1801" s="2" t="n">
        <v>20</v>
      </c>
      <c r="G1801" s="5" t="s">
        <v>76</v>
      </c>
      <c r="H1801" s="2" t="n">
        <v>1</v>
      </c>
      <c r="I1801" s="2" t="n">
        <v>1</v>
      </c>
      <c r="J1801" s="2" t="n">
        <v>1</v>
      </c>
      <c r="K1801" s="7" t="n">
        <v>0.3313301514</v>
      </c>
      <c r="L1801" s="7" t="n">
        <v>0.01607175519</v>
      </c>
      <c r="M1801" s="7" t="n">
        <v>0.02435114922</v>
      </c>
      <c r="N1801" s="7" t="n">
        <v>13</v>
      </c>
      <c r="O1801" s="7" t="n">
        <v>13</v>
      </c>
      <c r="P1801" s="7" t="n">
        <v>13</v>
      </c>
      <c r="Q1801" s="2"/>
      <c r="R1801" s="7" t="n">
        <v>4.266236</v>
      </c>
      <c r="S1801" s="5" t="s">
        <v>82</v>
      </c>
      <c r="T1801" s="5" t="s">
        <v>61</v>
      </c>
    </row>
    <row r="1802" customFormat="false" ht="15" hidden="false" customHeight="false" outlineLevel="0" collapsed="false">
      <c r="A1802" s="5" t="s">
        <v>4</v>
      </c>
      <c r="B1802" s="5" t="s">
        <v>55</v>
      </c>
      <c r="C1802" s="2" t="s">
        <v>84</v>
      </c>
      <c r="D1802" s="5" t="s">
        <v>85</v>
      </c>
      <c r="E1802" s="5" t="s">
        <v>85</v>
      </c>
      <c r="F1802" s="2" t="n">
        <v>11</v>
      </c>
      <c r="G1802" s="5" t="s">
        <v>59</v>
      </c>
      <c r="H1802" s="2" t="n">
        <v>1</v>
      </c>
      <c r="I1802" s="2" t="n">
        <v>1</v>
      </c>
      <c r="J1802" s="2" t="n">
        <v>1</v>
      </c>
      <c r="K1802" s="7" t="n">
        <v>0.54773536933137</v>
      </c>
      <c r="L1802" s="7" t="n">
        <v>0.0802794042795742</v>
      </c>
      <c r="M1802" s="7" t="n">
        <v>0.0870262896470646</v>
      </c>
      <c r="N1802" s="2"/>
      <c r="O1802" s="2"/>
      <c r="P1802" s="2"/>
      <c r="Q1802" s="5" t="s">
        <v>86</v>
      </c>
      <c r="R1802" s="2"/>
      <c r="S1802" s="5" t="s">
        <v>60</v>
      </c>
      <c r="T1802" s="5" t="s">
        <v>87</v>
      </c>
    </row>
    <row r="1803" customFormat="false" ht="15" hidden="false" customHeight="false" outlineLevel="0" collapsed="false">
      <c r="A1803" s="5" t="s">
        <v>4</v>
      </c>
      <c r="B1803" s="5" t="s">
        <v>55</v>
      </c>
      <c r="C1803" s="2" t="s">
        <v>84</v>
      </c>
      <c r="D1803" s="5" t="s">
        <v>85</v>
      </c>
      <c r="E1803" s="5" t="s">
        <v>85</v>
      </c>
      <c r="F1803" s="2" t="n">
        <v>11</v>
      </c>
      <c r="G1803" s="5" t="s">
        <v>63</v>
      </c>
      <c r="H1803" s="2" t="n">
        <v>1</v>
      </c>
      <c r="I1803" s="2" t="n">
        <v>1</v>
      </c>
      <c r="J1803" s="2" t="n">
        <v>1</v>
      </c>
      <c r="K1803" s="7" t="n">
        <v>0.616026729238891</v>
      </c>
      <c r="L1803" s="7" t="n">
        <v>0.0446399780935307</v>
      </c>
      <c r="M1803" s="7" t="n">
        <v>0.0636120790351512</v>
      </c>
      <c r="N1803" s="2"/>
      <c r="O1803" s="2"/>
      <c r="P1803" s="2"/>
      <c r="Q1803" s="5" t="s">
        <v>88</v>
      </c>
      <c r="R1803" s="2"/>
      <c r="S1803" s="5" t="s">
        <v>60</v>
      </c>
      <c r="T1803" s="5" t="s">
        <v>87</v>
      </c>
    </row>
    <row r="1804" customFormat="false" ht="15" hidden="false" customHeight="false" outlineLevel="0" collapsed="false">
      <c r="A1804" s="5" t="s">
        <v>4</v>
      </c>
      <c r="B1804" s="5" t="s">
        <v>55</v>
      </c>
      <c r="C1804" s="2" t="s">
        <v>84</v>
      </c>
      <c r="D1804" s="5" t="s">
        <v>85</v>
      </c>
      <c r="E1804" s="5" t="s">
        <v>85</v>
      </c>
      <c r="F1804" s="2" t="n">
        <v>11</v>
      </c>
      <c r="G1804" s="5" t="s">
        <v>64</v>
      </c>
      <c r="H1804" s="2" t="n">
        <v>0</v>
      </c>
      <c r="I1804" s="2" t="n">
        <v>1</v>
      </c>
      <c r="J1804" s="2" t="n">
        <v>1</v>
      </c>
      <c r="K1804" s="7" t="n">
        <v>1.19512846816689</v>
      </c>
      <c r="L1804" s="7" t="n">
        <v>0.0663983631132802</v>
      </c>
      <c r="M1804" s="7" t="n">
        <v>0.0958170553149244</v>
      </c>
      <c r="N1804" s="2"/>
      <c r="O1804" s="2"/>
      <c r="P1804" s="2"/>
      <c r="Q1804" s="5" t="s">
        <v>89</v>
      </c>
      <c r="R1804" s="2"/>
      <c r="S1804" s="5" t="s">
        <v>60</v>
      </c>
      <c r="T1804" s="5" t="s">
        <v>87</v>
      </c>
    </row>
    <row r="1805" customFormat="false" ht="15" hidden="false" customHeight="false" outlineLevel="0" collapsed="false">
      <c r="A1805" s="5" t="s">
        <v>4</v>
      </c>
      <c r="B1805" s="5" t="s">
        <v>55</v>
      </c>
      <c r="C1805" s="2" t="s">
        <v>84</v>
      </c>
      <c r="D1805" s="5" t="s">
        <v>85</v>
      </c>
      <c r="E1805" s="5" t="s">
        <v>85</v>
      </c>
      <c r="F1805" s="2" t="n">
        <v>11</v>
      </c>
      <c r="G1805" s="5" t="s">
        <v>65</v>
      </c>
      <c r="H1805" s="2" t="n">
        <v>0</v>
      </c>
      <c r="I1805" s="2" t="n">
        <v>1</v>
      </c>
      <c r="J1805" s="2" t="n">
        <v>1</v>
      </c>
      <c r="K1805" s="7" t="n">
        <v>0.890601019580161</v>
      </c>
      <c r="L1805" s="7" t="n">
        <v>0.191277752283995</v>
      </c>
      <c r="M1805" s="7" t="n">
        <v>0.197089644234001</v>
      </c>
      <c r="N1805" s="2"/>
      <c r="O1805" s="2"/>
      <c r="P1805" s="2"/>
      <c r="Q1805" s="5" t="s">
        <v>90</v>
      </c>
      <c r="R1805" s="2"/>
      <c r="S1805" s="5" t="s">
        <v>60</v>
      </c>
      <c r="T1805" s="5" t="s">
        <v>87</v>
      </c>
    </row>
    <row r="1806" customFormat="false" ht="15" hidden="false" customHeight="false" outlineLevel="0" collapsed="false">
      <c r="A1806" s="5" t="s">
        <v>4</v>
      </c>
      <c r="B1806" s="5" t="s">
        <v>55</v>
      </c>
      <c r="C1806" s="2" t="s">
        <v>84</v>
      </c>
      <c r="D1806" s="5" t="s">
        <v>85</v>
      </c>
      <c r="E1806" s="5" t="s">
        <v>85</v>
      </c>
      <c r="F1806" s="2" t="n">
        <v>11</v>
      </c>
      <c r="G1806" s="5" t="s">
        <v>66</v>
      </c>
      <c r="H1806" s="2" t="n">
        <v>0</v>
      </c>
      <c r="I1806" s="2" t="n">
        <v>1</v>
      </c>
      <c r="J1806" s="2" t="n">
        <v>1</v>
      </c>
      <c r="K1806" s="7" t="n">
        <v>1.05786516115822</v>
      </c>
      <c r="L1806" s="7" t="n">
        <v>0.0592764706406131</v>
      </c>
      <c r="M1806" s="7" t="n">
        <v>0.0895707519322661</v>
      </c>
      <c r="N1806" s="2"/>
      <c r="O1806" s="2"/>
      <c r="P1806" s="2"/>
      <c r="Q1806" s="5" t="s">
        <v>91</v>
      </c>
      <c r="R1806" s="2"/>
      <c r="S1806" s="5" t="s">
        <v>60</v>
      </c>
      <c r="T1806" s="5" t="s">
        <v>87</v>
      </c>
    </row>
    <row r="1807" customFormat="false" ht="15" hidden="false" customHeight="false" outlineLevel="0" collapsed="false">
      <c r="A1807" s="5" t="s">
        <v>4</v>
      </c>
      <c r="B1807" s="5" t="s">
        <v>55</v>
      </c>
      <c r="C1807" s="2" t="s">
        <v>84</v>
      </c>
      <c r="D1807" s="5" t="s">
        <v>85</v>
      </c>
      <c r="E1807" s="5" t="s">
        <v>85</v>
      </c>
      <c r="F1807" s="2" t="n">
        <v>11</v>
      </c>
      <c r="G1807" s="5" t="s">
        <v>67</v>
      </c>
      <c r="H1807" s="2" t="n">
        <v>1</v>
      </c>
      <c r="I1807" s="2" t="n">
        <v>1</v>
      </c>
      <c r="J1807" s="2" t="n">
        <v>1</v>
      </c>
      <c r="K1807" s="7" t="n">
        <v>0.417853536335124</v>
      </c>
      <c r="L1807" s="7" t="n">
        <v>0.0639914559052767</v>
      </c>
      <c r="M1807" s="7" t="n">
        <v>0.0710775325957039</v>
      </c>
      <c r="N1807" s="2"/>
      <c r="O1807" s="2"/>
      <c r="P1807" s="2"/>
      <c r="Q1807" s="5" t="s">
        <v>92</v>
      </c>
      <c r="R1807" s="2"/>
      <c r="S1807" s="5" t="s">
        <v>60</v>
      </c>
      <c r="T1807" s="5" t="s">
        <v>87</v>
      </c>
    </row>
    <row r="1808" customFormat="false" ht="15" hidden="false" customHeight="false" outlineLevel="0" collapsed="false">
      <c r="A1808" s="5" t="s">
        <v>4</v>
      </c>
      <c r="B1808" s="5" t="s">
        <v>55</v>
      </c>
      <c r="C1808" s="2" t="s">
        <v>84</v>
      </c>
      <c r="D1808" s="5" t="s">
        <v>85</v>
      </c>
      <c r="E1808" s="5" t="s">
        <v>85</v>
      </c>
      <c r="F1808" s="2" t="n">
        <v>11</v>
      </c>
      <c r="G1808" s="5" t="s">
        <v>68</v>
      </c>
      <c r="H1808" s="2" t="n">
        <v>1</v>
      </c>
      <c r="I1808" s="2" t="n">
        <v>1</v>
      </c>
      <c r="J1808" s="2" t="n">
        <v>1</v>
      </c>
      <c r="K1808" s="7" t="n">
        <v>0.751093036948504</v>
      </c>
      <c r="L1808" s="7" t="n">
        <v>0.0749331514196067</v>
      </c>
      <c r="M1808" s="7" t="n">
        <v>0.0886346542283189</v>
      </c>
      <c r="N1808" s="2"/>
      <c r="O1808" s="2"/>
      <c r="P1808" s="2"/>
      <c r="Q1808" s="5" t="s">
        <v>93</v>
      </c>
      <c r="R1808" s="2"/>
      <c r="S1808" s="5" t="s">
        <v>60</v>
      </c>
      <c r="T1808" s="5" t="s">
        <v>87</v>
      </c>
    </row>
    <row r="1809" customFormat="false" ht="15" hidden="false" customHeight="false" outlineLevel="0" collapsed="false">
      <c r="A1809" s="5" t="s">
        <v>4</v>
      </c>
      <c r="B1809" s="5" t="s">
        <v>55</v>
      </c>
      <c r="C1809" s="2" t="s">
        <v>84</v>
      </c>
      <c r="D1809" s="5" t="s">
        <v>85</v>
      </c>
      <c r="E1809" s="5" t="s">
        <v>85</v>
      </c>
      <c r="F1809" s="2" t="n">
        <v>11</v>
      </c>
      <c r="G1809" s="5" t="s">
        <v>69</v>
      </c>
      <c r="H1809" s="2" t="n">
        <v>1</v>
      </c>
      <c r="I1809" s="2" t="n">
        <v>1</v>
      </c>
      <c r="J1809" s="2" t="n">
        <v>1</v>
      </c>
      <c r="K1809" s="7" t="n">
        <v>0.349330137037575</v>
      </c>
      <c r="L1809" s="7" t="n">
        <v>0.0488975164239081</v>
      </c>
      <c r="M1809" s="7" t="n">
        <v>0.0542480862684129</v>
      </c>
      <c r="N1809" s="2"/>
      <c r="O1809" s="2"/>
      <c r="P1809" s="2"/>
      <c r="Q1809" s="5" t="s">
        <v>94</v>
      </c>
      <c r="R1809" s="2"/>
      <c r="S1809" s="5" t="s">
        <v>60</v>
      </c>
      <c r="T1809" s="5" t="s">
        <v>87</v>
      </c>
    </row>
    <row r="1810" customFormat="false" ht="15" hidden="false" customHeight="false" outlineLevel="0" collapsed="false">
      <c r="A1810" s="5" t="s">
        <v>4</v>
      </c>
      <c r="B1810" s="5" t="s">
        <v>55</v>
      </c>
      <c r="C1810" s="2" t="s">
        <v>84</v>
      </c>
      <c r="D1810" s="5" t="s">
        <v>85</v>
      </c>
      <c r="E1810" s="5" t="s">
        <v>85</v>
      </c>
      <c r="F1810" s="2" t="n">
        <v>11</v>
      </c>
      <c r="G1810" s="5" t="s">
        <v>70</v>
      </c>
      <c r="H1810" s="2" t="n">
        <v>0</v>
      </c>
      <c r="I1810" s="2" t="n">
        <v>1</v>
      </c>
      <c r="J1810" s="2" t="n">
        <v>1</v>
      </c>
      <c r="K1810" s="7" t="n">
        <v>0.710414675748472</v>
      </c>
      <c r="L1810" s="7" t="n">
        <v>0.0265447235233819</v>
      </c>
      <c r="M1810" s="7" t="n">
        <v>0.047918595197973</v>
      </c>
      <c r="N1810" s="2"/>
      <c r="O1810" s="2"/>
      <c r="P1810" s="2"/>
      <c r="Q1810" s="5" t="s">
        <v>95</v>
      </c>
      <c r="R1810" s="2"/>
      <c r="S1810" s="5" t="s">
        <v>60</v>
      </c>
      <c r="T1810" s="5" t="s">
        <v>87</v>
      </c>
    </row>
    <row r="1811" customFormat="false" ht="15" hidden="false" customHeight="false" outlineLevel="0" collapsed="false">
      <c r="A1811" s="5" t="s">
        <v>4</v>
      </c>
      <c r="B1811" s="5" t="s">
        <v>55</v>
      </c>
      <c r="C1811" s="2" t="s">
        <v>84</v>
      </c>
      <c r="D1811" s="5" t="s">
        <v>85</v>
      </c>
      <c r="E1811" s="5" t="s">
        <v>85</v>
      </c>
      <c r="F1811" s="2" t="n">
        <v>11</v>
      </c>
      <c r="G1811" s="5" t="s">
        <v>71</v>
      </c>
      <c r="H1811" s="2" t="n">
        <v>1</v>
      </c>
      <c r="I1811" s="2" t="n">
        <v>1</v>
      </c>
      <c r="J1811" s="2" t="n">
        <v>1</v>
      </c>
      <c r="K1811" s="7" t="n">
        <v>0.621504950939972</v>
      </c>
      <c r="L1811" s="7" t="n">
        <v>0.0285653610930803</v>
      </c>
      <c r="M1811" s="7" t="n">
        <v>0.0448988399392837</v>
      </c>
      <c r="N1811" s="2"/>
      <c r="O1811" s="2"/>
      <c r="P1811" s="2"/>
      <c r="Q1811" s="5" t="s">
        <v>96</v>
      </c>
      <c r="R1811" s="2"/>
      <c r="S1811" s="5" t="s">
        <v>60</v>
      </c>
      <c r="T1811" s="5" t="s">
        <v>87</v>
      </c>
    </row>
    <row r="1812" customFormat="false" ht="15" hidden="false" customHeight="false" outlineLevel="0" collapsed="false">
      <c r="A1812" s="5" t="s">
        <v>4</v>
      </c>
      <c r="B1812" s="5" t="s">
        <v>55</v>
      </c>
      <c r="C1812" s="2" t="s">
        <v>84</v>
      </c>
      <c r="D1812" s="5" t="s">
        <v>85</v>
      </c>
      <c r="E1812" s="5" t="s">
        <v>85</v>
      </c>
      <c r="F1812" s="2" t="n">
        <v>11</v>
      </c>
      <c r="G1812" s="5" t="s">
        <v>72</v>
      </c>
      <c r="H1812" s="2" t="n">
        <v>1</v>
      </c>
      <c r="I1812" s="2" t="n">
        <v>1</v>
      </c>
      <c r="J1812" s="2" t="n">
        <v>1</v>
      </c>
      <c r="K1812" s="7" t="n">
        <v>0.647695044382588</v>
      </c>
      <c r="L1812" s="7" t="n">
        <v>0.151317358714091</v>
      </c>
      <c r="M1812" s="7" t="n">
        <v>0.154688836067826</v>
      </c>
      <c r="N1812" s="2"/>
      <c r="O1812" s="2"/>
      <c r="P1812" s="2"/>
      <c r="Q1812" s="5" t="s">
        <v>97</v>
      </c>
      <c r="R1812" s="2"/>
      <c r="S1812" s="5" t="s">
        <v>60</v>
      </c>
      <c r="T1812" s="5" t="s">
        <v>87</v>
      </c>
    </row>
    <row r="1813" customFormat="false" ht="15" hidden="false" customHeight="false" outlineLevel="0" collapsed="false">
      <c r="A1813" s="5" t="s">
        <v>4</v>
      </c>
      <c r="B1813" s="5" t="s">
        <v>55</v>
      </c>
      <c r="C1813" s="2" t="s">
        <v>84</v>
      </c>
      <c r="D1813" s="5" t="s">
        <v>85</v>
      </c>
      <c r="E1813" s="5" t="s">
        <v>85</v>
      </c>
      <c r="F1813" s="2" t="n">
        <v>11</v>
      </c>
      <c r="G1813" s="5" t="s">
        <v>73</v>
      </c>
      <c r="H1813" s="2" t="n">
        <v>0</v>
      </c>
      <c r="I1813" s="2" t="n">
        <v>1</v>
      </c>
      <c r="J1813" s="2" t="n">
        <v>1</v>
      </c>
      <c r="K1813" s="7" t="n">
        <v>0.44839788445201</v>
      </c>
      <c r="L1813" s="7" t="n">
        <v>0.0443382499393372</v>
      </c>
      <c r="M1813" s="7" t="n">
        <v>0.0515694969350796</v>
      </c>
      <c r="N1813" s="2"/>
      <c r="O1813" s="2"/>
      <c r="P1813" s="2"/>
      <c r="Q1813" s="5" t="s">
        <v>98</v>
      </c>
      <c r="R1813" s="2"/>
      <c r="S1813" s="5" t="s">
        <v>60</v>
      </c>
      <c r="T1813" s="5" t="s">
        <v>87</v>
      </c>
    </row>
    <row r="1814" customFormat="false" ht="15" hidden="false" customHeight="false" outlineLevel="0" collapsed="false">
      <c r="A1814" s="5" t="s">
        <v>4</v>
      </c>
      <c r="B1814" s="5" t="s">
        <v>55</v>
      </c>
      <c r="C1814" s="2" t="s">
        <v>84</v>
      </c>
      <c r="D1814" s="5" t="s">
        <v>85</v>
      </c>
      <c r="E1814" s="5" t="s">
        <v>85</v>
      </c>
      <c r="F1814" s="2" t="n">
        <v>11</v>
      </c>
      <c r="G1814" s="5" t="s">
        <v>74</v>
      </c>
      <c r="H1814" s="2" t="n">
        <v>1</v>
      </c>
      <c r="I1814" s="2" t="n">
        <v>1</v>
      </c>
      <c r="J1814" s="2" t="n">
        <v>1</v>
      </c>
      <c r="K1814" s="7" t="n">
        <v>0.653581535678986</v>
      </c>
      <c r="L1814" s="7" t="n">
        <v>0.11178840621817</v>
      </c>
      <c r="M1814" s="7" t="n">
        <v>0.119988307899423</v>
      </c>
      <c r="N1814" s="2"/>
      <c r="O1814" s="2"/>
      <c r="P1814" s="2"/>
      <c r="Q1814" s="5" t="s">
        <v>99</v>
      </c>
      <c r="R1814" s="2"/>
      <c r="S1814" s="5" t="s">
        <v>60</v>
      </c>
      <c r="T1814" s="5" t="s">
        <v>87</v>
      </c>
    </row>
    <row r="1815" customFormat="false" ht="15" hidden="false" customHeight="false" outlineLevel="0" collapsed="false">
      <c r="A1815" s="5" t="s">
        <v>4</v>
      </c>
      <c r="B1815" s="5" t="s">
        <v>55</v>
      </c>
      <c r="C1815" s="2" t="s">
        <v>84</v>
      </c>
      <c r="D1815" s="5" t="s">
        <v>85</v>
      </c>
      <c r="E1815" s="5" t="s">
        <v>85</v>
      </c>
      <c r="F1815" s="2" t="n">
        <v>11</v>
      </c>
      <c r="G1815" s="5" t="s">
        <v>75</v>
      </c>
      <c r="H1815" s="2" t="n">
        <v>1</v>
      </c>
      <c r="I1815" s="2" t="n">
        <v>1</v>
      </c>
      <c r="J1815" s="2" t="n">
        <v>1</v>
      </c>
      <c r="K1815" s="7" t="n">
        <v>0.251456148597472</v>
      </c>
      <c r="L1815" s="7" t="n">
        <v>0.107197578587834</v>
      </c>
      <c r="M1815" s="7" t="n">
        <v>0.108690561692054</v>
      </c>
      <c r="N1815" s="2"/>
      <c r="O1815" s="2"/>
      <c r="P1815" s="2"/>
      <c r="Q1815" s="5" t="s">
        <v>100</v>
      </c>
      <c r="R1815" s="2"/>
      <c r="S1815" s="5" t="s">
        <v>60</v>
      </c>
      <c r="T1815" s="5" t="s">
        <v>87</v>
      </c>
    </row>
    <row r="1816" customFormat="false" ht="15" hidden="false" customHeight="false" outlineLevel="0" collapsed="false">
      <c r="A1816" s="5" t="s">
        <v>4</v>
      </c>
      <c r="B1816" s="5" t="s">
        <v>55</v>
      </c>
      <c r="C1816" s="2" t="s">
        <v>84</v>
      </c>
      <c r="D1816" s="5" t="s">
        <v>85</v>
      </c>
      <c r="E1816" s="5" t="s">
        <v>85</v>
      </c>
      <c r="F1816" s="2" t="n">
        <v>11</v>
      </c>
      <c r="G1816" s="5" t="s">
        <v>76</v>
      </c>
      <c r="H1816" s="2" t="n">
        <v>1</v>
      </c>
      <c r="I1816" s="2" t="n">
        <v>1</v>
      </c>
      <c r="J1816" s="2" t="n">
        <v>1</v>
      </c>
      <c r="K1816" s="7" t="n">
        <v>0.73353337000893</v>
      </c>
      <c r="L1816" s="7" t="n">
        <v>0.0660154049499003</v>
      </c>
      <c r="M1816" s="7" t="n">
        <v>0.0829987682047134</v>
      </c>
      <c r="N1816" s="2"/>
      <c r="O1816" s="2"/>
      <c r="P1816" s="2"/>
      <c r="Q1816" s="5" t="s">
        <v>101</v>
      </c>
      <c r="R1816" s="2"/>
      <c r="S1816" s="5" t="s">
        <v>60</v>
      </c>
      <c r="T1816" s="5" t="s">
        <v>87</v>
      </c>
    </row>
    <row r="1817" customFormat="false" ht="15" hidden="false" customHeight="false" outlineLevel="0" collapsed="false">
      <c r="A1817" s="5" t="s">
        <v>4</v>
      </c>
      <c r="B1817" s="5" t="s">
        <v>55</v>
      </c>
      <c r="C1817" s="2" t="s">
        <v>84</v>
      </c>
      <c r="D1817" s="5" t="s">
        <v>85</v>
      </c>
      <c r="E1817" s="5" t="s">
        <v>85</v>
      </c>
      <c r="F1817" s="2" t="n">
        <v>12</v>
      </c>
      <c r="G1817" s="5" t="s">
        <v>59</v>
      </c>
      <c r="H1817" s="2" t="n">
        <v>1</v>
      </c>
      <c r="I1817" s="2" t="n">
        <v>1</v>
      </c>
      <c r="J1817" s="2" t="n">
        <v>1</v>
      </c>
      <c r="K1817" s="7" t="n">
        <v>0.438369783888109</v>
      </c>
      <c r="L1817" s="7" t="n">
        <v>0.0622253827811341</v>
      </c>
      <c r="M1817" s="7" t="n">
        <v>0.0676127323940771</v>
      </c>
      <c r="N1817" s="2"/>
      <c r="O1817" s="2"/>
      <c r="P1817" s="2"/>
      <c r="Q1817" s="5" t="s">
        <v>86</v>
      </c>
      <c r="R1817" s="2"/>
      <c r="S1817" s="5" t="s">
        <v>60</v>
      </c>
      <c r="T1817" s="5" t="s">
        <v>87</v>
      </c>
    </row>
    <row r="1818" customFormat="false" ht="15" hidden="false" customHeight="false" outlineLevel="0" collapsed="false">
      <c r="A1818" s="5" t="s">
        <v>4</v>
      </c>
      <c r="B1818" s="5" t="s">
        <v>55</v>
      </c>
      <c r="C1818" s="2" t="s">
        <v>84</v>
      </c>
      <c r="D1818" s="5" t="s">
        <v>85</v>
      </c>
      <c r="E1818" s="5" t="s">
        <v>85</v>
      </c>
      <c r="F1818" s="2" t="n">
        <v>12</v>
      </c>
      <c r="G1818" s="5" t="s">
        <v>63</v>
      </c>
      <c r="H1818" s="2" t="n">
        <v>1</v>
      </c>
      <c r="I1818" s="2" t="n">
        <v>1</v>
      </c>
      <c r="J1818" s="2" t="n">
        <v>1</v>
      </c>
      <c r="K1818" s="7" t="n">
        <v>0.800316030092904</v>
      </c>
      <c r="L1818" s="7" t="n">
        <v>0.0195233989283288</v>
      </c>
      <c r="M1818" s="7" t="n">
        <v>0.0494502947901285</v>
      </c>
      <c r="N1818" s="2"/>
      <c r="O1818" s="2"/>
      <c r="P1818" s="2"/>
      <c r="Q1818" s="5" t="s">
        <v>102</v>
      </c>
      <c r="R1818" s="2"/>
      <c r="S1818" s="5" t="s">
        <v>60</v>
      </c>
      <c r="T1818" s="5" t="s">
        <v>87</v>
      </c>
    </row>
    <row r="1819" customFormat="false" ht="15" hidden="false" customHeight="false" outlineLevel="0" collapsed="false">
      <c r="A1819" s="5" t="s">
        <v>4</v>
      </c>
      <c r="B1819" s="5" t="s">
        <v>55</v>
      </c>
      <c r="C1819" s="2" t="s">
        <v>84</v>
      </c>
      <c r="D1819" s="5" t="s">
        <v>85</v>
      </c>
      <c r="E1819" s="5" t="s">
        <v>85</v>
      </c>
      <c r="F1819" s="2" t="n">
        <v>12</v>
      </c>
      <c r="G1819" s="5" t="s">
        <v>64</v>
      </c>
      <c r="H1819" s="2" t="n">
        <v>0</v>
      </c>
      <c r="I1819" s="2" t="n">
        <v>1</v>
      </c>
      <c r="J1819" s="2" t="n">
        <v>1</v>
      </c>
      <c r="K1819" s="7" t="n">
        <v>1.08017569250016</v>
      </c>
      <c r="L1819" s="7" t="n">
        <v>0.11835886171862</v>
      </c>
      <c r="M1819" s="7" t="n">
        <v>0.140071421133543</v>
      </c>
      <c r="N1819" s="2"/>
      <c r="O1819" s="2"/>
      <c r="P1819" s="2"/>
      <c r="Q1819" s="5" t="s">
        <v>103</v>
      </c>
      <c r="R1819" s="2"/>
      <c r="S1819" s="5" t="s">
        <v>60</v>
      </c>
      <c r="T1819" s="5" t="s">
        <v>87</v>
      </c>
    </row>
    <row r="1820" customFormat="false" ht="15" hidden="false" customHeight="false" outlineLevel="0" collapsed="false">
      <c r="A1820" s="5" t="s">
        <v>4</v>
      </c>
      <c r="B1820" s="5" t="s">
        <v>55</v>
      </c>
      <c r="C1820" s="2" t="s">
        <v>84</v>
      </c>
      <c r="D1820" s="5" t="s">
        <v>85</v>
      </c>
      <c r="E1820" s="5" t="s">
        <v>85</v>
      </c>
      <c r="F1820" s="2" t="n">
        <v>12</v>
      </c>
      <c r="G1820" s="5" t="s">
        <v>65</v>
      </c>
      <c r="H1820" s="2" t="n">
        <v>0</v>
      </c>
      <c r="I1820" s="2" t="n">
        <v>1</v>
      </c>
      <c r="J1820" s="2" t="n">
        <v>1</v>
      </c>
      <c r="K1820" s="7" t="n">
        <v>0.91800092874818</v>
      </c>
      <c r="L1820" s="7" t="n">
        <v>0.0226861941303793</v>
      </c>
      <c r="M1820" s="7" t="n">
        <v>0.0653124888152583</v>
      </c>
      <c r="N1820" s="2"/>
      <c r="O1820" s="2"/>
      <c r="P1820" s="2"/>
      <c r="Q1820" s="5" t="s">
        <v>104</v>
      </c>
      <c r="R1820" s="2"/>
      <c r="S1820" s="5" t="s">
        <v>60</v>
      </c>
      <c r="T1820" s="5" t="s">
        <v>87</v>
      </c>
    </row>
    <row r="1821" customFormat="false" ht="15" hidden="false" customHeight="false" outlineLevel="0" collapsed="false">
      <c r="A1821" s="5" t="s">
        <v>4</v>
      </c>
      <c r="B1821" s="5" t="s">
        <v>55</v>
      </c>
      <c r="C1821" s="2" t="s">
        <v>84</v>
      </c>
      <c r="D1821" s="5" t="s">
        <v>85</v>
      </c>
      <c r="E1821" s="5" t="s">
        <v>85</v>
      </c>
      <c r="F1821" s="2" t="n">
        <v>12</v>
      </c>
      <c r="G1821" s="5" t="s">
        <v>66</v>
      </c>
      <c r="H1821" s="2" t="n">
        <v>0</v>
      </c>
      <c r="I1821" s="2" t="n">
        <v>1</v>
      </c>
      <c r="J1821" s="2" t="n">
        <v>1</v>
      </c>
      <c r="K1821" s="7" t="n">
        <v>1.12465634796143</v>
      </c>
      <c r="L1821" s="7" t="n">
        <v>0.0149137613893573</v>
      </c>
      <c r="M1821" s="7" t="n">
        <v>0.0770186725019019</v>
      </c>
      <c r="N1821" s="2"/>
      <c r="O1821" s="2"/>
      <c r="P1821" s="2"/>
      <c r="Q1821" s="5" t="s">
        <v>105</v>
      </c>
      <c r="R1821" s="2"/>
      <c r="S1821" s="5" t="s">
        <v>60</v>
      </c>
      <c r="T1821" s="5" t="s">
        <v>87</v>
      </c>
    </row>
    <row r="1822" customFormat="false" ht="15" hidden="false" customHeight="false" outlineLevel="0" collapsed="false">
      <c r="A1822" s="5" t="s">
        <v>4</v>
      </c>
      <c r="B1822" s="5" t="s">
        <v>55</v>
      </c>
      <c r="C1822" s="2" t="s">
        <v>84</v>
      </c>
      <c r="D1822" s="5" t="s">
        <v>85</v>
      </c>
      <c r="E1822" s="5" t="s">
        <v>85</v>
      </c>
      <c r="F1822" s="2" t="n">
        <v>12</v>
      </c>
      <c r="G1822" s="5" t="s">
        <v>67</v>
      </c>
      <c r="H1822" s="2" t="n">
        <v>1</v>
      </c>
      <c r="I1822" s="2" t="n">
        <v>1</v>
      </c>
      <c r="J1822" s="2" t="n">
        <v>1</v>
      </c>
      <c r="K1822" s="7" t="n">
        <v>0.51269535956816</v>
      </c>
      <c r="L1822" s="7" t="n">
        <v>0.0594572909221496</v>
      </c>
      <c r="M1822" s="7" t="n">
        <v>0.0685082930665894</v>
      </c>
      <c r="N1822" s="2"/>
      <c r="O1822" s="2"/>
      <c r="P1822" s="2"/>
      <c r="Q1822" s="5" t="s">
        <v>106</v>
      </c>
      <c r="R1822" s="2"/>
      <c r="S1822" s="5" t="s">
        <v>60</v>
      </c>
      <c r="T1822" s="5" t="s">
        <v>87</v>
      </c>
    </row>
    <row r="1823" customFormat="false" ht="15" hidden="false" customHeight="false" outlineLevel="0" collapsed="false">
      <c r="A1823" s="5" t="s">
        <v>4</v>
      </c>
      <c r="B1823" s="5" t="s">
        <v>55</v>
      </c>
      <c r="C1823" s="2" t="s">
        <v>84</v>
      </c>
      <c r="D1823" s="5" t="s">
        <v>85</v>
      </c>
      <c r="E1823" s="5" t="s">
        <v>85</v>
      </c>
      <c r="F1823" s="2" t="n">
        <v>12</v>
      </c>
      <c r="G1823" s="5" t="s">
        <v>68</v>
      </c>
      <c r="H1823" s="2" t="n">
        <v>1</v>
      </c>
      <c r="I1823" s="2" t="n">
        <v>1</v>
      </c>
      <c r="J1823" s="2" t="n">
        <v>1</v>
      </c>
      <c r="K1823" s="7" t="n">
        <v>0.816478412613708</v>
      </c>
      <c r="L1823" s="7" t="n">
        <v>0.157240443194121</v>
      </c>
      <c r="M1823" s="7" t="n">
        <v>0.168779920636176</v>
      </c>
      <c r="N1823" s="2"/>
      <c r="O1823" s="2"/>
      <c r="P1823" s="2"/>
      <c r="Q1823" s="5" t="s">
        <v>107</v>
      </c>
      <c r="R1823" s="2"/>
      <c r="S1823" s="5" t="s">
        <v>60</v>
      </c>
      <c r="T1823" s="5" t="s">
        <v>87</v>
      </c>
    </row>
    <row r="1824" customFormat="false" ht="15" hidden="false" customHeight="false" outlineLevel="0" collapsed="false">
      <c r="A1824" s="5" t="s">
        <v>4</v>
      </c>
      <c r="B1824" s="5" t="s">
        <v>55</v>
      </c>
      <c r="C1824" s="2" t="s">
        <v>84</v>
      </c>
      <c r="D1824" s="5" t="s">
        <v>85</v>
      </c>
      <c r="E1824" s="5" t="s">
        <v>85</v>
      </c>
      <c r="F1824" s="2" t="n">
        <v>12</v>
      </c>
      <c r="G1824" s="5" t="s">
        <v>69</v>
      </c>
      <c r="H1824" s="2" t="n">
        <v>1</v>
      </c>
      <c r="I1824" s="2" t="n">
        <v>1</v>
      </c>
      <c r="J1824" s="2" t="n">
        <v>1</v>
      </c>
      <c r="K1824" s="7" t="n">
        <v>0.625011146008049</v>
      </c>
      <c r="L1824" s="7" t="n">
        <v>0.0731233908274706</v>
      </c>
      <c r="M1824" s="7" t="n">
        <v>0.0853317899655589</v>
      </c>
      <c r="N1824" s="2"/>
      <c r="O1824" s="2"/>
      <c r="P1824" s="2"/>
      <c r="Q1824" s="5" t="s">
        <v>108</v>
      </c>
      <c r="R1824" s="2"/>
      <c r="S1824" s="5" t="s">
        <v>60</v>
      </c>
      <c r="T1824" s="5" t="s">
        <v>87</v>
      </c>
    </row>
    <row r="1825" customFormat="false" ht="15" hidden="false" customHeight="false" outlineLevel="0" collapsed="false">
      <c r="A1825" s="5" t="s">
        <v>4</v>
      </c>
      <c r="B1825" s="5" t="s">
        <v>55</v>
      </c>
      <c r="C1825" s="2" t="s">
        <v>84</v>
      </c>
      <c r="D1825" s="5" t="s">
        <v>85</v>
      </c>
      <c r="E1825" s="5" t="s">
        <v>85</v>
      </c>
      <c r="F1825" s="2" t="n">
        <v>12</v>
      </c>
      <c r="G1825" s="5" t="s">
        <v>70</v>
      </c>
      <c r="H1825" s="2" t="n">
        <v>0</v>
      </c>
      <c r="I1825" s="2" t="n">
        <v>1</v>
      </c>
      <c r="J1825" s="2" t="n">
        <v>1</v>
      </c>
      <c r="K1825" s="7" t="n">
        <v>0.826316239000638</v>
      </c>
      <c r="L1825" s="7" t="n">
        <v>0.0484268724631237</v>
      </c>
      <c r="M1825" s="7" t="n">
        <v>0.0719258641595404</v>
      </c>
      <c r="N1825" s="2"/>
      <c r="O1825" s="2"/>
      <c r="P1825" s="2"/>
      <c r="Q1825" s="5" t="s">
        <v>109</v>
      </c>
      <c r="R1825" s="2"/>
      <c r="S1825" s="5" t="s">
        <v>60</v>
      </c>
      <c r="T1825" s="5" t="s">
        <v>87</v>
      </c>
    </row>
    <row r="1826" customFormat="false" ht="15" hidden="false" customHeight="false" outlineLevel="0" collapsed="false">
      <c r="A1826" s="5" t="s">
        <v>4</v>
      </c>
      <c r="B1826" s="5" t="s">
        <v>55</v>
      </c>
      <c r="C1826" s="2" t="s">
        <v>84</v>
      </c>
      <c r="D1826" s="5" t="s">
        <v>85</v>
      </c>
      <c r="E1826" s="5" t="s">
        <v>85</v>
      </c>
      <c r="F1826" s="2" t="n">
        <v>12</v>
      </c>
      <c r="G1826" s="5" t="s">
        <v>71</v>
      </c>
      <c r="H1826" s="2" t="n">
        <v>1</v>
      </c>
      <c r="I1826" s="2" t="n">
        <v>1</v>
      </c>
      <c r="J1826" s="2" t="n">
        <v>1</v>
      </c>
      <c r="K1826" s="7" t="n">
        <v>0.309530512558989</v>
      </c>
      <c r="L1826" s="7" t="n">
        <v>0.114778814139459</v>
      </c>
      <c r="M1826" s="7" t="n">
        <v>0.116273554606668</v>
      </c>
      <c r="N1826" s="2"/>
      <c r="O1826" s="2"/>
      <c r="P1826" s="2"/>
      <c r="Q1826" s="5" t="s">
        <v>110</v>
      </c>
      <c r="R1826" s="2"/>
      <c r="S1826" s="5" t="s">
        <v>60</v>
      </c>
      <c r="T1826" s="5" t="s">
        <v>87</v>
      </c>
    </row>
    <row r="1827" customFormat="false" ht="15" hidden="false" customHeight="false" outlineLevel="0" collapsed="false">
      <c r="A1827" s="5" t="s">
        <v>4</v>
      </c>
      <c r="B1827" s="5" t="s">
        <v>55</v>
      </c>
      <c r="C1827" s="2" t="s">
        <v>84</v>
      </c>
      <c r="D1827" s="5" t="s">
        <v>85</v>
      </c>
      <c r="E1827" s="5" t="s">
        <v>85</v>
      </c>
      <c r="F1827" s="2" t="n">
        <v>12</v>
      </c>
      <c r="G1827" s="5" t="s">
        <v>72</v>
      </c>
      <c r="H1827" s="2" t="n">
        <v>1</v>
      </c>
      <c r="I1827" s="2" t="n">
        <v>1</v>
      </c>
      <c r="J1827" s="2" t="n">
        <v>1</v>
      </c>
      <c r="K1827" s="7" t="n">
        <v>0.125239926299996</v>
      </c>
      <c r="L1827" s="7" t="n">
        <v>0.0228465386536777</v>
      </c>
      <c r="M1827" s="7" t="n">
        <v>0.0253998415129573</v>
      </c>
      <c r="N1827" s="2"/>
      <c r="O1827" s="2"/>
      <c r="P1827" s="2"/>
      <c r="Q1827" s="5" t="s">
        <v>111</v>
      </c>
      <c r="R1827" s="2"/>
      <c r="S1827" s="5" t="s">
        <v>60</v>
      </c>
      <c r="T1827" s="5" t="s">
        <v>87</v>
      </c>
    </row>
    <row r="1828" customFormat="false" ht="15" hidden="false" customHeight="false" outlineLevel="0" collapsed="false">
      <c r="A1828" s="5" t="s">
        <v>4</v>
      </c>
      <c r="B1828" s="5" t="s">
        <v>55</v>
      </c>
      <c r="C1828" s="2" t="s">
        <v>84</v>
      </c>
      <c r="D1828" s="5" t="s">
        <v>85</v>
      </c>
      <c r="E1828" s="5" t="s">
        <v>85</v>
      </c>
      <c r="F1828" s="2" t="n">
        <v>12</v>
      </c>
      <c r="G1828" s="5" t="s">
        <v>73</v>
      </c>
      <c r="H1828" s="2" t="n">
        <v>0</v>
      </c>
      <c r="I1828" s="2" t="n">
        <v>1</v>
      </c>
      <c r="J1828" s="2" t="n">
        <v>1</v>
      </c>
      <c r="K1828" s="7" t="n">
        <v>0.333208839040577</v>
      </c>
      <c r="L1828" s="7" t="n">
        <v>0.00912595462993695</v>
      </c>
      <c r="M1828" s="7" t="n">
        <v>0.0269176328278847</v>
      </c>
      <c r="N1828" s="2"/>
      <c r="O1828" s="2"/>
      <c r="P1828" s="2"/>
      <c r="Q1828" s="5" t="s">
        <v>112</v>
      </c>
      <c r="R1828" s="2"/>
      <c r="S1828" s="5" t="s">
        <v>60</v>
      </c>
      <c r="T1828" s="5" t="s">
        <v>87</v>
      </c>
    </row>
    <row r="1829" customFormat="false" ht="15" hidden="false" customHeight="false" outlineLevel="0" collapsed="false">
      <c r="A1829" s="5" t="s">
        <v>4</v>
      </c>
      <c r="B1829" s="5" t="s">
        <v>55</v>
      </c>
      <c r="C1829" s="2" t="s">
        <v>84</v>
      </c>
      <c r="D1829" s="5" t="s">
        <v>85</v>
      </c>
      <c r="E1829" s="5" t="s">
        <v>85</v>
      </c>
      <c r="F1829" s="2" t="n">
        <v>12</v>
      </c>
      <c r="G1829" s="5" t="s">
        <v>74</v>
      </c>
      <c r="H1829" s="2" t="n">
        <v>1</v>
      </c>
      <c r="I1829" s="2" t="n">
        <v>1</v>
      </c>
      <c r="J1829" s="2" t="n">
        <v>1</v>
      </c>
      <c r="K1829" s="7" t="n">
        <v>0.195244286687849</v>
      </c>
      <c r="L1829" s="7" t="n">
        <v>0.0841136087652311</v>
      </c>
      <c r="M1829" s="7" t="n">
        <v>0.0853569235067678</v>
      </c>
      <c r="N1829" s="2"/>
      <c r="O1829" s="2"/>
      <c r="P1829" s="2"/>
      <c r="Q1829" s="5" t="s">
        <v>99</v>
      </c>
      <c r="R1829" s="2"/>
      <c r="S1829" s="5" t="s">
        <v>60</v>
      </c>
      <c r="T1829" s="5" t="s">
        <v>87</v>
      </c>
    </row>
    <row r="1830" customFormat="false" ht="15" hidden="false" customHeight="false" outlineLevel="0" collapsed="false">
      <c r="A1830" s="5" t="s">
        <v>4</v>
      </c>
      <c r="B1830" s="5" t="s">
        <v>55</v>
      </c>
      <c r="C1830" s="2" t="s">
        <v>84</v>
      </c>
      <c r="D1830" s="5" t="s">
        <v>85</v>
      </c>
      <c r="E1830" s="5" t="s">
        <v>85</v>
      </c>
      <c r="F1830" s="2" t="n">
        <v>12</v>
      </c>
      <c r="G1830" s="5" t="s">
        <v>75</v>
      </c>
      <c r="H1830" s="2" t="n">
        <v>1</v>
      </c>
      <c r="I1830" s="2" t="n">
        <v>1</v>
      </c>
      <c r="J1830" s="2" t="n">
        <v>1</v>
      </c>
      <c r="K1830" s="7" t="n">
        <v>0.102277641728802</v>
      </c>
      <c r="L1830" s="7" t="n">
        <v>0.0868373555488088</v>
      </c>
      <c r="M1830" s="7" t="n">
        <v>0.0868993058119571</v>
      </c>
      <c r="N1830" s="2"/>
      <c r="O1830" s="2"/>
      <c r="P1830" s="2"/>
      <c r="Q1830" s="5" t="s">
        <v>113</v>
      </c>
      <c r="R1830" s="2"/>
      <c r="S1830" s="5" t="s">
        <v>60</v>
      </c>
      <c r="T1830" s="5" t="s">
        <v>87</v>
      </c>
    </row>
    <row r="1831" customFormat="false" ht="15" hidden="false" customHeight="false" outlineLevel="0" collapsed="false">
      <c r="A1831" s="5" t="s">
        <v>4</v>
      </c>
      <c r="B1831" s="5" t="s">
        <v>55</v>
      </c>
      <c r="C1831" s="2" t="s">
        <v>84</v>
      </c>
      <c r="D1831" s="5" t="s">
        <v>85</v>
      </c>
      <c r="E1831" s="5" t="s">
        <v>85</v>
      </c>
      <c r="F1831" s="2" t="n">
        <v>12</v>
      </c>
      <c r="G1831" s="5" t="s">
        <v>76</v>
      </c>
      <c r="H1831" s="2" t="n">
        <v>1</v>
      </c>
      <c r="I1831" s="2" t="n">
        <v>1</v>
      </c>
      <c r="J1831" s="2" t="n">
        <v>1</v>
      </c>
      <c r="K1831" s="7" t="n">
        <v>0.209340565090873</v>
      </c>
      <c r="L1831" s="7" t="n">
        <v>0.025480653380779</v>
      </c>
      <c r="M1831" s="7" t="n">
        <v>0.0278209948816631</v>
      </c>
      <c r="N1831" s="2"/>
      <c r="O1831" s="2"/>
      <c r="P1831" s="2"/>
      <c r="Q1831" s="5" t="s">
        <v>114</v>
      </c>
      <c r="R1831" s="2"/>
      <c r="S1831" s="5" t="s">
        <v>60</v>
      </c>
      <c r="T1831" s="5" t="s">
        <v>87</v>
      </c>
    </row>
    <row r="1832" customFormat="false" ht="15" hidden="false" customHeight="false" outlineLevel="0" collapsed="false">
      <c r="A1832" s="5" t="s">
        <v>4</v>
      </c>
      <c r="B1832" s="5" t="s">
        <v>55</v>
      </c>
      <c r="C1832" s="2" t="s">
        <v>84</v>
      </c>
      <c r="D1832" s="5" t="s">
        <v>85</v>
      </c>
      <c r="E1832" s="5" t="s">
        <v>85</v>
      </c>
      <c r="F1832" s="2" t="n">
        <v>13</v>
      </c>
      <c r="G1832" s="5" t="s">
        <v>59</v>
      </c>
      <c r="H1832" s="2" t="n">
        <v>1</v>
      </c>
      <c r="I1832" s="2" t="n">
        <v>1</v>
      </c>
      <c r="J1832" s="2" t="n">
        <v>1</v>
      </c>
      <c r="K1832" s="7" t="n">
        <v>0.171178283940853</v>
      </c>
      <c r="L1832" s="7" t="n">
        <v>0.0404300331156639</v>
      </c>
      <c r="M1832" s="7" t="n">
        <v>0.0414294499133102</v>
      </c>
      <c r="N1832" s="2"/>
      <c r="O1832" s="2"/>
      <c r="P1832" s="2"/>
      <c r="Q1832" s="5" t="s">
        <v>86</v>
      </c>
      <c r="R1832" s="2"/>
      <c r="S1832" s="5" t="s">
        <v>60</v>
      </c>
      <c r="T1832" s="5" t="s">
        <v>87</v>
      </c>
    </row>
    <row r="1833" customFormat="false" ht="15" hidden="false" customHeight="false" outlineLevel="0" collapsed="false">
      <c r="A1833" s="5" t="s">
        <v>4</v>
      </c>
      <c r="B1833" s="5" t="s">
        <v>55</v>
      </c>
      <c r="C1833" s="2" t="s">
        <v>84</v>
      </c>
      <c r="D1833" s="5" t="s">
        <v>85</v>
      </c>
      <c r="E1833" s="5" t="s">
        <v>85</v>
      </c>
      <c r="F1833" s="2" t="n">
        <v>13</v>
      </c>
      <c r="G1833" s="5" t="s">
        <v>63</v>
      </c>
      <c r="H1833" s="2" t="n">
        <v>1</v>
      </c>
      <c r="I1833" s="2" t="n">
        <v>1</v>
      </c>
      <c r="J1833" s="2" t="n">
        <v>1</v>
      </c>
      <c r="K1833" s="7" t="n">
        <v>0.363703128823305</v>
      </c>
      <c r="L1833" s="7" t="n">
        <v>0.0668840869537985</v>
      </c>
      <c r="M1833" s="7" t="n">
        <v>0.0699035065784059</v>
      </c>
      <c r="N1833" s="2"/>
      <c r="O1833" s="2"/>
      <c r="P1833" s="2"/>
      <c r="Q1833" s="5" t="s">
        <v>102</v>
      </c>
      <c r="R1833" s="2"/>
      <c r="S1833" s="5" t="s">
        <v>60</v>
      </c>
      <c r="T1833" s="5" t="s">
        <v>87</v>
      </c>
    </row>
    <row r="1834" customFormat="false" ht="15" hidden="false" customHeight="false" outlineLevel="0" collapsed="false">
      <c r="A1834" s="5" t="s">
        <v>4</v>
      </c>
      <c r="B1834" s="5" t="s">
        <v>55</v>
      </c>
      <c r="C1834" s="2" t="s">
        <v>84</v>
      </c>
      <c r="D1834" s="5" t="s">
        <v>85</v>
      </c>
      <c r="E1834" s="5" t="s">
        <v>85</v>
      </c>
      <c r="F1834" s="2" t="n">
        <v>13</v>
      </c>
      <c r="G1834" s="5" t="s">
        <v>64</v>
      </c>
      <c r="H1834" s="2" t="n">
        <v>0</v>
      </c>
      <c r="I1834" s="2" t="n">
        <v>1</v>
      </c>
      <c r="J1834" s="2" t="n">
        <v>1</v>
      </c>
      <c r="K1834" s="7" t="n">
        <v>0.784105743315781</v>
      </c>
      <c r="L1834" s="7" t="n">
        <v>0.139142361694322</v>
      </c>
      <c r="M1834" s="7" t="n">
        <v>0.146303118551359</v>
      </c>
      <c r="N1834" s="2"/>
      <c r="O1834" s="2"/>
      <c r="P1834" s="2"/>
      <c r="Q1834" s="5" t="s">
        <v>115</v>
      </c>
      <c r="R1834" s="2"/>
      <c r="S1834" s="5" t="s">
        <v>60</v>
      </c>
      <c r="T1834" s="5" t="s">
        <v>87</v>
      </c>
    </row>
    <row r="1835" customFormat="false" ht="15" hidden="false" customHeight="false" outlineLevel="0" collapsed="false">
      <c r="A1835" s="5" t="s">
        <v>4</v>
      </c>
      <c r="B1835" s="5" t="s">
        <v>55</v>
      </c>
      <c r="C1835" s="2" t="s">
        <v>84</v>
      </c>
      <c r="D1835" s="5" t="s">
        <v>85</v>
      </c>
      <c r="E1835" s="5" t="s">
        <v>85</v>
      </c>
      <c r="F1835" s="2" t="n">
        <v>13</v>
      </c>
      <c r="G1835" s="5" t="s">
        <v>65</v>
      </c>
      <c r="H1835" s="2" t="n">
        <v>0</v>
      </c>
      <c r="I1835" s="2" t="n">
        <v>1</v>
      </c>
      <c r="J1835" s="2" t="n">
        <v>1</v>
      </c>
      <c r="K1835" s="7" t="n">
        <v>0.524758966687848</v>
      </c>
      <c r="L1835" s="7" t="n">
        <v>0.117685331492578</v>
      </c>
      <c r="M1835" s="7" t="n">
        <v>0.122219548985069</v>
      </c>
      <c r="N1835" s="2"/>
      <c r="O1835" s="2"/>
      <c r="P1835" s="2"/>
      <c r="Q1835" s="5" t="s">
        <v>116</v>
      </c>
      <c r="R1835" s="2"/>
      <c r="S1835" s="5" t="s">
        <v>60</v>
      </c>
      <c r="T1835" s="5" t="s">
        <v>87</v>
      </c>
    </row>
    <row r="1836" customFormat="false" ht="15" hidden="false" customHeight="false" outlineLevel="0" collapsed="false">
      <c r="A1836" s="5" t="s">
        <v>4</v>
      </c>
      <c r="B1836" s="5" t="s">
        <v>55</v>
      </c>
      <c r="C1836" s="2" t="s">
        <v>84</v>
      </c>
      <c r="D1836" s="5" t="s">
        <v>85</v>
      </c>
      <c r="E1836" s="5" t="s">
        <v>85</v>
      </c>
      <c r="F1836" s="2" t="n">
        <v>13</v>
      </c>
      <c r="G1836" s="5" t="s">
        <v>66</v>
      </c>
      <c r="H1836" s="2" t="n">
        <v>0</v>
      </c>
      <c r="I1836" s="2" t="n">
        <v>1</v>
      </c>
      <c r="J1836" s="2" t="n">
        <v>1</v>
      </c>
      <c r="K1836" s="7" t="n">
        <v>0.731890729953411</v>
      </c>
      <c r="L1836" s="7" t="n">
        <v>0.181490263366151</v>
      </c>
      <c r="M1836" s="7" t="n">
        <v>0.186981985623297</v>
      </c>
      <c r="N1836" s="2"/>
      <c r="O1836" s="2"/>
      <c r="P1836" s="2"/>
      <c r="Q1836" s="5" t="s">
        <v>117</v>
      </c>
      <c r="R1836" s="2"/>
      <c r="S1836" s="5" t="s">
        <v>60</v>
      </c>
      <c r="T1836" s="5" t="s">
        <v>87</v>
      </c>
    </row>
    <row r="1837" customFormat="false" ht="15" hidden="false" customHeight="false" outlineLevel="0" collapsed="false">
      <c r="A1837" s="5" t="s">
        <v>4</v>
      </c>
      <c r="B1837" s="5" t="s">
        <v>55</v>
      </c>
      <c r="C1837" s="2" t="s">
        <v>84</v>
      </c>
      <c r="D1837" s="5" t="s">
        <v>85</v>
      </c>
      <c r="E1837" s="5" t="s">
        <v>85</v>
      </c>
      <c r="F1837" s="2" t="n">
        <v>13</v>
      </c>
      <c r="G1837" s="5" t="s">
        <v>67</v>
      </c>
      <c r="H1837" s="2" t="n">
        <v>1</v>
      </c>
      <c r="I1837" s="2" t="n">
        <v>1</v>
      </c>
      <c r="J1837" s="2" t="n">
        <v>1</v>
      </c>
      <c r="K1837" s="7" t="n">
        <v>0.21014161610037</v>
      </c>
      <c r="L1837" s="7" t="n">
        <v>0.00607452945697568</v>
      </c>
      <c r="M1837" s="7" t="n">
        <v>0.0158818418466583</v>
      </c>
      <c r="N1837" s="2"/>
      <c r="O1837" s="2"/>
      <c r="P1837" s="2"/>
      <c r="Q1837" s="5" t="s">
        <v>106</v>
      </c>
      <c r="R1837" s="2"/>
      <c r="S1837" s="5" t="s">
        <v>60</v>
      </c>
      <c r="T1837" s="5" t="s">
        <v>87</v>
      </c>
    </row>
    <row r="1838" customFormat="false" ht="15" hidden="false" customHeight="false" outlineLevel="0" collapsed="false">
      <c r="A1838" s="5" t="s">
        <v>4</v>
      </c>
      <c r="B1838" s="5" t="s">
        <v>55</v>
      </c>
      <c r="C1838" s="2" t="s">
        <v>84</v>
      </c>
      <c r="D1838" s="5" t="s">
        <v>85</v>
      </c>
      <c r="E1838" s="5" t="s">
        <v>85</v>
      </c>
      <c r="F1838" s="2" t="n">
        <v>13</v>
      </c>
      <c r="G1838" s="5" t="s">
        <v>68</v>
      </c>
      <c r="H1838" s="2" t="n">
        <v>1</v>
      </c>
      <c r="I1838" s="2" t="n">
        <v>1</v>
      </c>
      <c r="J1838" s="2" t="n">
        <v>1</v>
      </c>
      <c r="K1838" s="7" t="n">
        <v>0.619244585075542</v>
      </c>
      <c r="L1838" s="7" t="n">
        <v>0.0189588653767008</v>
      </c>
      <c r="M1838" s="7" t="n">
        <v>0.0419360266204596</v>
      </c>
      <c r="N1838" s="2"/>
      <c r="O1838" s="2"/>
      <c r="P1838" s="2"/>
      <c r="Q1838" s="5" t="s">
        <v>118</v>
      </c>
      <c r="R1838" s="2"/>
      <c r="S1838" s="5" t="s">
        <v>60</v>
      </c>
      <c r="T1838" s="5" t="s">
        <v>87</v>
      </c>
    </row>
    <row r="1839" customFormat="false" ht="15" hidden="false" customHeight="false" outlineLevel="0" collapsed="false">
      <c r="A1839" s="5" t="s">
        <v>4</v>
      </c>
      <c r="B1839" s="5" t="s">
        <v>55</v>
      </c>
      <c r="C1839" s="2" t="s">
        <v>84</v>
      </c>
      <c r="D1839" s="5" t="s">
        <v>85</v>
      </c>
      <c r="E1839" s="5" t="s">
        <v>85</v>
      </c>
      <c r="F1839" s="2" t="n">
        <v>13</v>
      </c>
      <c r="G1839" s="5" t="s">
        <v>69</v>
      </c>
      <c r="H1839" s="2" t="n">
        <v>1</v>
      </c>
      <c r="I1839" s="2" t="n">
        <v>1</v>
      </c>
      <c r="J1839" s="2" t="n">
        <v>1</v>
      </c>
      <c r="K1839" s="7" t="n">
        <v>0.356690466993331</v>
      </c>
      <c r="L1839" s="7" t="n">
        <v>0.0234801342495095</v>
      </c>
      <c r="M1839" s="7" t="n">
        <v>0.0379929012689322</v>
      </c>
      <c r="N1839" s="2"/>
      <c r="O1839" s="2"/>
      <c r="P1839" s="2"/>
      <c r="Q1839" s="5" t="s">
        <v>119</v>
      </c>
      <c r="R1839" s="2"/>
      <c r="S1839" s="5" t="s">
        <v>60</v>
      </c>
      <c r="T1839" s="5" t="s">
        <v>87</v>
      </c>
    </row>
    <row r="1840" customFormat="false" ht="15" hidden="false" customHeight="false" outlineLevel="0" collapsed="false">
      <c r="A1840" s="5" t="s">
        <v>4</v>
      </c>
      <c r="B1840" s="5" t="s">
        <v>55</v>
      </c>
      <c r="C1840" s="2" t="s">
        <v>84</v>
      </c>
      <c r="D1840" s="5" t="s">
        <v>85</v>
      </c>
      <c r="E1840" s="5" t="s">
        <v>85</v>
      </c>
      <c r="F1840" s="2" t="n">
        <v>13</v>
      </c>
      <c r="G1840" s="5" t="s">
        <v>70</v>
      </c>
      <c r="H1840" s="2" t="n">
        <v>0</v>
      </c>
      <c r="I1840" s="2" t="n">
        <v>1</v>
      </c>
      <c r="J1840" s="2" t="n">
        <v>1</v>
      </c>
      <c r="K1840" s="7" t="n">
        <v>0.60709888088638</v>
      </c>
      <c r="L1840" s="7" t="n">
        <v>0.040891858264176</v>
      </c>
      <c r="M1840" s="7" t="n">
        <v>0.0576409648142987</v>
      </c>
      <c r="N1840" s="2"/>
      <c r="O1840" s="2"/>
      <c r="P1840" s="2"/>
      <c r="Q1840" s="5" t="s">
        <v>120</v>
      </c>
      <c r="R1840" s="2"/>
      <c r="S1840" s="5" t="s">
        <v>60</v>
      </c>
      <c r="T1840" s="5" t="s">
        <v>87</v>
      </c>
    </row>
    <row r="1841" customFormat="false" ht="15" hidden="false" customHeight="false" outlineLevel="0" collapsed="false">
      <c r="A1841" s="5" t="s">
        <v>4</v>
      </c>
      <c r="B1841" s="5" t="s">
        <v>55</v>
      </c>
      <c r="C1841" s="2" t="s">
        <v>84</v>
      </c>
      <c r="D1841" s="5" t="s">
        <v>85</v>
      </c>
      <c r="E1841" s="5" t="s">
        <v>85</v>
      </c>
      <c r="F1841" s="2" t="n">
        <v>13</v>
      </c>
      <c r="G1841" s="5" t="s">
        <v>71</v>
      </c>
      <c r="H1841" s="2" t="n">
        <v>1</v>
      </c>
      <c r="I1841" s="2" t="n">
        <v>1</v>
      </c>
      <c r="J1841" s="2" t="n">
        <v>1</v>
      </c>
      <c r="K1841" s="7" t="n">
        <v>0.423863314661927</v>
      </c>
      <c r="L1841" s="7" t="n">
        <v>0.0132251614842852</v>
      </c>
      <c r="M1841" s="7" t="n">
        <v>0.0286992608271657</v>
      </c>
      <c r="N1841" s="2"/>
      <c r="O1841" s="2"/>
      <c r="P1841" s="2"/>
      <c r="Q1841" s="5" t="s">
        <v>96</v>
      </c>
      <c r="R1841" s="2"/>
      <c r="S1841" s="5" t="s">
        <v>60</v>
      </c>
      <c r="T1841" s="5" t="s">
        <v>87</v>
      </c>
    </row>
    <row r="1842" customFormat="false" ht="15" hidden="false" customHeight="false" outlineLevel="0" collapsed="false">
      <c r="A1842" s="5" t="s">
        <v>4</v>
      </c>
      <c r="B1842" s="5" t="s">
        <v>55</v>
      </c>
      <c r="C1842" s="2" t="s">
        <v>84</v>
      </c>
      <c r="D1842" s="5" t="s">
        <v>85</v>
      </c>
      <c r="E1842" s="5" t="s">
        <v>85</v>
      </c>
      <c r="F1842" s="2" t="n">
        <v>13</v>
      </c>
      <c r="G1842" s="5" t="s">
        <v>72</v>
      </c>
      <c r="H1842" s="2" t="n">
        <v>1</v>
      </c>
      <c r="I1842" s="2" t="n">
        <v>1</v>
      </c>
      <c r="J1842" s="2" t="n">
        <v>1</v>
      </c>
      <c r="K1842" s="7" t="n">
        <v>0.24545621233352</v>
      </c>
      <c r="L1842" s="7" t="n">
        <v>0.0408246055684656</v>
      </c>
      <c r="M1842" s="7" t="n">
        <v>0.0443008160579272</v>
      </c>
      <c r="N1842" s="2"/>
      <c r="O1842" s="2"/>
      <c r="P1842" s="2"/>
      <c r="Q1842" s="5" t="s">
        <v>97</v>
      </c>
      <c r="R1842" s="2"/>
      <c r="S1842" s="5" t="s">
        <v>60</v>
      </c>
      <c r="T1842" s="5" t="s">
        <v>87</v>
      </c>
    </row>
    <row r="1843" customFormat="false" ht="15" hidden="false" customHeight="false" outlineLevel="0" collapsed="false">
      <c r="A1843" s="5" t="s">
        <v>4</v>
      </c>
      <c r="B1843" s="5" t="s">
        <v>55</v>
      </c>
      <c r="C1843" s="2" t="s">
        <v>84</v>
      </c>
      <c r="D1843" s="5" t="s">
        <v>85</v>
      </c>
      <c r="E1843" s="5" t="s">
        <v>85</v>
      </c>
      <c r="F1843" s="2" t="n">
        <v>13</v>
      </c>
      <c r="G1843" s="5" t="s">
        <v>73</v>
      </c>
      <c r="H1843" s="2" t="n">
        <v>0</v>
      </c>
      <c r="I1843" s="2" t="n">
        <v>1</v>
      </c>
      <c r="J1843" s="2" t="n">
        <v>1</v>
      </c>
      <c r="K1843" s="7" t="n">
        <v>0.559821703830678</v>
      </c>
      <c r="L1843" s="7" t="n">
        <v>0.0846236454673166</v>
      </c>
      <c r="M1843" s="7" t="n">
        <v>0.0902313986550977</v>
      </c>
      <c r="N1843" s="2"/>
      <c r="O1843" s="2"/>
      <c r="P1843" s="2"/>
      <c r="Q1843" s="5" t="s">
        <v>98</v>
      </c>
      <c r="R1843" s="2"/>
      <c r="S1843" s="5" t="s">
        <v>60</v>
      </c>
      <c r="T1843" s="5" t="s">
        <v>87</v>
      </c>
    </row>
    <row r="1844" customFormat="false" ht="15" hidden="false" customHeight="false" outlineLevel="0" collapsed="false">
      <c r="A1844" s="5" t="s">
        <v>4</v>
      </c>
      <c r="B1844" s="5" t="s">
        <v>55</v>
      </c>
      <c r="C1844" s="2" t="s">
        <v>84</v>
      </c>
      <c r="D1844" s="5" t="s">
        <v>85</v>
      </c>
      <c r="E1844" s="5" t="s">
        <v>85</v>
      </c>
      <c r="F1844" s="2" t="n">
        <v>13</v>
      </c>
      <c r="G1844" s="5" t="s">
        <v>74</v>
      </c>
      <c r="H1844" s="2" t="n">
        <v>1</v>
      </c>
      <c r="I1844" s="2" t="n">
        <v>1</v>
      </c>
      <c r="J1844" s="2" t="n">
        <v>1</v>
      </c>
      <c r="K1844" s="7" t="n">
        <v>0.339957651594581</v>
      </c>
      <c r="L1844" s="7" t="n">
        <v>0.0752121022462848</v>
      </c>
      <c r="M1844" s="7" t="n">
        <v>0.078774271536182</v>
      </c>
      <c r="N1844" s="2"/>
      <c r="O1844" s="2"/>
      <c r="P1844" s="2"/>
      <c r="Q1844" s="5" t="s">
        <v>99</v>
      </c>
      <c r="R1844" s="2"/>
      <c r="S1844" s="5" t="s">
        <v>60</v>
      </c>
      <c r="T1844" s="5" t="s">
        <v>87</v>
      </c>
    </row>
    <row r="1845" customFormat="false" ht="15" hidden="false" customHeight="false" outlineLevel="0" collapsed="false">
      <c r="A1845" s="5" t="s">
        <v>4</v>
      </c>
      <c r="B1845" s="5" t="s">
        <v>55</v>
      </c>
      <c r="C1845" s="2" t="s">
        <v>84</v>
      </c>
      <c r="D1845" s="5" t="s">
        <v>85</v>
      </c>
      <c r="E1845" s="5" t="s">
        <v>85</v>
      </c>
      <c r="F1845" s="2" t="n">
        <v>13</v>
      </c>
      <c r="G1845" s="5" t="s">
        <v>75</v>
      </c>
      <c r="H1845" s="2" t="n">
        <v>1</v>
      </c>
      <c r="I1845" s="2" t="n">
        <v>1</v>
      </c>
      <c r="J1845" s="2" t="n">
        <v>1</v>
      </c>
      <c r="K1845" s="7" t="n">
        <v>0.591316359089775</v>
      </c>
      <c r="L1845" s="7" t="n">
        <v>0.0894351240735466</v>
      </c>
      <c r="M1845" s="7" t="n">
        <v>0.0974428595657371</v>
      </c>
      <c r="N1845" s="2"/>
      <c r="O1845" s="2"/>
      <c r="P1845" s="2"/>
      <c r="Q1845" s="5" t="s">
        <v>100</v>
      </c>
      <c r="R1845" s="2"/>
      <c r="S1845" s="5" t="s">
        <v>60</v>
      </c>
      <c r="T1845" s="5" t="s">
        <v>87</v>
      </c>
    </row>
    <row r="1846" customFormat="false" ht="15" hidden="false" customHeight="false" outlineLevel="0" collapsed="false">
      <c r="A1846" s="5" t="s">
        <v>4</v>
      </c>
      <c r="B1846" s="5" t="s">
        <v>55</v>
      </c>
      <c r="C1846" s="2" t="s">
        <v>84</v>
      </c>
      <c r="D1846" s="5" t="s">
        <v>85</v>
      </c>
      <c r="E1846" s="5" t="s">
        <v>85</v>
      </c>
      <c r="F1846" s="2" t="n">
        <v>13</v>
      </c>
      <c r="G1846" s="5" t="s">
        <v>76</v>
      </c>
      <c r="H1846" s="2" t="n">
        <v>1</v>
      </c>
      <c r="I1846" s="2" t="n">
        <v>1</v>
      </c>
      <c r="J1846" s="2" t="n">
        <v>1</v>
      </c>
      <c r="K1846" s="7" t="n">
        <v>0.377633152220965</v>
      </c>
      <c r="L1846" s="7" t="n">
        <v>0.0254194181275518</v>
      </c>
      <c r="M1846" s="7" t="n">
        <v>0.035739801085194</v>
      </c>
      <c r="N1846" s="2"/>
      <c r="O1846" s="2"/>
      <c r="P1846" s="2"/>
      <c r="Q1846" s="5" t="s">
        <v>101</v>
      </c>
      <c r="R1846" s="2"/>
      <c r="S1846" s="5" t="s">
        <v>60</v>
      </c>
      <c r="T1846" s="5" t="s">
        <v>87</v>
      </c>
    </row>
    <row r="1847" customFormat="false" ht="15" hidden="false" customHeight="false" outlineLevel="0" collapsed="false">
      <c r="A1847" s="5" t="s">
        <v>4</v>
      </c>
      <c r="B1847" s="5" t="s">
        <v>55</v>
      </c>
      <c r="C1847" s="2" t="s">
        <v>84</v>
      </c>
      <c r="D1847" s="5" t="s">
        <v>85</v>
      </c>
      <c r="E1847" s="5" t="s">
        <v>85</v>
      </c>
      <c r="F1847" s="2" t="n">
        <v>14</v>
      </c>
      <c r="G1847" s="5" t="s">
        <v>59</v>
      </c>
      <c r="H1847" s="2" t="n">
        <v>1</v>
      </c>
      <c r="I1847" s="2" t="n">
        <v>1</v>
      </c>
      <c r="J1847" s="2" t="n">
        <v>1</v>
      </c>
      <c r="K1847" s="7" t="n">
        <v>0.775355943689279</v>
      </c>
      <c r="L1847" s="7" t="n">
        <v>0.24151093040782</v>
      </c>
      <c r="M1847" s="7" t="n">
        <v>0.242498835890725</v>
      </c>
      <c r="N1847" s="2"/>
      <c r="O1847" s="2"/>
      <c r="P1847" s="2"/>
      <c r="Q1847" s="5" t="s">
        <v>121</v>
      </c>
      <c r="R1847" s="2"/>
      <c r="S1847" s="5" t="s">
        <v>60</v>
      </c>
      <c r="T1847" s="5" t="s">
        <v>87</v>
      </c>
    </row>
    <row r="1848" customFormat="false" ht="15" hidden="false" customHeight="false" outlineLevel="0" collapsed="false">
      <c r="A1848" s="5" t="s">
        <v>4</v>
      </c>
      <c r="B1848" s="5" t="s">
        <v>55</v>
      </c>
      <c r="C1848" s="2" t="s">
        <v>84</v>
      </c>
      <c r="D1848" s="5" t="s">
        <v>85</v>
      </c>
      <c r="E1848" s="5" t="s">
        <v>85</v>
      </c>
      <c r="F1848" s="2" t="n">
        <v>14</v>
      </c>
      <c r="G1848" s="5" t="s">
        <v>63</v>
      </c>
      <c r="H1848" s="2" t="n">
        <v>1</v>
      </c>
      <c r="I1848" s="2" t="n">
        <v>1</v>
      </c>
      <c r="J1848" s="2" t="n">
        <v>1</v>
      </c>
      <c r="K1848" s="7" t="n">
        <v>1.13815193613673</v>
      </c>
      <c r="L1848" s="7" t="n">
        <v>0.127309758897967</v>
      </c>
      <c r="M1848" s="7" t="n">
        <v>0.142900713901311</v>
      </c>
      <c r="N1848" s="2"/>
      <c r="O1848" s="2"/>
      <c r="P1848" s="2"/>
      <c r="Q1848" s="5" t="s">
        <v>122</v>
      </c>
      <c r="R1848" s="2"/>
      <c r="S1848" s="5" t="s">
        <v>60</v>
      </c>
      <c r="T1848" s="5" t="s">
        <v>87</v>
      </c>
    </row>
    <row r="1849" customFormat="false" ht="15" hidden="false" customHeight="false" outlineLevel="0" collapsed="false">
      <c r="A1849" s="5" t="s">
        <v>4</v>
      </c>
      <c r="B1849" s="5" t="s">
        <v>55</v>
      </c>
      <c r="C1849" s="2" t="s">
        <v>84</v>
      </c>
      <c r="D1849" s="5" t="s">
        <v>85</v>
      </c>
      <c r="E1849" s="5" t="s">
        <v>85</v>
      </c>
      <c r="F1849" s="2" t="n">
        <v>14</v>
      </c>
      <c r="G1849" s="5" t="s">
        <v>64</v>
      </c>
      <c r="H1849" s="2" t="n">
        <v>0</v>
      </c>
      <c r="I1849" s="2" t="n">
        <v>1</v>
      </c>
      <c r="J1849" s="2" t="n">
        <v>1</v>
      </c>
      <c r="K1849" s="7" t="n">
        <v>1.30674977131831</v>
      </c>
      <c r="L1849" s="7" t="n">
        <v>0.0524897915213083</v>
      </c>
      <c r="M1849" s="7" t="n">
        <v>0.111545785191029</v>
      </c>
      <c r="N1849" s="2"/>
      <c r="O1849" s="2"/>
      <c r="P1849" s="2"/>
      <c r="Q1849" s="5" t="s">
        <v>123</v>
      </c>
      <c r="R1849" s="2"/>
      <c r="S1849" s="5" t="s">
        <v>60</v>
      </c>
      <c r="T1849" s="5" t="s">
        <v>87</v>
      </c>
    </row>
    <row r="1850" customFormat="false" ht="15" hidden="false" customHeight="false" outlineLevel="0" collapsed="false">
      <c r="A1850" s="5" t="s">
        <v>4</v>
      </c>
      <c r="B1850" s="5" t="s">
        <v>55</v>
      </c>
      <c r="C1850" s="2" t="s">
        <v>84</v>
      </c>
      <c r="D1850" s="5" t="s">
        <v>85</v>
      </c>
      <c r="E1850" s="5" t="s">
        <v>85</v>
      </c>
      <c r="F1850" s="2" t="n">
        <v>14</v>
      </c>
      <c r="G1850" s="5" t="s">
        <v>65</v>
      </c>
      <c r="H1850" s="2" t="n">
        <v>0</v>
      </c>
      <c r="I1850" s="2" t="n">
        <v>1</v>
      </c>
      <c r="J1850" s="2" t="n">
        <v>1</v>
      </c>
      <c r="K1850" s="7" t="n">
        <v>1.29727575310647</v>
      </c>
      <c r="L1850" s="7" t="n">
        <v>0.0851048336149754</v>
      </c>
      <c r="M1850" s="7" t="n">
        <v>0.126747259922799</v>
      </c>
      <c r="N1850" s="2"/>
      <c r="O1850" s="2"/>
      <c r="P1850" s="2"/>
      <c r="Q1850" s="5" t="s">
        <v>124</v>
      </c>
      <c r="R1850" s="2"/>
      <c r="S1850" s="5" t="s">
        <v>60</v>
      </c>
      <c r="T1850" s="5" t="s">
        <v>87</v>
      </c>
    </row>
    <row r="1851" customFormat="false" ht="15" hidden="false" customHeight="false" outlineLevel="0" collapsed="false">
      <c r="A1851" s="5" t="s">
        <v>4</v>
      </c>
      <c r="B1851" s="5" t="s">
        <v>55</v>
      </c>
      <c r="C1851" s="2" t="s">
        <v>84</v>
      </c>
      <c r="D1851" s="5" t="s">
        <v>85</v>
      </c>
      <c r="E1851" s="5" t="s">
        <v>85</v>
      </c>
      <c r="F1851" s="2" t="n">
        <v>14</v>
      </c>
      <c r="G1851" s="5" t="s">
        <v>66</v>
      </c>
      <c r="H1851" s="2" t="n">
        <v>0</v>
      </c>
      <c r="I1851" s="2" t="n">
        <v>1</v>
      </c>
      <c r="J1851" s="2" t="n">
        <v>1</v>
      </c>
      <c r="K1851" s="7" t="n">
        <v>1.73924759268851</v>
      </c>
      <c r="L1851" s="7" t="n">
        <v>0.111778040490565</v>
      </c>
      <c r="M1851" s="7" t="n">
        <v>0.16891650497088</v>
      </c>
      <c r="N1851" s="2"/>
      <c r="O1851" s="2"/>
      <c r="P1851" s="2"/>
      <c r="Q1851" s="5" t="s">
        <v>125</v>
      </c>
      <c r="R1851" s="2"/>
      <c r="S1851" s="5" t="s">
        <v>60</v>
      </c>
      <c r="T1851" s="5" t="s">
        <v>87</v>
      </c>
    </row>
    <row r="1852" customFormat="false" ht="15" hidden="false" customHeight="false" outlineLevel="0" collapsed="false">
      <c r="A1852" s="5" t="s">
        <v>4</v>
      </c>
      <c r="B1852" s="5" t="s">
        <v>55</v>
      </c>
      <c r="C1852" s="2" t="s">
        <v>84</v>
      </c>
      <c r="D1852" s="5" t="s">
        <v>85</v>
      </c>
      <c r="E1852" s="5" t="s">
        <v>85</v>
      </c>
      <c r="F1852" s="2" t="n">
        <v>14</v>
      </c>
      <c r="G1852" s="5" t="s">
        <v>67</v>
      </c>
      <c r="H1852" s="2" t="n">
        <v>1</v>
      </c>
      <c r="I1852" s="2" t="n">
        <v>1</v>
      </c>
      <c r="J1852" s="2" t="n">
        <v>1</v>
      </c>
      <c r="K1852" s="7" t="n">
        <v>0.572361040615167</v>
      </c>
      <c r="L1852" s="7" t="n">
        <v>0.0860221512767496</v>
      </c>
      <c r="M1852" s="7" t="n">
        <v>0.0943403568809741</v>
      </c>
      <c r="N1852" s="2"/>
      <c r="O1852" s="2"/>
      <c r="P1852" s="2"/>
      <c r="Q1852" s="5" t="s">
        <v>106</v>
      </c>
      <c r="R1852" s="2"/>
      <c r="S1852" s="5" t="s">
        <v>60</v>
      </c>
      <c r="T1852" s="5" t="s">
        <v>87</v>
      </c>
    </row>
    <row r="1853" customFormat="false" ht="15" hidden="false" customHeight="false" outlineLevel="0" collapsed="false">
      <c r="A1853" s="5" t="s">
        <v>4</v>
      </c>
      <c r="B1853" s="5" t="s">
        <v>55</v>
      </c>
      <c r="C1853" s="2" t="s">
        <v>84</v>
      </c>
      <c r="D1853" s="5" t="s">
        <v>85</v>
      </c>
      <c r="E1853" s="5" t="s">
        <v>85</v>
      </c>
      <c r="F1853" s="2" t="n">
        <v>14</v>
      </c>
      <c r="G1853" s="5" t="s">
        <v>68</v>
      </c>
      <c r="H1853" s="2" t="n">
        <v>1</v>
      </c>
      <c r="I1853" s="2" t="n">
        <v>1</v>
      </c>
      <c r="J1853" s="2" t="n">
        <v>1</v>
      </c>
      <c r="K1853" s="7" t="n">
        <v>0.755236817040487</v>
      </c>
      <c r="L1853" s="7" t="n">
        <v>0.18508354835585</v>
      </c>
      <c r="M1853" s="7" t="n">
        <v>0.195379761709795</v>
      </c>
      <c r="N1853" s="2"/>
      <c r="O1853" s="2"/>
      <c r="P1853" s="2"/>
      <c r="Q1853" s="5" t="s">
        <v>107</v>
      </c>
      <c r="R1853" s="2"/>
      <c r="S1853" s="5" t="s">
        <v>60</v>
      </c>
      <c r="T1853" s="5" t="s">
        <v>87</v>
      </c>
    </row>
    <row r="1854" customFormat="false" ht="15" hidden="false" customHeight="false" outlineLevel="0" collapsed="false">
      <c r="A1854" s="5" t="s">
        <v>4</v>
      </c>
      <c r="B1854" s="5" t="s">
        <v>55</v>
      </c>
      <c r="C1854" s="2" t="s">
        <v>84</v>
      </c>
      <c r="D1854" s="5" t="s">
        <v>85</v>
      </c>
      <c r="E1854" s="5" t="s">
        <v>85</v>
      </c>
      <c r="F1854" s="2" t="n">
        <v>14</v>
      </c>
      <c r="G1854" s="5" t="s">
        <v>69</v>
      </c>
      <c r="H1854" s="2" t="n">
        <v>1</v>
      </c>
      <c r="I1854" s="2" t="n">
        <v>1</v>
      </c>
      <c r="J1854" s="2" t="n">
        <v>1</v>
      </c>
      <c r="K1854" s="7" t="n">
        <v>0.72156340782284</v>
      </c>
      <c r="L1854" s="7" t="n">
        <v>0.137665864654178</v>
      </c>
      <c r="M1854" s="7" t="n">
        <v>0.149466063021186</v>
      </c>
      <c r="N1854" s="2"/>
      <c r="O1854" s="2"/>
      <c r="P1854" s="2"/>
      <c r="Q1854" s="5" t="s">
        <v>108</v>
      </c>
      <c r="R1854" s="2"/>
      <c r="S1854" s="5" t="s">
        <v>60</v>
      </c>
      <c r="T1854" s="5" t="s">
        <v>87</v>
      </c>
    </row>
    <row r="1855" customFormat="false" ht="15" hidden="false" customHeight="false" outlineLevel="0" collapsed="false">
      <c r="A1855" s="5" t="s">
        <v>4</v>
      </c>
      <c r="B1855" s="5" t="s">
        <v>55</v>
      </c>
      <c r="C1855" s="2" t="s">
        <v>84</v>
      </c>
      <c r="D1855" s="5" t="s">
        <v>85</v>
      </c>
      <c r="E1855" s="5" t="s">
        <v>85</v>
      </c>
      <c r="F1855" s="2" t="n">
        <v>14</v>
      </c>
      <c r="G1855" s="5" t="s">
        <v>70</v>
      </c>
      <c r="H1855" s="2" t="n">
        <v>0</v>
      </c>
      <c r="I1855" s="2" t="n">
        <v>1</v>
      </c>
      <c r="J1855" s="2" t="n">
        <v>1</v>
      </c>
      <c r="K1855" s="7" t="n">
        <v>1.1757308407078</v>
      </c>
      <c r="L1855" s="7" t="n">
        <v>0.111269314433611</v>
      </c>
      <c r="M1855" s="7" t="n">
        <v>0.14223944795981</v>
      </c>
      <c r="N1855" s="2"/>
      <c r="O1855" s="2"/>
      <c r="P1855" s="2"/>
      <c r="Q1855" s="5" t="s">
        <v>126</v>
      </c>
      <c r="R1855" s="2"/>
      <c r="S1855" s="5" t="s">
        <v>60</v>
      </c>
      <c r="T1855" s="5" t="s">
        <v>87</v>
      </c>
    </row>
    <row r="1856" customFormat="false" ht="15" hidden="false" customHeight="false" outlineLevel="0" collapsed="false">
      <c r="A1856" s="5" t="s">
        <v>4</v>
      </c>
      <c r="B1856" s="5" t="s">
        <v>55</v>
      </c>
      <c r="C1856" s="2" t="s">
        <v>84</v>
      </c>
      <c r="D1856" s="5" t="s">
        <v>85</v>
      </c>
      <c r="E1856" s="5" t="s">
        <v>85</v>
      </c>
      <c r="F1856" s="2" t="n">
        <v>14</v>
      </c>
      <c r="G1856" s="5" t="s">
        <v>71</v>
      </c>
      <c r="H1856" s="2" t="n">
        <v>1</v>
      </c>
      <c r="I1856" s="2" t="n">
        <v>1</v>
      </c>
      <c r="J1856" s="2" t="n">
        <v>1</v>
      </c>
      <c r="K1856" s="7" t="n">
        <v>0.212825615790882</v>
      </c>
      <c r="L1856" s="7" t="n">
        <v>0.122151524305584</v>
      </c>
      <c r="M1856" s="7" t="n">
        <v>0.123375274736391</v>
      </c>
      <c r="N1856" s="2"/>
      <c r="O1856" s="2"/>
      <c r="P1856" s="2"/>
      <c r="Q1856" s="5" t="s">
        <v>110</v>
      </c>
      <c r="R1856" s="2"/>
      <c r="S1856" s="5" t="s">
        <v>60</v>
      </c>
      <c r="T1856" s="5" t="s">
        <v>87</v>
      </c>
    </row>
    <row r="1857" customFormat="false" ht="15" hidden="false" customHeight="false" outlineLevel="0" collapsed="false">
      <c r="A1857" s="5" t="s">
        <v>4</v>
      </c>
      <c r="B1857" s="5" t="s">
        <v>55</v>
      </c>
      <c r="C1857" s="2" t="s">
        <v>84</v>
      </c>
      <c r="D1857" s="5" t="s">
        <v>85</v>
      </c>
      <c r="E1857" s="5" t="s">
        <v>85</v>
      </c>
      <c r="F1857" s="2" t="n">
        <v>14</v>
      </c>
      <c r="G1857" s="5" t="s">
        <v>72</v>
      </c>
      <c r="H1857" s="2" t="n">
        <v>1</v>
      </c>
      <c r="I1857" s="2" t="n">
        <v>1</v>
      </c>
      <c r="J1857" s="2" t="n">
        <v>1</v>
      </c>
      <c r="K1857" s="7" t="n">
        <v>0.178839741531701</v>
      </c>
      <c r="L1857" s="7" t="n">
        <v>0.0776147064710322</v>
      </c>
      <c r="M1857" s="7" t="n">
        <v>0.0796257561773509</v>
      </c>
      <c r="N1857" s="2"/>
      <c r="O1857" s="2"/>
      <c r="P1857" s="2"/>
      <c r="Q1857" s="5" t="s">
        <v>111</v>
      </c>
      <c r="R1857" s="2"/>
      <c r="S1857" s="5" t="s">
        <v>60</v>
      </c>
      <c r="T1857" s="5" t="s">
        <v>87</v>
      </c>
    </row>
    <row r="1858" customFormat="false" ht="15" hidden="false" customHeight="false" outlineLevel="0" collapsed="false">
      <c r="A1858" s="5" t="s">
        <v>4</v>
      </c>
      <c r="B1858" s="5" t="s">
        <v>55</v>
      </c>
      <c r="C1858" s="2" t="s">
        <v>84</v>
      </c>
      <c r="D1858" s="5" t="s">
        <v>85</v>
      </c>
      <c r="E1858" s="5" t="s">
        <v>85</v>
      </c>
      <c r="F1858" s="2" t="n">
        <v>14</v>
      </c>
      <c r="G1858" s="5" t="s">
        <v>73</v>
      </c>
      <c r="H1858" s="2" t="n">
        <v>0</v>
      </c>
      <c r="I1858" s="2" t="n">
        <v>1</v>
      </c>
      <c r="J1858" s="2" t="n">
        <v>1</v>
      </c>
      <c r="K1858" s="7" t="n">
        <v>0.631554073217443</v>
      </c>
      <c r="L1858" s="7" t="n">
        <v>0.0770426210271582</v>
      </c>
      <c r="M1858" s="7" t="n">
        <v>0.094556875555704</v>
      </c>
      <c r="N1858" s="2"/>
      <c r="O1858" s="2"/>
      <c r="P1858" s="2"/>
      <c r="Q1858" s="5" t="s">
        <v>127</v>
      </c>
      <c r="R1858" s="2"/>
      <c r="S1858" s="5" t="s">
        <v>60</v>
      </c>
      <c r="T1858" s="5" t="s">
        <v>87</v>
      </c>
    </row>
    <row r="1859" customFormat="false" ht="15" hidden="false" customHeight="false" outlineLevel="0" collapsed="false">
      <c r="A1859" s="5" t="s">
        <v>4</v>
      </c>
      <c r="B1859" s="5" t="s">
        <v>55</v>
      </c>
      <c r="C1859" s="2" t="s">
        <v>84</v>
      </c>
      <c r="D1859" s="5" t="s">
        <v>85</v>
      </c>
      <c r="E1859" s="5" t="s">
        <v>85</v>
      </c>
      <c r="F1859" s="2" t="n">
        <v>14</v>
      </c>
      <c r="G1859" s="5" t="s">
        <v>74</v>
      </c>
      <c r="H1859" s="2" t="n">
        <v>1</v>
      </c>
      <c r="I1859" s="2" t="n">
        <v>1</v>
      </c>
      <c r="J1859" s="2" t="n">
        <v>1</v>
      </c>
      <c r="K1859" s="7" t="n">
        <v>0.057676915615466</v>
      </c>
      <c r="L1859" s="7" t="n">
        <v>0.0394291230797122</v>
      </c>
      <c r="M1859" s="7" t="n">
        <v>0.0396849994907298</v>
      </c>
      <c r="N1859" s="2"/>
      <c r="O1859" s="2"/>
      <c r="P1859" s="2"/>
      <c r="Q1859" s="5" t="s">
        <v>99</v>
      </c>
      <c r="R1859" s="2"/>
      <c r="S1859" s="5" t="s">
        <v>60</v>
      </c>
      <c r="T1859" s="5" t="s">
        <v>87</v>
      </c>
    </row>
    <row r="1860" customFormat="false" ht="15" hidden="false" customHeight="false" outlineLevel="0" collapsed="false">
      <c r="A1860" s="5" t="s">
        <v>4</v>
      </c>
      <c r="B1860" s="5" t="s">
        <v>55</v>
      </c>
      <c r="C1860" s="2" t="s">
        <v>84</v>
      </c>
      <c r="D1860" s="5" t="s">
        <v>85</v>
      </c>
      <c r="E1860" s="5" t="s">
        <v>85</v>
      </c>
      <c r="F1860" s="2" t="n">
        <v>14</v>
      </c>
      <c r="G1860" s="5" t="s">
        <v>75</v>
      </c>
      <c r="H1860" s="2" t="n">
        <v>1</v>
      </c>
      <c r="I1860" s="2" t="n">
        <v>1</v>
      </c>
      <c r="J1860" s="2" t="n">
        <v>1</v>
      </c>
      <c r="K1860" s="7" t="n">
        <v>0.438873998610476</v>
      </c>
      <c r="L1860" s="7" t="n">
        <v>0.0461836544563166</v>
      </c>
      <c r="M1860" s="7" t="n">
        <v>0.0548435030690155</v>
      </c>
      <c r="N1860" s="2"/>
      <c r="O1860" s="2"/>
      <c r="P1860" s="2"/>
      <c r="Q1860" s="5" t="s">
        <v>100</v>
      </c>
      <c r="R1860" s="2"/>
      <c r="S1860" s="5" t="s">
        <v>60</v>
      </c>
      <c r="T1860" s="5" t="s">
        <v>87</v>
      </c>
    </row>
    <row r="1861" customFormat="false" ht="15" hidden="false" customHeight="false" outlineLevel="0" collapsed="false">
      <c r="A1861" s="5" t="s">
        <v>4</v>
      </c>
      <c r="B1861" s="5" t="s">
        <v>55</v>
      </c>
      <c r="C1861" s="2" t="s">
        <v>84</v>
      </c>
      <c r="D1861" s="5" t="s">
        <v>85</v>
      </c>
      <c r="E1861" s="5" t="s">
        <v>85</v>
      </c>
      <c r="F1861" s="2" t="n">
        <v>14</v>
      </c>
      <c r="G1861" s="5" t="s">
        <v>76</v>
      </c>
      <c r="H1861" s="2" t="n">
        <v>1</v>
      </c>
      <c r="I1861" s="2" t="n">
        <v>1</v>
      </c>
      <c r="J1861" s="2" t="n">
        <v>1</v>
      </c>
      <c r="K1861" s="7" t="n">
        <v>0.460995409140464</v>
      </c>
      <c r="L1861" s="7" t="n">
        <v>0.0475198354367044</v>
      </c>
      <c r="M1861" s="7" t="n">
        <v>0.0545205741234346</v>
      </c>
      <c r="N1861" s="2"/>
      <c r="O1861" s="2"/>
      <c r="P1861" s="2"/>
      <c r="Q1861" s="5" t="s">
        <v>101</v>
      </c>
      <c r="R1861" s="2"/>
      <c r="S1861" s="5" t="s">
        <v>60</v>
      </c>
      <c r="T1861" s="5" t="s">
        <v>87</v>
      </c>
    </row>
    <row r="1862" customFormat="false" ht="15" hidden="false" customHeight="false" outlineLevel="0" collapsed="false">
      <c r="A1862" s="5" t="s">
        <v>4</v>
      </c>
      <c r="B1862" s="5" t="s">
        <v>55</v>
      </c>
      <c r="C1862" s="2" t="s">
        <v>84</v>
      </c>
      <c r="D1862" s="5" t="s">
        <v>85</v>
      </c>
      <c r="E1862" s="5" t="s">
        <v>85</v>
      </c>
      <c r="F1862" s="2" t="n">
        <v>15</v>
      </c>
      <c r="G1862" s="5" t="s">
        <v>59</v>
      </c>
      <c r="H1862" s="2" t="n">
        <v>1</v>
      </c>
      <c r="I1862" s="2" t="n">
        <v>1</v>
      </c>
      <c r="J1862" s="2" t="n">
        <v>1</v>
      </c>
      <c r="K1862" s="7" t="n">
        <v>0.211624044674613</v>
      </c>
      <c r="L1862" s="7" t="n">
        <v>0.0373598148219182</v>
      </c>
      <c r="M1862" s="7" t="n">
        <v>0.0391469805728921</v>
      </c>
      <c r="N1862" s="2"/>
      <c r="O1862" s="2"/>
      <c r="P1862" s="2"/>
      <c r="Q1862" s="5" t="s">
        <v>121</v>
      </c>
      <c r="R1862" s="2"/>
      <c r="S1862" s="5" t="s">
        <v>60</v>
      </c>
      <c r="T1862" s="5" t="s">
        <v>87</v>
      </c>
    </row>
    <row r="1863" customFormat="false" ht="15" hidden="false" customHeight="false" outlineLevel="0" collapsed="false">
      <c r="A1863" s="5" t="s">
        <v>4</v>
      </c>
      <c r="B1863" s="5" t="s">
        <v>55</v>
      </c>
      <c r="C1863" s="2" t="s">
        <v>84</v>
      </c>
      <c r="D1863" s="5" t="s">
        <v>85</v>
      </c>
      <c r="E1863" s="5" t="s">
        <v>85</v>
      </c>
      <c r="F1863" s="2" t="n">
        <v>15</v>
      </c>
      <c r="G1863" s="5" t="s">
        <v>63</v>
      </c>
      <c r="H1863" s="2" t="n">
        <v>1</v>
      </c>
      <c r="I1863" s="2" t="n">
        <v>1</v>
      </c>
      <c r="J1863" s="2" t="n">
        <v>1</v>
      </c>
      <c r="K1863" s="7" t="n">
        <v>0.363572147551621</v>
      </c>
      <c r="L1863" s="7" t="n">
        <v>0.0349804893866108</v>
      </c>
      <c r="M1863" s="7" t="n">
        <v>0.0407135352404986</v>
      </c>
      <c r="N1863" s="2"/>
      <c r="O1863" s="2"/>
      <c r="P1863" s="2"/>
      <c r="Q1863" s="5" t="s">
        <v>122</v>
      </c>
      <c r="R1863" s="2"/>
      <c r="S1863" s="5" t="s">
        <v>60</v>
      </c>
      <c r="T1863" s="5" t="s">
        <v>87</v>
      </c>
    </row>
    <row r="1864" customFormat="false" ht="15" hidden="false" customHeight="false" outlineLevel="0" collapsed="false">
      <c r="A1864" s="5" t="s">
        <v>4</v>
      </c>
      <c r="B1864" s="5" t="s">
        <v>55</v>
      </c>
      <c r="C1864" s="2" t="s">
        <v>84</v>
      </c>
      <c r="D1864" s="5" t="s">
        <v>85</v>
      </c>
      <c r="E1864" s="5" t="s">
        <v>85</v>
      </c>
      <c r="F1864" s="2" t="n">
        <v>15</v>
      </c>
      <c r="G1864" s="5" t="s">
        <v>64</v>
      </c>
      <c r="H1864" s="2" t="n">
        <v>0</v>
      </c>
      <c r="I1864" s="2" t="n">
        <v>1</v>
      </c>
      <c r="J1864" s="2" t="n">
        <v>1</v>
      </c>
      <c r="K1864" s="7" t="n">
        <v>0.951007728454689</v>
      </c>
      <c r="L1864" s="7" t="n">
        <v>0.103954876408421</v>
      </c>
      <c r="M1864" s="7" t="n">
        <v>0.120131341595085</v>
      </c>
      <c r="N1864" s="2"/>
      <c r="O1864" s="2"/>
      <c r="P1864" s="2"/>
      <c r="Q1864" s="5" t="s">
        <v>123</v>
      </c>
      <c r="R1864" s="2"/>
      <c r="S1864" s="5" t="s">
        <v>60</v>
      </c>
      <c r="T1864" s="5" t="s">
        <v>87</v>
      </c>
    </row>
    <row r="1865" customFormat="false" ht="15" hidden="false" customHeight="false" outlineLevel="0" collapsed="false">
      <c r="A1865" s="5" t="s">
        <v>4</v>
      </c>
      <c r="B1865" s="5" t="s">
        <v>55</v>
      </c>
      <c r="C1865" s="2" t="s">
        <v>84</v>
      </c>
      <c r="D1865" s="5" t="s">
        <v>85</v>
      </c>
      <c r="E1865" s="5" t="s">
        <v>85</v>
      </c>
      <c r="F1865" s="2" t="n">
        <v>15</v>
      </c>
      <c r="G1865" s="5" t="s">
        <v>65</v>
      </c>
      <c r="H1865" s="2" t="n">
        <v>0</v>
      </c>
      <c r="I1865" s="2" t="n">
        <v>1</v>
      </c>
      <c r="J1865" s="2" t="n">
        <v>1</v>
      </c>
      <c r="K1865" s="7" t="n">
        <v>0.567511088868839</v>
      </c>
      <c r="L1865" s="7" t="n">
        <v>0.0285309286211563</v>
      </c>
      <c r="M1865" s="7" t="n">
        <v>0.0436621543131225</v>
      </c>
      <c r="N1865" s="2"/>
      <c r="O1865" s="2"/>
      <c r="P1865" s="2"/>
      <c r="Q1865" s="5" t="s">
        <v>124</v>
      </c>
      <c r="R1865" s="2"/>
      <c r="S1865" s="5" t="s">
        <v>60</v>
      </c>
      <c r="T1865" s="5" t="s">
        <v>87</v>
      </c>
    </row>
    <row r="1866" customFormat="false" ht="15" hidden="false" customHeight="false" outlineLevel="0" collapsed="false">
      <c r="A1866" s="5" t="s">
        <v>4</v>
      </c>
      <c r="B1866" s="5" t="s">
        <v>55</v>
      </c>
      <c r="C1866" s="2" t="s">
        <v>84</v>
      </c>
      <c r="D1866" s="5" t="s">
        <v>85</v>
      </c>
      <c r="E1866" s="5" t="s">
        <v>85</v>
      </c>
      <c r="F1866" s="2" t="n">
        <v>15</v>
      </c>
      <c r="G1866" s="5" t="s">
        <v>66</v>
      </c>
      <c r="H1866" s="2" t="n">
        <v>0</v>
      </c>
      <c r="I1866" s="2" t="n">
        <v>1</v>
      </c>
      <c r="J1866" s="2" t="n">
        <v>1</v>
      </c>
      <c r="K1866" s="7" t="n">
        <v>0.730300638285007</v>
      </c>
      <c r="L1866" s="7" t="n">
        <v>0.111280607785284</v>
      </c>
      <c r="M1866" s="7" t="n">
        <v>0.117367472936567</v>
      </c>
      <c r="N1866" s="2"/>
      <c r="O1866" s="2"/>
      <c r="P1866" s="2"/>
      <c r="Q1866" s="5" t="s">
        <v>128</v>
      </c>
      <c r="R1866" s="2"/>
      <c r="S1866" s="5" t="s">
        <v>60</v>
      </c>
      <c r="T1866" s="5" t="s">
        <v>87</v>
      </c>
    </row>
    <row r="1867" customFormat="false" ht="15" hidden="false" customHeight="false" outlineLevel="0" collapsed="false">
      <c r="A1867" s="5" t="s">
        <v>4</v>
      </c>
      <c r="B1867" s="5" t="s">
        <v>55</v>
      </c>
      <c r="C1867" s="2" t="s">
        <v>84</v>
      </c>
      <c r="D1867" s="5" t="s">
        <v>85</v>
      </c>
      <c r="E1867" s="5" t="s">
        <v>85</v>
      </c>
      <c r="F1867" s="2" t="n">
        <v>15</v>
      </c>
      <c r="G1867" s="5" t="s">
        <v>67</v>
      </c>
      <c r="H1867" s="2" t="n">
        <v>1</v>
      </c>
      <c r="I1867" s="2" t="n">
        <v>1</v>
      </c>
      <c r="J1867" s="2" t="n">
        <v>1</v>
      </c>
      <c r="K1867" s="7" t="n">
        <v>0.175425353201282</v>
      </c>
      <c r="L1867" s="7" t="n">
        <v>0.0223092338726912</v>
      </c>
      <c r="M1867" s="7" t="n">
        <v>0.0264999307944945</v>
      </c>
      <c r="N1867" s="2"/>
      <c r="O1867" s="2"/>
      <c r="P1867" s="2"/>
      <c r="Q1867" s="5" t="s">
        <v>106</v>
      </c>
      <c r="R1867" s="2"/>
      <c r="S1867" s="5" t="s">
        <v>60</v>
      </c>
      <c r="T1867" s="5" t="s">
        <v>87</v>
      </c>
    </row>
    <row r="1868" customFormat="false" ht="15" hidden="false" customHeight="false" outlineLevel="0" collapsed="false">
      <c r="A1868" s="5" t="s">
        <v>4</v>
      </c>
      <c r="B1868" s="5" t="s">
        <v>55</v>
      </c>
      <c r="C1868" s="2" t="s">
        <v>84</v>
      </c>
      <c r="D1868" s="5" t="s">
        <v>85</v>
      </c>
      <c r="E1868" s="5" t="s">
        <v>85</v>
      </c>
      <c r="F1868" s="2" t="n">
        <v>15</v>
      </c>
      <c r="G1868" s="5" t="s">
        <v>68</v>
      </c>
      <c r="H1868" s="2" t="n">
        <v>1</v>
      </c>
      <c r="I1868" s="2" t="n">
        <v>1</v>
      </c>
      <c r="J1868" s="2" t="n">
        <v>1</v>
      </c>
      <c r="K1868" s="7" t="n">
        <v>0.839823012337969</v>
      </c>
      <c r="L1868" s="7" t="n">
        <v>0.120794115332713</v>
      </c>
      <c r="M1868" s="7" t="n">
        <v>0.134774030045169</v>
      </c>
      <c r="N1868" s="2"/>
      <c r="O1868" s="2"/>
      <c r="P1868" s="2"/>
      <c r="Q1868" s="5" t="s">
        <v>107</v>
      </c>
      <c r="R1868" s="2"/>
      <c r="S1868" s="5" t="s">
        <v>60</v>
      </c>
      <c r="T1868" s="5" t="s">
        <v>87</v>
      </c>
    </row>
    <row r="1869" customFormat="false" ht="15" hidden="false" customHeight="false" outlineLevel="0" collapsed="false">
      <c r="A1869" s="5" t="s">
        <v>4</v>
      </c>
      <c r="B1869" s="5" t="s">
        <v>55</v>
      </c>
      <c r="C1869" s="2" t="s">
        <v>84</v>
      </c>
      <c r="D1869" s="5" t="s">
        <v>85</v>
      </c>
      <c r="E1869" s="5" t="s">
        <v>85</v>
      </c>
      <c r="F1869" s="2" t="n">
        <v>15</v>
      </c>
      <c r="G1869" s="5" t="s">
        <v>69</v>
      </c>
      <c r="H1869" s="2" t="n">
        <v>1</v>
      </c>
      <c r="I1869" s="2" t="n">
        <v>1</v>
      </c>
      <c r="J1869" s="2" t="n">
        <v>1</v>
      </c>
      <c r="K1869" s="7" t="n">
        <v>0.422005171807854</v>
      </c>
      <c r="L1869" s="7" t="n">
        <v>0.0600634546096007</v>
      </c>
      <c r="M1869" s="7" t="n">
        <v>0.0686989972269127</v>
      </c>
      <c r="N1869" s="2"/>
      <c r="O1869" s="2"/>
      <c r="P1869" s="2"/>
      <c r="Q1869" s="5" t="s">
        <v>108</v>
      </c>
      <c r="R1869" s="2"/>
      <c r="S1869" s="5" t="s">
        <v>60</v>
      </c>
      <c r="T1869" s="5" t="s">
        <v>87</v>
      </c>
    </row>
    <row r="1870" customFormat="false" ht="15" hidden="false" customHeight="false" outlineLevel="0" collapsed="false">
      <c r="A1870" s="5" t="s">
        <v>4</v>
      </c>
      <c r="B1870" s="5" t="s">
        <v>55</v>
      </c>
      <c r="C1870" s="2" t="s">
        <v>84</v>
      </c>
      <c r="D1870" s="5" t="s">
        <v>85</v>
      </c>
      <c r="E1870" s="5" t="s">
        <v>85</v>
      </c>
      <c r="F1870" s="2" t="n">
        <v>15</v>
      </c>
      <c r="G1870" s="5" t="s">
        <v>70</v>
      </c>
      <c r="H1870" s="2" t="n">
        <v>0</v>
      </c>
      <c r="I1870" s="2" t="n">
        <v>1</v>
      </c>
      <c r="J1870" s="2" t="n">
        <v>1</v>
      </c>
      <c r="K1870" s="7" t="n">
        <v>0.544923239682885</v>
      </c>
      <c r="L1870" s="7" t="n">
        <v>0.0292056729625957</v>
      </c>
      <c r="M1870" s="7" t="n">
        <v>0.0436212072364238</v>
      </c>
      <c r="N1870" s="2"/>
      <c r="O1870" s="2"/>
      <c r="P1870" s="2"/>
      <c r="Q1870" s="5" t="s">
        <v>109</v>
      </c>
      <c r="R1870" s="2"/>
      <c r="S1870" s="5" t="s">
        <v>60</v>
      </c>
      <c r="T1870" s="5" t="s">
        <v>87</v>
      </c>
    </row>
    <row r="1871" customFormat="false" ht="15" hidden="false" customHeight="false" outlineLevel="0" collapsed="false">
      <c r="A1871" s="5" t="s">
        <v>4</v>
      </c>
      <c r="B1871" s="5" t="s">
        <v>55</v>
      </c>
      <c r="C1871" s="2" t="s">
        <v>84</v>
      </c>
      <c r="D1871" s="5" t="s">
        <v>85</v>
      </c>
      <c r="E1871" s="5" t="s">
        <v>85</v>
      </c>
      <c r="F1871" s="2" t="n">
        <v>15</v>
      </c>
      <c r="G1871" s="5" t="s">
        <v>71</v>
      </c>
      <c r="H1871" s="2" t="n">
        <v>1</v>
      </c>
      <c r="I1871" s="2" t="n">
        <v>1</v>
      </c>
      <c r="J1871" s="2" t="n">
        <v>1</v>
      </c>
      <c r="K1871" s="7" t="n">
        <v>0.683533529799355</v>
      </c>
      <c r="L1871" s="7" t="n">
        <v>0.135650948074508</v>
      </c>
      <c r="M1871" s="7" t="n">
        <v>0.141314363977266</v>
      </c>
      <c r="N1871" s="2"/>
      <c r="O1871" s="2"/>
      <c r="P1871" s="2"/>
      <c r="Q1871" s="5" t="s">
        <v>110</v>
      </c>
      <c r="R1871" s="2"/>
      <c r="S1871" s="5" t="s">
        <v>60</v>
      </c>
      <c r="T1871" s="5" t="s">
        <v>87</v>
      </c>
    </row>
    <row r="1872" customFormat="false" ht="15" hidden="false" customHeight="false" outlineLevel="0" collapsed="false">
      <c r="A1872" s="5" t="s">
        <v>4</v>
      </c>
      <c r="B1872" s="5" t="s">
        <v>55</v>
      </c>
      <c r="C1872" s="2" t="s">
        <v>84</v>
      </c>
      <c r="D1872" s="5" t="s">
        <v>85</v>
      </c>
      <c r="E1872" s="5" t="s">
        <v>85</v>
      </c>
      <c r="F1872" s="2" t="n">
        <v>15</v>
      </c>
      <c r="G1872" s="5" t="s">
        <v>72</v>
      </c>
      <c r="H1872" s="2" t="n">
        <v>1</v>
      </c>
      <c r="I1872" s="2" t="n">
        <v>1</v>
      </c>
      <c r="J1872" s="2" t="n">
        <v>1</v>
      </c>
      <c r="K1872" s="7" t="n">
        <v>0.258569011158171</v>
      </c>
      <c r="L1872" s="7" t="n">
        <v>0.0519531669965789</v>
      </c>
      <c r="M1872" s="7" t="n">
        <v>0.0548790641471094</v>
      </c>
      <c r="N1872" s="2"/>
      <c r="O1872" s="2"/>
      <c r="P1872" s="2"/>
      <c r="Q1872" s="5" t="s">
        <v>111</v>
      </c>
      <c r="R1872" s="2"/>
      <c r="S1872" s="5" t="s">
        <v>60</v>
      </c>
      <c r="T1872" s="5" t="s">
        <v>87</v>
      </c>
    </row>
    <row r="1873" customFormat="false" ht="15" hidden="false" customHeight="false" outlineLevel="0" collapsed="false">
      <c r="A1873" s="5" t="s">
        <v>4</v>
      </c>
      <c r="B1873" s="5" t="s">
        <v>55</v>
      </c>
      <c r="C1873" s="2" t="s">
        <v>84</v>
      </c>
      <c r="D1873" s="5" t="s">
        <v>85</v>
      </c>
      <c r="E1873" s="5" t="s">
        <v>85</v>
      </c>
      <c r="F1873" s="2" t="n">
        <v>15</v>
      </c>
      <c r="G1873" s="5" t="s">
        <v>73</v>
      </c>
      <c r="H1873" s="2" t="n">
        <v>0</v>
      </c>
      <c r="I1873" s="2" t="n">
        <v>1</v>
      </c>
      <c r="J1873" s="2" t="n">
        <v>1</v>
      </c>
      <c r="K1873" s="7" t="n">
        <v>0.372648332758361</v>
      </c>
      <c r="L1873" s="7" t="n">
        <v>0.0416850031290741</v>
      </c>
      <c r="M1873" s="7" t="n">
        <v>0.0460324197719843</v>
      </c>
      <c r="N1873" s="2"/>
      <c r="O1873" s="2"/>
      <c r="P1873" s="2"/>
      <c r="Q1873" s="5" t="s">
        <v>112</v>
      </c>
      <c r="R1873" s="2"/>
      <c r="S1873" s="5" t="s">
        <v>60</v>
      </c>
      <c r="T1873" s="5" t="s">
        <v>87</v>
      </c>
    </row>
    <row r="1874" customFormat="false" ht="15" hidden="false" customHeight="false" outlineLevel="0" collapsed="false">
      <c r="A1874" s="5" t="s">
        <v>4</v>
      </c>
      <c r="B1874" s="5" t="s">
        <v>55</v>
      </c>
      <c r="C1874" s="2" t="s">
        <v>84</v>
      </c>
      <c r="D1874" s="5" t="s">
        <v>85</v>
      </c>
      <c r="E1874" s="5" t="s">
        <v>85</v>
      </c>
      <c r="F1874" s="2" t="n">
        <v>15</v>
      </c>
      <c r="G1874" s="5" t="s">
        <v>74</v>
      </c>
      <c r="H1874" s="2" t="n">
        <v>1</v>
      </c>
      <c r="I1874" s="2" t="n">
        <v>1</v>
      </c>
      <c r="J1874" s="2" t="n">
        <v>1</v>
      </c>
      <c r="K1874" s="7" t="n">
        <v>0.426668149334434</v>
      </c>
      <c r="L1874" s="7" t="n">
        <v>0.0744282085440076</v>
      </c>
      <c r="M1874" s="7" t="n">
        <v>0.0798070351815118</v>
      </c>
      <c r="N1874" s="2"/>
      <c r="O1874" s="2"/>
      <c r="P1874" s="2"/>
      <c r="Q1874" s="5" t="s">
        <v>99</v>
      </c>
      <c r="R1874" s="2"/>
      <c r="S1874" s="5" t="s">
        <v>60</v>
      </c>
      <c r="T1874" s="5" t="s">
        <v>87</v>
      </c>
    </row>
    <row r="1875" customFormat="false" ht="15" hidden="false" customHeight="false" outlineLevel="0" collapsed="false">
      <c r="A1875" s="5" t="s">
        <v>4</v>
      </c>
      <c r="B1875" s="5" t="s">
        <v>55</v>
      </c>
      <c r="C1875" s="2" t="s">
        <v>84</v>
      </c>
      <c r="D1875" s="5" t="s">
        <v>85</v>
      </c>
      <c r="E1875" s="5" t="s">
        <v>85</v>
      </c>
      <c r="F1875" s="2" t="n">
        <v>15</v>
      </c>
      <c r="G1875" s="5" t="s">
        <v>75</v>
      </c>
      <c r="H1875" s="2" t="n">
        <v>1</v>
      </c>
      <c r="I1875" s="2" t="n">
        <v>1</v>
      </c>
      <c r="J1875" s="2" t="n">
        <v>1</v>
      </c>
      <c r="K1875" s="7" t="n">
        <v>0.466923328365902</v>
      </c>
      <c r="L1875" s="7" t="n">
        <v>0.0980706776847583</v>
      </c>
      <c r="M1875" s="7" t="n">
        <v>0.103475265798429</v>
      </c>
      <c r="N1875" s="2"/>
      <c r="O1875" s="2"/>
      <c r="P1875" s="2"/>
      <c r="Q1875" s="5" t="s">
        <v>113</v>
      </c>
      <c r="R1875" s="2"/>
      <c r="S1875" s="5" t="s">
        <v>60</v>
      </c>
      <c r="T1875" s="5" t="s">
        <v>87</v>
      </c>
    </row>
    <row r="1876" customFormat="false" ht="15" hidden="false" customHeight="false" outlineLevel="0" collapsed="false">
      <c r="A1876" s="5" t="s">
        <v>4</v>
      </c>
      <c r="B1876" s="5" t="s">
        <v>55</v>
      </c>
      <c r="C1876" s="2" t="s">
        <v>84</v>
      </c>
      <c r="D1876" s="5" t="s">
        <v>85</v>
      </c>
      <c r="E1876" s="5" t="s">
        <v>85</v>
      </c>
      <c r="F1876" s="2" t="n">
        <v>15</v>
      </c>
      <c r="G1876" s="5" t="s">
        <v>76</v>
      </c>
      <c r="H1876" s="2" t="n">
        <v>1</v>
      </c>
      <c r="I1876" s="2" t="n">
        <v>1</v>
      </c>
      <c r="J1876" s="2" t="n">
        <v>1</v>
      </c>
      <c r="K1876" s="7" t="n">
        <v>0.225896628015058</v>
      </c>
      <c r="L1876" s="7" t="n">
        <v>0.028979723157755</v>
      </c>
      <c r="M1876" s="7" t="n">
        <v>0.032489095751713</v>
      </c>
      <c r="N1876" s="2"/>
      <c r="O1876" s="2"/>
      <c r="P1876" s="2"/>
      <c r="Q1876" s="5" t="s">
        <v>114</v>
      </c>
      <c r="R1876" s="2"/>
      <c r="S1876" s="5" t="s">
        <v>60</v>
      </c>
      <c r="T1876" s="5" t="s">
        <v>87</v>
      </c>
    </row>
    <row r="1877" customFormat="false" ht="15" hidden="false" customHeight="false" outlineLevel="0" collapsed="false">
      <c r="A1877" s="5" t="s">
        <v>4</v>
      </c>
      <c r="B1877" s="5" t="s">
        <v>55</v>
      </c>
      <c r="C1877" s="2" t="s">
        <v>84</v>
      </c>
      <c r="D1877" s="5" t="s">
        <v>85</v>
      </c>
      <c r="E1877" s="5" t="s">
        <v>85</v>
      </c>
      <c r="F1877" s="2" t="n">
        <v>16</v>
      </c>
      <c r="G1877" s="5" t="s">
        <v>59</v>
      </c>
      <c r="H1877" s="2" t="n">
        <v>1</v>
      </c>
      <c r="I1877" s="2" t="n">
        <v>1</v>
      </c>
      <c r="J1877" s="2" t="n">
        <v>1</v>
      </c>
      <c r="K1877" s="7" t="n">
        <v>0.36539872435618</v>
      </c>
      <c r="L1877" s="7" t="n">
        <v>0.0624310041010883</v>
      </c>
      <c r="M1877" s="7" t="n">
        <v>0.0654251777290357</v>
      </c>
      <c r="N1877" s="2"/>
      <c r="O1877" s="2"/>
      <c r="P1877" s="2"/>
      <c r="Q1877" s="5" t="s">
        <v>86</v>
      </c>
      <c r="R1877" s="2"/>
      <c r="S1877" s="5" t="s">
        <v>60</v>
      </c>
      <c r="T1877" s="5" t="s">
        <v>87</v>
      </c>
    </row>
    <row r="1878" customFormat="false" ht="15" hidden="false" customHeight="false" outlineLevel="0" collapsed="false">
      <c r="A1878" s="5" t="s">
        <v>4</v>
      </c>
      <c r="B1878" s="5" t="s">
        <v>55</v>
      </c>
      <c r="C1878" s="2" t="s">
        <v>84</v>
      </c>
      <c r="D1878" s="5" t="s">
        <v>85</v>
      </c>
      <c r="E1878" s="5" t="s">
        <v>85</v>
      </c>
      <c r="F1878" s="2" t="n">
        <v>16</v>
      </c>
      <c r="G1878" s="5" t="s">
        <v>63</v>
      </c>
      <c r="H1878" s="2" t="n">
        <v>1</v>
      </c>
      <c r="I1878" s="2" t="n">
        <v>1</v>
      </c>
      <c r="J1878" s="2" t="n">
        <v>1</v>
      </c>
      <c r="K1878" s="7" t="n">
        <v>0.645036934179349</v>
      </c>
      <c r="L1878" s="7" t="n">
        <v>0.0592212679042988</v>
      </c>
      <c r="M1878" s="7" t="n">
        <v>0.0701701445015616</v>
      </c>
      <c r="N1878" s="2"/>
      <c r="O1878" s="2"/>
      <c r="P1878" s="2"/>
      <c r="Q1878" s="5" t="s">
        <v>102</v>
      </c>
      <c r="R1878" s="2"/>
      <c r="S1878" s="5" t="s">
        <v>60</v>
      </c>
      <c r="T1878" s="5" t="s">
        <v>87</v>
      </c>
    </row>
    <row r="1879" customFormat="false" ht="15" hidden="false" customHeight="false" outlineLevel="0" collapsed="false">
      <c r="A1879" s="5" t="s">
        <v>4</v>
      </c>
      <c r="B1879" s="5" t="s">
        <v>55</v>
      </c>
      <c r="C1879" s="2" t="s">
        <v>84</v>
      </c>
      <c r="D1879" s="5" t="s">
        <v>85</v>
      </c>
      <c r="E1879" s="5" t="s">
        <v>85</v>
      </c>
      <c r="F1879" s="2" t="n">
        <v>16</v>
      </c>
      <c r="G1879" s="5" t="s">
        <v>64</v>
      </c>
      <c r="H1879" s="2" t="n">
        <v>0</v>
      </c>
      <c r="I1879" s="2" t="n">
        <v>1</v>
      </c>
      <c r="J1879" s="2" t="n">
        <v>1</v>
      </c>
      <c r="K1879" s="7" t="n">
        <v>0.915204941434164</v>
      </c>
      <c r="L1879" s="7" t="n">
        <v>0.132883603739978</v>
      </c>
      <c r="M1879" s="7" t="n">
        <v>0.143677646741494</v>
      </c>
      <c r="N1879" s="2"/>
      <c r="O1879" s="2"/>
      <c r="P1879" s="2"/>
      <c r="Q1879" s="5" t="s">
        <v>115</v>
      </c>
      <c r="R1879" s="2"/>
      <c r="S1879" s="5" t="s">
        <v>60</v>
      </c>
      <c r="T1879" s="5" t="s">
        <v>87</v>
      </c>
    </row>
    <row r="1880" customFormat="false" ht="15" hidden="false" customHeight="false" outlineLevel="0" collapsed="false">
      <c r="A1880" s="5" t="s">
        <v>4</v>
      </c>
      <c r="B1880" s="5" t="s">
        <v>55</v>
      </c>
      <c r="C1880" s="2" t="s">
        <v>84</v>
      </c>
      <c r="D1880" s="5" t="s">
        <v>85</v>
      </c>
      <c r="E1880" s="5" t="s">
        <v>85</v>
      </c>
      <c r="F1880" s="2" t="n">
        <v>16</v>
      </c>
      <c r="G1880" s="5" t="s">
        <v>65</v>
      </c>
      <c r="H1880" s="2" t="n">
        <v>0</v>
      </c>
      <c r="I1880" s="2" t="n">
        <v>1</v>
      </c>
      <c r="J1880" s="2" t="n">
        <v>1</v>
      </c>
      <c r="K1880" s="7" t="n">
        <v>0.588550808257306</v>
      </c>
      <c r="L1880" s="7" t="n">
        <v>0.0760463991618953</v>
      </c>
      <c r="M1880" s="7" t="n">
        <v>0.0844189843869113</v>
      </c>
      <c r="N1880" s="2"/>
      <c r="O1880" s="2"/>
      <c r="P1880" s="2"/>
      <c r="Q1880" s="5" t="s">
        <v>129</v>
      </c>
      <c r="R1880" s="2"/>
      <c r="S1880" s="5" t="s">
        <v>60</v>
      </c>
      <c r="T1880" s="5" t="s">
        <v>87</v>
      </c>
    </row>
    <row r="1881" customFormat="false" ht="15" hidden="false" customHeight="false" outlineLevel="0" collapsed="false">
      <c r="A1881" s="5" t="s">
        <v>4</v>
      </c>
      <c r="B1881" s="5" t="s">
        <v>55</v>
      </c>
      <c r="C1881" s="2" t="s">
        <v>84</v>
      </c>
      <c r="D1881" s="5" t="s">
        <v>85</v>
      </c>
      <c r="E1881" s="5" t="s">
        <v>85</v>
      </c>
      <c r="F1881" s="2" t="n">
        <v>16</v>
      </c>
      <c r="G1881" s="5" t="s">
        <v>66</v>
      </c>
      <c r="H1881" s="2" t="n">
        <v>0</v>
      </c>
      <c r="I1881" s="2" t="n">
        <v>1</v>
      </c>
      <c r="J1881" s="2" t="n">
        <v>1</v>
      </c>
      <c r="K1881" s="7" t="n">
        <v>0.854236510338814</v>
      </c>
      <c r="L1881" s="7" t="n">
        <v>0.178253912576576</v>
      </c>
      <c r="M1881" s="7" t="n">
        <v>0.184081686654219</v>
      </c>
      <c r="N1881" s="2"/>
      <c r="O1881" s="2"/>
      <c r="P1881" s="2"/>
      <c r="Q1881" s="5" t="s">
        <v>117</v>
      </c>
      <c r="R1881" s="2"/>
      <c r="S1881" s="5" t="s">
        <v>60</v>
      </c>
      <c r="T1881" s="5" t="s">
        <v>87</v>
      </c>
    </row>
    <row r="1882" customFormat="false" ht="15" hidden="false" customHeight="false" outlineLevel="0" collapsed="false">
      <c r="A1882" s="5" t="s">
        <v>4</v>
      </c>
      <c r="B1882" s="5" t="s">
        <v>55</v>
      </c>
      <c r="C1882" s="2" t="s">
        <v>84</v>
      </c>
      <c r="D1882" s="5" t="s">
        <v>85</v>
      </c>
      <c r="E1882" s="5" t="s">
        <v>85</v>
      </c>
      <c r="F1882" s="2" t="n">
        <v>16</v>
      </c>
      <c r="G1882" s="5" t="s">
        <v>67</v>
      </c>
      <c r="H1882" s="2" t="n">
        <v>1</v>
      </c>
      <c r="I1882" s="2" t="n">
        <v>1</v>
      </c>
      <c r="J1882" s="2" t="n">
        <v>1</v>
      </c>
      <c r="K1882" s="7" t="n">
        <v>0.333359111367834</v>
      </c>
      <c r="L1882" s="7" t="n">
        <v>0.0137438104786996</v>
      </c>
      <c r="M1882" s="7" t="n">
        <v>0.0255270248348152</v>
      </c>
      <c r="N1882" s="2"/>
      <c r="O1882" s="2"/>
      <c r="P1882" s="2"/>
      <c r="Q1882" s="5" t="s">
        <v>106</v>
      </c>
      <c r="R1882" s="2"/>
      <c r="S1882" s="5" t="s">
        <v>60</v>
      </c>
      <c r="T1882" s="5" t="s">
        <v>87</v>
      </c>
    </row>
    <row r="1883" customFormat="false" ht="15" hidden="false" customHeight="false" outlineLevel="0" collapsed="false">
      <c r="A1883" s="5" t="s">
        <v>4</v>
      </c>
      <c r="B1883" s="5" t="s">
        <v>55</v>
      </c>
      <c r="C1883" s="2" t="s">
        <v>84</v>
      </c>
      <c r="D1883" s="5" t="s">
        <v>85</v>
      </c>
      <c r="E1883" s="5" t="s">
        <v>85</v>
      </c>
      <c r="F1883" s="2" t="n">
        <v>16</v>
      </c>
      <c r="G1883" s="5" t="s">
        <v>68</v>
      </c>
      <c r="H1883" s="2" t="n">
        <v>1</v>
      </c>
      <c r="I1883" s="2" t="n">
        <v>1</v>
      </c>
      <c r="J1883" s="2" t="n">
        <v>1</v>
      </c>
      <c r="K1883" s="7" t="n">
        <v>0.551882446904601</v>
      </c>
      <c r="L1883" s="7" t="n">
        <v>0.0200308036863755</v>
      </c>
      <c r="M1883" s="7" t="n">
        <v>0.0416781843442207</v>
      </c>
      <c r="N1883" s="2"/>
      <c r="O1883" s="2"/>
      <c r="P1883" s="2"/>
      <c r="Q1883" s="5" t="s">
        <v>118</v>
      </c>
      <c r="R1883" s="2"/>
      <c r="S1883" s="5" t="s">
        <v>60</v>
      </c>
      <c r="T1883" s="5" t="s">
        <v>87</v>
      </c>
    </row>
    <row r="1884" customFormat="false" ht="15" hidden="false" customHeight="false" outlineLevel="0" collapsed="false">
      <c r="A1884" s="5" t="s">
        <v>4</v>
      </c>
      <c r="B1884" s="5" t="s">
        <v>55</v>
      </c>
      <c r="C1884" s="2" t="s">
        <v>84</v>
      </c>
      <c r="D1884" s="5" t="s">
        <v>85</v>
      </c>
      <c r="E1884" s="5" t="s">
        <v>85</v>
      </c>
      <c r="F1884" s="2" t="n">
        <v>16</v>
      </c>
      <c r="G1884" s="5" t="s">
        <v>69</v>
      </c>
      <c r="H1884" s="2" t="n">
        <v>1</v>
      </c>
      <c r="I1884" s="2" t="n">
        <v>1</v>
      </c>
      <c r="J1884" s="2" t="n">
        <v>1</v>
      </c>
      <c r="K1884" s="7" t="n">
        <v>0.447709959641858</v>
      </c>
      <c r="L1884" s="7" t="n">
        <v>0.0613014704391125</v>
      </c>
      <c r="M1884" s="7" t="n">
        <v>0.0672529474604945</v>
      </c>
      <c r="N1884" s="2"/>
      <c r="O1884" s="2"/>
      <c r="P1884" s="2"/>
      <c r="Q1884" s="5" t="s">
        <v>130</v>
      </c>
      <c r="R1884" s="2"/>
      <c r="S1884" s="5" t="s">
        <v>60</v>
      </c>
      <c r="T1884" s="5" t="s">
        <v>87</v>
      </c>
    </row>
    <row r="1885" customFormat="false" ht="15" hidden="false" customHeight="false" outlineLevel="0" collapsed="false">
      <c r="A1885" s="5" t="s">
        <v>4</v>
      </c>
      <c r="B1885" s="5" t="s">
        <v>55</v>
      </c>
      <c r="C1885" s="2" t="s">
        <v>84</v>
      </c>
      <c r="D1885" s="5" t="s">
        <v>85</v>
      </c>
      <c r="E1885" s="5" t="s">
        <v>85</v>
      </c>
      <c r="F1885" s="2" t="n">
        <v>16</v>
      </c>
      <c r="G1885" s="5" t="s">
        <v>70</v>
      </c>
      <c r="H1885" s="2" t="n">
        <v>0</v>
      </c>
      <c r="I1885" s="2" t="n">
        <v>1</v>
      </c>
      <c r="J1885" s="2" t="n">
        <v>1</v>
      </c>
      <c r="K1885" s="7" t="n">
        <v>0.493983056902283</v>
      </c>
      <c r="L1885" s="7" t="n">
        <v>0.0341411991114554</v>
      </c>
      <c r="M1885" s="7" t="n">
        <v>0.0496063878623637</v>
      </c>
      <c r="N1885" s="2"/>
      <c r="O1885" s="2"/>
      <c r="P1885" s="2"/>
      <c r="Q1885" s="5" t="s">
        <v>120</v>
      </c>
      <c r="R1885" s="2"/>
      <c r="S1885" s="5" t="s">
        <v>60</v>
      </c>
      <c r="T1885" s="5" t="s">
        <v>87</v>
      </c>
    </row>
    <row r="1886" customFormat="false" ht="15" hidden="false" customHeight="false" outlineLevel="0" collapsed="false">
      <c r="A1886" s="5" t="s">
        <v>4</v>
      </c>
      <c r="B1886" s="5" t="s">
        <v>55</v>
      </c>
      <c r="C1886" s="2" t="s">
        <v>84</v>
      </c>
      <c r="D1886" s="5" t="s">
        <v>85</v>
      </c>
      <c r="E1886" s="5" t="s">
        <v>85</v>
      </c>
      <c r="F1886" s="2" t="n">
        <v>16</v>
      </c>
      <c r="G1886" s="5" t="s">
        <v>71</v>
      </c>
      <c r="H1886" s="2" t="n">
        <v>1</v>
      </c>
      <c r="I1886" s="2" t="n">
        <v>1</v>
      </c>
      <c r="J1886" s="2" t="n">
        <v>1</v>
      </c>
      <c r="K1886" s="7" t="n">
        <v>0.44078135151248</v>
      </c>
      <c r="L1886" s="7" t="n">
        <v>0.0190583470783599</v>
      </c>
      <c r="M1886" s="7" t="n">
        <v>0.0357564404121827</v>
      </c>
      <c r="N1886" s="2"/>
      <c r="O1886" s="2"/>
      <c r="P1886" s="2"/>
      <c r="Q1886" s="5" t="s">
        <v>96</v>
      </c>
      <c r="R1886" s="2"/>
      <c r="S1886" s="5" t="s">
        <v>60</v>
      </c>
      <c r="T1886" s="5" t="s">
        <v>87</v>
      </c>
    </row>
    <row r="1887" customFormat="false" ht="15" hidden="false" customHeight="false" outlineLevel="0" collapsed="false">
      <c r="A1887" s="5" t="s">
        <v>4</v>
      </c>
      <c r="B1887" s="5" t="s">
        <v>55</v>
      </c>
      <c r="C1887" s="2" t="s">
        <v>84</v>
      </c>
      <c r="D1887" s="5" t="s">
        <v>85</v>
      </c>
      <c r="E1887" s="5" t="s">
        <v>85</v>
      </c>
      <c r="F1887" s="2" t="n">
        <v>16</v>
      </c>
      <c r="G1887" s="5" t="s">
        <v>72</v>
      </c>
      <c r="H1887" s="2" t="n">
        <v>1</v>
      </c>
      <c r="I1887" s="2" t="n">
        <v>1</v>
      </c>
      <c r="J1887" s="2" t="n">
        <v>1</v>
      </c>
      <c r="K1887" s="7" t="n">
        <v>0.715583194454279</v>
      </c>
      <c r="L1887" s="7" t="n">
        <v>0.0368132181250878</v>
      </c>
      <c r="M1887" s="7" t="n">
        <v>0.0535768717729391</v>
      </c>
      <c r="N1887" s="2"/>
      <c r="O1887" s="2"/>
      <c r="P1887" s="2"/>
      <c r="Q1887" s="5" t="s">
        <v>131</v>
      </c>
      <c r="R1887" s="2"/>
      <c r="S1887" s="5" t="s">
        <v>60</v>
      </c>
      <c r="T1887" s="5" t="s">
        <v>87</v>
      </c>
    </row>
    <row r="1888" customFormat="false" ht="15" hidden="false" customHeight="false" outlineLevel="0" collapsed="false">
      <c r="A1888" s="5" t="s">
        <v>4</v>
      </c>
      <c r="B1888" s="5" t="s">
        <v>55</v>
      </c>
      <c r="C1888" s="2" t="s">
        <v>84</v>
      </c>
      <c r="D1888" s="5" t="s">
        <v>85</v>
      </c>
      <c r="E1888" s="5" t="s">
        <v>85</v>
      </c>
      <c r="F1888" s="2" t="n">
        <v>16</v>
      </c>
      <c r="G1888" s="5" t="s">
        <v>73</v>
      </c>
      <c r="H1888" s="2" t="n">
        <v>0</v>
      </c>
      <c r="I1888" s="2" t="n">
        <v>1</v>
      </c>
      <c r="J1888" s="2" t="n">
        <v>1</v>
      </c>
      <c r="K1888" s="7" t="n">
        <v>0.420982468989459</v>
      </c>
      <c r="L1888" s="7" t="n">
        <v>0.0736301098892048</v>
      </c>
      <c r="M1888" s="7" t="n">
        <v>0.0783462378555546</v>
      </c>
      <c r="N1888" s="2"/>
      <c r="O1888" s="2"/>
      <c r="P1888" s="2"/>
      <c r="Q1888" s="5" t="s">
        <v>98</v>
      </c>
      <c r="R1888" s="2"/>
      <c r="S1888" s="5" t="s">
        <v>60</v>
      </c>
      <c r="T1888" s="5" t="s">
        <v>87</v>
      </c>
    </row>
    <row r="1889" customFormat="false" ht="15" hidden="false" customHeight="false" outlineLevel="0" collapsed="false">
      <c r="A1889" s="5" t="s">
        <v>4</v>
      </c>
      <c r="B1889" s="5" t="s">
        <v>55</v>
      </c>
      <c r="C1889" s="2" t="s">
        <v>84</v>
      </c>
      <c r="D1889" s="5" t="s">
        <v>85</v>
      </c>
      <c r="E1889" s="5" t="s">
        <v>85</v>
      </c>
      <c r="F1889" s="2" t="n">
        <v>16</v>
      </c>
      <c r="G1889" s="5" t="s">
        <v>74</v>
      </c>
      <c r="H1889" s="2" t="n">
        <v>1</v>
      </c>
      <c r="I1889" s="2" t="n">
        <v>1</v>
      </c>
      <c r="J1889" s="2" t="n">
        <v>1</v>
      </c>
      <c r="K1889" s="7" t="n">
        <v>0.647548576048154</v>
      </c>
      <c r="L1889" s="7" t="n">
        <v>0.051564319150927</v>
      </c>
      <c r="M1889" s="7" t="n">
        <v>0.0650332981559569</v>
      </c>
      <c r="N1889" s="2"/>
      <c r="O1889" s="2"/>
      <c r="P1889" s="2"/>
      <c r="Q1889" s="5" t="s">
        <v>132</v>
      </c>
      <c r="R1889" s="2"/>
      <c r="S1889" s="5" t="s">
        <v>60</v>
      </c>
      <c r="T1889" s="5" t="s">
        <v>87</v>
      </c>
    </row>
    <row r="1890" customFormat="false" ht="15" hidden="false" customHeight="false" outlineLevel="0" collapsed="false">
      <c r="A1890" s="5" t="s">
        <v>4</v>
      </c>
      <c r="B1890" s="5" t="s">
        <v>55</v>
      </c>
      <c r="C1890" s="2" t="s">
        <v>84</v>
      </c>
      <c r="D1890" s="5" t="s">
        <v>85</v>
      </c>
      <c r="E1890" s="5" t="s">
        <v>85</v>
      </c>
      <c r="F1890" s="2" t="n">
        <v>16</v>
      </c>
      <c r="G1890" s="5" t="s">
        <v>75</v>
      </c>
      <c r="H1890" s="2" t="n">
        <v>1</v>
      </c>
      <c r="I1890" s="2" t="n">
        <v>1</v>
      </c>
      <c r="J1890" s="2" t="n">
        <v>1</v>
      </c>
      <c r="K1890" s="7" t="n">
        <v>0.0750766862056831</v>
      </c>
      <c r="L1890" s="7" t="n">
        <v>0.0632201052254797</v>
      </c>
      <c r="M1890" s="7" t="n">
        <v>0.0635698368957588</v>
      </c>
      <c r="N1890" s="2"/>
      <c r="O1890" s="2"/>
      <c r="P1890" s="2"/>
      <c r="Q1890" s="5" t="s">
        <v>100</v>
      </c>
      <c r="R1890" s="2"/>
      <c r="S1890" s="5" t="s">
        <v>60</v>
      </c>
      <c r="T1890" s="5" t="s">
        <v>87</v>
      </c>
    </row>
    <row r="1891" customFormat="false" ht="15" hidden="false" customHeight="false" outlineLevel="0" collapsed="false">
      <c r="A1891" s="5" t="s">
        <v>4</v>
      </c>
      <c r="B1891" s="5" t="s">
        <v>55</v>
      </c>
      <c r="C1891" s="2" t="s">
        <v>84</v>
      </c>
      <c r="D1891" s="5" t="s">
        <v>85</v>
      </c>
      <c r="E1891" s="5" t="s">
        <v>85</v>
      </c>
      <c r="F1891" s="2" t="n">
        <v>16</v>
      </c>
      <c r="G1891" s="5" t="s">
        <v>76</v>
      </c>
      <c r="H1891" s="2" t="n">
        <v>1</v>
      </c>
      <c r="I1891" s="2" t="n">
        <v>1</v>
      </c>
      <c r="J1891" s="2" t="n">
        <v>1</v>
      </c>
      <c r="K1891" s="7" t="n">
        <v>0.576648377880642</v>
      </c>
      <c r="L1891" s="7" t="n">
        <v>0.0687074041445456</v>
      </c>
      <c r="M1891" s="7" t="n">
        <v>0.0748765427124696</v>
      </c>
      <c r="N1891" s="2"/>
      <c r="O1891" s="2"/>
      <c r="P1891" s="2"/>
      <c r="Q1891" s="5" t="s">
        <v>114</v>
      </c>
      <c r="R1891" s="2"/>
      <c r="S1891" s="5" t="s">
        <v>60</v>
      </c>
      <c r="T1891" s="5" t="s">
        <v>87</v>
      </c>
    </row>
    <row r="1892" customFormat="false" ht="15" hidden="false" customHeight="false" outlineLevel="0" collapsed="false">
      <c r="A1892" s="5" t="s">
        <v>4</v>
      </c>
      <c r="B1892" s="5" t="s">
        <v>55</v>
      </c>
      <c r="C1892" s="2" t="s">
        <v>84</v>
      </c>
      <c r="D1892" s="5" t="s">
        <v>85</v>
      </c>
      <c r="E1892" s="5" t="s">
        <v>85</v>
      </c>
      <c r="F1892" s="2" t="n">
        <v>17</v>
      </c>
      <c r="G1892" s="5" t="s">
        <v>59</v>
      </c>
      <c r="H1892" s="2" t="n">
        <v>1</v>
      </c>
      <c r="I1892" s="2" t="n">
        <v>1</v>
      </c>
      <c r="J1892" s="2" t="n">
        <v>1</v>
      </c>
      <c r="K1892" s="7" t="n">
        <v>0.317244550001944</v>
      </c>
      <c r="L1892" s="7" t="n">
        <v>0.0399150640148423</v>
      </c>
      <c r="M1892" s="7" t="n">
        <v>0.0452500817255536</v>
      </c>
      <c r="N1892" s="2"/>
      <c r="O1892" s="2"/>
      <c r="P1892" s="2"/>
      <c r="Q1892" s="5" t="s">
        <v>121</v>
      </c>
      <c r="R1892" s="2"/>
      <c r="S1892" s="5" t="s">
        <v>60</v>
      </c>
      <c r="T1892" s="5" t="s">
        <v>87</v>
      </c>
    </row>
    <row r="1893" customFormat="false" ht="15" hidden="false" customHeight="false" outlineLevel="0" collapsed="false">
      <c r="A1893" s="5" t="s">
        <v>4</v>
      </c>
      <c r="B1893" s="5" t="s">
        <v>55</v>
      </c>
      <c r="C1893" s="2" t="s">
        <v>84</v>
      </c>
      <c r="D1893" s="5" t="s">
        <v>85</v>
      </c>
      <c r="E1893" s="5" t="s">
        <v>85</v>
      </c>
      <c r="F1893" s="2" t="n">
        <v>17</v>
      </c>
      <c r="G1893" s="5" t="s">
        <v>63</v>
      </c>
      <c r="H1893" s="2" t="n">
        <v>1</v>
      </c>
      <c r="I1893" s="2" t="n">
        <v>1</v>
      </c>
      <c r="J1893" s="2" t="n">
        <v>1</v>
      </c>
      <c r="K1893" s="7" t="n">
        <v>0.779002905095176</v>
      </c>
      <c r="L1893" s="7" t="n">
        <v>0.0475448124163652</v>
      </c>
      <c r="M1893" s="7" t="n">
        <v>0.063577525480359</v>
      </c>
      <c r="N1893" s="2"/>
      <c r="O1893" s="2"/>
      <c r="P1893" s="2"/>
      <c r="Q1893" s="5" t="s">
        <v>122</v>
      </c>
      <c r="R1893" s="2"/>
      <c r="S1893" s="5" t="s">
        <v>60</v>
      </c>
      <c r="T1893" s="5" t="s">
        <v>87</v>
      </c>
    </row>
    <row r="1894" customFormat="false" ht="15" hidden="false" customHeight="false" outlineLevel="0" collapsed="false">
      <c r="A1894" s="5" t="s">
        <v>4</v>
      </c>
      <c r="B1894" s="5" t="s">
        <v>55</v>
      </c>
      <c r="C1894" s="2" t="s">
        <v>84</v>
      </c>
      <c r="D1894" s="5" t="s">
        <v>85</v>
      </c>
      <c r="E1894" s="5" t="s">
        <v>85</v>
      </c>
      <c r="F1894" s="2" t="n">
        <v>17</v>
      </c>
      <c r="G1894" s="5" t="s">
        <v>64</v>
      </c>
      <c r="H1894" s="2" t="n">
        <v>0</v>
      </c>
      <c r="I1894" s="2" t="n">
        <v>1</v>
      </c>
      <c r="J1894" s="2" t="n">
        <v>1</v>
      </c>
      <c r="K1894" s="7" t="n">
        <v>0.820519540419591</v>
      </c>
      <c r="L1894" s="7" t="n">
        <v>0.0840959824841656</v>
      </c>
      <c r="M1894" s="7" t="n">
        <v>0.0959604218972895</v>
      </c>
      <c r="N1894" s="2"/>
      <c r="O1894" s="2"/>
      <c r="P1894" s="2"/>
      <c r="Q1894" s="5" t="s">
        <v>123</v>
      </c>
      <c r="R1894" s="2"/>
      <c r="S1894" s="5" t="s">
        <v>60</v>
      </c>
      <c r="T1894" s="5" t="s">
        <v>87</v>
      </c>
    </row>
    <row r="1895" customFormat="false" ht="15" hidden="false" customHeight="false" outlineLevel="0" collapsed="false">
      <c r="A1895" s="5" t="s">
        <v>4</v>
      </c>
      <c r="B1895" s="5" t="s">
        <v>55</v>
      </c>
      <c r="C1895" s="2" t="s">
        <v>84</v>
      </c>
      <c r="D1895" s="5" t="s">
        <v>85</v>
      </c>
      <c r="E1895" s="5" t="s">
        <v>85</v>
      </c>
      <c r="F1895" s="2" t="n">
        <v>17</v>
      </c>
      <c r="G1895" s="5" t="s">
        <v>65</v>
      </c>
      <c r="H1895" s="2" t="n">
        <v>0</v>
      </c>
      <c r="I1895" s="2" t="n">
        <v>1</v>
      </c>
      <c r="J1895" s="2" t="n">
        <v>1</v>
      </c>
      <c r="K1895" s="7" t="n">
        <v>0.848169045272058</v>
      </c>
      <c r="L1895" s="7" t="n">
        <v>0.130225244270117</v>
      </c>
      <c r="M1895" s="7" t="n">
        <v>0.138871309414417</v>
      </c>
      <c r="N1895" s="2"/>
      <c r="O1895" s="2"/>
      <c r="P1895" s="2"/>
      <c r="Q1895" s="5" t="s">
        <v>124</v>
      </c>
      <c r="R1895" s="2"/>
      <c r="S1895" s="5" t="s">
        <v>60</v>
      </c>
      <c r="T1895" s="5" t="s">
        <v>87</v>
      </c>
    </row>
    <row r="1896" customFormat="false" ht="15" hidden="false" customHeight="false" outlineLevel="0" collapsed="false">
      <c r="A1896" s="5" t="s">
        <v>4</v>
      </c>
      <c r="B1896" s="5" t="s">
        <v>55</v>
      </c>
      <c r="C1896" s="2" t="s">
        <v>84</v>
      </c>
      <c r="D1896" s="5" t="s">
        <v>85</v>
      </c>
      <c r="E1896" s="5" t="s">
        <v>85</v>
      </c>
      <c r="F1896" s="2" t="n">
        <v>17</v>
      </c>
      <c r="G1896" s="5" t="s">
        <v>66</v>
      </c>
      <c r="H1896" s="2" t="n">
        <v>0</v>
      </c>
      <c r="I1896" s="2" t="n">
        <v>1</v>
      </c>
      <c r="J1896" s="2" t="n">
        <v>1</v>
      </c>
      <c r="K1896" s="7" t="n">
        <v>0.739913089131822</v>
      </c>
      <c r="L1896" s="7" t="n">
        <v>0.144198032538346</v>
      </c>
      <c r="M1896" s="7" t="n">
        <v>0.149827631712474</v>
      </c>
      <c r="N1896" s="2"/>
      <c r="O1896" s="2"/>
      <c r="P1896" s="2"/>
      <c r="Q1896" s="5" t="s">
        <v>125</v>
      </c>
      <c r="R1896" s="2"/>
      <c r="S1896" s="5" t="s">
        <v>60</v>
      </c>
      <c r="T1896" s="5" t="s">
        <v>87</v>
      </c>
    </row>
    <row r="1897" customFormat="false" ht="15" hidden="false" customHeight="false" outlineLevel="0" collapsed="false">
      <c r="A1897" s="5" t="s">
        <v>4</v>
      </c>
      <c r="B1897" s="5" t="s">
        <v>55</v>
      </c>
      <c r="C1897" s="2" t="s">
        <v>84</v>
      </c>
      <c r="D1897" s="5" t="s">
        <v>85</v>
      </c>
      <c r="E1897" s="5" t="s">
        <v>85</v>
      </c>
      <c r="F1897" s="2" t="n">
        <v>17</v>
      </c>
      <c r="G1897" s="5" t="s">
        <v>67</v>
      </c>
      <c r="H1897" s="2" t="n">
        <v>1</v>
      </c>
      <c r="I1897" s="2" t="n">
        <v>1</v>
      </c>
      <c r="J1897" s="2" t="n">
        <v>1</v>
      </c>
      <c r="K1897" s="7" t="n">
        <v>0.462332863870554</v>
      </c>
      <c r="L1897" s="7" t="n">
        <v>0.0331694329265577</v>
      </c>
      <c r="M1897" s="7" t="n">
        <v>0.0450201648035659</v>
      </c>
      <c r="N1897" s="2"/>
      <c r="O1897" s="2"/>
      <c r="P1897" s="2"/>
      <c r="Q1897" s="5" t="s">
        <v>106</v>
      </c>
      <c r="R1897" s="2"/>
      <c r="S1897" s="5" t="s">
        <v>60</v>
      </c>
      <c r="T1897" s="5" t="s">
        <v>87</v>
      </c>
    </row>
    <row r="1898" customFormat="false" ht="15" hidden="false" customHeight="false" outlineLevel="0" collapsed="false">
      <c r="A1898" s="5" t="s">
        <v>4</v>
      </c>
      <c r="B1898" s="5" t="s">
        <v>55</v>
      </c>
      <c r="C1898" s="2" t="s">
        <v>84</v>
      </c>
      <c r="D1898" s="5" t="s">
        <v>85</v>
      </c>
      <c r="E1898" s="5" t="s">
        <v>85</v>
      </c>
      <c r="F1898" s="2" t="n">
        <v>17</v>
      </c>
      <c r="G1898" s="5" t="s">
        <v>68</v>
      </c>
      <c r="H1898" s="2" t="n">
        <v>1</v>
      </c>
      <c r="I1898" s="2" t="n">
        <v>1</v>
      </c>
      <c r="J1898" s="2" t="n">
        <v>1</v>
      </c>
      <c r="K1898" s="7" t="n">
        <v>0.555721893637882</v>
      </c>
      <c r="L1898" s="7" t="n">
        <v>0.0566841451942296</v>
      </c>
      <c r="M1898" s="7" t="n">
        <v>0.0703696541754381</v>
      </c>
      <c r="N1898" s="2"/>
      <c r="O1898" s="2"/>
      <c r="P1898" s="2"/>
      <c r="Q1898" s="5" t="s">
        <v>107</v>
      </c>
      <c r="R1898" s="2"/>
      <c r="S1898" s="5" t="s">
        <v>60</v>
      </c>
      <c r="T1898" s="5" t="s">
        <v>87</v>
      </c>
    </row>
    <row r="1899" customFormat="false" ht="15" hidden="false" customHeight="false" outlineLevel="0" collapsed="false">
      <c r="A1899" s="5" t="s">
        <v>4</v>
      </c>
      <c r="B1899" s="5" t="s">
        <v>55</v>
      </c>
      <c r="C1899" s="2" t="s">
        <v>84</v>
      </c>
      <c r="D1899" s="5" t="s">
        <v>85</v>
      </c>
      <c r="E1899" s="5" t="s">
        <v>85</v>
      </c>
      <c r="F1899" s="2" t="n">
        <v>17</v>
      </c>
      <c r="G1899" s="5" t="s">
        <v>69</v>
      </c>
      <c r="H1899" s="2" t="n">
        <v>1</v>
      </c>
      <c r="I1899" s="2" t="n">
        <v>1</v>
      </c>
      <c r="J1899" s="2" t="n">
        <v>1</v>
      </c>
      <c r="K1899" s="7" t="n">
        <v>0.614918570936679</v>
      </c>
      <c r="L1899" s="7" t="n">
        <v>0.0491245417526448</v>
      </c>
      <c r="M1899" s="7" t="n">
        <v>0.0660191034676991</v>
      </c>
      <c r="N1899" s="2"/>
      <c r="O1899" s="2"/>
      <c r="P1899" s="2"/>
      <c r="Q1899" s="5" t="s">
        <v>108</v>
      </c>
      <c r="R1899" s="2"/>
      <c r="S1899" s="5" t="s">
        <v>60</v>
      </c>
      <c r="T1899" s="5" t="s">
        <v>87</v>
      </c>
    </row>
    <row r="1900" customFormat="false" ht="15" hidden="false" customHeight="false" outlineLevel="0" collapsed="false">
      <c r="A1900" s="5" t="s">
        <v>4</v>
      </c>
      <c r="B1900" s="5" t="s">
        <v>55</v>
      </c>
      <c r="C1900" s="2" t="s">
        <v>84</v>
      </c>
      <c r="D1900" s="5" t="s">
        <v>85</v>
      </c>
      <c r="E1900" s="5" t="s">
        <v>85</v>
      </c>
      <c r="F1900" s="2" t="n">
        <v>17</v>
      </c>
      <c r="G1900" s="5" t="s">
        <v>70</v>
      </c>
      <c r="H1900" s="2" t="n">
        <v>0</v>
      </c>
      <c r="I1900" s="2" t="n">
        <v>1</v>
      </c>
      <c r="J1900" s="2" t="n">
        <v>1</v>
      </c>
      <c r="K1900" s="7" t="n">
        <v>0.623604447832802</v>
      </c>
      <c r="L1900" s="7" t="n">
        <v>0.0521257861075091</v>
      </c>
      <c r="M1900" s="7" t="n">
        <v>0.0689617414452577</v>
      </c>
      <c r="N1900" s="2"/>
      <c r="O1900" s="2"/>
      <c r="P1900" s="2"/>
      <c r="Q1900" s="5" t="s">
        <v>126</v>
      </c>
      <c r="R1900" s="2"/>
      <c r="S1900" s="5" t="s">
        <v>60</v>
      </c>
      <c r="T1900" s="5" t="s">
        <v>87</v>
      </c>
    </row>
    <row r="1901" customFormat="false" ht="15" hidden="false" customHeight="false" outlineLevel="0" collapsed="false">
      <c r="A1901" s="5" t="s">
        <v>4</v>
      </c>
      <c r="B1901" s="5" t="s">
        <v>55</v>
      </c>
      <c r="C1901" s="2" t="s">
        <v>84</v>
      </c>
      <c r="D1901" s="5" t="s">
        <v>85</v>
      </c>
      <c r="E1901" s="5" t="s">
        <v>85</v>
      </c>
      <c r="F1901" s="2" t="n">
        <v>17</v>
      </c>
      <c r="G1901" s="5" t="s">
        <v>71</v>
      </c>
      <c r="H1901" s="2" t="n">
        <v>1</v>
      </c>
      <c r="I1901" s="2" t="n">
        <v>1</v>
      </c>
      <c r="J1901" s="2" t="n">
        <v>1</v>
      </c>
      <c r="K1901" s="7" t="n">
        <v>0.353538549804648</v>
      </c>
      <c r="L1901" s="7" t="n">
        <v>0.0298199511476283</v>
      </c>
      <c r="M1901" s="7" t="n">
        <v>0.0405538517764605</v>
      </c>
      <c r="N1901" s="2"/>
      <c r="O1901" s="2"/>
      <c r="P1901" s="2"/>
      <c r="Q1901" s="5" t="s">
        <v>110</v>
      </c>
      <c r="R1901" s="2"/>
      <c r="S1901" s="5" t="s">
        <v>60</v>
      </c>
      <c r="T1901" s="5" t="s">
        <v>87</v>
      </c>
    </row>
    <row r="1902" customFormat="false" ht="15" hidden="false" customHeight="false" outlineLevel="0" collapsed="false">
      <c r="A1902" s="5" t="s">
        <v>4</v>
      </c>
      <c r="B1902" s="5" t="s">
        <v>55</v>
      </c>
      <c r="C1902" s="2" t="s">
        <v>84</v>
      </c>
      <c r="D1902" s="5" t="s">
        <v>85</v>
      </c>
      <c r="E1902" s="5" t="s">
        <v>85</v>
      </c>
      <c r="F1902" s="2" t="n">
        <v>17</v>
      </c>
      <c r="G1902" s="5" t="s">
        <v>72</v>
      </c>
      <c r="H1902" s="2" t="n">
        <v>1</v>
      </c>
      <c r="I1902" s="2" t="n">
        <v>1</v>
      </c>
      <c r="J1902" s="2" t="n">
        <v>1</v>
      </c>
      <c r="K1902" s="7" t="n">
        <v>0.478797293196053</v>
      </c>
      <c r="L1902" s="7" t="n">
        <v>0.081309159940766</v>
      </c>
      <c r="M1902" s="7" t="n">
        <v>0.0856063061590457</v>
      </c>
      <c r="N1902" s="2"/>
      <c r="O1902" s="2"/>
      <c r="P1902" s="2"/>
      <c r="Q1902" s="5" t="s">
        <v>111</v>
      </c>
      <c r="R1902" s="2"/>
      <c r="S1902" s="5" t="s">
        <v>60</v>
      </c>
      <c r="T1902" s="5" t="s">
        <v>87</v>
      </c>
    </row>
    <row r="1903" customFormat="false" ht="15" hidden="false" customHeight="false" outlineLevel="0" collapsed="false">
      <c r="A1903" s="5" t="s">
        <v>4</v>
      </c>
      <c r="B1903" s="5" t="s">
        <v>55</v>
      </c>
      <c r="C1903" s="2" t="s">
        <v>84</v>
      </c>
      <c r="D1903" s="5" t="s">
        <v>85</v>
      </c>
      <c r="E1903" s="5" t="s">
        <v>85</v>
      </c>
      <c r="F1903" s="2" t="n">
        <v>17</v>
      </c>
      <c r="G1903" s="5" t="s">
        <v>73</v>
      </c>
      <c r="H1903" s="2" t="n">
        <v>0</v>
      </c>
      <c r="I1903" s="2" t="n">
        <v>1</v>
      </c>
      <c r="J1903" s="2" t="n">
        <v>1</v>
      </c>
      <c r="K1903" s="7" t="n">
        <v>0.704651986708949</v>
      </c>
      <c r="L1903" s="7" t="n">
        <v>0.100104298857107</v>
      </c>
      <c r="M1903" s="7" t="n">
        <v>0.107662610355027</v>
      </c>
      <c r="N1903" s="2"/>
      <c r="O1903" s="2"/>
      <c r="P1903" s="2"/>
      <c r="Q1903" s="5" t="s">
        <v>127</v>
      </c>
      <c r="R1903" s="2"/>
      <c r="S1903" s="5" t="s">
        <v>60</v>
      </c>
      <c r="T1903" s="5" t="s">
        <v>87</v>
      </c>
    </row>
    <row r="1904" customFormat="false" ht="15" hidden="false" customHeight="false" outlineLevel="0" collapsed="false">
      <c r="A1904" s="5" t="s">
        <v>4</v>
      </c>
      <c r="B1904" s="5" t="s">
        <v>55</v>
      </c>
      <c r="C1904" s="2" t="s">
        <v>84</v>
      </c>
      <c r="D1904" s="5" t="s">
        <v>85</v>
      </c>
      <c r="E1904" s="5" t="s">
        <v>85</v>
      </c>
      <c r="F1904" s="2" t="n">
        <v>17</v>
      </c>
      <c r="G1904" s="5" t="s">
        <v>74</v>
      </c>
      <c r="H1904" s="2" t="n">
        <v>1</v>
      </c>
      <c r="I1904" s="2" t="n">
        <v>1</v>
      </c>
      <c r="J1904" s="2" t="n">
        <v>1</v>
      </c>
      <c r="K1904" s="7" t="n">
        <v>0.146442670133516</v>
      </c>
      <c r="L1904" s="7" t="n">
        <v>0.0537592648496822</v>
      </c>
      <c r="M1904" s="7" t="n">
        <v>0.055047379107751</v>
      </c>
      <c r="N1904" s="2"/>
      <c r="O1904" s="2"/>
      <c r="P1904" s="2"/>
      <c r="Q1904" s="5" t="s">
        <v>99</v>
      </c>
      <c r="R1904" s="2"/>
      <c r="S1904" s="5" t="s">
        <v>60</v>
      </c>
      <c r="T1904" s="5" t="s">
        <v>87</v>
      </c>
    </row>
    <row r="1905" customFormat="false" ht="15" hidden="false" customHeight="false" outlineLevel="0" collapsed="false">
      <c r="A1905" s="5" t="s">
        <v>4</v>
      </c>
      <c r="B1905" s="5" t="s">
        <v>55</v>
      </c>
      <c r="C1905" s="2" t="s">
        <v>84</v>
      </c>
      <c r="D1905" s="5" t="s">
        <v>85</v>
      </c>
      <c r="E1905" s="5" t="s">
        <v>85</v>
      </c>
      <c r="F1905" s="2" t="n">
        <v>17</v>
      </c>
      <c r="G1905" s="5" t="s">
        <v>75</v>
      </c>
      <c r="H1905" s="2" t="n">
        <v>1</v>
      </c>
      <c r="I1905" s="2" t="n">
        <v>1</v>
      </c>
      <c r="J1905" s="2" t="n">
        <v>1</v>
      </c>
      <c r="K1905" s="7" t="n">
        <v>0.409264389567124</v>
      </c>
      <c r="L1905" s="7" t="n">
        <v>0.063504608585056</v>
      </c>
      <c r="M1905" s="7" t="n">
        <v>0.0689299332171328</v>
      </c>
      <c r="N1905" s="2"/>
      <c r="O1905" s="2"/>
      <c r="P1905" s="2"/>
      <c r="Q1905" s="5" t="s">
        <v>100</v>
      </c>
      <c r="R1905" s="2"/>
      <c r="S1905" s="5" t="s">
        <v>60</v>
      </c>
      <c r="T1905" s="5" t="s">
        <v>87</v>
      </c>
    </row>
    <row r="1906" customFormat="false" ht="15" hidden="false" customHeight="false" outlineLevel="0" collapsed="false">
      <c r="A1906" s="5" t="s">
        <v>4</v>
      </c>
      <c r="B1906" s="5" t="s">
        <v>55</v>
      </c>
      <c r="C1906" s="2" t="s">
        <v>84</v>
      </c>
      <c r="D1906" s="5" t="s">
        <v>85</v>
      </c>
      <c r="E1906" s="5" t="s">
        <v>85</v>
      </c>
      <c r="F1906" s="2" t="n">
        <v>17</v>
      </c>
      <c r="G1906" s="5" t="s">
        <v>76</v>
      </c>
      <c r="H1906" s="2" t="n">
        <v>1</v>
      </c>
      <c r="I1906" s="2" t="n">
        <v>1</v>
      </c>
      <c r="J1906" s="2" t="n">
        <v>1</v>
      </c>
      <c r="K1906" s="7" t="n">
        <v>0.326602435000875</v>
      </c>
      <c r="L1906" s="7" t="n">
        <v>0.024679812405484</v>
      </c>
      <c r="M1906" s="7" t="n">
        <v>0.0321004649080503</v>
      </c>
      <c r="N1906" s="2"/>
      <c r="O1906" s="2"/>
      <c r="P1906" s="2"/>
      <c r="Q1906" s="5" t="s">
        <v>101</v>
      </c>
      <c r="R1906" s="2"/>
      <c r="S1906" s="5" t="s">
        <v>60</v>
      </c>
      <c r="T1906" s="5" t="s">
        <v>87</v>
      </c>
    </row>
    <row r="1907" customFormat="false" ht="15" hidden="false" customHeight="false" outlineLevel="0" collapsed="false">
      <c r="A1907" s="5" t="s">
        <v>4</v>
      </c>
      <c r="B1907" s="5" t="s">
        <v>55</v>
      </c>
      <c r="C1907" s="2" t="s">
        <v>84</v>
      </c>
      <c r="D1907" s="5" t="s">
        <v>85</v>
      </c>
      <c r="E1907" s="5" t="s">
        <v>85</v>
      </c>
      <c r="F1907" s="2" t="n">
        <v>18</v>
      </c>
      <c r="G1907" s="5" t="s">
        <v>59</v>
      </c>
      <c r="H1907" s="2" t="n">
        <v>1</v>
      </c>
      <c r="I1907" s="2" t="n">
        <v>1</v>
      </c>
      <c r="J1907" s="2" t="n">
        <v>1</v>
      </c>
      <c r="K1907" s="7" t="n">
        <v>0.54679406411605</v>
      </c>
      <c r="L1907" s="7" t="n">
        <v>0.0620189488980404</v>
      </c>
      <c r="M1907" s="7" t="n">
        <v>0.0693950011388616</v>
      </c>
      <c r="N1907" s="2"/>
      <c r="O1907" s="2"/>
      <c r="P1907" s="2"/>
      <c r="Q1907" s="5" t="s">
        <v>86</v>
      </c>
      <c r="R1907" s="2"/>
      <c r="S1907" s="5" t="s">
        <v>60</v>
      </c>
      <c r="T1907" s="5" t="s">
        <v>87</v>
      </c>
    </row>
    <row r="1908" customFormat="false" ht="15" hidden="false" customHeight="false" outlineLevel="0" collapsed="false">
      <c r="A1908" s="5" t="s">
        <v>4</v>
      </c>
      <c r="B1908" s="5" t="s">
        <v>55</v>
      </c>
      <c r="C1908" s="2" t="s">
        <v>84</v>
      </c>
      <c r="D1908" s="5" t="s">
        <v>85</v>
      </c>
      <c r="E1908" s="5" t="s">
        <v>85</v>
      </c>
      <c r="F1908" s="2" t="n">
        <v>18</v>
      </c>
      <c r="G1908" s="5" t="s">
        <v>63</v>
      </c>
      <c r="H1908" s="2" t="n">
        <v>1</v>
      </c>
      <c r="I1908" s="2" t="n">
        <v>1</v>
      </c>
      <c r="J1908" s="2" t="n">
        <v>1</v>
      </c>
      <c r="K1908" s="7" t="n">
        <v>0.770734782853417</v>
      </c>
      <c r="L1908" s="7" t="n">
        <v>0.0587973891837451</v>
      </c>
      <c r="M1908" s="7" t="n">
        <v>0.0764028724723153</v>
      </c>
      <c r="N1908" s="2"/>
      <c r="O1908" s="2"/>
      <c r="P1908" s="2"/>
      <c r="Q1908" s="5" t="s">
        <v>102</v>
      </c>
      <c r="R1908" s="2"/>
      <c r="S1908" s="5" t="s">
        <v>60</v>
      </c>
      <c r="T1908" s="5" t="s">
        <v>87</v>
      </c>
    </row>
    <row r="1909" customFormat="false" ht="15" hidden="false" customHeight="false" outlineLevel="0" collapsed="false">
      <c r="A1909" s="5" t="s">
        <v>4</v>
      </c>
      <c r="B1909" s="5" t="s">
        <v>55</v>
      </c>
      <c r="C1909" s="2" t="s">
        <v>84</v>
      </c>
      <c r="D1909" s="5" t="s">
        <v>85</v>
      </c>
      <c r="E1909" s="5" t="s">
        <v>85</v>
      </c>
      <c r="F1909" s="2" t="n">
        <v>18</v>
      </c>
      <c r="G1909" s="5" t="s">
        <v>64</v>
      </c>
      <c r="H1909" s="2" t="n">
        <v>0</v>
      </c>
      <c r="I1909" s="2" t="n">
        <v>1</v>
      </c>
      <c r="J1909" s="2" t="n">
        <v>1</v>
      </c>
      <c r="K1909" s="7" t="n">
        <v>1.22389265687353</v>
      </c>
      <c r="L1909" s="7" t="n">
        <v>0.193005857019712</v>
      </c>
      <c r="M1909" s="7" t="n">
        <v>0.212820207632782</v>
      </c>
      <c r="N1909" s="2"/>
      <c r="O1909" s="2"/>
      <c r="P1909" s="2"/>
      <c r="Q1909" s="5" t="s">
        <v>133</v>
      </c>
      <c r="R1909" s="2"/>
      <c r="S1909" s="5" t="s">
        <v>60</v>
      </c>
      <c r="T1909" s="5" t="s">
        <v>87</v>
      </c>
    </row>
    <row r="1910" customFormat="false" ht="15" hidden="false" customHeight="false" outlineLevel="0" collapsed="false">
      <c r="A1910" s="5" t="s">
        <v>4</v>
      </c>
      <c r="B1910" s="5" t="s">
        <v>55</v>
      </c>
      <c r="C1910" s="2" t="s">
        <v>84</v>
      </c>
      <c r="D1910" s="5" t="s">
        <v>85</v>
      </c>
      <c r="E1910" s="5" t="s">
        <v>85</v>
      </c>
      <c r="F1910" s="2" t="n">
        <v>18</v>
      </c>
      <c r="G1910" s="5" t="s">
        <v>65</v>
      </c>
      <c r="H1910" s="2" t="n">
        <v>0</v>
      </c>
      <c r="I1910" s="2" t="n">
        <v>1</v>
      </c>
      <c r="J1910" s="2" t="n">
        <v>1</v>
      </c>
      <c r="K1910" s="7" t="n">
        <v>0.853081175173359</v>
      </c>
      <c r="L1910" s="7" t="n">
        <v>0.0836628010119739</v>
      </c>
      <c r="M1910" s="7" t="n">
        <v>0.102681793678768</v>
      </c>
      <c r="N1910" s="2"/>
      <c r="O1910" s="2"/>
      <c r="P1910" s="2"/>
      <c r="Q1910" s="5" t="s">
        <v>134</v>
      </c>
      <c r="R1910" s="2"/>
      <c r="S1910" s="5" t="s">
        <v>60</v>
      </c>
      <c r="T1910" s="5" t="s">
        <v>87</v>
      </c>
    </row>
    <row r="1911" customFormat="false" ht="15" hidden="false" customHeight="false" outlineLevel="0" collapsed="false">
      <c r="A1911" s="5" t="s">
        <v>4</v>
      </c>
      <c r="B1911" s="5" t="s">
        <v>55</v>
      </c>
      <c r="C1911" s="2" t="s">
        <v>84</v>
      </c>
      <c r="D1911" s="5" t="s">
        <v>85</v>
      </c>
      <c r="E1911" s="5" t="s">
        <v>85</v>
      </c>
      <c r="F1911" s="2" t="n">
        <v>18</v>
      </c>
      <c r="G1911" s="5" t="s">
        <v>66</v>
      </c>
      <c r="H1911" s="2" t="n">
        <v>0</v>
      </c>
      <c r="I1911" s="2" t="n">
        <v>1</v>
      </c>
      <c r="J1911" s="2" t="n">
        <v>1</v>
      </c>
      <c r="K1911" s="7" t="n">
        <v>1.18885299204163</v>
      </c>
      <c r="L1911" s="7" t="n">
        <v>0.157345291406418</v>
      </c>
      <c r="M1911" s="7" t="n">
        <v>0.172090618871102</v>
      </c>
      <c r="N1911" s="2"/>
      <c r="O1911" s="2"/>
      <c r="P1911" s="2"/>
      <c r="Q1911" s="5" t="s">
        <v>135</v>
      </c>
      <c r="R1911" s="2"/>
      <c r="S1911" s="5" t="s">
        <v>60</v>
      </c>
      <c r="T1911" s="5" t="s">
        <v>87</v>
      </c>
    </row>
    <row r="1912" customFormat="false" ht="15" hidden="false" customHeight="false" outlineLevel="0" collapsed="false">
      <c r="A1912" s="5" t="s">
        <v>4</v>
      </c>
      <c r="B1912" s="5" t="s">
        <v>55</v>
      </c>
      <c r="C1912" s="2" t="s">
        <v>84</v>
      </c>
      <c r="D1912" s="5" t="s">
        <v>85</v>
      </c>
      <c r="E1912" s="5" t="s">
        <v>85</v>
      </c>
      <c r="F1912" s="2" t="n">
        <v>18</v>
      </c>
      <c r="G1912" s="5" t="s">
        <v>67</v>
      </c>
      <c r="H1912" s="2" t="n">
        <v>1</v>
      </c>
      <c r="I1912" s="2" t="n">
        <v>1</v>
      </c>
      <c r="J1912" s="2" t="n">
        <v>1</v>
      </c>
      <c r="K1912" s="7" t="n">
        <v>0.253154943012623</v>
      </c>
      <c r="L1912" s="7" t="n">
        <v>0.025938181209323</v>
      </c>
      <c r="M1912" s="7" t="n">
        <v>0.0335856925585955</v>
      </c>
      <c r="N1912" s="2"/>
      <c r="O1912" s="2"/>
      <c r="P1912" s="2"/>
      <c r="Q1912" s="5" t="s">
        <v>106</v>
      </c>
      <c r="R1912" s="2"/>
      <c r="S1912" s="5" t="s">
        <v>60</v>
      </c>
      <c r="T1912" s="5" t="s">
        <v>87</v>
      </c>
    </row>
    <row r="1913" customFormat="false" ht="15" hidden="false" customHeight="false" outlineLevel="0" collapsed="false">
      <c r="A1913" s="5" t="s">
        <v>4</v>
      </c>
      <c r="B1913" s="5" t="s">
        <v>55</v>
      </c>
      <c r="C1913" s="2" t="s">
        <v>84</v>
      </c>
      <c r="D1913" s="5" t="s">
        <v>85</v>
      </c>
      <c r="E1913" s="5" t="s">
        <v>85</v>
      </c>
      <c r="F1913" s="2" t="n">
        <v>18</v>
      </c>
      <c r="G1913" s="5" t="s">
        <v>68</v>
      </c>
      <c r="H1913" s="2" t="n">
        <v>1</v>
      </c>
      <c r="I1913" s="2" t="n">
        <v>1</v>
      </c>
      <c r="J1913" s="2" t="n">
        <v>1</v>
      </c>
      <c r="K1913" s="7" t="n">
        <v>0.814870383332215</v>
      </c>
      <c r="L1913" s="7" t="n">
        <v>0.23599170992407</v>
      </c>
      <c r="M1913" s="7" t="n">
        <v>0.246302470520762</v>
      </c>
      <c r="N1913" s="2"/>
      <c r="O1913" s="2"/>
      <c r="P1913" s="2"/>
      <c r="Q1913" s="5" t="s">
        <v>136</v>
      </c>
      <c r="R1913" s="2"/>
      <c r="S1913" s="5" t="s">
        <v>60</v>
      </c>
      <c r="T1913" s="5" t="s">
        <v>87</v>
      </c>
    </row>
    <row r="1914" customFormat="false" ht="15" hidden="false" customHeight="false" outlineLevel="0" collapsed="false">
      <c r="A1914" s="5" t="s">
        <v>4</v>
      </c>
      <c r="B1914" s="5" t="s">
        <v>55</v>
      </c>
      <c r="C1914" s="2" t="s">
        <v>84</v>
      </c>
      <c r="D1914" s="5" t="s">
        <v>85</v>
      </c>
      <c r="E1914" s="5" t="s">
        <v>85</v>
      </c>
      <c r="F1914" s="2" t="n">
        <v>18</v>
      </c>
      <c r="G1914" s="5" t="s">
        <v>69</v>
      </c>
      <c r="H1914" s="2" t="n">
        <v>1</v>
      </c>
      <c r="I1914" s="2" t="n">
        <v>1</v>
      </c>
      <c r="J1914" s="2" t="n">
        <v>1</v>
      </c>
      <c r="K1914" s="7" t="n">
        <v>0.341871296438052</v>
      </c>
      <c r="L1914" s="7" t="n">
        <v>0.155309282141551</v>
      </c>
      <c r="M1914" s="7" t="n">
        <v>0.158999486049636</v>
      </c>
      <c r="N1914" s="2"/>
      <c r="O1914" s="2"/>
      <c r="P1914" s="2"/>
      <c r="Q1914" s="5" t="s">
        <v>137</v>
      </c>
      <c r="R1914" s="2"/>
      <c r="S1914" s="5" t="s">
        <v>60</v>
      </c>
      <c r="T1914" s="5" t="s">
        <v>87</v>
      </c>
    </row>
    <row r="1915" customFormat="false" ht="15" hidden="false" customHeight="false" outlineLevel="0" collapsed="false">
      <c r="A1915" s="5" t="s">
        <v>4</v>
      </c>
      <c r="B1915" s="5" t="s">
        <v>55</v>
      </c>
      <c r="C1915" s="2" t="s">
        <v>84</v>
      </c>
      <c r="D1915" s="5" t="s">
        <v>85</v>
      </c>
      <c r="E1915" s="5" t="s">
        <v>85</v>
      </c>
      <c r="F1915" s="2" t="n">
        <v>18</v>
      </c>
      <c r="G1915" s="5" t="s">
        <v>70</v>
      </c>
      <c r="H1915" s="2" t="n">
        <v>0</v>
      </c>
      <c r="I1915" s="2" t="n">
        <v>1</v>
      </c>
      <c r="J1915" s="2" t="n">
        <v>1</v>
      </c>
      <c r="K1915" s="7" t="n">
        <v>0.645258572433233</v>
      </c>
      <c r="L1915" s="7" t="n">
        <v>0.034590556936157</v>
      </c>
      <c r="M1915" s="7" t="n">
        <v>0.0554246594852134</v>
      </c>
      <c r="N1915" s="2"/>
      <c r="O1915" s="2"/>
      <c r="P1915" s="2"/>
      <c r="Q1915" s="5" t="s">
        <v>138</v>
      </c>
      <c r="R1915" s="2"/>
      <c r="S1915" s="5" t="s">
        <v>60</v>
      </c>
      <c r="T1915" s="5" t="s">
        <v>87</v>
      </c>
    </row>
    <row r="1916" customFormat="false" ht="15" hidden="false" customHeight="false" outlineLevel="0" collapsed="false">
      <c r="A1916" s="5" t="s">
        <v>4</v>
      </c>
      <c r="B1916" s="5" t="s">
        <v>55</v>
      </c>
      <c r="C1916" s="2" t="s">
        <v>84</v>
      </c>
      <c r="D1916" s="5" t="s">
        <v>85</v>
      </c>
      <c r="E1916" s="5" t="s">
        <v>85</v>
      </c>
      <c r="F1916" s="2" t="n">
        <v>18</v>
      </c>
      <c r="G1916" s="5" t="s">
        <v>71</v>
      </c>
      <c r="H1916" s="2" t="n">
        <v>1</v>
      </c>
      <c r="I1916" s="2" t="n">
        <v>1</v>
      </c>
      <c r="J1916" s="2" t="n">
        <v>1</v>
      </c>
      <c r="K1916" s="7" t="n">
        <v>0.589769212995051</v>
      </c>
      <c r="L1916" s="7" t="n">
        <v>0.248086339746121</v>
      </c>
      <c r="M1916" s="7" t="n">
        <v>0.249226394825029</v>
      </c>
      <c r="N1916" s="2"/>
      <c r="O1916" s="2"/>
      <c r="P1916" s="2"/>
      <c r="Q1916" s="5" t="s">
        <v>139</v>
      </c>
      <c r="R1916" s="2"/>
      <c r="S1916" s="5" t="s">
        <v>60</v>
      </c>
      <c r="T1916" s="5" t="s">
        <v>87</v>
      </c>
    </row>
    <row r="1917" customFormat="false" ht="15" hidden="false" customHeight="false" outlineLevel="0" collapsed="false">
      <c r="A1917" s="5" t="s">
        <v>4</v>
      </c>
      <c r="B1917" s="5" t="s">
        <v>55</v>
      </c>
      <c r="C1917" s="2" t="s">
        <v>84</v>
      </c>
      <c r="D1917" s="5" t="s">
        <v>85</v>
      </c>
      <c r="E1917" s="5" t="s">
        <v>85</v>
      </c>
      <c r="F1917" s="2" t="n">
        <v>18</v>
      </c>
      <c r="G1917" s="5" t="s">
        <v>72</v>
      </c>
      <c r="H1917" s="2" t="n">
        <v>1</v>
      </c>
      <c r="I1917" s="2" t="n">
        <v>1</v>
      </c>
      <c r="J1917" s="2" t="n">
        <v>1</v>
      </c>
      <c r="K1917" s="7" t="n">
        <v>0.0908178586045569</v>
      </c>
      <c r="L1917" s="7" t="n">
        <v>0.136076914421328</v>
      </c>
      <c r="M1917" s="7" t="n">
        <v>0.136220456465337</v>
      </c>
      <c r="N1917" s="2"/>
      <c r="O1917" s="2"/>
      <c r="P1917" s="2"/>
      <c r="Q1917" s="5" t="s">
        <v>140</v>
      </c>
      <c r="R1917" s="2"/>
      <c r="S1917" s="5" t="s">
        <v>60</v>
      </c>
      <c r="T1917" s="5" t="s">
        <v>87</v>
      </c>
    </row>
    <row r="1918" customFormat="false" ht="15" hidden="false" customHeight="false" outlineLevel="0" collapsed="false">
      <c r="A1918" s="5" t="s">
        <v>4</v>
      </c>
      <c r="B1918" s="5" t="s">
        <v>55</v>
      </c>
      <c r="C1918" s="2" t="s">
        <v>84</v>
      </c>
      <c r="D1918" s="5" t="s">
        <v>85</v>
      </c>
      <c r="E1918" s="5" t="s">
        <v>85</v>
      </c>
      <c r="F1918" s="2" t="n">
        <v>18</v>
      </c>
      <c r="G1918" s="5" t="s">
        <v>73</v>
      </c>
      <c r="H1918" s="2" t="n">
        <v>0</v>
      </c>
      <c r="I1918" s="2" t="n">
        <v>1</v>
      </c>
      <c r="J1918" s="2" t="n">
        <v>1</v>
      </c>
      <c r="K1918" s="7" t="n">
        <v>0.469952847934674</v>
      </c>
      <c r="L1918" s="7" t="n">
        <v>0.0346017670389978</v>
      </c>
      <c r="M1918" s="7" t="n">
        <v>0.0438859716182907</v>
      </c>
      <c r="N1918" s="2"/>
      <c r="O1918" s="2"/>
      <c r="P1918" s="2"/>
      <c r="Q1918" s="5" t="s">
        <v>141</v>
      </c>
      <c r="R1918" s="2"/>
      <c r="S1918" s="5" t="s">
        <v>60</v>
      </c>
      <c r="T1918" s="5" t="s">
        <v>87</v>
      </c>
    </row>
    <row r="1919" customFormat="false" ht="15" hidden="false" customHeight="false" outlineLevel="0" collapsed="false">
      <c r="A1919" s="5" t="s">
        <v>4</v>
      </c>
      <c r="B1919" s="5" t="s">
        <v>55</v>
      </c>
      <c r="C1919" s="2" t="s">
        <v>84</v>
      </c>
      <c r="D1919" s="5" t="s">
        <v>85</v>
      </c>
      <c r="E1919" s="5" t="s">
        <v>85</v>
      </c>
      <c r="F1919" s="2" t="n">
        <v>18</v>
      </c>
      <c r="G1919" s="5" t="s">
        <v>74</v>
      </c>
      <c r="H1919" s="2" t="n">
        <v>1</v>
      </c>
      <c r="I1919" s="2" t="n">
        <v>1</v>
      </c>
      <c r="J1919" s="2" t="n">
        <v>1</v>
      </c>
      <c r="K1919" s="7" t="n">
        <v>0.510426767468415</v>
      </c>
      <c r="L1919" s="7" t="n">
        <v>0.0780309791284105</v>
      </c>
      <c r="M1919" s="7" t="n">
        <v>0.0858605009304323</v>
      </c>
      <c r="N1919" s="2"/>
      <c r="O1919" s="2"/>
      <c r="P1919" s="2"/>
      <c r="Q1919" s="5" t="s">
        <v>99</v>
      </c>
      <c r="R1919" s="2"/>
      <c r="S1919" s="5" t="s">
        <v>60</v>
      </c>
      <c r="T1919" s="5" t="s">
        <v>87</v>
      </c>
    </row>
    <row r="1920" customFormat="false" ht="15" hidden="false" customHeight="false" outlineLevel="0" collapsed="false">
      <c r="A1920" s="5" t="s">
        <v>4</v>
      </c>
      <c r="B1920" s="5" t="s">
        <v>55</v>
      </c>
      <c r="C1920" s="2" t="s">
        <v>84</v>
      </c>
      <c r="D1920" s="5" t="s">
        <v>85</v>
      </c>
      <c r="E1920" s="5" t="s">
        <v>85</v>
      </c>
      <c r="F1920" s="2" t="n">
        <v>18</v>
      </c>
      <c r="G1920" s="5" t="s">
        <v>75</v>
      </c>
      <c r="H1920" s="2" t="n">
        <v>1</v>
      </c>
      <c r="I1920" s="2" t="n">
        <v>1</v>
      </c>
      <c r="J1920" s="2" t="n">
        <v>1</v>
      </c>
      <c r="K1920" s="7" t="n">
        <v>0.731050271732869</v>
      </c>
      <c r="L1920" s="7" t="n">
        <v>0.122835919660461</v>
      </c>
      <c r="M1920" s="7" t="n">
        <v>0.133710838209635</v>
      </c>
      <c r="N1920" s="2"/>
      <c r="O1920" s="2"/>
      <c r="P1920" s="2"/>
      <c r="Q1920" s="5" t="s">
        <v>113</v>
      </c>
      <c r="R1920" s="2"/>
      <c r="S1920" s="5" t="s">
        <v>60</v>
      </c>
      <c r="T1920" s="5" t="s">
        <v>87</v>
      </c>
    </row>
    <row r="1921" customFormat="false" ht="15" hidden="false" customHeight="false" outlineLevel="0" collapsed="false">
      <c r="A1921" s="5" t="s">
        <v>4</v>
      </c>
      <c r="B1921" s="5" t="s">
        <v>55</v>
      </c>
      <c r="C1921" s="2" t="s">
        <v>84</v>
      </c>
      <c r="D1921" s="5" t="s">
        <v>85</v>
      </c>
      <c r="E1921" s="5" t="s">
        <v>85</v>
      </c>
      <c r="F1921" s="2" t="n">
        <v>18</v>
      </c>
      <c r="G1921" s="5" t="s">
        <v>76</v>
      </c>
      <c r="H1921" s="2" t="n">
        <v>1</v>
      </c>
      <c r="I1921" s="2" t="n">
        <v>1</v>
      </c>
      <c r="J1921" s="2" t="n">
        <v>1</v>
      </c>
      <c r="K1921" s="7" t="n">
        <v>0.431656120395215</v>
      </c>
      <c r="L1921" s="7" t="n">
        <v>0.034667719236691</v>
      </c>
      <c r="M1921" s="7" t="n">
        <v>0.0456032136334858</v>
      </c>
      <c r="N1921" s="2"/>
      <c r="O1921" s="2"/>
      <c r="P1921" s="2"/>
      <c r="Q1921" s="5" t="s">
        <v>114</v>
      </c>
      <c r="R1921" s="2"/>
      <c r="S1921" s="5" t="s">
        <v>60</v>
      </c>
      <c r="T1921" s="5" t="s">
        <v>87</v>
      </c>
    </row>
    <row r="1922" customFormat="false" ht="15" hidden="false" customHeight="false" outlineLevel="0" collapsed="false">
      <c r="A1922" s="5" t="s">
        <v>4</v>
      </c>
      <c r="B1922" s="5" t="s">
        <v>55</v>
      </c>
      <c r="C1922" s="2" t="s">
        <v>84</v>
      </c>
      <c r="D1922" s="5" t="s">
        <v>85</v>
      </c>
      <c r="E1922" s="5" t="s">
        <v>85</v>
      </c>
      <c r="F1922" s="2" t="n">
        <v>19</v>
      </c>
      <c r="G1922" s="5" t="s">
        <v>59</v>
      </c>
      <c r="H1922" s="2" t="n">
        <v>1</v>
      </c>
      <c r="I1922" s="2" t="n">
        <v>1</v>
      </c>
      <c r="J1922" s="2" t="n">
        <v>1</v>
      </c>
      <c r="K1922" s="7" t="n">
        <v>0.432209537712231</v>
      </c>
      <c r="L1922" s="7" t="n">
        <v>0.0673372315071266</v>
      </c>
      <c r="M1922" s="7" t="n">
        <v>0.0725969196275377</v>
      </c>
      <c r="N1922" s="2"/>
      <c r="O1922" s="2"/>
      <c r="P1922" s="2"/>
      <c r="Q1922" s="5" t="s">
        <v>86</v>
      </c>
      <c r="R1922" s="2"/>
      <c r="S1922" s="5" t="s">
        <v>60</v>
      </c>
      <c r="T1922" s="5" t="s">
        <v>87</v>
      </c>
    </row>
    <row r="1923" customFormat="false" ht="15" hidden="false" customHeight="false" outlineLevel="0" collapsed="false">
      <c r="A1923" s="5" t="s">
        <v>4</v>
      </c>
      <c r="B1923" s="5" t="s">
        <v>55</v>
      </c>
      <c r="C1923" s="2" t="s">
        <v>84</v>
      </c>
      <c r="D1923" s="5" t="s">
        <v>85</v>
      </c>
      <c r="E1923" s="5" t="s">
        <v>85</v>
      </c>
      <c r="F1923" s="2" t="n">
        <v>19</v>
      </c>
      <c r="G1923" s="5" t="s">
        <v>63</v>
      </c>
      <c r="H1923" s="2" t="n">
        <v>1</v>
      </c>
      <c r="I1923" s="2" t="n">
        <v>1</v>
      </c>
      <c r="J1923" s="2" t="n">
        <v>1</v>
      </c>
      <c r="K1923" s="7" t="n">
        <v>0.572730555989204</v>
      </c>
      <c r="L1923" s="7" t="n">
        <v>0.0339260276265205</v>
      </c>
      <c r="M1923" s="7" t="n">
        <v>0.0474033321070611</v>
      </c>
      <c r="N1923" s="2"/>
      <c r="O1923" s="2"/>
      <c r="P1923" s="2"/>
      <c r="Q1923" s="5" t="s">
        <v>122</v>
      </c>
      <c r="R1923" s="2"/>
      <c r="S1923" s="5" t="s">
        <v>60</v>
      </c>
      <c r="T1923" s="5" t="s">
        <v>87</v>
      </c>
    </row>
    <row r="1924" customFormat="false" ht="15" hidden="false" customHeight="false" outlineLevel="0" collapsed="false">
      <c r="A1924" s="5" t="s">
        <v>4</v>
      </c>
      <c r="B1924" s="5" t="s">
        <v>55</v>
      </c>
      <c r="C1924" s="2" t="s">
        <v>84</v>
      </c>
      <c r="D1924" s="5" t="s">
        <v>85</v>
      </c>
      <c r="E1924" s="5" t="s">
        <v>85</v>
      </c>
      <c r="F1924" s="2" t="n">
        <v>19</v>
      </c>
      <c r="G1924" s="5" t="s">
        <v>64</v>
      </c>
      <c r="H1924" s="2" t="n">
        <v>0</v>
      </c>
      <c r="I1924" s="2" t="n">
        <v>1</v>
      </c>
      <c r="J1924" s="2" t="n">
        <v>1</v>
      </c>
      <c r="K1924" s="7" t="n">
        <v>0.555815380148795</v>
      </c>
      <c r="L1924" s="7" t="n">
        <v>0.0877482162901301</v>
      </c>
      <c r="M1924" s="7" t="n">
        <v>0.0981648287091426</v>
      </c>
      <c r="N1924" s="2"/>
      <c r="O1924" s="2"/>
      <c r="P1924" s="2"/>
      <c r="Q1924" s="5" t="s">
        <v>123</v>
      </c>
      <c r="R1924" s="2"/>
      <c r="S1924" s="5" t="s">
        <v>60</v>
      </c>
      <c r="T1924" s="5" t="s">
        <v>87</v>
      </c>
    </row>
    <row r="1925" customFormat="false" ht="15" hidden="false" customHeight="false" outlineLevel="0" collapsed="false">
      <c r="A1925" s="5" t="s">
        <v>4</v>
      </c>
      <c r="B1925" s="5" t="s">
        <v>55</v>
      </c>
      <c r="C1925" s="2" t="s">
        <v>84</v>
      </c>
      <c r="D1925" s="5" t="s">
        <v>85</v>
      </c>
      <c r="E1925" s="5" t="s">
        <v>85</v>
      </c>
      <c r="F1925" s="2" t="n">
        <v>19</v>
      </c>
      <c r="G1925" s="5" t="s">
        <v>65</v>
      </c>
      <c r="H1925" s="2" t="n">
        <v>0</v>
      </c>
      <c r="I1925" s="2" t="n">
        <v>1</v>
      </c>
      <c r="J1925" s="2" t="n">
        <v>1</v>
      </c>
      <c r="K1925" s="7" t="n">
        <v>0.453923150795767</v>
      </c>
      <c r="L1925" s="7" t="n">
        <v>0.0233262951418446</v>
      </c>
      <c r="M1925" s="7" t="n">
        <v>0.0398448793690269</v>
      </c>
      <c r="N1925" s="2"/>
      <c r="O1925" s="2"/>
      <c r="P1925" s="2"/>
      <c r="Q1925" s="5" t="s">
        <v>124</v>
      </c>
      <c r="R1925" s="2"/>
      <c r="S1925" s="5" t="s">
        <v>60</v>
      </c>
      <c r="T1925" s="5" t="s">
        <v>87</v>
      </c>
    </row>
    <row r="1926" customFormat="false" ht="15" hidden="false" customHeight="false" outlineLevel="0" collapsed="false">
      <c r="A1926" s="5" t="s">
        <v>4</v>
      </c>
      <c r="B1926" s="5" t="s">
        <v>55</v>
      </c>
      <c r="C1926" s="2" t="s">
        <v>84</v>
      </c>
      <c r="D1926" s="5" t="s">
        <v>85</v>
      </c>
      <c r="E1926" s="5" t="s">
        <v>85</v>
      </c>
      <c r="F1926" s="2" t="n">
        <v>19</v>
      </c>
      <c r="G1926" s="5" t="s">
        <v>66</v>
      </c>
      <c r="H1926" s="2" t="n">
        <v>0</v>
      </c>
      <c r="I1926" s="2" t="n">
        <v>1</v>
      </c>
      <c r="J1926" s="2" t="n">
        <v>1</v>
      </c>
      <c r="K1926" s="7" t="n">
        <v>0.396899602865116</v>
      </c>
      <c r="L1926" s="7" t="n">
        <v>0.03348643921561</v>
      </c>
      <c r="M1926" s="7" t="n">
        <v>0.0492183787891857</v>
      </c>
      <c r="N1926" s="2"/>
      <c r="O1926" s="2"/>
      <c r="P1926" s="2"/>
      <c r="Q1926" s="5" t="s">
        <v>125</v>
      </c>
      <c r="R1926" s="2"/>
      <c r="S1926" s="5" t="s">
        <v>60</v>
      </c>
      <c r="T1926" s="5" t="s">
        <v>87</v>
      </c>
    </row>
    <row r="1927" customFormat="false" ht="15" hidden="false" customHeight="false" outlineLevel="0" collapsed="false">
      <c r="A1927" s="5" t="s">
        <v>4</v>
      </c>
      <c r="B1927" s="5" t="s">
        <v>55</v>
      </c>
      <c r="C1927" s="2" t="s">
        <v>84</v>
      </c>
      <c r="D1927" s="5" t="s">
        <v>85</v>
      </c>
      <c r="E1927" s="5" t="s">
        <v>85</v>
      </c>
      <c r="F1927" s="2" t="n">
        <v>19</v>
      </c>
      <c r="G1927" s="5" t="s">
        <v>67</v>
      </c>
      <c r="H1927" s="2" t="n">
        <v>1</v>
      </c>
      <c r="I1927" s="2" t="n">
        <v>1</v>
      </c>
      <c r="J1927" s="2" t="n">
        <v>1</v>
      </c>
      <c r="K1927" s="7" t="n">
        <v>0.307435283856064</v>
      </c>
      <c r="L1927" s="7" t="n">
        <v>0.0626864591837881</v>
      </c>
      <c r="M1927" s="7" t="n">
        <v>0.065949509488992</v>
      </c>
      <c r="N1927" s="2"/>
      <c r="O1927" s="2"/>
      <c r="P1927" s="2"/>
      <c r="Q1927" s="5" t="s">
        <v>142</v>
      </c>
      <c r="R1927" s="2"/>
      <c r="S1927" s="5" t="s">
        <v>60</v>
      </c>
      <c r="T1927" s="5" t="s">
        <v>87</v>
      </c>
    </row>
    <row r="1928" customFormat="false" ht="15" hidden="false" customHeight="false" outlineLevel="0" collapsed="false">
      <c r="A1928" s="5" t="s">
        <v>4</v>
      </c>
      <c r="B1928" s="5" t="s">
        <v>55</v>
      </c>
      <c r="C1928" s="2" t="s">
        <v>84</v>
      </c>
      <c r="D1928" s="5" t="s">
        <v>85</v>
      </c>
      <c r="E1928" s="5" t="s">
        <v>85</v>
      </c>
      <c r="F1928" s="2" t="n">
        <v>19</v>
      </c>
      <c r="G1928" s="5" t="s">
        <v>68</v>
      </c>
      <c r="H1928" s="2" t="n">
        <v>1</v>
      </c>
      <c r="I1928" s="2" t="n">
        <v>1</v>
      </c>
      <c r="J1928" s="2" t="n">
        <v>1</v>
      </c>
      <c r="K1928" s="7" t="n">
        <v>0.270121327275318</v>
      </c>
      <c r="L1928" s="7" t="n">
        <v>0.120347072628614</v>
      </c>
      <c r="M1928" s="7" t="n">
        <v>0.122426268215326</v>
      </c>
      <c r="N1928" s="2"/>
      <c r="O1928" s="2"/>
      <c r="P1928" s="2"/>
      <c r="Q1928" s="5" t="s">
        <v>143</v>
      </c>
      <c r="R1928" s="2"/>
      <c r="S1928" s="5" t="s">
        <v>60</v>
      </c>
      <c r="T1928" s="5" t="s">
        <v>87</v>
      </c>
    </row>
    <row r="1929" customFormat="false" ht="15" hidden="false" customHeight="false" outlineLevel="0" collapsed="false">
      <c r="A1929" s="5" t="s">
        <v>4</v>
      </c>
      <c r="B1929" s="5" t="s">
        <v>55</v>
      </c>
      <c r="C1929" s="2" t="s">
        <v>84</v>
      </c>
      <c r="D1929" s="5" t="s">
        <v>85</v>
      </c>
      <c r="E1929" s="5" t="s">
        <v>85</v>
      </c>
      <c r="F1929" s="2" t="n">
        <v>19</v>
      </c>
      <c r="G1929" s="5" t="s">
        <v>69</v>
      </c>
      <c r="H1929" s="2" t="n">
        <v>1</v>
      </c>
      <c r="I1929" s="2" t="n">
        <v>1</v>
      </c>
      <c r="J1929" s="2" t="n">
        <v>1</v>
      </c>
      <c r="K1929" s="7" t="n">
        <v>0.178516181774676</v>
      </c>
      <c r="L1929" s="7" t="n">
        <v>0.0667096822391699</v>
      </c>
      <c r="M1929" s="7" t="n">
        <v>0.0679097590120556</v>
      </c>
      <c r="N1929" s="2"/>
      <c r="O1929" s="2"/>
      <c r="P1929" s="2"/>
      <c r="Q1929" s="5" t="s">
        <v>144</v>
      </c>
      <c r="R1929" s="2"/>
      <c r="S1929" s="5" t="s">
        <v>60</v>
      </c>
      <c r="T1929" s="5" t="s">
        <v>87</v>
      </c>
    </row>
    <row r="1930" customFormat="false" ht="15" hidden="false" customHeight="false" outlineLevel="0" collapsed="false">
      <c r="A1930" s="5" t="s">
        <v>4</v>
      </c>
      <c r="B1930" s="5" t="s">
        <v>55</v>
      </c>
      <c r="C1930" s="2" t="s">
        <v>84</v>
      </c>
      <c r="D1930" s="5" t="s">
        <v>85</v>
      </c>
      <c r="E1930" s="5" t="s">
        <v>85</v>
      </c>
      <c r="F1930" s="2" t="n">
        <v>19</v>
      </c>
      <c r="G1930" s="5" t="s">
        <v>70</v>
      </c>
      <c r="H1930" s="2" t="n">
        <v>0</v>
      </c>
      <c r="I1930" s="2" t="n">
        <v>1</v>
      </c>
      <c r="J1930" s="2" t="n">
        <v>1</v>
      </c>
      <c r="K1930" s="7" t="n">
        <v>0.096030634929774</v>
      </c>
      <c r="L1930" s="7" t="n">
        <v>0.0666057401634407</v>
      </c>
      <c r="M1930" s="7" t="n">
        <v>0.0668021149480225</v>
      </c>
      <c r="N1930" s="2"/>
      <c r="O1930" s="2"/>
      <c r="P1930" s="2"/>
      <c r="Q1930" s="5" t="s">
        <v>145</v>
      </c>
      <c r="R1930" s="2"/>
      <c r="S1930" s="5" t="s">
        <v>60</v>
      </c>
      <c r="T1930" s="5" t="s">
        <v>87</v>
      </c>
    </row>
    <row r="1931" customFormat="false" ht="15" hidden="false" customHeight="false" outlineLevel="0" collapsed="false">
      <c r="A1931" s="5" t="s">
        <v>4</v>
      </c>
      <c r="B1931" s="5" t="s">
        <v>55</v>
      </c>
      <c r="C1931" s="2" t="s">
        <v>84</v>
      </c>
      <c r="D1931" s="5" t="s">
        <v>85</v>
      </c>
      <c r="E1931" s="5" t="s">
        <v>85</v>
      </c>
      <c r="F1931" s="2" t="n">
        <v>19</v>
      </c>
      <c r="G1931" s="5" t="s">
        <v>71</v>
      </c>
      <c r="H1931" s="2" t="n">
        <v>1</v>
      </c>
      <c r="I1931" s="2" t="n">
        <v>1</v>
      </c>
      <c r="J1931" s="2" t="n">
        <v>1</v>
      </c>
      <c r="K1931" s="7" t="n">
        <v>0.0932440343001966</v>
      </c>
      <c r="L1931" s="7" t="n">
        <v>0.0692121235654175</v>
      </c>
      <c r="M1931" s="7" t="n">
        <v>0.069912051226139</v>
      </c>
      <c r="N1931" s="2"/>
      <c r="O1931" s="2"/>
      <c r="P1931" s="2"/>
      <c r="Q1931" s="5" t="s">
        <v>110</v>
      </c>
      <c r="R1931" s="2"/>
      <c r="S1931" s="5" t="s">
        <v>60</v>
      </c>
      <c r="T1931" s="5" t="s">
        <v>87</v>
      </c>
    </row>
    <row r="1932" customFormat="false" ht="15" hidden="false" customHeight="false" outlineLevel="0" collapsed="false">
      <c r="A1932" s="5" t="s">
        <v>4</v>
      </c>
      <c r="B1932" s="5" t="s">
        <v>55</v>
      </c>
      <c r="C1932" s="2" t="s">
        <v>84</v>
      </c>
      <c r="D1932" s="5" t="s">
        <v>85</v>
      </c>
      <c r="E1932" s="5" t="s">
        <v>85</v>
      </c>
      <c r="F1932" s="2" t="n">
        <v>19</v>
      </c>
      <c r="G1932" s="5" t="s">
        <v>72</v>
      </c>
      <c r="H1932" s="2" t="n">
        <v>1</v>
      </c>
      <c r="I1932" s="2" t="n">
        <v>1</v>
      </c>
      <c r="J1932" s="2" t="n">
        <v>1</v>
      </c>
      <c r="K1932" s="7" t="n">
        <v>0.142685470429899</v>
      </c>
      <c r="L1932" s="7" t="n">
        <v>0.0222438987738325</v>
      </c>
      <c r="M1932" s="7" t="n">
        <v>0.0239067551413951</v>
      </c>
      <c r="N1932" s="2"/>
      <c r="O1932" s="2"/>
      <c r="P1932" s="2"/>
      <c r="Q1932" s="5" t="s">
        <v>111</v>
      </c>
      <c r="R1932" s="2"/>
      <c r="S1932" s="5" t="s">
        <v>60</v>
      </c>
      <c r="T1932" s="5" t="s">
        <v>87</v>
      </c>
    </row>
    <row r="1933" customFormat="false" ht="15" hidden="false" customHeight="false" outlineLevel="0" collapsed="false">
      <c r="A1933" s="5" t="s">
        <v>4</v>
      </c>
      <c r="B1933" s="5" t="s">
        <v>55</v>
      </c>
      <c r="C1933" s="2" t="s">
        <v>84</v>
      </c>
      <c r="D1933" s="5" t="s">
        <v>85</v>
      </c>
      <c r="E1933" s="5" t="s">
        <v>85</v>
      </c>
      <c r="F1933" s="2" t="n">
        <v>19</v>
      </c>
      <c r="G1933" s="5" t="s">
        <v>73</v>
      </c>
      <c r="H1933" s="2" t="n">
        <v>0</v>
      </c>
      <c r="I1933" s="2" t="n">
        <v>1</v>
      </c>
      <c r="J1933" s="2" t="n">
        <v>1</v>
      </c>
      <c r="K1933" s="7" t="n">
        <v>0.240261841103111</v>
      </c>
      <c r="L1933" s="7" t="n">
        <v>0.0486435648590449</v>
      </c>
      <c r="M1933" s="7" t="n">
        <v>0.0502133351006628</v>
      </c>
      <c r="N1933" s="2"/>
      <c r="O1933" s="2"/>
      <c r="P1933" s="2"/>
      <c r="Q1933" s="5" t="s">
        <v>127</v>
      </c>
      <c r="R1933" s="2"/>
      <c r="S1933" s="5" t="s">
        <v>60</v>
      </c>
      <c r="T1933" s="5" t="s">
        <v>87</v>
      </c>
    </row>
    <row r="1934" customFormat="false" ht="15" hidden="false" customHeight="false" outlineLevel="0" collapsed="false">
      <c r="A1934" s="5" t="s">
        <v>4</v>
      </c>
      <c r="B1934" s="5" t="s">
        <v>55</v>
      </c>
      <c r="C1934" s="2" t="s">
        <v>84</v>
      </c>
      <c r="D1934" s="5" t="s">
        <v>85</v>
      </c>
      <c r="E1934" s="5" t="s">
        <v>85</v>
      </c>
      <c r="F1934" s="2" t="n">
        <v>19</v>
      </c>
      <c r="G1934" s="5" t="s">
        <v>74</v>
      </c>
      <c r="H1934" s="2" t="n">
        <v>1</v>
      </c>
      <c r="I1934" s="2" t="n">
        <v>1</v>
      </c>
      <c r="J1934" s="2" t="n">
        <v>1</v>
      </c>
      <c r="K1934" s="7" t="n">
        <v>0.132872457378637</v>
      </c>
      <c r="L1934" s="7" t="n">
        <v>0.0646201289149528</v>
      </c>
      <c r="M1934" s="7" t="n">
        <v>0.0658483198448981</v>
      </c>
      <c r="N1934" s="2"/>
      <c r="O1934" s="2"/>
      <c r="P1934" s="2"/>
      <c r="Q1934" s="5" t="s">
        <v>99</v>
      </c>
      <c r="R1934" s="2"/>
      <c r="S1934" s="5" t="s">
        <v>60</v>
      </c>
      <c r="T1934" s="5" t="s">
        <v>87</v>
      </c>
    </row>
    <row r="1935" customFormat="false" ht="15" hidden="false" customHeight="false" outlineLevel="0" collapsed="false">
      <c r="A1935" s="5" t="s">
        <v>4</v>
      </c>
      <c r="B1935" s="5" t="s">
        <v>55</v>
      </c>
      <c r="C1935" s="2" t="s">
        <v>84</v>
      </c>
      <c r="D1935" s="5" t="s">
        <v>85</v>
      </c>
      <c r="E1935" s="5" t="s">
        <v>85</v>
      </c>
      <c r="F1935" s="2" t="n">
        <v>19</v>
      </c>
      <c r="G1935" s="5" t="s">
        <v>75</v>
      </c>
      <c r="H1935" s="2" t="n">
        <v>1</v>
      </c>
      <c r="I1935" s="2" t="n">
        <v>1</v>
      </c>
      <c r="J1935" s="2" t="n">
        <v>1</v>
      </c>
      <c r="K1935" s="7" t="n">
        <v>0.20686700268346</v>
      </c>
      <c r="L1935" s="7" t="n">
        <v>0.0690227130752236</v>
      </c>
      <c r="M1935" s="7" t="n">
        <v>0.0707057623887126</v>
      </c>
      <c r="N1935" s="2"/>
      <c r="O1935" s="2"/>
      <c r="P1935" s="2"/>
      <c r="Q1935" s="5" t="s">
        <v>100</v>
      </c>
      <c r="R1935" s="2"/>
      <c r="S1935" s="5" t="s">
        <v>60</v>
      </c>
      <c r="T1935" s="5" t="s">
        <v>87</v>
      </c>
    </row>
    <row r="1936" customFormat="false" ht="15" hidden="false" customHeight="false" outlineLevel="0" collapsed="false">
      <c r="A1936" s="5" t="s">
        <v>4</v>
      </c>
      <c r="B1936" s="5" t="s">
        <v>55</v>
      </c>
      <c r="C1936" s="2" t="s">
        <v>84</v>
      </c>
      <c r="D1936" s="5" t="s">
        <v>85</v>
      </c>
      <c r="E1936" s="5" t="s">
        <v>85</v>
      </c>
      <c r="F1936" s="2" t="n">
        <v>19</v>
      </c>
      <c r="G1936" s="5" t="s">
        <v>76</v>
      </c>
      <c r="H1936" s="2" t="n">
        <v>1</v>
      </c>
      <c r="I1936" s="2" t="n">
        <v>1</v>
      </c>
      <c r="J1936" s="2" t="n">
        <v>1</v>
      </c>
      <c r="K1936" s="7" t="n">
        <v>0.100334139222401</v>
      </c>
      <c r="L1936" s="7" t="n">
        <v>0.0150580789955864</v>
      </c>
      <c r="M1936" s="7" t="n">
        <v>0.0165495286776943</v>
      </c>
      <c r="N1936" s="2"/>
      <c r="O1936" s="2"/>
      <c r="P1936" s="2"/>
      <c r="Q1936" s="5" t="s">
        <v>101</v>
      </c>
      <c r="R1936" s="2"/>
      <c r="S1936" s="5" t="s">
        <v>60</v>
      </c>
      <c r="T1936" s="5" t="s">
        <v>87</v>
      </c>
    </row>
    <row r="1937" customFormat="false" ht="15" hidden="false" customHeight="false" outlineLevel="0" collapsed="false">
      <c r="A1937" s="5" t="s">
        <v>4</v>
      </c>
      <c r="B1937" s="5" t="s">
        <v>55</v>
      </c>
      <c r="C1937" s="2" t="s">
        <v>84</v>
      </c>
      <c r="D1937" s="5" t="s">
        <v>85</v>
      </c>
      <c r="E1937" s="5" t="s">
        <v>85</v>
      </c>
      <c r="F1937" s="2" t="n">
        <v>20</v>
      </c>
      <c r="G1937" s="5" t="s">
        <v>59</v>
      </c>
      <c r="H1937" s="2" t="n">
        <v>1</v>
      </c>
      <c r="I1937" s="2" t="n">
        <v>1</v>
      </c>
      <c r="J1937" s="2" t="n">
        <v>1</v>
      </c>
      <c r="K1937" s="7" t="n">
        <v>0.393093432694585</v>
      </c>
      <c r="L1937" s="7" t="n">
        <v>0.0611277175395336</v>
      </c>
      <c r="M1937" s="7" t="n">
        <v>0.0649250117866452</v>
      </c>
      <c r="N1937" s="2"/>
      <c r="O1937" s="2"/>
      <c r="P1937" s="2"/>
      <c r="Q1937" s="5" t="s">
        <v>86</v>
      </c>
      <c r="R1937" s="2"/>
      <c r="S1937" s="5" t="s">
        <v>60</v>
      </c>
      <c r="T1937" s="5" t="s">
        <v>87</v>
      </c>
    </row>
    <row r="1938" customFormat="false" ht="15" hidden="false" customHeight="false" outlineLevel="0" collapsed="false">
      <c r="A1938" s="5" t="s">
        <v>4</v>
      </c>
      <c r="B1938" s="5" t="s">
        <v>55</v>
      </c>
      <c r="C1938" s="2" t="s">
        <v>84</v>
      </c>
      <c r="D1938" s="5" t="s">
        <v>85</v>
      </c>
      <c r="E1938" s="5" t="s">
        <v>85</v>
      </c>
      <c r="F1938" s="2" t="n">
        <v>20</v>
      </c>
      <c r="G1938" s="5" t="s">
        <v>63</v>
      </c>
      <c r="H1938" s="2" t="n">
        <v>1</v>
      </c>
      <c r="I1938" s="2" t="n">
        <v>1</v>
      </c>
      <c r="J1938" s="2" t="n">
        <v>1</v>
      </c>
      <c r="K1938" s="7" t="n">
        <v>0.246133773240553</v>
      </c>
      <c r="L1938" s="7" t="n">
        <v>0.114689415281209</v>
      </c>
      <c r="M1938" s="7" t="n">
        <v>0.117002295703071</v>
      </c>
      <c r="N1938" s="2"/>
      <c r="O1938" s="2"/>
      <c r="P1938" s="2"/>
      <c r="Q1938" s="5" t="s">
        <v>122</v>
      </c>
      <c r="R1938" s="2"/>
      <c r="S1938" s="5" t="s">
        <v>60</v>
      </c>
      <c r="T1938" s="5" t="s">
        <v>87</v>
      </c>
    </row>
    <row r="1939" customFormat="false" ht="15" hidden="false" customHeight="false" outlineLevel="0" collapsed="false">
      <c r="A1939" s="5" t="s">
        <v>4</v>
      </c>
      <c r="B1939" s="5" t="s">
        <v>55</v>
      </c>
      <c r="C1939" s="2" t="s">
        <v>84</v>
      </c>
      <c r="D1939" s="5" t="s">
        <v>85</v>
      </c>
      <c r="E1939" s="5" t="s">
        <v>85</v>
      </c>
      <c r="F1939" s="2" t="n">
        <v>20</v>
      </c>
      <c r="G1939" s="5" t="s">
        <v>64</v>
      </c>
      <c r="H1939" s="2" t="n">
        <v>0</v>
      </c>
      <c r="I1939" s="2" t="n">
        <v>1</v>
      </c>
      <c r="J1939" s="2" t="n">
        <v>1</v>
      </c>
      <c r="K1939" s="7" t="n">
        <v>0.608388949579851</v>
      </c>
      <c r="L1939" s="7" t="n">
        <v>0.0830719166334962</v>
      </c>
      <c r="M1939" s="7" t="n">
        <v>0.101856072862872</v>
      </c>
      <c r="N1939" s="2"/>
      <c r="O1939" s="2"/>
      <c r="P1939" s="2"/>
      <c r="Q1939" s="5" t="s">
        <v>89</v>
      </c>
      <c r="R1939" s="2"/>
      <c r="S1939" s="5" t="s">
        <v>60</v>
      </c>
      <c r="T1939" s="5" t="s">
        <v>87</v>
      </c>
    </row>
    <row r="1940" customFormat="false" ht="15" hidden="false" customHeight="false" outlineLevel="0" collapsed="false">
      <c r="A1940" s="5" t="s">
        <v>4</v>
      </c>
      <c r="B1940" s="5" t="s">
        <v>55</v>
      </c>
      <c r="C1940" s="2" t="s">
        <v>84</v>
      </c>
      <c r="D1940" s="5" t="s">
        <v>85</v>
      </c>
      <c r="E1940" s="5" t="s">
        <v>85</v>
      </c>
      <c r="F1940" s="2" t="n">
        <v>20</v>
      </c>
      <c r="G1940" s="5" t="s">
        <v>65</v>
      </c>
      <c r="H1940" s="2" t="n">
        <v>0</v>
      </c>
      <c r="I1940" s="2" t="n">
        <v>1</v>
      </c>
      <c r="J1940" s="2" t="n">
        <v>1</v>
      </c>
      <c r="K1940" s="7" t="n">
        <v>0.513395398483928</v>
      </c>
      <c r="L1940" s="7" t="n">
        <v>0.0773825333312687</v>
      </c>
      <c r="M1940" s="7" t="n">
        <v>0.0901661457766945</v>
      </c>
      <c r="N1940" s="2"/>
      <c r="O1940" s="2"/>
      <c r="P1940" s="2"/>
      <c r="Q1940" s="5" t="s">
        <v>90</v>
      </c>
      <c r="R1940" s="2"/>
      <c r="S1940" s="5" t="s">
        <v>60</v>
      </c>
      <c r="T1940" s="5" t="s">
        <v>87</v>
      </c>
    </row>
    <row r="1941" customFormat="false" ht="15" hidden="false" customHeight="false" outlineLevel="0" collapsed="false">
      <c r="A1941" s="5" t="s">
        <v>4</v>
      </c>
      <c r="B1941" s="5" t="s">
        <v>55</v>
      </c>
      <c r="C1941" s="2" t="s">
        <v>84</v>
      </c>
      <c r="D1941" s="5" t="s">
        <v>85</v>
      </c>
      <c r="E1941" s="5" t="s">
        <v>85</v>
      </c>
      <c r="F1941" s="2" t="n">
        <v>20</v>
      </c>
      <c r="G1941" s="5" t="s">
        <v>66</v>
      </c>
      <c r="H1941" s="2" t="n">
        <v>0</v>
      </c>
      <c r="I1941" s="2" t="n">
        <v>1</v>
      </c>
      <c r="J1941" s="2" t="n">
        <v>1</v>
      </c>
      <c r="K1941" s="7" t="n">
        <v>0.863109122079624</v>
      </c>
      <c r="L1941" s="7" t="n">
        <v>0.0854335929135052</v>
      </c>
      <c r="M1941" s="7" t="n">
        <v>0.117671843415821</v>
      </c>
      <c r="N1941" s="2"/>
      <c r="O1941" s="2"/>
      <c r="P1941" s="2"/>
      <c r="Q1941" s="5" t="s">
        <v>91</v>
      </c>
      <c r="R1941" s="2"/>
      <c r="S1941" s="5" t="s">
        <v>60</v>
      </c>
      <c r="T1941" s="5" t="s">
        <v>87</v>
      </c>
    </row>
    <row r="1942" customFormat="false" ht="15" hidden="false" customHeight="false" outlineLevel="0" collapsed="false">
      <c r="A1942" s="5" t="s">
        <v>4</v>
      </c>
      <c r="B1942" s="5" t="s">
        <v>55</v>
      </c>
      <c r="C1942" s="2" t="s">
        <v>84</v>
      </c>
      <c r="D1942" s="5" t="s">
        <v>85</v>
      </c>
      <c r="E1942" s="5" t="s">
        <v>85</v>
      </c>
      <c r="F1942" s="2" t="n">
        <v>20</v>
      </c>
      <c r="G1942" s="5" t="s">
        <v>67</v>
      </c>
      <c r="H1942" s="2" t="n">
        <v>1</v>
      </c>
      <c r="I1942" s="2" t="n">
        <v>1</v>
      </c>
      <c r="J1942" s="2" t="n">
        <v>1</v>
      </c>
      <c r="K1942" s="7" t="n">
        <v>0.350740660910671</v>
      </c>
      <c r="L1942" s="7" t="n">
        <v>0.106925920073066</v>
      </c>
      <c r="M1942" s="7" t="n">
        <v>0.109595246244867</v>
      </c>
      <c r="N1942" s="2"/>
      <c r="O1942" s="2"/>
      <c r="P1942" s="2"/>
      <c r="Q1942" s="5" t="s">
        <v>142</v>
      </c>
      <c r="R1942" s="2"/>
      <c r="S1942" s="5" t="s">
        <v>60</v>
      </c>
      <c r="T1942" s="5" t="s">
        <v>87</v>
      </c>
    </row>
    <row r="1943" customFormat="false" ht="15" hidden="false" customHeight="false" outlineLevel="0" collapsed="false">
      <c r="A1943" s="5" t="s">
        <v>4</v>
      </c>
      <c r="B1943" s="5" t="s">
        <v>55</v>
      </c>
      <c r="C1943" s="2" t="s">
        <v>84</v>
      </c>
      <c r="D1943" s="5" t="s">
        <v>85</v>
      </c>
      <c r="E1943" s="5" t="s">
        <v>85</v>
      </c>
      <c r="F1943" s="2" t="n">
        <v>20</v>
      </c>
      <c r="G1943" s="5" t="s">
        <v>68</v>
      </c>
      <c r="H1943" s="2" t="n">
        <v>1</v>
      </c>
      <c r="I1943" s="2" t="n">
        <v>1</v>
      </c>
      <c r="J1943" s="2" t="n">
        <v>1</v>
      </c>
      <c r="K1943" s="7" t="n">
        <v>0.350740916392378</v>
      </c>
      <c r="L1943" s="7" t="n">
        <v>0.0975333751026588</v>
      </c>
      <c r="M1943" s="7" t="n">
        <v>0.104685951534065</v>
      </c>
      <c r="N1943" s="2"/>
      <c r="O1943" s="2"/>
      <c r="P1943" s="2"/>
      <c r="Q1943" s="5" t="s">
        <v>93</v>
      </c>
      <c r="R1943" s="2"/>
      <c r="S1943" s="5" t="s">
        <v>60</v>
      </c>
      <c r="T1943" s="5" t="s">
        <v>87</v>
      </c>
    </row>
    <row r="1944" customFormat="false" ht="15" hidden="false" customHeight="false" outlineLevel="0" collapsed="false">
      <c r="A1944" s="5" t="s">
        <v>4</v>
      </c>
      <c r="B1944" s="5" t="s">
        <v>55</v>
      </c>
      <c r="C1944" s="2" t="s">
        <v>84</v>
      </c>
      <c r="D1944" s="5" t="s">
        <v>85</v>
      </c>
      <c r="E1944" s="5" t="s">
        <v>85</v>
      </c>
      <c r="F1944" s="2" t="n">
        <v>20</v>
      </c>
      <c r="G1944" s="5" t="s">
        <v>69</v>
      </c>
      <c r="H1944" s="2" t="n">
        <v>1</v>
      </c>
      <c r="I1944" s="2" t="n">
        <v>1</v>
      </c>
      <c r="J1944" s="2" t="n">
        <v>1</v>
      </c>
      <c r="K1944" s="7" t="n">
        <v>0.228048779622647</v>
      </c>
      <c r="L1944" s="7" t="n">
        <v>0.0491943556306678</v>
      </c>
      <c r="M1944" s="7" t="n">
        <v>0.0553132420913959</v>
      </c>
      <c r="N1944" s="2"/>
      <c r="O1944" s="2"/>
      <c r="P1944" s="2"/>
      <c r="Q1944" s="5" t="s">
        <v>94</v>
      </c>
      <c r="R1944" s="2"/>
      <c r="S1944" s="5" t="s">
        <v>60</v>
      </c>
      <c r="T1944" s="5" t="s">
        <v>87</v>
      </c>
    </row>
    <row r="1945" customFormat="false" ht="15" hidden="false" customHeight="false" outlineLevel="0" collapsed="false">
      <c r="A1945" s="5" t="s">
        <v>4</v>
      </c>
      <c r="B1945" s="5" t="s">
        <v>55</v>
      </c>
      <c r="C1945" s="2" t="s">
        <v>84</v>
      </c>
      <c r="D1945" s="5" t="s">
        <v>85</v>
      </c>
      <c r="E1945" s="5" t="s">
        <v>85</v>
      </c>
      <c r="F1945" s="2" t="n">
        <v>20</v>
      </c>
      <c r="G1945" s="5" t="s">
        <v>70</v>
      </c>
      <c r="H1945" s="2" t="n">
        <v>0</v>
      </c>
      <c r="I1945" s="2" t="n">
        <v>1</v>
      </c>
      <c r="J1945" s="2" t="n">
        <v>1</v>
      </c>
      <c r="K1945" s="7" t="n">
        <v>0.677307162982662</v>
      </c>
      <c r="L1945" s="7" t="n">
        <v>0.0597066037700422</v>
      </c>
      <c r="M1945" s="7" t="n">
        <v>0.0842208020064241</v>
      </c>
      <c r="N1945" s="2"/>
      <c r="O1945" s="2"/>
      <c r="P1945" s="2"/>
      <c r="Q1945" s="5" t="s">
        <v>95</v>
      </c>
      <c r="R1945" s="2"/>
      <c r="S1945" s="5" t="s">
        <v>60</v>
      </c>
      <c r="T1945" s="5" t="s">
        <v>87</v>
      </c>
    </row>
    <row r="1946" customFormat="false" ht="15" hidden="false" customHeight="false" outlineLevel="0" collapsed="false">
      <c r="A1946" s="5" t="s">
        <v>4</v>
      </c>
      <c r="B1946" s="5" t="s">
        <v>55</v>
      </c>
      <c r="C1946" s="2" t="s">
        <v>84</v>
      </c>
      <c r="D1946" s="5" t="s">
        <v>85</v>
      </c>
      <c r="E1946" s="5" t="s">
        <v>85</v>
      </c>
      <c r="F1946" s="2" t="n">
        <v>20</v>
      </c>
      <c r="G1946" s="5" t="s">
        <v>71</v>
      </c>
      <c r="H1946" s="2" t="n">
        <v>1</v>
      </c>
      <c r="I1946" s="2" t="n">
        <v>1</v>
      </c>
      <c r="J1946" s="2" t="n">
        <v>1</v>
      </c>
      <c r="K1946" s="7" t="n">
        <v>0.429030076753873</v>
      </c>
      <c r="L1946" s="7" t="n">
        <v>0.0421949429332979</v>
      </c>
      <c r="M1946" s="7" t="n">
        <v>0.0560597569496158</v>
      </c>
      <c r="N1946" s="2"/>
      <c r="O1946" s="2"/>
      <c r="P1946" s="2"/>
      <c r="Q1946" s="5" t="s">
        <v>146</v>
      </c>
      <c r="R1946" s="2"/>
      <c r="S1946" s="5" t="s">
        <v>60</v>
      </c>
      <c r="T1946" s="5" t="s">
        <v>87</v>
      </c>
    </row>
    <row r="1947" customFormat="false" ht="15" hidden="false" customHeight="false" outlineLevel="0" collapsed="false">
      <c r="A1947" s="5" t="s">
        <v>4</v>
      </c>
      <c r="B1947" s="5" t="s">
        <v>55</v>
      </c>
      <c r="C1947" s="2" t="s">
        <v>84</v>
      </c>
      <c r="D1947" s="5" t="s">
        <v>85</v>
      </c>
      <c r="E1947" s="5" t="s">
        <v>85</v>
      </c>
      <c r="F1947" s="2" t="n">
        <v>20</v>
      </c>
      <c r="G1947" s="5" t="s">
        <v>72</v>
      </c>
      <c r="H1947" s="2" t="n">
        <v>1</v>
      </c>
      <c r="I1947" s="2" t="n">
        <v>1</v>
      </c>
      <c r="J1947" s="2" t="n">
        <v>1</v>
      </c>
      <c r="K1947" s="7" t="n">
        <v>0.392136637497437</v>
      </c>
      <c r="L1947" s="7" t="n">
        <v>0.107296318495524</v>
      </c>
      <c r="M1947" s="7" t="n">
        <v>0.110168582690401</v>
      </c>
      <c r="N1947" s="2"/>
      <c r="O1947" s="2"/>
      <c r="P1947" s="2"/>
      <c r="Q1947" s="5" t="s">
        <v>147</v>
      </c>
      <c r="R1947" s="2"/>
      <c r="S1947" s="5" t="s">
        <v>60</v>
      </c>
      <c r="T1947" s="5" t="s">
        <v>87</v>
      </c>
    </row>
    <row r="1948" customFormat="false" ht="15" hidden="false" customHeight="false" outlineLevel="0" collapsed="false">
      <c r="A1948" s="5" t="s">
        <v>4</v>
      </c>
      <c r="B1948" s="5" t="s">
        <v>55</v>
      </c>
      <c r="C1948" s="2" t="s">
        <v>84</v>
      </c>
      <c r="D1948" s="5" t="s">
        <v>85</v>
      </c>
      <c r="E1948" s="5" t="s">
        <v>85</v>
      </c>
      <c r="F1948" s="2" t="n">
        <v>20</v>
      </c>
      <c r="G1948" s="5" t="s">
        <v>73</v>
      </c>
      <c r="H1948" s="2" t="n">
        <v>0</v>
      </c>
      <c r="I1948" s="2" t="n">
        <v>1</v>
      </c>
      <c r="J1948" s="2" t="n">
        <v>1</v>
      </c>
      <c r="K1948" s="7" t="n">
        <v>0.625893150350781</v>
      </c>
      <c r="L1948" s="7" t="n">
        <v>0.0909807523634782</v>
      </c>
      <c r="M1948" s="7" t="n">
        <v>0.106297137385962</v>
      </c>
      <c r="N1948" s="2"/>
      <c r="O1948" s="2"/>
      <c r="P1948" s="2"/>
      <c r="Q1948" s="5" t="s">
        <v>148</v>
      </c>
      <c r="R1948" s="2"/>
      <c r="S1948" s="5" t="s">
        <v>60</v>
      </c>
      <c r="T1948" s="5" t="s">
        <v>87</v>
      </c>
    </row>
    <row r="1949" customFormat="false" ht="15" hidden="false" customHeight="false" outlineLevel="0" collapsed="false">
      <c r="A1949" s="5" t="s">
        <v>4</v>
      </c>
      <c r="B1949" s="5" t="s">
        <v>55</v>
      </c>
      <c r="C1949" s="2" t="s">
        <v>84</v>
      </c>
      <c r="D1949" s="5" t="s">
        <v>85</v>
      </c>
      <c r="E1949" s="5" t="s">
        <v>85</v>
      </c>
      <c r="F1949" s="2" t="n">
        <v>20</v>
      </c>
      <c r="G1949" s="5" t="s">
        <v>74</v>
      </c>
      <c r="H1949" s="2" t="n">
        <v>1</v>
      </c>
      <c r="I1949" s="2" t="n">
        <v>1</v>
      </c>
      <c r="J1949" s="2" t="n">
        <v>1</v>
      </c>
      <c r="K1949" s="7" t="n">
        <v>0.15876951566576</v>
      </c>
      <c r="L1949" s="7" t="n">
        <v>0.0705382057460853</v>
      </c>
      <c r="M1949" s="7" t="n">
        <v>0.0718323256949745</v>
      </c>
      <c r="N1949" s="2"/>
      <c r="O1949" s="2"/>
      <c r="P1949" s="2"/>
      <c r="Q1949" s="5" t="s">
        <v>99</v>
      </c>
      <c r="R1949" s="2"/>
      <c r="S1949" s="5" t="s">
        <v>60</v>
      </c>
      <c r="T1949" s="5" t="s">
        <v>87</v>
      </c>
    </row>
    <row r="1950" customFormat="false" ht="15" hidden="false" customHeight="false" outlineLevel="0" collapsed="false">
      <c r="A1950" s="5" t="s">
        <v>4</v>
      </c>
      <c r="B1950" s="5" t="s">
        <v>55</v>
      </c>
      <c r="C1950" s="2" t="s">
        <v>84</v>
      </c>
      <c r="D1950" s="5" t="s">
        <v>85</v>
      </c>
      <c r="E1950" s="5" t="s">
        <v>85</v>
      </c>
      <c r="F1950" s="2" t="n">
        <v>20</v>
      </c>
      <c r="G1950" s="5" t="s">
        <v>75</v>
      </c>
      <c r="H1950" s="2" t="n">
        <v>1</v>
      </c>
      <c r="I1950" s="2" t="n">
        <v>1</v>
      </c>
      <c r="J1950" s="2" t="n">
        <v>1</v>
      </c>
      <c r="K1950" s="7" t="n">
        <v>0.371920980984972</v>
      </c>
      <c r="L1950" s="7" t="n">
        <v>0.115108524834068</v>
      </c>
      <c r="M1950" s="7" t="n">
        <v>0.117286779174697</v>
      </c>
      <c r="N1950" s="2"/>
      <c r="O1950" s="2"/>
      <c r="P1950" s="2"/>
      <c r="Q1950" s="5" t="s">
        <v>100</v>
      </c>
      <c r="R1950" s="2"/>
      <c r="S1950" s="5" t="s">
        <v>60</v>
      </c>
      <c r="T1950" s="5" t="s">
        <v>87</v>
      </c>
    </row>
    <row r="1951" customFormat="false" ht="15" hidden="false" customHeight="false" outlineLevel="0" collapsed="false">
      <c r="A1951" s="5" t="s">
        <v>4</v>
      </c>
      <c r="B1951" s="5" t="s">
        <v>55</v>
      </c>
      <c r="C1951" s="2" t="s">
        <v>84</v>
      </c>
      <c r="D1951" s="5" t="s">
        <v>85</v>
      </c>
      <c r="E1951" s="5" t="s">
        <v>85</v>
      </c>
      <c r="F1951" s="2" t="n">
        <v>20</v>
      </c>
      <c r="G1951" s="5" t="s">
        <v>76</v>
      </c>
      <c r="H1951" s="2" t="n">
        <v>1</v>
      </c>
      <c r="I1951" s="2" t="n">
        <v>1</v>
      </c>
      <c r="J1951" s="2" t="n">
        <v>1</v>
      </c>
      <c r="K1951" s="7" t="n">
        <v>0.528114510854173</v>
      </c>
      <c r="L1951" s="7" t="n">
        <v>0.0919576945945233</v>
      </c>
      <c r="M1951" s="7" t="n">
        <v>0.0987678816089337</v>
      </c>
      <c r="N1951" s="2"/>
      <c r="O1951" s="2"/>
      <c r="P1951" s="2"/>
      <c r="Q1951" s="5" t="s">
        <v>101</v>
      </c>
      <c r="R1951" s="2"/>
      <c r="S1951" s="5" t="s">
        <v>60</v>
      </c>
      <c r="T1951" s="5" t="s">
        <v>87</v>
      </c>
    </row>
  </sheetData>
  <autoFilter ref="A1:T19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9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17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19" min="8" style="0" width="15"/>
  </cols>
  <sheetData>
    <row r="1" customFormat="false" ht="31.5" hidden="false" customHeight="true" outlineLevel="0" collapsed="false">
      <c r="A1" s="1" t="s">
        <v>35</v>
      </c>
      <c r="B1" s="1" t="s">
        <v>38</v>
      </c>
      <c r="C1" s="6" t="s">
        <v>39</v>
      </c>
      <c r="D1" s="6" t="s">
        <v>40</v>
      </c>
      <c r="E1" s="6" t="s">
        <v>149</v>
      </c>
      <c r="F1" s="6" t="s">
        <v>150</v>
      </c>
      <c r="G1" s="1" t="s">
        <v>43</v>
      </c>
      <c r="H1" s="6" t="s">
        <v>151</v>
      </c>
      <c r="I1" s="6" t="s">
        <v>152</v>
      </c>
      <c r="J1" s="6" t="s">
        <v>153</v>
      </c>
      <c r="K1" s="6" t="s">
        <v>154</v>
      </c>
      <c r="L1" s="6" t="s">
        <v>155</v>
      </c>
      <c r="M1" s="6" t="s">
        <v>156</v>
      </c>
      <c r="N1" s="6" t="s">
        <v>157</v>
      </c>
      <c r="O1" s="6" t="s">
        <v>158</v>
      </c>
      <c r="P1" s="6" t="s">
        <v>159</v>
      </c>
      <c r="Q1" s="6" t="s">
        <v>160</v>
      </c>
      <c r="R1" s="6" t="s">
        <v>161</v>
      </c>
      <c r="S1" s="6" t="s">
        <v>162</v>
      </c>
    </row>
    <row r="2" customFormat="false" ht="15" hidden="false" customHeight="false" outlineLevel="0" collapsed="false">
      <c r="A2" s="5" t="s">
        <v>4</v>
      </c>
      <c r="B2" s="5" t="s">
        <v>57</v>
      </c>
      <c r="C2" s="5" t="s">
        <v>58</v>
      </c>
      <c r="D2" s="2" t="n">
        <v>11</v>
      </c>
      <c r="E2" s="5" t="s">
        <v>163</v>
      </c>
      <c r="F2" s="5" t="s">
        <v>164</v>
      </c>
      <c r="G2" s="2" t="n">
        <v>1</v>
      </c>
      <c r="H2" s="7" t="n">
        <v>-0.7180964323</v>
      </c>
      <c r="I2" s="7" t="n">
        <v>-0.6958798513</v>
      </c>
      <c r="J2" s="7" t="n">
        <v>0.009420536849</v>
      </c>
      <c r="K2" s="7" t="n">
        <v>0.6958593404</v>
      </c>
      <c r="L2" s="7" t="n">
        <v>-0.7181543421</v>
      </c>
      <c r="M2" s="7" t="n">
        <v>-0.005841173471</v>
      </c>
      <c r="N2" s="7" t="n">
        <v>0.01083015437</v>
      </c>
      <c r="O2" s="7" t="n">
        <v>0.002360842728</v>
      </c>
      <c r="P2" s="7" t="n">
        <v>0.9999385652</v>
      </c>
      <c r="Q2" s="7" t="n">
        <v>-11.08082119</v>
      </c>
      <c r="R2" s="7" t="n">
        <v>-0.8653282138</v>
      </c>
      <c r="S2" s="7" t="n">
        <v>0.6185074484</v>
      </c>
    </row>
    <row r="3" customFormat="false" ht="15" hidden="false" customHeight="false" outlineLevel="0" collapsed="false">
      <c r="A3" s="5" t="s">
        <v>4</v>
      </c>
      <c r="B3" s="5" t="s">
        <v>57</v>
      </c>
      <c r="C3" s="5" t="s">
        <v>62</v>
      </c>
      <c r="D3" s="2" t="n">
        <v>11</v>
      </c>
      <c r="E3" s="5" t="s">
        <v>163</v>
      </c>
      <c r="F3" s="5" t="s">
        <v>164</v>
      </c>
      <c r="G3" s="2" t="n">
        <v>1</v>
      </c>
      <c r="H3" s="7" t="n">
        <v>-0.7180964323</v>
      </c>
      <c r="I3" s="7" t="n">
        <v>-0.6958798513</v>
      </c>
      <c r="J3" s="7" t="n">
        <v>0.009420536849</v>
      </c>
      <c r="K3" s="7" t="n">
        <v>0.6958593404</v>
      </c>
      <c r="L3" s="7" t="n">
        <v>-0.7181543421</v>
      </c>
      <c r="M3" s="7" t="n">
        <v>-0.005841173471</v>
      </c>
      <c r="N3" s="7" t="n">
        <v>0.01083015437</v>
      </c>
      <c r="O3" s="7" t="n">
        <v>0.002360842728</v>
      </c>
      <c r="P3" s="7" t="n">
        <v>0.9999385652</v>
      </c>
      <c r="Q3" s="7" t="n">
        <v>-11.08082119</v>
      </c>
      <c r="R3" s="7" t="n">
        <v>-0.8653282138</v>
      </c>
      <c r="S3" s="7" t="n">
        <v>0.6185074484</v>
      </c>
    </row>
    <row r="4" customFormat="false" ht="15" hidden="false" customHeight="false" outlineLevel="0" collapsed="false">
      <c r="A4" s="5" t="s">
        <v>4</v>
      </c>
      <c r="B4" s="5" t="s">
        <v>57</v>
      </c>
      <c r="C4" s="5" t="s">
        <v>58</v>
      </c>
      <c r="D4" s="2" t="n">
        <v>11</v>
      </c>
      <c r="E4" s="5" t="s">
        <v>163</v>
      </c>
      <c r="F4" s="5" t="s">
        <v>165</v>
      </c>
      <c r="G4" s="2" t="n">
        <v>1</v>
      </c>
      <c r="H4" s="7" t="n">
        <v>0.9333710794</v>
      </c>
      <c r="I4" s="7" t="n">
        <v>0.3580139358</v>
      </c>
      <c r="J4" s="7" t="n">
        <v>-0.02538601945</v>
      </c>
      <c r="K4" s="7" t="n">
        <v>-0.3577636805</v>
      </c>
      <c r="L4" s="7" t="n">
        <v>0.9337079301</v>
      </c>
      <c r="M4" s="7" t="n">
        <v>0.01395170956</v>
      </c>
      <c r="N4" s="7" t="n">
        <v>0.02869803413</v>
      </c>
      <c r="O4" s="7" t="n">
        <v>-0.003939926458</v>
      </c>
      <c r="P4" s="7" t="n">
        <v>0.9995803619</v>
      </c>
      <c r="Q4" s="7" t="n">
        <v>8.325876392</v>
      </c>
      <c r="R4" s="7" t="n">
        <v>1.395583896</v>
      </c>
      <c r="S4" s="7" t="n">
        <v>0.9267911632</v>
      </c>
    </row>
    <row r="5" customFormat="false" ht="15" hidden="false" customHeight="false" outlineLevel="0" collapsed="false">
      <c r="A5" s="5" t="s">
        <v>4</v>
      </c>
      <c r="B5" s="5" t="s">
        <v>57</v>
      </c>
      <c r="C5" s="5" t="s">
        <v>62</v>
      </c>
      <c r="D5" s="2" t="n">
        <v>11</v>
      </c>
      <c r="E5" s="5" t="s">
        <v>163</v>
      </c>
      <c r="F5" s="5" t="s">
        <v>165</v>
      </c>
      <c r="G5" s="2" t="n">
        <v>1</v>
      </c>
      <c r="H5" s="7" t="n">
        <v>0.9335562701</v>
      </c>
      <c r="I5" s="7" t="n">
        <v>0.3581946053</v>
      </c>
      <c r="J5" s="7" t="n">
        <v>-0.01301212014</v>
      </c>
      <c r="K5" s="7" t="n">
        <v>-0.3579948685</v>
      </c>
      <c r="L5" s="7" t="n">
        <v>0.9335961063</v>
      </c>
      <c r="M5" s="7" t="n">
        <v>0.01542674317</v>
      </c>
      <c r="N5" s="7" t="n">
        <v>0.01767384087</v>
      </c>
      <c r="O5" s="7" t="n">
        <v>-0.009743460575</v>
      </c>
      <c r="P5" s="7" t="n">
        <v>0.9997963294</v>
      </c>
      <c r="Q5" s="7" t="n">
        <v>8.367047918</v>
      </c>
      <c r="R5" s="7" t="n">
        <v>1.394695435</v>
      </c>
      <c r="S5" s="7" t="n">
        <v>0.7598886641</v>
      </c>
    </row>
    <row r="6" customFormat="false" ht="15" hidden="false" customHeight="false" outlineLevel="0" collapsed="false">
      <c r="A6" s="5" t="s">
        <v>4</v>
      </c>
      <c r="B6" s="5" t="s">
        <v>57</v>
      </c>
      <c r="C6" s="5" t="s">
        <v>58</v>
      </c>
      <c r="D6" s="2" t="n">
        <v>11</v>
      </c>
      <c r="E6" s="5" t="s">
        <v>163</v>
      </c>
      <c r="F6" s="5" t="s">
        <v>166</v>
      </c>
      <c r="G6" s="2" t="n">
        <v>1</v>
      </c>
      <c r="H6" s="7" t="n">
        <v>0.9026407557</v>
      </c>
      <c r="I6" s="7" t="n">
        <v>0.4301421766</v>
      </c>
      <c r="J6" s="7" t="n">
        <v>-0.01474361275</v>
      </c>
      <c r="K6" s="7" t="n">
        <v>-0.4302802405</v>
      </c>
      <c r="L6" s="7" t="n">
        <v>0.9026611654</v>
      </c>
      <c r="M6" s="7" t="n">
        <v>-0.007857163688</v>
      </c>
      <c r="N6" s="7" t="n">
        <v>0.009928789175</v>
      </c>
      <c r="O6" s="7" t="n">
        <v>0.01343608141</v>
      </c>
      <c r="P6" s="7" t="n">
        <v>0.9998604357</v>
      </c>
      <c r="Q6" s="7" t="n">
        <v>22.82295858</v>
      </c>
      <c r="R6" s="7" t="n">
        <v>6.547875424</v>
      </c>
      <c r="S6" s="7" t="n">
        <v>1.602245103</v>
      </c>
    </row>
    <row r="7" customFormat="false" ht="15" hidden="false" customHeight="false" outlineLevel="0" collapsed="false">
      <c r="A7" s="5" t="s">
        <v>4</v>
      </c>
      <c r="B7" s="5" t="s">
        <v>57</v>
      </c>
      <c r="C7" s="5" t="s">
        <v>62</v>
      </c>
      <c r="D7" s="2" t="n">
        <v>11</v>
      </c>
      <c r="E7" s="5" t="s">
        <v>163</v>
      </c>
      <c r="F7" s="5" t="s">
        <v>166</v>
      </c>
      <c r="G7" s="2" t="n">
        <v>1</v>
      </c>
      <c r="H7" s="7" t="n">
        <v>0.9026407557</v>
      </c>
      <c r="I7" s="7" t="n">
        <v>0.4301421766</v>
      </c>
      <c r="J7" s="7" t="n">
        <v>-0.01474361275</v>
      </c>
      <c r="K7" s="7" t="n">
        <v>-0.4302802405</v>
      </c>
      <c r="L7" s="7" t="n">
        <v>0.9026611654</v>
      </c>
      <c r="M7" s="7" t="n">
        <v>-0.007857163688</v>
      </c>
      <c r="N7" s="7" t="n">
        <v>0.009928789175</v>
      </c>
      <c r="O7" s="7" t="n">
        <v>0.01343608141</v>
      </c>
      <c r="P7" s="7" t="n">
        <v>0.9998604357</v>
      </c>
      <c r="Q7" s="7" t="n">
        <v>22.82295858</v>
      </c>
      <c r="R7" s="7" t="n">
        <v>6.547875424</v>
      </c>
      <c r="S7" s="7" t="n">
        <v>1.602245103</v>
      </c>
    </row>
    <row r="8" customFormat="false" ht="15" hidden="false" customHeight="false" outlineLevel="0" collapsed="false">
      <c r="A8" s="5" t="s">
        <v>4</v>
      </c>
      <c r="B8" s="5" t="s">
        <v>57</v>
      </c>
      <c r="C8" s="5" t="s">
        <v>58</v>
      </c>
      <c r="D8" s="2" t="n">
        <v>11</v>
      </c>
      <c r="E8" s="5" t="s">
        <v>163</v>
      </c>
      <c r="F8" s="5" t="s">
        <v>167</v>
      </c>
      <c r="G8" s="2" t="n">
        <v>1</v>
      </c>
      <c r="H8" s="7" t="n">
        <v>0.2234087654</v>
      </c>
      <c r="I8" s="7" t="n">
        <v>-0.9746073936</v>
      </c>
      <c r="J8" s="7" t="n">
        <v>0.01513115782</v>
      </c>
      <c r="K8" s="7" t="n">
        <v>0.9742747765</v>
      </c>
      <c r="L8" s="7" t="n">
        <v>0.2228070149</v>
      </c>
      <c r="M8" s="7" t="n">
        <v>-0.03384810235</v>
      </c>
      <c r="N8" s="7" t="n">
        <v>0.02961728271</v>
      </c>
      <c r="O8" s="7" t="n">
        <v>0.02230386816</v>
      </c>
      <c r="P8" s="7" t="n">
        <v>0.9993124406</v>
      </c>
      <c r="Q8" s="7" t="n">
        <v>-16.53261336</v>
      </c>
      <c r="R8" s="7" t="n">
        <v>20.41766726</v>
      </c>
      <c r="S8" s="7" t="n">
        <v>1.56624353</v>
      </c>
    </row>
    <row r="9" customFormat="false" ht="15" hidden="false" customHeight="false" outlineLevel="0" collapsed="false">
      <c r="A9" s="5" t="s">
        <v>4</v>
      </c>
      <c r="B9" s="5" t="s">
        <v>57</v>
      </c>
      <c r="C9" s="5" t="s">
        <v>62</v>
      </c>
      <c r="D9" s="2" t="n">
        <v>11</v>
      </c>
      <c r="E9" s="5" t="s">
        <v>163</v>
      </c>
      <c r="F9" s="5" t="s">
        <v>167</v>
      </c>
      <c r="G9" s="2" t="n">
        <v>1</v>
      </c>
      <c r="H9" s="7" t="n">
        <v>0.2257444351</v>
      </c>
      <c r="I9" s="7" t="n">
        <v>-0.974186537</v>
      </c>
      <c r="J9" s="7" t="n">
        <v>-0.0002028873979</v>
      </c>
      <c r="K9" s="7" t="n">
        <v>0.9741297339</v>
      </c>
      <c r="L9" s="7" t="n">
        <v>0.225733512</v>
      </c>
      <c r="M9" s="7" t="n">
        <v>-0.01075375147</v>
      </c>
      <c r="N9" s="7" t="n">
        <v>0.01052195839</v>
      </c>
      <c r="O9" s="7" t="n">
        <v>0.002229960904</v>
      </c>
      <c r="P9" s="7" t="n">
        <v>0.9999421562</v>
      </c>
      <c r="Q9" s="7" t="n">
        <v>-16.52649538</v>
      </c>
      <c r="R9" s="7" t="n">
        <v>20.51499576</v>
      </c>
      <c r="S9" s="7" t="n">
        <v>1.096558879</v>
      </c>
    </row>
    <row r="10" customFormat="false" ht="15" hidden="false" customHeight="false" outlineLevel="0" collapsed="false">
      <c r="A10" s="5" t="s">
        <v>4</v>
      </c>
      <c r="B10" s="5" t="s">
        <v>57</v>
      </c>
      <c r="C10" s="5" t="s">
        <v>58</v>
      </c>
      <c r="D10" s="2" t="n">
        <v>11</v>
      </c>
      <c r="E10" s="5" t="s">
        <v>163</v>
      </c>
      <c r="F10" s="5" t="s">
        <v>168</v>
      </c>
      <c r="G10" s="2" t="n">
        <v>1</v>
      </c>
      <c r="H10" s="7" t="n">
        <v>0.9748578056</v>
      </c>
      <c r="I10" s="7" t="n">
        <v>0.1662719318</v>
      </c>
      <c r="J10" s="7" t="n">
        <v>0.1483438691</v>
      </c>
      <c r="K10" s="7" t="n">
        <v>-0.1666989558</v>
      </c>
      <c r="L10" s="7" t="n">
        <v>0.9859607279</v>
      </c>
      <c r="M10" s="7" t="n">
        <v>-0.009638529083</v>
      </c>
      <c r="N10" s="7" t="n">
        <v>-0.147863846</v>
      </c>
      <c r="O10" s="7" t="n">
        <v>-0.01533257276</v>
      </c>
      <c r="P10" s="7" t="n">
        <v>0.988888869</v>
      </c>
      <c r="Q10" s="7" t="n">
        <v>25.67723068</v>
      </c>
      <c r="R10" s="7" t="n">
        <v>19.32466019</v>
      </c>
      <c r="S10" s="7" t="n">
        <v>-1.535369531</v>
      </c>
    </row>
    <row r="11" customFormat="false" ht="15" hidden="false" customHeight="false" outlineLevel="0" collapsed="false">
      <c r="A11" s="5" t="s">
        <v>4</v>
      </c>
      <c r="B11" s="5" t="s">
        <v>57</v>
      </c>
      <c r="C11" s="5" t="s">
        <v>62</v>
      </c>
      <c r="D11" s="2" t="n">
        <v>11</v>
      </c>
      <c r="E11" s="5" t="s">
        <v>163</v>
      </c>
      <c r="F11" s="5" t="s">
        <v>168</v>
      </c>
      <c r="G11" s="2" t="n">
        <v>1</v>
      </c>
      <c r="H11" s="7" t="n">
        <v>0.9748578056</v>
      </c>
      <c r="I11" s="7" t="n">
        <v>0.1662719318</v>
      </c>
      <c r="J11" s="7" t="n">
        <v>0.1483438691</v>
      </c>
      <c r="K11" s="7" t="n">
        <v>-0.1666989558</v>
      </c>
      <c r="L11" s="7" t="n">
        <v>0.9859607279</v>
      </c>
      <c r="M11" s="7" t="n">
        <v>-0.009638529083</v>
      </c>
      <c r="N11" s="7" t="n">
        <v>-0.147863846</v>
      </c>
      <c r="O11" s="7" t="n">
        <v>-0.01533257276</v>
      </c>
      <c r="P11" s="7" t="n">
        <v>0.988888869</v>
      </c>
      <c r="Q11" s="7" t="n">
        <v>25.67723068</v>
      </c>
      <c r="R11" s="7" t="n">
        <v>19.32466019</v>
      </c>
      <c r="S11" s="7" t="n">
        <v>-1.535369531</v>
      </c>
    </row>
    <row r="12" customFormat="false" ht="15" hidden="false" customHeight="false" outlineLevel="0" collapsed="false">
      <c r="A12" s="5" t="s">
        <v>4</v>
      </c>
      <c r="B12" s="5" t="s">
        <v>57</v>
      </c>
      <c r="C12" s="5" t="s">
        <v>58</v>
      </c>
      <c r="D12" s="2" t="n">
        <v>12</v>
      </c>
      <c r="E12" s="5" t="s">
        <v>163</v>
      </c>
      <c r="F12" s="5" t="s">
        <v>164</v>
      </c>
      <c r="G12" s="2" t="n">
        <v>1</v>
      </c>
      <c r="H12" s="7" t="n">
        <v>-0.7184456201</v>
      </c>
      <c r="I12" s="7" t="n">
        <v>-0.6955438707</v>
      </c>
      <c r="J12" s="7" t="n">
        <v>0.007390193395</v>
      </c>
      <c r="K12" s="7" t="n">
        <v>0.6955213975</v>
      </c>
      <c r="L12" s="7" t="n">
        <v>-0.7184828573</v>
      </c>
      <c r="M12" s="7" t="n">
        <v>-0.005689416669</v>
      </c>
      <c r="N12" s="7" t="n">
        <v>0.009266966158</v>
      </c>
      <c r="O12" s="7" t="n">
        <v>0.001052501151</v>
      </c>
      <c r="P12" s="7" t="n">
        <v>0.9999565068</v>
      </c>
      <c r="Q12" s="7" t="n">
        <v>-11.08737811</v>
      </c>
      <c r="R12" s="7" t="n">
        <v>-0.8736620982</v>
      </c>
      <c r="S12" s="7" t="n">
        <v>0.602046283</v>
      </c>
    </row>
    <row r="13" customFormat="false" ht="15" hidden="false" customHeight="false" outlineLevel="0" collapsed="false">
      <c r="A13" s="5" t="s">
        <v>4</v>
      </c>
      <c r="B13" s="5" t="s">
        <v>57</v>
      </c>
      <c r="C13" s="5" t="s">
        <v>62</v>
      </c>
      <c r="D13" s="2" t="n">
        <v>12</v>
      </c>
      <c r="E13" s="5" t="s">
        <v>163</v>
      </c>
      <c r="F13" s="5" t="s">
        <v>164</v>
      </c>
      <c r="G13" s="2" t="n">
        <v>1</v>
      </c>
      <c r="H13" s="7" t="n">
        <v>-0.7184456201</v>
      </c>
      <c r="I13" s="7" t="n">
        <v>-0.6955438707</v>
      </c>
      <c r="J13" s="7" t="n">
        <v>0.007390193395</v>
      </c>
      <c r="K13" s="7" t="n">
        <v>0.6955213975</v>
      </c>
      <c r="L13" s="7" t="n">
        <v>-0.7184828573</v>
      </c>
      <c r="M13" s="7" t="n">
        <v>-0.005689416669</v>
      </c>
      <c r="N13" s="7" t="n">
        <v>0.009266966158</v>
      </c>
      <c r="O13" s="7" t="n">
        <v>0.001052501151</v>
      </c>
      <c r="P13" s="7" t="n">
        <v>0.9999565068</v>
      </c>
      <c r="Q13" s="7" t="n">
        <v>-11.08737811</v>
      </c>
      <c r="R13" s="7" t="n">
        <v>-0.8736620982</v>
      </c>
      <c r="S13" s="7" t="n">
        <v>0.602046283</v>
      </c>
    </row>
    <row r="14" customFormat="false" ht="15" hidden="false" customHeight="false" outlineLevel="0" collapsed="false">
      <c r="A14" s="5" t="s">
        <v>4</v>
      </c>
      <c r="B14" s="5" t="s">
        <v>57</v>
      </c>
      <c r="C14" s="5" t="s">
        <v>58</v>
      </c>
      <c r="D14" s="2" t="n">
        <v>12</v>
      </c>
      <c r="E14" s="5" t="s">
        <v>163</v>
      </c>
      <c r="F14" s="5" t="s">
        <v>165</v>
      </c>
      <c r="G14" s="2" t="n">
        <v>1</v>
      </c>
      <c r="H14" s="7" t="n">
        <v>0.9337410195</v>
      </c>
      <c r="I14" s="7" t="n">
        <v>0.3579492502</v>
      </c>
      <c r="J14" s="7" t="n">
        <v>-0.0002069939696</v>
      </c>
      <c r="K14" s="7" t="n">
        <v>-0.3579455985</v>
      </c>
      <c r="L14" s="7" t="n">
        <v>0.9337338148</v>
      </c>
      <c r="M14" s="7" t="n">
        <v>0.00401391646</v>
      </c>
      <c r="N14" s="7" t="n">
        <v>0.001630055656</v>
      </c>
      <c r="O14" s="7" t="n">
        <v>-0.003673865867</v>
      </c>
      <c r="P14" s="7" t="n">
        <v>0.9999919228</v>
      </c>
      <c r="Q14" s="7" t="n">
        <v>8.414695589</v>
      </c>
      <c r="R14" s="7" t="n">
        <v>1.375996403</v>
      </c>
      <c r="S14" s="7" t="n">
        <v>0.5773891935</v>
      </c>
    </row>
    <row r="15" customFormat="false" ht="15" hidden="false" customHeight="false" outlineLevel="0" collapsed="false">
      <c r="A15" s="5" t="s">
        <v>4</v>
      </c>
      <c r="B15" s="5" t="s">
        <v>57</v>
      </c>
      <c r="C15" s="5" t="s">
        <v>62</v>
      </c>
      <c r="D15" s="2" t="n">
        <v>12</v>
      </c>
      <c r="E15" s="5" t="s">
        <v>163</v>
      </c>
      <c r="F15" s="5" t="s">
        <v>165</v>
      </c>
      <c r="G15" s="2" t="n">
        <v>1</v>
      </c>
      <c r="H15" s="7" t="n">
        <v>0.9337410195</v>
      </c>
      <c r="I15" s="7" t="n">
        <v>0.3579492502</v>
      </c>
      <c r="J15" s="7" t="n">
        <v>-0.0002069939696</v>
      </c>
      <c r="K15" s="7" t="n">
        <v>-0.3579455985</v>
      </c>
      <c r="L15" s="7" t="n">
        <v>0.9337338148</v>
      </c>
      <c r="M15" s="7" t="n">
        <v>0.00401391646</v>
      </c>
      <c r="N15" s="7" t="n">
        <v>0.001630055656</v>
      </c>
      <c r="O15" s="7" t="n">
        <v>-0.003673865867</v>
      </c>
      <c r="P15" s="7" t="n">
        <v>0.9999919228</v>
      </c>
      <c r="Q15" s="7" t="n">
        <v>8.414695589</v>
      </c>
      <c r="R15" s="7" t="n">
        <v>1.375996403</v>
      </c>
      <c r="S15" s="7" t="n">
        <v>0.5773891935</v>
      </c>
    </row>
    <row r="16" customFormat="false" ht="15" hidden="false" customHeight="false" outlineLevel="0" collapsed="false">
      <c r="A16" s="5" t="s">
        <v>4</v>
      </c>
      <c r="B16" s="5" t="s">
        <v>57</v>
      </c>
      <c r="C16" s="5" t="s">
        <v>58</v>
      </c>
      <c r="D16" s="2" t="n">
        <v>12</v>
      </c>
      <c r="E16" s="5" t="s">
        <v>163</v>
      </c>
      <c r="F16" s="5" t="s">
        <v>166</v>
      </c>
      <c r="G16" s="2" t="n">
        <v>1</v>
      </c>
      <c r="H16" s="7" t="n">
        <v>0.9019697602</v>
      </c>
      <c r="I16" s="7" t="n">
        <v>0.4317090012</v>
      </c>
      <c r="J16" s="7" t="n">
        <v>-0.008825527997</v>
      </c>
      <c r="K16" s="7" t="n">
        <v>-0.4317101202</v>
      </c>
      <c r="L16" s="7" t="n">
        <v>0.9020104504</v>
      </c>
      <c r="M16" s="7" t="n">
        <v>0.001876038547</v>
      </c>
      <c r="N16" s="7" t="n">
        <v>0.008770621211</v>
      </c>
      <c r="O16" s="7" t="n">
        <v>0.002117939714</v>
      </c>
      <c r="P16" s="7" t="n">
        <v>0.9999592944</v>
      </c>
      <c r="Q16" s="7" t="n">
        <v>22.85710488</v>
      </c>
      <c r="R16" s="7" t="n">
        <v>6.541887973</v>
      </c>
      <c r="S16" s="7" t="n">
        <v>1.458687414</v>
      </c>
    </row>
    <row r="17" customFormat="false" ht="15" hidden="false" customHeight="false" outlineLevel="0" collapsed="false">
      <c r="A17" s="5" t="s">
        <v>4</v>
      </c>
      <c r="B17" s="5" t="s">
        <v>57</v>
      </c>
      <c r="C17" s="5" t="s">
        <v>62</v>
      </c>
      <c r="D17" s="2" t="n">
        <v>12</v>
      </c>
      <c r="E17" s="5" t="s">
        <v>163</v>
      </c>
      <c r="F17" s="5" t="s">
        <v>166</v>
      </c>
      <c r="G17" s="2" t="n">
        <v>1</v>
      </c>
      <c r="H17" s="7" t="n">
        <v>0.9019697602</v>
      </c>
      <c r="I17" s="7" t="n">
        <v>0.4317090012</v>
      </c>
      <c r="J17" s="7" t="n">
        <v>-0.008825527997</v>
      </c>
      <c r="K17" s="7" t="n">
        <v>-0.4317101202</v>
      </c>
      <c r="L17" s="7" t="n">
        <v>0.9020104504</v>
      </c>
      <c r="M17" s="7" t="n">
        <v>0.001876038547</v>
      </c>
      <c r="N17" s="7" t="n">
        <v>0.008770621211</v>
      </c>
      <c r="O17" s="7" t="n">
        <v>0.002117939714</v>
      </c>
      <c r="P17" s="7" t="n">
        <v>0.9999592944</v>
      </c>
      <c r="Q17" s="7" t="n">
        <v>22.85710488</v>
      </c>
      <c r="R17" s="7" t="n">
        <v>6.541887973</v>
      </c>
      <c r="S17" s="7" t="n">
        <v>1.458687414</v>
      </c>
    </row>
    <row r="18" customFormat="false" ht="15" hidden="false" customHeight="false" outlineLevel="0" collapsed="false">
      <c r="A18" s="5" t="s">
        <v>4</v>
      </c>
      <c r="B18" s="5" t="s">
        <v>57</v>
      </c>
      <c r="C18" s="5" t="s">
        <v>58</v>
      </c>
      <c r="D18" s="2" t="n">
        <v>12</v>
      </c>
      <c r="E18" s="5" t="s">
        <v>163</v>
      </c>
      <c r="F18" s="5" t="s">
        <v>167</v>
      </c>
      <c r="G18" s="2" t="n">
        <v>1</v>
      </c>
      <c r="H18" s="7" t="n">
        <v>0.2251752194</v>
      </c>
      <c r="I18" s="7" t="n">
        <v>-0.9742944148</v>
      </c>
      <c r="J18" s="7" t="n">
        <v>0.006820098968</v>
      </c>
      <c r="K18" s="7" t="n">
        <v>0.9742914811</v>
      </c>
      <c r="L18" s="7" t="n">
        <v>0.2251115864</v>
      </c>
      <c r="M18" s="7" t="n">
        <v>-0.00899352649</v>
      </c>
      <c r="N18" s="7" t="n">
        <v>0.007227059331</v>
      </c>
      <c r="O18" s="7" t="n">
        <v>0.008669883625</v>
      </c>
      <c r="P18" s="7" t="n">
        <v>0.9999362993</v>
      </c>
      <c r="Q18" s="7" t="n">
        <v>-16.52217804</v>
      </c>
      <c r="R18" s="7" t="n">
        <v>20.50087307</v>
      </c>
      <c r="S18" s="7" t="n">
        <v>1.126697287</v>
      </c>
    </row>
    <row r="19" customFormat="false" ht="15" hidden="false" customHeight="false" outlineLevel="0" collapsed="false">
      <c r="A19" s="5" t="s">
        <v>4</v>
      </c>
      <c r="B19" s="5" t="s">
        <v>57</v>
      </c>
      <c r="C19" s="5" t="s">
        <v>62</v>
      </c>
      <c r="D19" s="2" t="n">
        <v>12</v>
      </c>
      <c r="E19" s="5" t="s">
        <v>163</v>
      </c>
      <c r="F19" s="5" t="s">
        <v>167</v>
      </c>
      <c r="G19" s="2" t="n">
        <v>1</v>
      </c>
      <c r="H19" s="7" t="n">
        <v>0.2251752194</v>
      </c>
      <c r="I19" s="7" t="n">
        <v>-0.9742944148</v>
      </c>
      <c r="J19" s="7" t="n">
        <v>0.006820098968</v>
      </c>
      <c r="K19" s="7" t="n">
        <v>0.9742914811</v>
      </c>
      <c r="L19" s="7" t="n">
        <v>0.2251115864</v>
      </c>
      <c r="M19" s="7" t="n">
        <v>-0.00899352649</v>
      </c>
      <c r="N19" s="7" t="n">
        <v>0.007227059331</v>
      </c>
      <c r="O19" s="7" t="n">
        <v>0.008669883625</v>
      </c>
      <c r="P19" s="7" t="n">
        <v>0.9999362993</v>
      </c>
      <c r="Q19" s="7" t="n">
        <v>-16.52217804</v>
      </c>
      <c r="R19" s="7" t="n">
        <v>20.50087307</v>
      </c>
      <c r="S19" s="7" t="n">
        <v>1.126697287</v>
      </c>
    </row>
    <row r="20" customFormat="false" ht="15" hidden="false" customHeight="false" outlineLevel="0" collapsed="false">
      <c r="A20" s="5" t="s">
        <v>4</v>
      </c>
      <c r="B20" s="5" t="s">
        <v>57</v>
      </c>
      <c r="C20" s="5" t="s">
        <v>58</v>
      </c>
      <c r="D20" s="2" t="n">
        <v>12</v>
      </c>
      <c r="E20" s="5" t="s">
        <v>163</v>
      </c>
      <c r="F20" s="5" t="s">
        <v>168</v>
      </c>
      <c r="G20" s="2" t="n">
        <v>1</v>
      </c>
      <c r="H20" s="7" t="n">
        <v>0.9888244334</v>
      </c>
      <c r="I20" s="7" t="n">
        <v>0.148556583</v>
      </c>
      <c r="J20" s="7" t="n">
        <v>-0.01253720327</v>
      </c>
      <c r="K20" s="7" t="n">
        <v>-0.1484339458</v>
      </c>
      <c r="L20" s="7" t="n">
        <v>0.9888696361</v>
      </c>
      <c r="M20" s="7" t="n">
        <v>0.01020816288</v>
      </c>
      <c r="N20" s="7" t="n">
        <v>0.01391414943</v>
      </c>
      <c r="O20" s="7" t="n">
        <v>-0.008233134322</v>
      </c>
      <c r="P20" s="7" t="n">
        <v>0.9998692974</v>
      </c>
      <c r="Q20" s="7" t="n">
        <v>25.13808594</v>
      </c>
      <c r="R20" s="7" t="n">
        <v>19.84429489</v>
      </c>
      <c r="S20" s="7" t="n">
        <v>2.193602048</v>
      </c>
    </row>
    <row r="21" customFormat="false" ht="15" hidden="false" customHeight="false" outlineLevel="0" collapsed="false">
      <c r="A21" s="5" t="s">
        <v>4</v>
      </c>
      <c r="B21" s="5" t="s">
        <v>57</v>
      </c>
      <c r="C21" s="5" t="s">
        <v>62</v>
      </c>
      <c r="D21" s="2" t="n">
        <v>12</v>
      </c>
      <c r="E21" s="5" t="s">
        <v>163</v>
      </c>
      <c r="F21" s="5" t="s">
        <v>168</v>
      </c>
      <c r="G21" s="2" t="n">
        <v>1</v>
      </c>
      <c r="H21" s="7" t="n">
        <v>0.9888244334</v>
      </c>
      <c r="I21" s="7" t="n">
        <v>0.148556583</v>
      </c>
      <c r="J21" s="7" t="n">
        <v>-0.01253720327</v>
      </c>
      <c r="K21" s="7" t="n">
        <v>-0.1484339458</v>
      </c>
      <c r="L21" s="7" t="n">
        <v>0.9888696361</v>
      </c>
      <c r="M21" s="7" t="n">
        <v>0.01020816288</v>
      </c>
      <c r="N21" s="7" t="n">
        <v>0.01391414943</v>
      </c>
      <c r="O21" s="7" t="n">
        <v>-0.008233134322</v>
      </c>
      <c r="P21" s="7" t="n">
        <v>0.9998692974</v>
      </c>
      <c r="Q21" s="7" t="n">
        <v>25.13808594</v>
      </c>
      <c r="R21" s="7" t="n">
        <v>19.84429489</v>
      </c>
      <c r="S21" s="7" t="n">
        <v>2.193602048</v>
      </c>
    </row>
    <row r="22" customFormat="false" ht="15" hidden="false" customHeight="false" outlineLevel="0" collapsed="false">
      <c r="A22" s="5" t="s">
        <v>4</v>
      </c>
      <c r="B22" s="5" t="s">
        <v>57</v>
      </c>
      <c r="C22" s="5" t="s">
        <v>58</v>
      </c>
      <c r="D22" s="2" t="n">
        <v>13</v>
      </c>
      <c r="E22" s="5" t="s">
        <v>163</v>
      </c>
      <c r="F22" s="5" t="s">
        <v>164</v>
      </c>
      <c r="G22" s="2" t="n">
        <v>1</v>
      </c>
      <c r="H22" s="7" t="n">
        <v>-0.7181196606</v>
      </c>
      <c r="I22" s="7" t="n">
        <v>-0.6959105468</v>
      </c>
      <c r="J22" s="7" t="n">
        <v>0.00355863482</v>
      </c>
      <c r="K22" s="7" t="n">
        <v>0.6959063792</v>
      </c>
      <c r="L22" s="7" t="n">
        <v>-0.7181281566</v>
      </c>
      <c r="M22" s="7" t="n">
        <v>-0.00250243495</v>
      </c>
      <c r="N22" s="7" t="n">
        <v>0.004297026738</v>
      </c>
      <c r="O22" s="7" t="n">
        <v>0.0006794289351</v>
      </c>
      <c r="P22" s="7" t="n">
        <v>0.9999905369</v>
      </c>
      <c r="Q22" s="7" t="n">
        <v>-11.09201079</v>
      </c>
      <c r="R22" s="7" t="n">
        <v>-0.8690408149</v>
      </c>
      <c r="S22" s="7" t="n">
        <v>0.5804251255</v>
      </c>
    </row>
    <row r="23" customFormat="false" ht="15" hidden="false" customHeight="false" outlineLevel="0" collapsed="false">
      <c r="A23" s="5" t="s">
        <v>4</v>
      </c>
      <c r="B23" s="5" t="s">
        <v>57</v>
      </c>
      <c r="C23" s="5" t="s">
        <v>62</v>
      </c>
      <c r="D23" s="2" t="n">
        <v>13</v>
      </c>
      <c r="E23" s="5" t="s">
        <v>163</v>
      </c>
      <c r="F23" s="5" t="s">
        <v>164</v>
      </c>
      <c r="G23" s="2" t="n">
        <v>1</v>
      </c>
      <c r="H23" s="7" t="n">
        <v>-0.7181196606</v>
      </c>
      <c r="I23" s="7" t="n">
        <v>-0.6959105468</v>
      </c>
      <c r="J23" s="7" t="n">
        <v>0.00355863482</v>
      </c>
      <c r="K23" s="7" t="n">
        <v>0.6959063792</v>
      </c>
      <c r="L23" s="7" t="n">
        <v>-0.7181281566</v>
      </c>
      <c r="M23" s="7" t="n">
        <v>-0.00250243495</v>
      </c>
      <c r="N23" s="7" t="n">
        <v>0.004297026738</v>
      </c>
      <c r="O23" s="7" t="n">
        <v>0.0006794289351</v>
      </c>
      <c r="P23" s="7" t="n">
        <v>0.9999905369</v>
      </c>
      <c r="Q23" s="7" t="n">
        <v>-11.09201079</v>
      </c>
      <c r="R23" s="7" t="n">
        <v>-0.8690408149</v>
      </c>
      <c r="S23" s="7" t="n">
        <v>0.5804251255</v>
      </c>
    </row>
    <row r="24" customFormat="false" ht="15" hidden="false" customHeight="false" outlineLevel="0" collapsed="false">
      <c r="A24" s="5" t="s">
        <v>4</v>
      </c>
      <c r="B24" s="5" t="s">
        <v>57</v>
      </c>
      <c r="C24" s="5" t="s">
        <v>58</v>
      </c>
      <c r="D24" s="2" t="n">
        <v>13</v>
      </c>
      <c r="E24" s="5" t="s">
        <v>163</v>
      </c>
      <c r="F24" s="5" t="s">
        <v>165</v>
      </c>
      <c r="G24" s="2" t="n">
        <v>1</v>
      </c>
      <c r="H24" s="7" t="n">
        <v>0.9335595268</v>
      </c>
      <c r="I24" s="7" t="n">
        <v>0.3583833633</v>
      </c>
      <c r="J24" s="7" t="n">
        <v>-0.005289117153</v>
      </c>
      <c r="K24" s="7" t="n">
        <v>-0.3583468588</v>
      </c>
      <c r="L24" s="7" t="n">
        <v>0.9335640983</v>
      </c>
      <c r="M24" s="7" t="n">
        <v>0.006753012469</v>
      </c>
      <c r="N24" s="7" t="n">
        <v>0.007357897207</v>
      </c>
      <c r="O24" s="7" t="n">
        <v>-0.004409000608</v>
      </c>
      <c r="P24" s="7" t="n">
        <v>0.9999632104</v>
      </c>
      <c r="Q24" s="7" t="n">
        <v>8.408668529</v>
      </c>
      <c r="R24" s="7" t="n">
        <v>1.379281562</v>
      </c>
      <c r="S24" s="7" t="n">
        <v>0.6539364609</v>
      </c>
    </row>
    <row r="25" customFormat="false" ht="15" hidden="false" customHeight="false" outlineLevel="0" collapsed="false">
      <c r="A25" s="5" t="s">
        <v>4</v>
      </c>
      <c r="B25" s="5" t="s">
        <v>57</v>
      </c>
      <c r="C25" s="5" t="s">
        <v>62</v>
      </c>
      <c r="D25" s="2" t="n">
        <v>13</v>
      </c>
      <c r="E25" s="5" t="s">
        <v>163</v>
      </c>
      <c r="F25" s="5" t="s">
        <v>165</v>
      </c>
      <c r="G25" s="2" t="n">
        <v>1</v>
      </c>
      <c r="H25" s="7" t="n">
        <v>0.9335595268</v>
      </c>
      <c r="I25" s="7" t="n">
        <v>0.3583833633</v>
      </c>
      <c r="J25" s="7" t="n">
        <v>-0.005289117153</v>
      </c>
      <c r="K25" s="7" t="n">
        <v>-0.3583468588</v>
      </c>
      <c r="L25" s="7" t="n">
        <v>0.9335640983</v>
      </c>
      <c r="M25" s="7" t="n">
        <v>0.006753012469</v>
      </c>
      <c r="N25" s="7" t="n">
        <v>0.007357897207</v>
      </c>
      <c r="O25" s="7" t="n">
        <v>-0.004409000608</v>
      </c>
      <c r="P25" s="7" t="n">
        <v>0.9999632104</v>
      </c>
      <c r="Q25" s="7" t="n">
        <v>8.408668529</v>
      </c>
      <c r="R25" s="7" t="n">
        <v>1.379281562</v>
      </c>
      <c r="S25" s="7" t="n">
        <v>0.6539364609</v>
      </c>
    </row>
    <row r="26" customFormat="false" ht="15" hidden="false" customHeight="false" outlineLevel="0" collapsed="false">
      <c r="A26" s="5" t="s">
        <v>4</v>
      </c>
      <c r="B26" s="5" t="s">
        <v>57</v>
      </c>
      <c r="C26" s="5" t="s">
        <v>58</v>
      </c>
      <c r="D26" s="2" t="n">
        <v>13</v>
      </c>
      <c r="E26" s="5" t="s">
        <v>163</v>
      </c>
      <c r="F26" s="5" t="s">
        <v>166</v>
      </c>
      <c r="G26" s="2" t="n">
        <v>1</v>
      </c>
      <c r="H26" s="7" t="n">
        <v>0.9017458156</v>
      </c>
      <c r="I26" s="7" t="n">
        <v>0.4321302556</v>
      </c>
      <c r="J26" s="7" t="n">
        <v>-0.01085938028</v>
      </c>
      <c r="K26" s="7" t="n">
        <v>-0.4322060949</v>
      </c>
      <c r="L26" s="7" t="n">
        <v>0.9017554667</v>
      </c>
      <c r="M26" s="7" t="n">
        <v>-0.005913523949</v>
      </c>
      <c r="N26" s="7" t="n">
        <v>0.007237092912</v>
      </c>
      <c r="O26" s="7" t="n">
        <v>0.01002598582</v>
      </c>
      <c r="P26" s="7" t="n">
        <v>0.9999235491</v>
      </c>
      <c r="Q26" s="7" t="n">
        <v>22.86548572</v>
      </c>
      <c r="R26" s="7" t="n">
        <v>6.522903795</v>
      </c>
      <c r="S26" s="7" t="n">
        <v>1.527060573</v>
      </c>
    </row>
    <row r="27" customFormat="false" ht="15" hidden="false" customHeight="false" outlineLevel="0" collapsed="false">
      <c r="A27" s="5" t="s">
        <v>4</v>
      </c>
      <c r="B27" s="5" t="s">
        <v>57</v>
      </c>
      <c r="C27" s="5" t="s">
        <v>62</v>
      </c>
      <c r="D27" s="2" t="n">
        <v>13</v>
      </c>
      <c r="E27" s="5" t="s">
        <v>163</v>
      </c>
      <c r="F27" s="5" t="s">
        <v>166</v>
      </c>
      <c r="G27" s="2" t="n">
        <v>1</v>
      </c>
      <c r="H27" s="7" t="n">
        <v>0.9017458156</v>
      </c>
      <c r="I27" s="7" t="n">
        <v>0.4321302556</v>
      </c>
      <c r="J27" s="7" t="n">
        <v>-0.01085938028</v>
      </c>
      <c r="K27" s="7" t="n">
        <v>-0.4322060949</v>
      </c>
      <c r="L27" s="7" t="n">
        <v>0.9017554667</v>
      </c>
      <c r="M27" s="7" t="n">
        <v>-0.005913523949</v>
      </c>
      <c r="N27" s="7" t="n">
        <v>0.007237092912</v>
      </c>
      <c r="O27" s="7" t="n">
        <v>0.01002598582</v>
      </c>
      <c r="P27" s="7" t="n">
        <v>0.9999235491</v>
      </c>
      <c r="Q27" s="7" t="n">
        <v>22.86548572</v>
      </c>
      <c r="R27" s="7" t="n">
        <v>6.522903795</v>
      </c>
      <c r="S27" s="7" t="n">
        <v>1.527060573</v>
      </c>
    </row>
    <row r="28" customFormat="false" ht="15" hidden="false" customHeight="false" outlineLevel="0" collapsed="false">
      <c r="A28" s="5" t="s">
        <v>4</v>
      </c>
      <c r="B28" s="5" t="s">
        <v>57</v>
      </c>
      <c r="C28" s="5" t="s">
        <v>58</v>
      </c>
      <c r="D28" s="2" t="n">
        <v>13</v>
      </c>
      <c r="E28" s="5" t="s">
        <v>163</v>
      </c>
      <c r="F28" s="5" t="s">
        <v>167</v>
      </c>
      <c r="G28" s="2" t="n">
        <v>1</v>
      </c>
      <c r="H28" s="7" t="n">
        <v>0.2273911803</v>
      </c>
      <c r="I28" s="7" t="n">
        <v>-0.9738015645</v>
      </c>
      <c r="J28" s="7" t="n">
        <v>0.001940121432</v>
      </c>
      <c r="K28" s="7" t="n">
        <v>0.9737589573</v>
      </c>
      <c r="L28" s="7" t="n">
        <v>0.2273612737</v>
      </c>
      <c r="M28" s="7" t="n">
        <v>-0.01001720179</v>
      </c>
      <c r="N28" s="7" t="n">
        <v>0.009313658295</v>
      </c>
      <c r="O28" s="7" t="n">
        <v>0.004167033961</v>
      </c>
      <c r="P28" s="7" t="n">
        <v>0.9999479444</v>
      </c>
      <c r="Q28" s="7" t="n">
        <v>-16.50381394</v>
      </c>
      <c r="R28" s="7" t="n">
        <v>20.54969454</v>
      </c>
      <c r="S28" s="7" t="n">
        <v>1.107824228</v>
      </c>
    </row>
    <row r="29" customFormat="false" ht="15" hidden="false" customHeight="false" outlineLevel="0" collapsed="false">
      <c r="A29" s="5" t="s">
        <v>4</v>
      </c>
      <c r="B29" s="5" t="s">
        <v>57</v>
      </c>
      <c r="C29" s="5" t="s">
        <v>62</v>
      </c>
      <c r="D29" s="2" t="n">
        <v>13</v>
      </c>
      <c r="E29" s="5" t="s">
        <v>163</v>
      </c>
      <c r="F29" s="5" t="s">
        <v>167</v>
      </c>
      <c r="G29" s="2" t="n">
        <v>1</v>
      </c>
      <c r="H29" s="7" t="n">
        <v>0.2273911803</v>
      </c>
      <c r="I29" s="7" t="n">
        <v>-0.9738015645</v>
      </c>
      <c r="J29" s="7" t="n">
        <v>0.001940121432</v>
      </c>
      <c r="K29" s="7" t="n">
        <v>0.9737589573</v>
      </c>
      <c r="L29" s="7" t="n">
        <v>0.2273612737</v>
      </c>
      <c r="M29" s="7" t="n">
        <v>-0.01001720179</v>
      </c>
      <c r="N29" s="7" t="n">
        <v>0.009313658295</v>
      </c>
      <c r="O29" s="7" t="n">
        <v>0.004167033961</v>
      </c>
      <c r="P29" s="7" t="n">
        <v>0.9999479444</v>
      </c>
      <c r="Q29" s="7" t="n">
        <v>-16.50381394</v>
      </c>
      <c r="R29" s="7" t="n">
        <v>20.54969454</v>
      </c>
      <c r="S29" s="7" t="n">
        <v>1.107824228</v>
      </c>
    </row>
    <row r="30" customFormat="false" ht="15" hidden="false" customHeight="false" outlineLevel="0" collapsed="false">
      <c r="A30" s="5" t="s">
        <v>4</v>
      </c>
      <c r="B30" s="5" t="s">
        <v>57</v>
      </c>
      <c r="C30" s="5" t="s">
        <v>58</v>
      </c>
      <c r="D30" s="2" t="n">
        <v>13</v>
      </c>
      <c r="E30" s="5" t="s">
        <v>163</v>
      </c>
      <c r="F30" s="5" t="s">
        <v>168</v>
      </c>
      <c r="G30" s="2" t="n"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customFormat="false" ht="15" hidden="false" customHeight="false" outlineLevel="0" collapsed="false">
      <c r="A31" s="5" t="s">
        <v>4</v>
      </c>
      <c r="B31" s="5" t="s">
        <v>57</v>
      </c>
      <c r="C31" s="5" t="s">
        <v>62</v>
      </c>
      <c r="D31" s="2" t="n">
        <v>13</v>
      </c>
      <c r="E31" s="5" t="s">
        <v>163</v>
      </c>
      <c r="F31" s="5" t="s">
        <v>168</v>
      </c>
      <c r="G31" s="2" t="n"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15" hidden="false" customHeight="false" outlineLevel="0" collapsed="false">
      <c r="A32" s="5" t="s">
        <v>4</v>
      </c>
      <c r="B32" s="5" t="s">
        <v>57</v>
      </c>
      <c r="C32" s="5" t="s">
        <v>58</v>
      </c>
      <c r="D32" s="2" t="n">
        <v>14</v>
      </c>
      <c r="E32" s="5" t="s">
        <v>163</v>
      </c>
      <c r="F32" s="5" t="s">
        <v>164</v>
      </c>
      <c r="G32" s="2" t="n"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customFormat="false" ht="15" hidden="false" customHeight="false" outlineLevel="0" collapsed="false">
      <c r="A33" s="5" t="s">
        <v>4</v>
      </c>
      <c r="B33" s="5" t="s">
        <v>57</v>
      </c>
      <c r="C33" s="5" t="s">
        <v>62</v>
      </c>
      <c r="D33" s="2" t="n">
        <v>14</v>
      </c>
      <c r="E33" s="5" t="s">
        <v>163</v>
      </c>
      <c r="F33" s="5" t="s">
        <v>164</v>
      </c>
      <c r="G33" s="2" t="n"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15" hidden="false" customHeight="false" outlineLevel="0" collapsed="false">
      <c r="A34" s="5" t="s">
        <v>4</v>
      </c>
      <c r="B34" s="5" t="s">
        <v>57</v>
      </c>
      <c r="C34" s="5" t="s">
        <v>58</v>
      </c>
      <c r="D34" s="2" t="n">
        <v>14</v>
      </c>
      <c r="E34" s="5" t="s">
        <v>163</v>
      </c>
      <c r="F34" s="5" t="s">
        <v>165</v>
      </c>
      <c r="G34" s="2" t="n">
        <v>1</v>
      </c>
      <c r="H34" s="7" t="n">
        <v>0.9333947237</v>
      </c>
      <c r="I34" s="7" t="n">
        <v>0.3586025373</v>
      </c>
      <c r="J34" s="7" t="n">
        <v>-0.01336076654</v>
      </c>
      <c r="K34" s="7" t="n">
        <v>-0.3584602624</v>
      </c>
      <c r="L34" s="7" t="n">
        <v>0.9334687883</v>
      </c>
      <c r="M34" s="7" t="n">
        <v>0.01192734337</v>
      </c>
      <c r="N34" s="7" t="n">
        <v>0.01674903415</v>
      </c>
      <c r="O34" s="7" t="n">
        <v>-0.006343615492</v>
      </c>
      <c r="P34" s="7" t="n">
        <v>0.9998396013</v>
      </c>
      <c r="Q34" s="7" t="n">
        <v>8.374537743</v>
      </c>
      <c r="R34" s="7" t="n">
        <v>1.381641014</v>
      </c>
      <c r="S34" s="7" t="n">
        <v>0.7886975845</v>
      </c>
    </row>
    <row r="35" customFormat="false" ht="15" hidden="false" customHeight="false" outlineLevel="0" collapsed="false">
      <c r="A35" s="5" t="s">
        <v>4</v>
      </c>
      <c r="B35" s="5" t="s">
        <v>57</v>
      </c>
      <c r="C35" s="5" t="s">
        <v>62</v>
      </c>
      <c r="D35" s="2" t="n">
        <v>14</v>
      </c>
      <c r="E35" s="5" t="s">
        <v>163</v>
      </c>
      <c r="F35" s="5" t="s">
        <v>165</v>
      </c>
      <c r="G35" s="2" t="n">
        <v>1</v>
      </c>
      <c r="H35" s="7" t="n">
        <v>0.9333947237</v>
      </c>
      <c r="I35" s="7" t="n">
        <v>0.3586025373</v>
      </c>
      <c r="J35" s="7" t="n">
        <v>-0.01336076654</v>
      </c>
      <c r="K35" s="7" t="n">
        <v>-0.3584602624</v>
      </c>
      <c r="L35" s="7" t="n">
        <v>0.9334687883</v>
      </c>
      <c r="M35" s="7" t="n">
        <v>0.01192734337</v>
      </c>
      <c r="N35" s="7" t="n">
        <v>0.01674903415</v>
      </c>
      <c r="O35" s="7" t="n">
        <v>-0.006343615492</v>
      </c>
      <c r="P35" s="7" t="n">
        <v>0.9998396013</v>
      </c>
      <c r="Q35" s="7" t="n">
        <v>8.374537743</v>
      </c>
      <c r="R35" s="7" t="n">
        <v>1.381641014</v>
      </c>
      <c r="S35" s="7" t="n">
        <v>0.7886975845</v>
      </c>
    </row>
    <row r="36" customFormat="false" ht="15" hidden="false" customHeight="false" outlineLevel="0" collapsed="false">
      <c r="A36" s="5" t="s">
        <v>4</v>
      </c>
      <c r="B36" s="5" t="s">
        <v>57</v>
      </c>
      <c r="C36" s="5" t="s">
        <v>58</v>
      </c>
      <c r="D36" s="2" t="n">
        <v>14</v>
      </c>
      <c r="E36" s="5" t="s">
        <v>163</v>
      </c>
      <c r="F36" s="5" t="s">
        <v>166</v>
      </c>
      <c r="G36" s="2" t="n"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5" hidden="false" customHeight="false" outlineLevel="0" collapsed="false">
      <c r="A37" s="5" t="s">
        <v>4</v>
      </c>
      <c r="B37" s="5" t="s">
        <v>57</v>
      </c>
      <c r="C37" s="5" t="s">
        <v>62</v>
      </c>
      <c r="D37" s="2" t="n">
        <v>14</v>
      </c>
      <c r="E37" s="5" t="s">
        <v>163</v>
      </c>
      <c r="F37" s="5" t="s">
        <v>166</v>
      </c>
      <c r="G37" s="2" t="n"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customFormat="false" ht="15" hidden="false" customHeight="false" outlineLevel="0" collapsed="false">
      <c r="A38" s="5" t="s">
        <v>4</v>
      </c>
      <c r="B38" s="5" t="s">
        <v>57</v>
      </c>
      <c r="C38" s="5" t="s">
        <v>58</v>
      </c>
      <c r="D38" s="2" t="n">
        <v>14</v>
      </c>
      <c r="E38" s="5" t="s">
        <v>163</v>
      </c>
      <c r="F38" s="5" t="s">
        <v>167</v>
      </c>
      <c r="G38" s="2" t="n">
        <v>1</v>
      </c>
      <c r="H38" s="7" t="n">
        <v>0.2262901782</v>
      </c>
      <c r="I38" s="7" t="n">
        <v>-0.9739545951</v>
      </c>
      <c r="J38" s="7" t="n">
        <v>0.01432486913</v>
      </c>
      <c r="K38" s="7" t="n">
        <v>0.9740496799</v>
      </c>
      <c r="L38" s="7" t="n">
        <v>0.226195844</v>
      </c>
      <c r="M38" s="7" t="n">
        <v>-0.007915884501</v>
      </c>
      <c r="N38" s="7" t="n">
        <v>0.004469486222</v>
      </c>
      <c r="O38" s="7" t="n">
        <v>0.0157444211</v>
      </c>
      <c r="P38" s="7" t="n">
        <v>0.9998660595</v>
      </c>
      <c r="Q38" s="7" t="n">
        <v>-16.49221851</v>
      </c>
      <c r="R38" s="7" t="n">
        <v>20.50245726</v>
      </c>
      <c r="S38" s="7" t="n">
        <v>1.232498976</v>
      </c>
    </row>
    <row r="39" customFormat="false" ht="15" hidden="false" customHeight="false" outlineLevel="0" collapsed="false">
      <c r="A39" s="5" t="s">
        <v>4</v>
      </c>
      <c r="B39" s="5" t="s">
        <v>57</v>
      </c>
      <c r="C39" s="5" t="s">
        <v>62</v>
      </c>
      <c r="D39" s="2" t="n">
        <v>14</v>
      </c>
      <c r="E39" s="5" t="s">
        <v>163</v>
      </c>
      <c r="F39" s="5" t="s">
        <v>167</v>
      </c>
      <c r="G39" s="2" t="n">
        <v>1</v>
      </c>
      <c r="H39" s="7" t="n">
        <v>0.2262901782</v>
      </c>
      <c r="I39" s="7" t="n">
        <v>-0.9739545951</v>
      </c>
      <c r="J39" s="7" t="n">
        <v>0.01432486913</v>
      </c>
      <c r="K39" s="7" t="n">
        <v>0.9740496799</v>
      </c>
      <c r="L39" s="7" t="n">
        <v>0.226195844</v>
      </c>
      <c r="M39" s="7" t="n">
        <v>-0.007915884501</v>
      </c>
      <c r="N39" s="7" t="n">
        <v>0.004469486222</v>
      </c>
      <c r="O39" s="7" t="n">
        <v>0.0157444211</v>
      </c>
      <c r="P39" s="7" t="n">
        <v>0.9998660595</v>
      </c>
      <c r="Q39" s="7" t="n">
        <v>-16.49221851</v>
      </c>
      <c r="R39" s="7" t="n">
        <v>20.50245726</v>
      </c>
      <c r="S39" s="7" t="n">
        <v>1.232498976</v>
      </c>
    </row>
    <row r="40" customFormat="false" ht="15" hidden="false" customHeight="false" outlineLevel="0" collapsed="false">
      <c r="A40" s="5" t="s">
        <v>4</v>
      </c>
      <c r="B40" s="5" t="s">
        <v>57</v>
      </c>
      <c r="C40" s="5" t="s">
        <v>58</v>
      </c>
      <c r="D40" s="2" t="n">
        <v>14</v>
      </c>
      <c r="E40" s="5" t="s">
        <v>163</v>
      </c>
      <c r="F40" s="5" t="s">
        <v>168</v>
      </c>
      <c r="G40" s="2" t="n">
        <v>1</v>
      </c>
      <c r="H40" s="7" t="n">
        <v>0.9869071121</v>
      </c>
      <c r="I40" s="7" t="n">
        <v>0.1533057325</v>
      </c>
      <c r="J40" s="7" t="n">
        <v>-0.05011690884</v>
      </c>
      <c r="K40" s="7" t="n">
        <v>-0.151136545</v>
      </c>
      <c r="L40" s="7" t="n">
        <v>0.9875082849</v>
      </c>
      <c r="M40" s="7" t="n">
        <v>0.04455482006</v>
      </c>
      <c r="N40" s="7" t="n">
        <v>0.05632137202</v>
      </c>
      <c r="O40" s="7" t="n">
        <v>-0.03639697234</v>
      </c>
      <c r="P40" s="7" t="n">
        <v>0.9977490483</v>
      </c>
      <c r="Q40" s="7" t="n">
        <v>25.08806791</v>
      </c>
      <c r="R40" s="7" t="n">
        <v>19.88848481</v>
      </c>
      <c r="S40" s="7" t="n">
        <v>2.275300312</v>
      </c>
    </row>
    <row r="41" customFormat="false" ht="15" hidden="false" customHeight="false" outlineLevel="0" collapsed="false">
      <c r="A41" s="5" t="s">
        <v>4</v>
      </c>
      <c r="B41" s="5" t="s">
        <v>57</v>
      </c>
      <c r="C41" s="5" t="s">
        <v>62</v>
      </c>
      <c r="D41" s="2" t="n">
        <v>14</v>
      </c>
      <c r="E41" s="5" t="s">
        <v>163</v>
      </c>
      <c r="F41" s="5" t="s">
        <v>168</v>
      </c>
      <c r="G41" s="2" t="n">
        <v>1</v>
      </c>
      <c r="H41" s="7" t="n">
        <v>0.9881517562</v>
      </c>
      <c r="I41" s="7" t="n">
        <v>0.1524051724</v>
      </c>
      <c r="J41" s="7" t="n">
        <v>-0.01813201916</v>
      </c>
      <c r="K41" s="7" t="n">
        <v>-0.1519738473</v>
      </c>
      <c r="L41" s="7" t="n">
        <v>0.9881127112</v>
      </c>
      <c r="M41" s="7" t="n">
        <v>0.02317800193</v>
      </c>
      <c r="N41" s="7" t="n">
        <v>0.02144892599</v>
      </c>
      <c r="O41" s="7" t="n">
        <v>-0.02014779061</v>
      </c>
      <c r="P41" s="7" t="n">
        <v>0.9995669113</v>
      </c>
      <c r="Q41" s="7" t="n">
        <v>25.15024608</v>
      </c>
      <c r="R41" s="7" t="n">
        <v>19.85875123</v>
      </c>
      <c r="S41" s="7" t="n">
        <v>2.217840242</v>
      </c>
    </row>
    <row r="42" customFormat="false" ht="15" hidden="false" customHeight="false" outlineLevel="0" collapsed="false">
      <c r="A42" s="5" t="s">
        <v>4</v>
      </c>
      <c r="B42" s="5" t="s">
        <v>57</v>
      </c>
      <c r="C42" s="5" t="s">
        <v>58</v>
      </c>
      <c r="D42" s="2" t="n">
        <v>15</v>
      </c>
      <c r="E42" s="5" t="s">
        <v>163</v>
      </c>
      <c r="F42" s="5" t="s">
        <v>164</v>
      </c>
      <c r="G42" s="2" t="n">
        <v>1</v>
      </c>
      <c r="H42" s="7" t="n">
        <v>-0.7162881327</v>
      </c>
      <c r="I42" s="7" t="n">
        <v>-0.6978035252</v>
      </c>
      <c r="J42" s="7" t="n">
        <v>-0.001245480454</v>
      </c>
      <c r="K42" s="7" t="n">
        <v>0.6977818167</v>
      </c>
      <c r="L42" s="7" t="n">
        <v>-0.7162491327</v>
      </c>
      <c r="M42" s="7" t="n">
        <v>-0.009365695821</v>
      </c>
      <c r="N42" s="7" t="n">
        <v>0.005643341264</v>
      </c>
      <c r="O42" s="7" t="n">
        <v>-0.007577610385</v>
      </c>
      <c r="P42" s="7" t="n">
        <v>0.9999553653</v>
      </c>
      <c r="Q42" s="7" t="n">
        <v>-11.10149237</v>
      </c>
      <c r="R42" s="7" t="n">
        <v>-0.8137299171</v>
      </c>
      <c r="S42" s="7" t="n">
        <v>0.4502908581</v>
      </c>
    </row>
    <row r="43" customFormat="false" ht="15" hidden="false" customHeight="false" outlineLevel="0" collapsed="false">
      <c r="A43" s="5" t="s">
        <v>4</v>
      </c>
      <c r="B43" s="5" t="s">
        <v>57</v>
      </c>
      <c r="C43" s="5" t="s">
        <v>62</v>
      </c>
      <c r="D43" s="2" t="n">
        <v>15</v>
      </c>
      <c r="E43" s="5" t="s">
        <v>163</v>
      </c>
      <c r="F43" s="5" t="s">
        <v>164</v>
      </c>
      <c r="G43" s="2" t="n">
        <v>1</v>
      </c>
      <c r="H43" s="7" t="n">
        <v>-0.7162881327</v>
      </c>
      <c r="I43" s="7" t="n">
        <v>-0.6978035252</v>
      </c>
      <c r="J43" s="7" t="n">
        <v>-0.001245480454</v>
      </c>
      <c r="K43" s="7" t="n">
        <v>0.6977818167</v>
      </c>
      <c r="L43" s="7" t="n">
        <v>-0.7162491327</v>
      </c>
      <c r="M43" s="7" t="n">
        <v>-0.009365695821</v>
      </c>
      <c r="N43" s="7" t="n">
        <v>0.005643341264</v>
      </c>
      <c r="O43" s="7" t="n">
        <v>-0.007577610385</v>
      </c>
      <c r="P43" s="7" t="n">
        <v>0.9999553653</v>
      </c>
      <c r="Q43" s="7" t="n">
        <v>-11.10149237</v>
      </c>
      <c r="R43" s="7" t="n">
        <v>-0.8137299171</v>
      </c>
      <c r="S43" s="7" t="n">
        <v>0.4502908581</v>
      </c>
    </row>
    <row r="44" customFormat="false" ht="15" hidden="false" customHeight="false" outlineLevel="0" collapsed="false">
      <c r="A44" s="5" t="s">
        <v>4</v>
      </c>
      <c r="B44" s="5" t="s">
        <v>57</v>
      </c>
      <c r="C44" s="5" t="s">
        <v>58</v>
      </c>
      <c r="D44" s="2" t="n">
        <v>15</v>
      </c>
      <c r="E44" s="5" t="s">
        <v>163</v>
      </c>
      <c r="F44" s="5" t="s">
        <v>165</v>
      </c>
      <c r="G44" s="2" t="n">
        <v>1</v>
      </c>
      <c r="H44" s="7" t="n">
        <v>0.9345565328</v>
      </c>
      <c r="I44" s="7" t="n">
        <v>0.3557844587</v>
      </c>
      <c r="J44" s="7" t="n">
        <v>-0.004637442719</v>
      </c>
      <c r="K44" s="7" t="n">
        <v>-0.35578598</v>
      </c>
      <c r="L44" s="7" t="n">
        <v>0.9345673145</v>
      </c>
      <c r="M44" s="7" t="n">
        <v>0.0005205955931</v>
      </c>
      <c r="N44" s="7" t="n">
        <v>0.00451922221</v>
      </c>
      <c r="O44" s="7" t="n">
        <v>0.00116341109</v>
      </c>
      <c r="P44" s="7" t="n">
        <v>0.9999891115</v>
      </c>
      <c r="Q44" s="7" t="n">
        <v>8.391407132</v>
      </c>
      <c r="R44" s="7" t="n">
        <v>1.387838764</v>
      </c>
      <c r="S44" s="7" t="n">
        <v>0.6836597386</v>
      </c>
    </row>
    <row r="45" customFormat="false" ht="15" hidden="false" customHeight="false" outlineLevel="0" collapsed="false">
      <c r="A45" s="5" t="s">
        <v>4</v>
      </c>
      <c r="B45" s="5" t="s">
        <v>57</v>
      </c>
      <c r="C45" s="5" t="s">
        <v>62</v>
      </c>
      <c r="D45" s="2" t="n">
        <v>15</v>
      </c>
      <c r="E45" s="5" t="s">
        <v>163</v>
      </c>
      <c r="F45" s="5" t="s">
        <v>165</v>
      </c>
      <c r="G45" s="2" t="n">
        <v>1</v>
      </c>
      <c r="H45" s="7" t="n">
        <v>0.9345565328</v>
      </c>
      <c r="I45" s="7" t="n">
        <v>0.3557844587</v>
      </c>
      <c r="J45" s="7" t="n">
        <v>-0.004637442719</v>
      </c>
      <c r="K45" s="7" t="n">
        <v>-0.35578598</v>
      </c>
      <c r="L45" s="7" t="n">
        <v>0.9345673145</v>
      </c>
      <c r="M45" s="7" t="n">
        <v>0.0005205955931</v>
      </c>
      <c r="N45" s="7" t="n">
        <v>0.00451922221</v>
      </c>
      <c r="O45" s="7" t="n">
        <v>0.00116341109</v>
      </c>
      <c r="P45" s="7" t="n">
        <v>0.9999891115</v>
      </c>
      <c r="Q45" s="7" t="n">
        <v>8.391407132</v>
      </c>
      <c r="R45" s="7" t="n">
        <v>1.387838764</v>
      </c>
      <c r="S45" s="7" t="n">
        <v>0.6836597386</v>
      </c>
    </row>
    <row r="46" customFormat="false" ht="15" hidden="false" customHeight="false" outlineLevel="0" collapsed="false">
      <c r="A46" s="5" t="s">
        <v>4</v>
      </c>
      <c r="B46" s="5" t="s">
        <v>57</v>
      </c>
      <c r="C46" s="5" t="s">
        <v>58</v>
      </c>
      <c r="D46" s="2" t="n">
        <v>15</v>
      </c>
      <c r="E46" s="5" t="s">
        <v>163</v>
      </c>
      <c r="F46" s="5" t="s">
        <v>166</v>
      </c>
      <c r="G46" s="2" t="n"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customFormat="false" ht="15" hidden="false" customHeight="false" outlineLevel="0" collapsed="false">
      <c r="A47" s="5" t="s">
        <v>4</v>
      </c>
      <c r="B47" s="5" t="s">
        <v>57</v>
      </c>
      <c r="C47" s="5" t="s">
        <v>62</v>
      </c>
      <c r="D47" s="2" t="n">
        <v>15</v>
      </c>
      <c r="E47" s="5" t="s">
        <v>163</v>
      </c>
      <c r="F47" s="5" t="s">
        <v>166</v>
      </c>
      <c r="G47" s="2" t="n"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customFormat="false" ht="15" hidden="false" customHeight="false" outlineLevel="0" collapsed="false">
      <c r="A48" s="5" t="s">
        <v>4</v>
      </c>
      <c r="B48" s="5" t="s">
        <v>57</v>
      </c>
      <c r="C48" s="5" t="s">
        <v>58</v>
      </c>
      <c r="D48" s="2" t="n">
        <v>15</v>
      </c>
      <c r="E48" s="5" t="s">
        <v>163</v>
      </c>
      <c r="F48" s="5" t="s">
        <v>167</v>
      </c>
      <c r="G48" s="2" t="n">
        <v>1</v>
      </c>
      <c r="H48" s="7" t="n">
        <v>0.2229929631</v>
      </c>
      <c r="I48" s="7" t="n">
        <v>-0.97478682</v>
      </c>
      <c r="J48" s="7" t="n">
        <v>0.008049469772</v>
      </c>
      <c r="K48" s="7" t="n">
        <v>0.974741419</v>
      </c>
      <c r="L48" s="7" t="n">
        <v>0.2228624924</v>
      </c>
      <c r="M48" s="7" t="n">
        <v>-0.01454219656</v>
      </c>
      <c r="N48" s="7" t="n">
        <v>0.01238161665</v>
      </c>
      <c r="O48" s="7" t="n">
        <v>0.01108895909</v>
      </c>
      <c r="P48" s="7" t="n">
        <v>0.9998618557</v>
      </c>
      <c r="Q48" s="7" t="n">
        <v>-16.56304574</v>
      </c>
      <c r="R48" s="7" t="n">
        <v>20.46389478</v>
      </c>
      <c r="S48" s="7" t="n">
        <v>1.298919421</v>
      </c>
    </row>
    <row r="49" customFormat="false" ht="15" hidden="false" customHeight="false" outlineLevel="0" collapsed="false">
      <c r="A49" s="5" t="s">
        <v>4</v>
      </c>
      <c r="B49" s="5" t="s">
        <v>57</v>
      </c>
      <c r="C49" s="5" t="s">
        <v>62</v>
      </c>
      <c r="D49" s="2" t="n">
        <v>15</v>
      </c>
      <c r="E49" s="5" t="s">
        <v>163</v>
      </c>
      <c r="F49" s="5" t="s">
        <v>167</v>
      </c>
      <c r="G49" s="2" t="n">
        <v>1</v>
      </c>
      <c r="H49" s="7" t="n">
        <v>0.2229929631</v>
      </c>
      <c r="I49" s="7" t="n">
        <v>-0.97478682</v>
      </c>
      <c r="J49" s="7" t="n">
        <v>0.008049469772</v>
      </c>
      <c r="K49" s="7" t="n">
        <v>0.974741419</v>
      </c>
      <c r="L49" s="7" t="n">
        <v>0.2228624924</v>
      </c>
      <c r="M49" s="7" t="n">
        <v>-0.01454219656</v>
      </c>
      <c r="N49" s="7" t="n">
        <v>0.01238161665</v>
      </c>
      <c r="O49" s="7" t="n">
        <v>0.01108895909</v>
      </c>
      <c r="P49" s="7" t="n">
        <v>0.9998618557</v>
      </c>
      <c r="Q49" s="7" t="n">
        <v>-16.56304574</v>
      </c>
      <c r="R49" s="7" t="n">
        <v>20.46389478</v>
      </c>
      <c r="S49" s="7" t="n">
        <v>1.298919421</v>
      </c>
    </row>
    <row r="50" customFormat="false" ht="15" hidden="false" customHeight="false" outlineLevel="0" collapsed="false">
      <c r="A50" s="5" t="s">
        <v>4</v>
      </c>
      <c r="B50" s="5" t="s">
        <v>57</v>
      </c>
      <c r="C50" s="5" t="s">
        <v>58</v>
      </c>
      <c r="D50" s="2" t="n">
        <v>15</v>
      </c>
      <c r="E50" s="5" t="s">
        <v>163</v>
      </c>
      <c r="F50" s="5" t="s">
        <v>168</v>
      </c>
      <c r="G50" s="2" t="n">
        <v>1</v>
      </c>
      <c r="H50" s="7" t="n">
        <v>0.9888056516</v>
      </c>
      <c r="I50" s="7" t="n">
        <v>0.1478958009</v>
      </c>
      <c r="J50" s="7" t="n">
        <v>-0.01975387252</v>
      </c>
      <c r="K50" s="7" t="n">
        <v>-0.1477163262</v>
      </c>
      <c r="L50" s="7" t="n">
        <v>0.9889765192</v>
      </c>
      <c r="M50" s="7" t="n">
        <v>0.01026311013</v>
      </c>
      <c r="N50" s="7" t="n">
        <v>0.02105398698</v>
      </c>
      <c r="O50" s="7" t="n">
        <v>-0.007230251822</v>
      </c>
      <c r="P50" s="7" t="n">
        <v>0.9997521958</v>
      </c>
      <c r="Q50" s="7" t="n">
        <v>25.13007008</v>
      </c>
      <c r="R50" s="7" t="n">
        <v>19.82254207</v>
      </c>
      <c r="S50" s="7" t="n">
        <v>2.173994919</v>
      </c>
    </row>
    <row r="51" customFormat="false" ht="15" hidden="false" customHeight="false" outlineLevel="0" collapsed="false">
      <c r="A51" s="5" t="s">
        <v>4</v>
      </c>
      <c r="B51" s="5" t="s">
        <v>57</v>
      </c>
      <c r="C51" s="5" t="s">
        <v>62</v>
      </c>
      <c r="D51" s="2" t="n">
        <v>15</v>
      </c>
      <c r="E51" s="5" t="s">
        <v>163</v>
      </c>
      <c r="F51" s="5" t="s">
        <v>168</v>
      </c>
      <c r="G51" s="2" t="n">
        <v>1</v>
      </c>
      <c r="H51" s="7" t="n">
        <v>0.9888056516</v>
      </c>
      <c r="I51" s="7" t="n">
        <v>0.1478958009</v>
      </c>
      <c r="J51" s="7" t="n">
        <v>-0.01975387252</v>
      </c>
      <c r="K51" s="7" t="n">
        <v>-0.1477163262</v>
      </c>
      <c r="L51" s="7" t="n">
        <v>0.9889765192</v>
      </c>
      <c r="M51" s="7" t="n">
        <v>0.01026311013</v>
      </c>
      <c r="N51" s="7" t="n">
        <v>0.02105398698</v>
      </c>
      <c r="O51" s="7" t="n">
        <v>-0.007230251822</v>
      </c>
      <c r="P51" s="7" t="n">
        <v>0.9997521958</v>
      </c>
      <c r="Q51" s="7" t="n">
        <v>25.13007008</v>
      </c>
      <c r="R51" s="7" t="n">
        <v>19.82254207</v>
      </c>
      <c r="S51" s="7" t="n">
        <v>2.173994919</v>
      </c>
    </row>
    <row r="52" customFormat="false" ht="15" hidden="false" customHeight="false" outlineLevel="0" collapsed="false">
      <c r="A52" s="5" t="s">
        <v>4</v>
      </c>
      <c r="B52" s="5" t="s">
        <v>57</v>
      </c>
      <c r="C52" s="5" t="s">
        <v>58</v>
      </c>
      <c r="D52" s="2" t="n">
        <v>16</v>
      </c>
      <c r="E52" s="5" t="s">
        <v>163</v>
      </c>
      <c r="F52" s="5" t="s">
        <v>164</v>
      </c>
      <c r="G52" s="2" t="n">
        <v>1</v>
      </c>
      <c r="H52" s="7" t="n">
        <v>-0.7181442013</v>
      </c>
      <c r="I52" s="7" t="n">
        <v>-0.6958688019</v>
      </c>
      <c r="J52" s="7" t="n">
        <v>0.005959579145</v>
      </c>
      <c r="K52" s="7" t="n">
        <v>0.6958468178</v>
      </c>
      <c r="L52" s="7" t="n">
        <v>-0.7181689082</v>
      </c>
      <c r="M52" s="7" t="n">
        <v>-0.005534031197</v>
      </c>
      <c r="N52" s="7" t="n">
        <v>0.008130944107</v>
      </c>
      <c r="O52" s="7" t="n">
        <v>0.0001727217686</v>
      </c>
      <c r="P52" s="7" t="n">
        <v>0.9999669284</v>
      </c>
      <c r="Q52" s="7" t="n">
        <v>-11.07324287</v>
      </c>
      <c r="R52" s="7" t="n">
        <v>-0.8742808673</v>
      </c>
      <c r="S52" s="7" t="n">
        <v>0.5969073602</v>
      </c>
    </row>
    <row r="53" customFormat="false" ht="15" hidden="false" customHeight="false" outlineLevel="0" collapsed="false">
      <c r="A53" s="5" t="s">
        <v>4</v>
      </c>
      <c r="B53" s="5" t="s">
        <v>57</v>
      </c>
      <c r="C53" s="5" t="s">
        <v>62</v>
      </c>
      <c r="D53" s="2" t="n">
        <v>16</v>
      </c>
      <c r="E53" s="5" t="s">
        <v>163</v>
      </c>
      <c r="F53" s="5" t="s">
        <v>164</v>
      </c>
      <c r="G53" s="2" t="n">
        <v>1</v>
      </c>
      <c r="H53" s="7" t="n">
        <v>-0.7181442013</v>
      </c>
      <c r="I53" s="7" t="n">
        <v>-0.6958688019</v>
      </c>
      <c r="J53" s="7" t="n">
        <v>0.005959579145</v>
      </c>
      <c r="K53" s="7" t="n">
        <v>0.6958468178</v>
      </c>
      <c r="L53" s="7" t="n">
        <v>-0.7181689082</v>
      </c>
      <c r="M53" s="7" t="n">
        <v>-0.005534031197</v>
      </c>
      <c r="N53" s="7" t="n">
        <v>0.008130944107</v>
      </c>
      <c r="O53" s="7" t="n">
        <v>0.0001727217686</v>
      </c>
      <c r="P53" s="7" t="n">
        <v>0.9999669284</v>
      </c>
      <c r="Q53" s="7" t="n">
        <v>-11.07324287</v>
      </c>
      <c r="R53" s="7" t="n">
        <v>-0.8742808673</v>
      </c>
      <c r="S53" s="7" t="n">
        <v>0.5969073602</v>
      </c>
    </row>
    <row r="54" customFormat="false" ht="15" hidden="false" customHeight="false" outlineLevel="0" collapsed="false">
      <c r="A54" s="5" t="s">
        <v>4</v>
      </c>
      <c r="B54" s="5" t="s">
        <v>57</v>
      </c>
      <c r="C54" s="5" t="s">
        <v>58</v>
      </c>
      <c r="D54" s="2" t="n">
        <v>16</v>
      </c>
      <c r="E54" s="5" t="s">
        <v>163</v>
      </c>
      <c r="F54" s="5" t="s">
        <v>165</v>
      </c>
      <c r="G54" s="2" t="n">
        <v>1</v>
      </c>
      <c r="H54" s="7" t="n">
        <v>0.9342463363</v>
      </c>
      <c r="I54" s="7" t="n">
        <v>0.3565140221</v>
      </c>
      <c r="J54" s="7" t="n">
        <v>-0.009029683444</v>
      </c>
      <c r="K54" s="7" t="n">
        <v>-0.3564750705</v>
      </c>
      <c r="L54" s="7" t="n">
        <v>0.9342876765</v>
      </c>
      <c r="M54" s="7" t="n">
        <v>0.005662303282</v>
      </c>
      <c r="N54" s="7" t="n">
        <v>0.01045501248</v>
      </c>
      <c r="O54" s="7" t="n">
        <v>-0.002071129054</v>
      </c>
      <c r="P54" s="7" t="n">
        <v>0.9999432</v>
      </c>
      <c r="Q54" s="7" t="n">
        <v>8.388613076</v>
      </c>
      <c r="R54" s="7" t="n">
        <v>1.39593539</v>
      </c>
      <c r="S54" s="7" t="n">
        <v>0.7024801774</v>
      </c>
    </row>
    <row r="55" customFormat="false" ht="15" hidden="false" customHeight="false" outlineLevel="0" collapsed="false">
      <c r="A55" s="5" t="s">
        <v>4</v>
      </c>
      <c r="B55" s="5" t="s">
        <v>57</v>
      </c>
      <c r="C55" s="5" t="s">
        <v>62</v>
      </c>
      <c r="D55" s="2" t="n">
        <v>16</v>
      </c>
      <c r="E55" s="5" t="s">
        <v>163</v>
      </c>
      <c r="F55" s="5" t="s">
        <v>165</v>
      </c>
      <c r="G55" s="2" t="n">
        <v>1</v>
      </c>
      <c r="H55" s="7" t="n">
        <v>0.9342463363</v>
      </c>
      <c r="I55" s="7" t="n">
        <v>0.3565140221</v>
      </c>
      <c r="J55" s="7" t="n">
        <v>-0.009029683444</v>
      </c>
      <c r="K55" s="7" t="n">
        <v>-0.3564750705</v>
      </c>
      <c r="L55" s="7" t="n">
        <v>0.9342876765</v>
      </c>
      <c r="M55" s="7" t="n">
        <v>0.005662303282</v>
      </c>
      <c r="N55" s="7" t="n">
        <v>0.01045501248</v>
      </c>
      <c r="O55" s="7" t="n">
        <v>-0.002071129054</v>
      </c>
      <c r="P55" s="7" t="n">
        <v>0.9999432</v>
      </c>
      <c r="Q55" s="7" t="n">
        <v>8.388613076</v>
      </c>
      <c r="R55" s="7" t="n">
        <v>1.39593539</v>
      </c>
      <c r="S55" s="7" t="n">
        <v>0.7024801774</v>
      </c>
    </row>
    <row r="56" customFormat="false" ht="15" hidden="false" customHeight="false" outlineLevel="0" collapsed="false">
      <c r="A56" s="5" t="s">
        <v>4</v>
      </c>
      <c r="B56" s="5" t="s">
        <v>57</v>
      </c>
      <c r="C56" s="5" t="s">
        <v>58</v>
      </c>
      <c r="D56" s="2" t="n">
        <v>16</v>
      </c>
      <c r="E56" s="5" t="s">
        <v>163</v>
      </c>
      <c r="F56" s="5" t="s">
        <v>166</v>
      </c>
      <c r="G56" s="2" t="n">
        <v>1</v>
      </c>
      <c r="H56" s="7" t="n">
        <v>0.9032103715</v>
      </c>
      <c r="I56" s="7" t="n">
        <v>0.429182276</v>
      </c>
      <c r="J56" s="7" t="n">
        <v>-0.003687640904</v>
      </c>
      <c r="K56" s="7" t="n">
        <v>-0.4291868929</v>
      </c>
      <c r="L56" s="7" t="n">
        <v>0.9030912702</v>
      </c>
      <c r="M56" s="7" t="n">
        <v>-0.01499228686</v>
      </c>
      <c r="N56" s="7" t="n">
        <v>-0.003104147489</v>
      </c>
      <c r="O56" s="7" t="n">
        <v>0.01512387613</v>
      </c>
      <c r="P56" s="7" t="n">
        <v>0.9998808092</v>
      </c>
      <c r="Q56" s="7" t="n">
        <v>22.87236029</v>
      </c>
      <c r="R56" s="7" t="n">
        <v>6.529638568</v>
      </c>
      <c r="S56" s="7" t="n">
        <v>1.437536411</v>
      </c>
    </row>
    <row r="57" customFormat="false" ht="15" hidden="false" customHeight="false" outlineLevel="0" collapsed="false">
      <c r="A57" s="5" t="s">
        <v>4</v>
      </c>
      <c r="B57" s="5" t="s">
        <v>57</v>
      </c>
      <c r="C57" s="5" t="s">
        <v>62</v>
      </c>
      <c r="D57" s="2" t="n">
        <v>16</v>
      </c>
      <c r="E57" s="5" t="s">
        <v>163</v>
      </c>
      <c r="F57" s="5" t="s">
        <v>166</v>
      </c>
      <c r="G57" s="2" t="n">
        <v>1</v>
      </c>
      <c r="H57" s="7" t="n">
        <v>0.9032103715</v>
      </c>
      <c r="I57" s="7" t="n">
        <v>0.429182276</v>
      </c>
      <c r="J57" s="7" t="n">
        <v>-0.003687640904</v>
      </c>
      <c r="K57" s="7" t="n">
        <v>-0.4291868929</v>
      </c>
      <c r="L57" s="7" t="n">
        <v>0.9030912702</v>
      </c>
      <c r="M57" s="7" t="n">
        <v>-0.01499228686</v>
      </c>
      <c r="N57" s="7" t="n">
        <v>-0.003104147489</v>
      </c>
      <c r="O57" s="7" t="n">
        <v>0.01512387613</v>
      </c>
      <c r="P57" s="7" t="n">
        <v>0.9998808092</v>
      </c>
      <c r="Q57" s="7" t="n">
        <v>22.87236029</v>
      </c>
      <c r="R57" s="7" t="n">
        <v>6.529638568</v>
      </c>
      <c r="S57" s="7" t="n">
        <v>1.437536411</v>
      </c>
    </row>
    <row r="58" customFormat="false" ht="15" hidden="false" customHeight="false" outlineLevel="0" collapsed="false">
      <c r="A58" s="5" t="s">
        <v>4</v>
      </c>
      <c r="B58" s="5" t="s">
        <v>57</v>
      </c>
      <c r="C58" s="5" t="s">
        <v>58</v>
      </c>
      <c r="D58" s="2" t="n">
        <v>16</v>
      </c>
      <c r="E58" s="5" t="s">
        <v>163</v>
      </c>
      <c r="F58" s="5" t="s">
        <v>167</v>
      </c>
      <c r="G58" s="2" t="n">
        <v>1</v>
      </c>
      <c r="H58" s="7" t="n">
        <v>0.2266670207</v>
      </c>
      <c r="I58" s="7" t="n">
        <v>-0.973971015</v>
      </c>
      <c r="J58" s="7" t="n">
        <v>0.001588596561</v>
      </c>
      <c r="K58" s="7" t="n">
        <v>0.9739184023</v>
      </c>
      <c r="L58" s="7" t="n">
        <v>0.2266370129</v>
      </c>
      <c r="M58" s="7" t="n">
        <v>-0.01089082631</v>
      </c>
      <c r="N58" s="7" t="n">
        <v>0.01024731437</v>
      </c>
      <c r="O58" s="7" t="n">
        <v>0.004015754577</v>
      </c>
      <c r="P58" s="7" t="n">
        <v>0.9999394313</v>
      </c>
      <c r="Q58" s="7" t="n">
        <v>-16.48328108</v>
      </c>
      <c r="R58" s="7" t="n">
        <v>20.54097174</v>
      </c>
      <c r="S58" s="7" t="n">
        <v>1.09330356</v>
      </c>
    </row>
    <row r="59" customFormat="false" ht="15" hidden="false" customHeight="false" outlineLevel="0" collapsed="false">
      <c r="A59" s="5" t="s">
        <v>4</v>
      </c>
      <c r="B59" s="5" t="s">
        <v>57</v>
      </c>
      <c r="C59" s="5" t="s">
        <v>62</v>
      </c>
      <c r="D59" s="2" t="n">
        <v>16</v>
      </c>
      <c r="E59" s="5" t="s">
        <v>163</v>
      </c>
      <c r="F59" s="5" t="s">
        <v>167</v>
      </c>
      <c r="G59" s="2" t="n">
        <v>1</v>
      </c>
      <c r="H59" s="7" t="n">
        <v>0.2266670207</v>
      </c>
      <c r="I59" s="7" t="n">
        <v>-0.973971015</v>
      </c>
      <c r="J59" s="7" t="n">
        <v>0.001588596561</v>
      </c>
      <c r="K59" s="7" t="n">
        <v>0.9739184023</v>
      </c>
      <c r="L59" s="7" t="n">
        <v>0.2266370129</v>
      </c>
      <c r="M59" s="7" t="n">
        <v>-0.01089082631</v>
      </c>
      <c r="N59" s="7" t="n">
        <v>0.01024731437</v>
      </c>
      <c r="O59" s="7" t="n">
        <v>0.004015754577</v>
      </c>
      <c r="P59" s="7" t="n">
        <v>0.9999394313</v>
      </c>
      <c r="Q59" s="7" t="n">
        <v>-16.48328108</v>
      </c>
      <c r="R59" s="7" t="n">
        <v>20.54097174</v>
      </c>
      <c r="S59" s="7" t="n">
        <v>1.09330356</v>
      </c>
    </row>
    <row r="60" customFormat="false" ht="15" hidden="false" customHeight="false" outlineLevel="0" collapsed="false">
      <c r="A60" s="5" t="s">
        <v>4</v>
      </c>
      <c r="B60" s="5" t="s">
        <v>57</v>
      </c>
      <c r="C60" s="5" t="s">
        <v>58</v>
      </c>
      <c r="D60" s="2" t="n">
        <v>16</v>
      </c>
      <c r="E60" s="5" t="s">
        <v>163</v>
      </c>
      <c r="F60" s="5" t="s">
        <v>168</v>
      </c>
      <c r="G60" s="2" t="n"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customFormat="false" ht="15" hidden="false" customHeight="false" outlineLevel="0" collapsed="false">
      <c r="A61" s="5" t="s">
        <v>4</v>
      </c>
      <c r="B61" s="5" t="s">
        <v>57</v>
      </c>
      <c r="C61" s="5" t="s">
        <v>62</v>
      </c>
      <c r="D61" s="2" t="n">
        <v>16</v>
      </c>
      <c r="E61" s="5" t="s">
        <v>163</v>
      </c>
      <c r="F61" s="5" t="s">
        <v>168</v>
      </c>
      <c r="G61" s="2" t="n"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customFormat="false" ht="15" hidden="false" customHeight="false" outlineLevel="0" collapsed="false">
      <c r="A62" s="5" t="s">
        <v>4</v>
      </c>
      <c r="B62" s="5" t="s">
        <v>57</v>
      </c>
      <c r="C62" s="5" t="s">
        <v>58</v>
      </c>
      <c r="D62" s="2" t="n">
        <v>17</v>
      </c>
      <c r="E62" s="5" t="s">
        <v>163</v>
      </c>
      <c r="F62" s="5" t="s">
        <v>164</v>
      </c>
      <c r="G62" s="2" t="n">
        <v>1</v>
      </c>
      <c r="H62" s="7" t="n">
        <v>-0.7196838</v>
      </c>
      <c r="I62" s="7" t="n">
        <v>-0.6942957158</v>
      </c>
      <c r="J62" s="7" t="n">
        <v>-0.002947366056</v>
      </c>
      <c r="K62" s="7" t="n">
        <v>0.6942702807</v>
      </c>
      <c r="L62" s="7" t="n">
        <v>-0.7196039068</v>
      </c>
      <c r="M62" s="7" t="n">
        <v>-0.01260930799</v>
      </c>
      <c r="N62" s="7" t="n">
        <v>0.006633652388</v>
      </c>
      <c r="O62" s="7" t="n">
        <v>-0.01112098335</v>
      </c>
      <c r="P62" s="7" t="n">
        <v>0.9999161557</v>
      </c>
      <c r="Q62" s="7" t="n">
        <v>-11.06538137</v>
      </c>
      <c r="R62" s="7" t="n">
        <v>-0.9031702852</v>
      </c>
      <c r="S62" s="7" t="n">
        <v>0.3888145928</v>
      </c>
    </row>
    <row r="63" customFormat="false" ht="15" hidden="false" customHeight="false" outlineLevel="0" collapsed="false">
      <c r="A63" s="5" t="s">
        <v>4</v>
      </c>
      <c r="B63" s="5" t="s">
        <v>57</v>
      </c>
      <c r="C63" s="5" t="s">
        <v>62</v>
      </c>
      <c r="D63" s="2" t="n">
        <v>17</v>
      </c>
      <c r="E63" s="5" t="s">
        <v>163</v>
      </c>
      <c r="F63" s="5" t="s">
        <v>164</v>
      </c>
      <c r="G63" s="2" t="n">
        <v>1</v>
      </c>
      <c r="H63" s="7" t="n">
        <v>-0.7196838</v>
      </c>
      <c r="I63" s="7" t="n">
        <v>-0.6942957158</v>
      </c>
      <c r="J63" s="7" t="n">
        <v>-0.002947366056</v>
      </c>
      <c r="K63" s="7" t="n">
        <v>0.6942702807</v>
      </c>
      <c r="L63" s="7" t="n">
        <v>-0.7196039068</v>
      </c>
      <c r="M63" s="7" t="n">
        <v>-0.01260930799</v>
      </c>
      <c r="N63" s="7" t="n">
        <v>0.006633652388</v>
      </c>
      <c r="O63" s="7" t="n">
        <v>-0.01112098335</v>
      </c>
      <c r="P63" s="7" t="n">
        <v>0.9999161557</v>
      </c>
      <c r="Q63" s="7" t="n">
        <v>-11.06538137</v>
      </c>
      <c r="R63" s="7" t="n">
        <v>-0.9031702852</v>
      </c>
      <c r="S63" s="7" t="n">
        <v>0.3888145928</v>
      </c>
    </row>
    <row r="64" customFormat="false" ht="15" hidden="false" customHeight="false" outlineLevel="0" collapsed="false">
      <c r="A64" s="5" t="s">
        <v>4</v>
      </c>
      <c r="B64" s="5" t="s">
        <v>57</v>
      </c>
      <c r="C64" s="5" t="s">
        <v>58</v>
      </c>
      <c r="D64" s="2" t="n">
        <v>17</v>
      </c>
      <c r="E64" s="5" t="s">
        <v>163</v>
      </c>
      <c r="F64" s="5" t="s">
        <v>165</v>
      </c>
      <c r="G64" s="2" t="n">
        <v>1</v>
      </c>
      <c r="H64" s="7" t="n">
        <v>0.9341656841</v>
      </c>
      <c r="I64" s="7" t="n">
        <v>0.3567362794</v>
      </c>
      <c r="J64" s="7" t="n">
        <v>-0.008584961272</v>
      </c>
      <c r="K64" s="7" t="n">
        <v>-0.3566747561</v>
      </c>
      <c r="L64" s="7" t="n">
        <v>0.9341950824</v>
      </c>
      <c r="M64" s="7" t="n">
        <v>0.0079162176</v>
      </c>
      <c r="N64" s="7" t="n">
        <v>0.01084403062</v>
      </c>
      <c r="O64" s="7" t="n">
        <v>-0.004333019862</v>
      </c>
      <c r="P64" s="7" t="n">
        <v>0.9999318136</v>
      </c>
      <c r="Q64" s="7" t="n">
        <v>8.38773583</v>
      </c>
      <c r="R64" s="7" t="n">
        <v>1.40538469</v>
      </c>
      <c r="S64" s="7" t="n">
        <v>0.6672222916</v>
      </c>
    </row>
    <row r="65" customFormat="false" ht="15" hidden="false" customHeight="false" outlineLevel="0" collapsed="false">
      <c r="A65" s="5" t="s">
        <v>4</v>
      </c>
      <c r="B65" s="5" t="s">
        <v>57</v>
      </c>
      <c r="C65" s="5" t="s">
        <v>62</v>
      </c>
      <c r="D65" s="2" t="n">
        <v>17</v>
      </c>
      <c r="E65" s="5" t="s">
        <v>163</v>
      </c>
      <c r="F65" s="5" t="s">
        <v>165</v>
      </c>
      <c r="G65" s="2" t="n">
        <v>1</v>
      </c>
      <c r="H65" s="7" t="n">
        <v>0.9341656841</v>
      </c>
      <c r="I65" s="7" t="n">
        <v>0.3567362794</v>
      </c>
      <c r="J65" s="7" t="n">
        <v>-0.008584961272</v>
      </c>
      <c r="K65" s="7" t="n">
        <v>-0.3566747561</v>
      </c>
      <c r="L65" s="7" t="n">
        <v>0.9341950824</v>
      </c>
      <c r="M65" s="7" t="n">
        <v>0.0079162176</v>
      </c>
      <c r="N65" s="7" t="n">
        <v>0.01084403062</v>
      </c>
      <c r="O65" s="7" t="n">
        <v>-0.004333019862</v>
      </c>
      <c r="P65" s="7" t="n">
        <v>0.9999318136</v>
      </c>
      <c r="Q65" s="7" t="n">
        <v>8.38773583</v>
      </c>
      <c r="R65" s="7" t="n">
        <v>1.40538469</v>
      </c>
      <c r="S65" s="7" t="n">
        <v>0.6672222916</v>
      </c>
    </row>
    <row r="66" customFormat="false" ht="15" hidden="false" customHeight="false" outlineLevel="0" collapsed="false">
      <c r="A66" s="5" t="s">
        <v>4</v>
      </c>
      <c r="B66" s="5" t="s">
        <v>57</v>
      </c>
      <c r="C66" s="5" t="s">
        <v>58</v>
      </c>
      <c r="D66" s="2" t="n">
        <v>17</v>
      </c>
      <c r="E66" s="5" t="s">
        <v>163</v>
      </c>
      <c r="F66" s="5" t="s">
        <v>166</v>
      </c>
      <c r="G66" s="2" t="n">
        <v>1</v>
      </c>
      <c r="H66" s="7" t="n">
        <v>0.9028808323</v>
      </c>
      <c r="I66" s="7" t="n">
        <v>0.4294090164</v>
      </c>
      <c r="J66" s="7" t="n">
        <v>-0.02034942798</v>
      </c>
      <c r="K66" s="7" t="n">
        <v>-0.4295028931</v>
      </c>
      <c r="L66" s="7" t="n">
        <v>0.9030654418</v>
      </c>
      <c r="M66" s="7" t="n">
        <v>-0.0002696149815</v>
      </c>
      <c r="N66" s="7" t="n">
        <v>0.01826109006</v>
      </c>
      <c r="O66" s="7" t="n">
        <v>0.008983568389</v>
      </c>
      <c r="P66" s="7" t="n">
        <v>0.9997928926</v>
      </c>
      <c r="Q66" s="7" t="n">
        <v>22.80951894</v>
      </c>
      <c r="R66" s="7" t="n">
        <v>6.577262408</v>
      </c>
      <c r="S66" s="7" t="n">
        <v>1.692705294</v>
      </c>
    </row>
    <row r="67" customFormat="false" ht="15" hidden="false" customHeight="false" outlineLevel="0" collapsed="false">
      <c r="A67" s="5" t="s">
        <v>4</v>
      </c>
      <c r="B67" s="5" t="s">
        <v>57</v>
      </c>
      <c r="C67" s="5" t="s">
        <v>62</v>
      </c>
      <c r="D67" s="2" t="n">
        <v>17</v>
      </c>
      <c r="E67" s="5" t="s">
        <v>163</v>
      </c>
      <c r="F67" s="5" t="s">
        <v>166</v>
      </c>
      <c r="G67" s="2" t="n">
        <v>1</v>
      </c>
      <c r="H67" s="7" t="n">
        <v>0.9028808323</v>
      </c>
      <c r="I67" s="7" t="n">
        <v>0.4294090164</v>
      </c>
      <c r="J67" s="7" t="n">
        <v>-0.02034942798</v>
      </c>
      <c r="K67" s="7" t="n">
        <v>-0.4295028931</v>
      </c>
      <c r="L67" s="7" t="n">
        <v>0.9030654418</v>
      </c>
      <c r="M67" s="7" t="n">
        <v>-0.0002696149815</v>
      </c>
      <c r="N67" s="7" t="n">
        <v>0.01826109006</v>
      </c>
      <c r="O67" s="7" t="n">
        <v>0.008983568389</v>
      </c>
      <c r="P67" s="7" t="n">
        <v>0.9997928926</v>
      </c>
      <c r="Q67" s="7" t="n">
        <v>22.80951894</v>
      </c>
      <c r="R67" s="7" t="n">
        <v>6.577262408</v>
      </c>
      <c r="S67" s="7" t="n">
        <v>1.692705294</v>
      </c>
    </row>
    <row r="68" customFormat="false" ht="15" hidden="false" customHeight="false" outlineLevel="0" collapsed="false">
      <c r="A68" s="5" t="s">
        <v>4</v>
      </c>
      <c r="B68" s="5" t="s">
        <v>57</v>
      </c>
      <c r="C68" s="5" t="s">
        <v>58</v>
      </c>
      <c r="D68" s="2" t="n">
        <v>17</v>
      </c>
      <c r="E68" s="5" t="s">
        <v>163</v>
      </c>
      <c r="F68" s="5" t="s">
        <v>167</v>
      </c>
      <c r="G68" s="2" t="n"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customFormat="false" ht="15" hidden="false" customHeight="false" outlineLevel="0" collapsed="false">
      <c r="A69" s="5" t="s">
        <v>4</v>
      </c>
      <c r="B69" s="5" t="s">
        <v>57</v>
      </c>
      <c r="C69" s="5" t="s">
        <v>62</v>
      </c>
      <c r="D69" s="2" t="n">
        <v>17</v>
      </c>
      <c r="E69" s="5" t="s">
        <v>163</v>
      </c>
      <c r="F69" s="5" t="s">
        <v>167</v>
      </c>
      <c r="G69" s="2" t="n"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customFormat="false" ht="15" hidden="false" customHeight="false" outlineLevel="0" collapsed="false">
      <c r="A70" s="5" t="s">
        <v>4</v>
      </c>
      <c r="B70" s="5" t="s">
        <v>57</v>
      </c>
      <c r="C70" s="5" t="s">
        <v>58</v>
      </c>
      <c r="D70" s="2" t="n">
        <v>17</v>
      </c>
      <c r="E70" s="5" t="s">
        <v>163</v>
      </c>
      <c r="F70" s="5" t="s">
        <v>168</v>
      </c>
      <c r="G70" s="2" t="n">
        <v>1</v>
      </c>
      <c r="H70" s="7" t="n">
        <v>0.9888357198</v>
      </c>
      <c r="I70" s="7" t="n">
        <v>0.1481844852</v>
      </c>
      <c r="J70" s="7" t="n">
        <v>-0.01566133927</v>
      </c>
      <c r="K70" s="7" t="n">
        <v>-0.1481515114</v>
      </c>
      <c r="L70" s="7" t="n">
        <v>0.9889593305</v>
      </c>
      <c r="M70" s="7" t="n">
        <v>0.003251502172</v>
      </c>
      <c r="N70" s="7" t="n">
        <v>0.01597024978</v>
      </c>
      <c r="O70" s="7" t="n">
        <v>-0.0008949504071</v>
      </c>
      <c r="P70" s="7" t="n">
        <v>0.9998720669</v>
      </c>
      <c r="Q70" s="7" t="n">
        <v>25.14299683</v>
      </c>
      <c r="R70" s="7" t="n">
        <v>19.80416277</v>
      </c>
      <c r="S70" s="7" t="n">
        <v>2.188340186</v>
      </c>
    </row>
    <row r="71" customFormat="false" ht="15" hidden="false" customHeight="false" outlineLevel="0" collapsed="false">
      <c r="A71" s="5" t="s">
        <v>4</v>
      </c>
      <c r="B71" s="5" t="s">
        <v>57</v>
      </c>
      <c r="C71" s="5" t="s">
        <v>62</v>
      </c>
      <c r="D71" s="2" t="n">
        <v>17</v>
      </c>
      <c r="E71" s="5" t="s">
        <v>163</v>
      </c>
      <c r="F71" s="5" t="s">
        <v>168</v>
      </c>
      <c r="G71" s="2" t="n">
        <v>1</v>
      </c>
      <c r="H71" s="7" t="n">
        <v>0.9888357198</v>
      </c>
      <c r="I71" s="7" t="n">
        <v>0.1481844852</v>
      </c>
      <c r="J71" s="7" t="n">
        <v>-0.01566133927</v>
      </c>
      <c r="K71" s="7" t="n">
        <v>-0.1481515114</v>
      </c>
      <c r="L71" s="7" t="n">
        <v>0.9889593305</v>
      </c>
      <c r="M71" s="7" t="n">
        <v>0.003251502172</v>
      </c>
      <c r="N71" s="7" t="n">
        <v>0.01597024978</v>
      </c>
      <c r="O71" s="7" t="n">
        <v>-0.0008949504071</v>
      </c>
      <c r="P71" s="7" t="n">
        <v>0.9998720669</v>
      </c>
      <c r="Q71" s="7" t="n">
        <v>25.14299683</v>
      </c>
      <c r="R71" s="7" t="n">
        <v>19.80416277</v>
      </c>
      <c r="S71" s="7" t="n">
        <v>2.188340186</v>
      </c>
    </row>
    <row r="72" customFormat="false" ht="15" hidden="false" customHeight="false" outlineLevel="0" collapsed="false">
      <c r="A72" s="5" t="s">
        <v>4</v>
      </c>
      <c r="B72" s="5" t="s">
        <v>57</v>
      </c>
      <c r="C72" s="5" t="s">
        <v>58</v>
      </c>
      <c r="D72" s="2" t="n">
        <v>18</v>
      </c>
      <c r="E72" s="5" t="s">
        <v>163</v>
      </c>
      <c r="F72" s="5" t="s">
        <v>164</v>
      </c>
      <c r="G72" s="2" t="n">
        <v>1</v>
      </c>
      <c r="H72" s="7" t="n">
        <v>-0.7190812842</v>
      </c>
      <c r="I72" s="7" t="n">
        <v>-0.6948774357</v>
      </c>
      <c r="J72" s="7" t="n">
        <v>0.008213170564</v>
      </c>
      <c r="K72" s="7" t="n">
        <v>0.6948334405</v>
      </c>
      <c r="L72" s="7" t="n">
        <v>-0.7191281822</v>
      </c>
      <c r="M72" s="7" t="n">
        <v>-0.007819693549</v>
      </c>
      <c r="N72" s="7" t="n">
        <v>0.01134005102</v>
      </c>
      <c r="O72" s="7" t="n">
        <v>8.379028131E-005</v>
      </c>
      <c r="P72" s="7" t="n">
        <v>0.999935696</v>
      </c>
      <c r="Q72" s="7" t="n">
        <v>-11.08430338</v>
      </c>
      <c r="R72" s="7" t="n">
        <v>-0.893124877</v>
      </c>
      <c r="S72" s="7" t="n">
        <v>0.5978154778</v>
      </c>
    </row>
    <row r="73" customFormat="false" ht="15" hidden="false" customHeight="false" outlineLevel="0" collapsed="false">
      <c r="A73" s="5" t="s">
        <v>4</v>
      </c>
      <c r="B73" s="5" t="s">
        <v>57</v>
      </c>
      <c r="C73" s="5" t="s">
        <v>62</v>
      </c>
      <c r="D73" s="2" t="n">
        <v>18</v>
      </c>
      <c r="E73" s="5" t="s">
        <v>163</v>
      </c>
      <c r="F73" s="5" t="s">
        <v>164</v>
      </c>
      <c r="G73" s="2" t="n">
        <v>1</v>
      </c>
      <c r="H73" s="7" t="n">
        <v>-0.7190812842</v>
      </c>
      <c r="I73" s="7" t="n">
        <v>-0.6948774357</v>
      </c>
      <c r="J73" s="7" t="n">
        <v>0.008213170564</v>
      </c>
      <c r="K73" s="7" t="n">
        <v>0.6948334405</v>
      </c>
      <c r="L73" s="7" t="n">
        <v>-0.7191281822</v>
      </c>
      <c r="M73" s="7" t="n">
        <v>-0.007819693549</v>
      </c>
      <c r="N73" s="7" t="n">
        <v>0.01134005102</v>
      </c>
      <c r="O73" s="7" t="n">
        <v>8.379028131E-005</v>
      </c>
      <c r="P73" s="7" t="n">
        <v>0.999935696</v>
      </c>
      <c r="Q73" s="7" t="n">
        <v>-11.08430338</v>
      </c>
      <c r="R73" s="7" t="n">
        <v>-0.893124877</v>
      </c>
      <c r="S73" s="7" t="n">
        <v>0.5978154778</v>
      </c>
    </row>
    <row r="74" customFormat="false" ht="15" hidden="false" customHeight="false" outlineLevel="0" collapsed="false">
      <c r="A74" s="5" t="s">
        <v>4</v>
      </c>
      <c r="B74" s="5" t="s">
        <v>57</v>
      </c>
      <c r="C74" s="5" t="s">
        <v>58</v>
      </c>
      <c r="D74" s="2" t="n">
        <v>18</v>
      </c>
      <c r="E74" s="5" t="s">
        <v>163</v>
      </c>
      <c r="F74" s="5" t="s">
        <v>165</v>
      </c>
      <c r="G74" s="2" t="n">
        <v>1</v>
      </c>
      <c r="H74" s="7" t="n">
        <v>0.9339665575</v>
      </c>
      <c r="I74" s="7" t="n">
        <v>0.3572812651</v>
      </c>
      <c r="J74" s="7" t="n">
        <v>-0.00752110548</v>
      </c>
      <c r="K74" s="7" t="n">
        <v>-0.3572428344</v>
      </c>
      <c r="L74" s="7" t="n">
        <v>0.9339922995</v>
      </c>
      <c r="M74" s="7" t="n">
        <v>0.005995151968</v>
      </c>
      <c r="N74" s="7" t="n">
        <v>0.009166610081</v>
      </c>
      <c r="O74" s="7" t="n">
        <v>-0.002912410406</v>
      </c>
      <c r="P74" s="7" t="n">
        <v>0.9999537445</v>
      </c>
      <c r="Q74" s="7" t="n">
        <v>8.383702288</v>
      </c>
      <c r="R74" s="7" t="n">
        <v>1.379385398</v>
      </c>
      <c r="S74" s="7" t="n">
        <v>0.6697102095</v>
      </c>
    </row>
    <row r="75" customFormat="false" ht="15" hidden="false" customHeight="false" outlineLevel="0" collapsed="false">
      <c r="A75" s="5" t="s">
        <v>4</v>
      </c>
      <c r="B75" s="5" t="s">
        <v>57</v>
      </c>
      <c r="C75" s="5" t="s">
        <v>62</v>
      </c>
      <c r="D75" s="2" t="n">
        <v>18</v>
      </c>
      <c r="E75" s="5" t="s">
        <v>163</v>
      </c>
      <c r="F75" s="5" t="s">
        <v>165</v>
      </c>
      <c r="G75" s="2" t="n">
        <v>1</v>
      </c>
      <c r="H75" s="7" t="n">
        <v>0.9339665575</v>
      </c>
      <c r="I75" s="7" t="n">
        <v>0.3572812651</v>
      </c>
      <c r="J75" s="7" t="n">
        <v>-0.00752110548</v>
      </c>
      <c r="K75" s="7" t="n">
        <v>-0.3572428344</v>
      </c>
      <c r="L75" s="7" t="n">
        <v>0.9339922995</v>
      </c>
      <c r="M75" s="7" t="n">
        <v>0.005995151968</v>
      </c>
      <c r="N75" s="7" t="n">
        <v>0.009166610081</v>
      </c>
      <c r="O75" s="7" t="n">
        <v>-0.002912410406</v>
      </c>
      <c r="P75" s="7" t="n">
        <v>0.9999537445</v>
      </c>
      <c r="Q75" s="7" t="n">
        <v>8.383702288</v>
      </c>
      <c r="R75" s="7" t="n">
        <v>1.379385398</v>
      </c>
      <c r="S75" s="7" t="n">
        <v>0.6697102095</v>
      </c>
    </row>
    <row r="76" customFormat="false" ht="15" hidden="false" customHeight="false" outlineLevel="0" collapsed="false">
      <c r="A76" s="5" t="s">
        <v>4</v>
      </c>
      <c r="B76" s="5" t="s">
        <v>57</v>
      </c>
      <c r="C76" s="5" t="s">
        <v>58</v>
      </c>
      <c r="D76" s="2" t="n">
        <v>18</v>
      </c>
      <c r="E76" s="5" t="s">
        <v>163</v>
      </c>
      <c r="F76" s="5" t="s">
        <v>166</v>
      </c>
      <c r="G76" s="2" t="n">
        <v>1</v>
      </c>
      <c r="H76" s="7" t="n">
        <v>0.9015536721</v>
      </c>
      <c r="I76" s="7" t="n">
        <v>0.4325190004</v>
      </c>
      <c r="J76" s="7" t="n">
        <v>-0.01132654275</v>
      </c>
      <c r="K76" s="7" t="n">
        <v>-0.4326086224</v>
      </c>
      <c r="L76" s="7" t="n">
        <v>0.9015535671</v>
      </c>
      <c r="M76" s="7" t="n">
        <v>-0.00713761384</v>
      </c>
      <c r="N76" s="7" t="n">
        <v>0.007124331416</v>
      </c>
      <c r="O76" s="7" t="n">
        <v>0.01133490202</v>
      </c>
      <c r="P76" s="7" t="n">
        <v>0.9999103779</v>
      </c>
      <c r="Q76" s="7" t="n">
        <v>22.85756821</v>
      </c>
      <c r="R76" s="7" t="n">
        <v>6.506263069</v>
      </c>
      <c r="S76" s="7" t="n">
        <v>1.546140223</v>
      </c>
    </row>
    <row r="77" customFormat="false" ht="15" hidden="false" customHeight="false" outlineLevel="0" collapsed="false">
      <c r="A77" s="5" t="s">
        <v>4</v>
      </c>
      <c r="B77" s="5" t="s">
        <v>57</v>
      </c>
      <c r="C77" s="5" t="s">
        <v>62</v>
      </c>
      <c r="D77" s="2" t="n">
        <v>18</v>
      </c>
      <c r="E77" s="5" t="s">
        <v>163</v>
      </c>
      <c r="F77" s="5" t="s">
        <v>166</v>
      </c>
      <c r="G77" s="2" t="n">
        <v>1</v>
      </c>
      <c r="H77" s="7" t="n">
        <v>0.9015536721</v>
      </c>
      <c r="I77" s="7" t="n">
        <v>0.4325190004</v>
      </c>
      <c r="J77" s="7" t="n">
        <v>-0.01132654275</v>
      </c>
      <c r="K77" s="7" t="n">
        <v>-0.4326086224</v>
      </c>
      <c r="L77" s="7" t="n">
        <v>0.9015535671</v>
      </c>
      <c r="M77" s="7" t="n">
        <v>-0.00713761384</v>
      </c>
      <c r="N77" s="7" t="n">
        <v>0.007124331416</v>
      </c>
      <c r="O77" s="7" t="n">
        <v>0.01133490202</v>
      </c>
      <c r="P77" s="7" t="n">
        <v>0.9999103779</v>
      </c>
      <c r="Q77" s="7" t="n">
        <v>22.85756821</v>
      </c>
      <c r="R77" s="7" t="n">
        <v>6.506263069</v>
      </c>
      <c r="S77" s="7" t="n">
        <v>1.546140223</v>
      </c>
    </row>
    <row r="78" customFormat="false" ht="15" hidden="false" customHeight="false" outlineLevel="0" collapsed="false">
      <c r="A78" s="5" t="s">
        <v>4</v>
      </c>
      <c r="B78" s="5" t="s">
        <v>57</v>
      </c>
      <c r="C78" s="5" t="s">
        <v>58</v>
      </c>
      <c r="D78" s="2" t="n">
        <v>18</v>
      </c>
      <c r="E78" s="5" t="s">
        <v>163</v>
      </c>
      <c r="F78" s="5" t="s">
        <v>167</v>
      </c>
      <c r="G78" s="2" t="n">
        <v>1</v>
      </c>
      <c r="H78" s="7" t="n">
        <v>0.2243076881</v>
      </c>
      <c r="I78" s="7" t="n">
        <v>-0.9745150869</v>
      </c>
      <c r="J78" s="7" t="n">
        <v>0.002531096099</v>
      </c>
      <c r="K78" s="7" t="n">
        <v>0.9744536897</v>
      </c>
      <c r="L78" s="7" t="n">
        <v>0.2242621182</v>
      </c>
      <c r="M78" s="7" t="n">
        <v>-0.01210409062</v>
      </c>
      <c r="N78" s="7" t="n">
        <v>0.01122798995</v>
      </c>
      <c r="O78" s="7" t="n">
        <v>0.005181476517</v>
      </c>
      <c r="P78" s="7" t="n">
        <v>0.9999235393</v>
      </c>
      <c r="Q78" s="7" t="n">
        <v>-16.55803671</v>
      </c>
      <c r="R78" s="7" t="n">
        <v>20.48194338</v>
      </c>
      <c r="S78" s="7" t="n">
        <v>1.164330144</v>
      </c>
    </row>
    <row r="79" customFormat="false" ht="15" hidden="false" customHeight="false" outlineLevel="0" collapsed="false">
      <c r="A79" s="5" t="s">
        <v>4</v>
      </c>
      <c r="B79" s="5" t="s">
        <v>57</v>
      </c>
      <c r="C79" s="5" t="s">
        <v>62</v>
      </c>
      <c r="D79" s="2" t="n">
        <v>18</v>
      </c>
      <c r="E79" s="5" t="s">
        <v>163</v>
      </c>
      <c r="F79" s="5" t="s">
        <v>167</v>
      </c>
      <c r="G79" s="2" t="n">
        <v>1</v>
      </c>
      <c r="H79" s="7" t="n">
        <v>0.2243076881</v>
      </c>
      <c r="I79" s="7" t="n">
        <v>-0.9745150869</v>
      </c>
      <c r="J79" s="7" t="n">
        <v>0.002531096099</v>
      </c>
      <c r="K79" s="7" t="n">
        <v>0.9744536897</v>
      </c>
      <c r="L79" s="7" t="n">
        <v>0.2242621182</v>
      </c>
      <c r="M79" s="7" t="n">
        <v>-0.01210409062</v>
      </c>
      <c r="N79" s="7" t="n">
        <v>0.01122798995</v>
      </c>
      <c r="O79" s="7" t="n">
        <v>0.005181476517</v>
      </c>
      <c r="P79" s="7" t="n">
        <v>0.9999235393</v>
      </c>
      <c r="Q79" s="7" t="n">
        <v>-16.55803671</v>
      </c>
      <c r="R79" s="7" t="n">
        <v>20.48194338</v>
      </c>
      <c r="S79" s="7" t="n">
        <v>1.164330144</v>
      </c>
    </row>
    <row r="80" customFormat="false" ht="15" hidden="false" customHeight="false" outlineLevel="0" collapsed="false">
      <c r="A80" s="5" t="s">
        <v>4</v>
      </c>
      <c r="B80" s="5" t="s">
        <v>57</v>
      </c>
      <c r="C80" s="5" t="s">
        <v>58</v>
      </c>
      <c r="D80" s="2" t="n">
        <v>18</v>
      </c>
      <c r="E80" s="5" t="s">
        <v>163</v>
      </c>
      <c r="F80" s="5" t="s">
        <v>168</v>
      </c>
      <c r="G80" s="2" t="n">
        <v>1</v>
      </c>
      <c r="H80" s="7" t="n">
        <v>0.9889883531</v>
      </c>
      <c r="I80" s="7" t="n">
        <v>0.1479297068</v>
      </c>
      <c r="J80" s="7" t="n">
        <v>-0.004340427553</v>
      </c>
      <c r="K80" s="7" t="n">
        <v>-0.1479349669</v>
      </c>
      <c r="L80" s="7" t="n">
        <v>0.9889966673</v>
      </c>
      <c r="M80" s="7" t="n">
        <v>-0.0009151737384</v>
      </c>
      <c r="N80" s="7" t="n">
        <v>0.004157287002</v>
      </c>
      <c r="O80" s="7" t="n">
        <v>0.001547197175</v>
      </c>
      <c r="P80" s="7" t="n">
        <v>0.9999901615</v>
      </c>
      <c r="Q80" s="7" t="n">
        <v>25.16373811</v>
      </c>
      <c r="R80" s="7" t="n">
        <v>19.81540383</v>
      </c>
      <c r="S80" s="7" t="n">
        <v>2.191451666</v>
      </c>
    </row>
    <row r="81" customFormat="false" ht="15" hidden="false" customHeight="false" outlineLevel="0" collapsed="false">
      <c r="A81" s="5" t="s">
        <v>4</v>
      </c>
      <c r="B81" s="5" t="s">
        <v>57</v>
      </c>
      <c r="C81" s="5" t="s">
        <v>62</v>
      </c>
      <c r="D81" s="2" t="n">
        <v>18</v>
      </c>
      <c r="E81" s="5" t="s">
        <v>163</v>
      </c>
      <c r="F81" s="5" t="s">
        <v>168</v>
      </c>
      <c r="G81" s="2" t="n">
        <v>1</v>
      </c>
      <c r="H81" s="7" t="n">
        <v>0.9889883531</v>
      </c>
      <c r="I81" s="7" t="n">
        <v>0.1479297068</v>
      </c>
      <c r="J81" s="7" t="n">
        <v>-0.004340427553</v>
      </c>
      <c r="K81" s="7" t="n">
        <v>-0.1479349669</v>
      </c>
      <c r="L81" s="7" t="n">
        <v>0.9889966673</v>
      </c>
      <c r="M81" s="7" t="n">
        <v>-0.0009151737384</v>
      </c>
      <c r="N81" s="7" t="n">
        <v>0.004157287002</v>
      </c>
      <c r="O81" s="7" t="n">
        <v>0.001547197175</v>
      </c>
      <c r="P81" s="7" t="n">
        <v>0.9999901615</v>
      </c>
      <c r="Q81" s="7" t="n">
        <v>25.16373811</v>
      </c>
      <c r="R81" s="7" t="n">
        <v>19.81540383</v>
      </c>
      <c r="S81" s="7" t="n">
        <v>2.191451666</v>
      </c>
    </row>
    <row r="82" customFormat="false" ht="15" hidden="false" customHeight="false" outlineLevel="0" collapsed="false">
      <c r="A82" s="5" t="s">
        <v>4</v>
      </c>
      <c r="B82" s="5" t="s">
        <v>57</v>
      </c>
      <c r="C82" s="5" t="s">
        <v>58</v>
      </c>
      <c r="D82" s="2" t="n">
        <v>19</v>
      </c>
      <c r="E82" s="5" t="s">
        <v>163</v>
      </c>
      <c r="F82" s="5" t="s">
        <v>164</v>
      </c>
      <c r="G82" s="2" t="n">
        <v>1</v>
      </c>
      <c r="H82" s="7" t="n">
        <v>-0.7181192753</v>
      </c>
      <c r="I82" s="7" t="n">
        <v>-0.6958908128</v>
      </c>
      <c r="J82" s="7" t="n">
        <v>0.006378334707</v>
      </c>
      <c r="K82" s="7" t="n">
        <v>0.6958567418</v>
      </c>
      <c r="L82" s="7" t="n">
        <v>-0.7181474121</v>
      </c>
      <c r="M82" s="7" t="n">
        <v>-0.006905751802</v>
      </c>
      <c r="N82" s="7" t="n">
        <v>0.009386233798</v>
      </c>
      <c r="O82" s="7" t="n">
        <v>-0.0005207462725</v>
      </c>
      <c r="P82" s="7" t="n">
        <v>0.9999558127</v>
      </c>
      <c r="Q82" s="7" t="n">
        <v>-11.07748154</v>
      </c>
      <c r="R82" s="7" t="n">
        <v>-0.8601500021</v>
      </c>
      <c r="S82" s="7" t="n">
        <v>0.6026974434</v>
      </c>
    </row>
    <row r="83" customFormat="false" ht="15" hidden="false" customHeight="false" outlineLevel="0" collapsed="false">
      <c r="A83" s="5" t="s">
        <v>4</v>
      </c>
      <c r="B83" s="5" t="s">
        <v>57</v>
      </c>
      <c r="C83" s="5" t="s">
        <v>62</v>
      </c>
      <c r="D83" s="2" t="n">
        <v>19</v>
      </c>
      <c r="E83" s="5" t="s">
        <v>163</v>
      </c>
      <c r="F83" s="5" t="s">
        <v>164</v>
      </c>
      <c r="G83" s="2" t="n">
        <v>1</v>
      </c>
      <c r="H83" s="7" t="n">
        <v>-0.7181192753</v>
      </c>
      <c r="I83" s="7" t="n">
        <v>-0.6958908128</v>
      </c>
      <c r="J83" s="7" t="n">
        <v>0.006378334707</v>
      </c>
      <c r="K83" s="7" t="n">
        <v>0.6958567418</v>
      </c>
      <c r="L83" s="7" t="n">
        <v>-0.7181474121</v>
      </c>
      <c r="M83" s="7" t="n">
        <v>-0.006905751802</v>
      </c>
      <c r="N83" s="7" t="n">
        <v>0.009386233798</v>
      </c>
      <c r="O83" s="7" t="n">
        <v>-0.0005207462725</v>
      </c>
      <c r="P83" s="7" t="n">
        <v>0.9999558127</v>
      </c>
      <c r="Q83" s="7" t="n">
        <v>-11.07748154</v>
      </c>
      <c r="R83" s="7" t="n">
        <v>-0.8601500021</v>
      </c>
      <c r="S83" s="7" t="n">
        <v>0.6026974434</v>
      </c>
    </row>
    <row r="84" customFormat="false" ht="15" hidden="false" customHeight="false" outlineLevel="0" collapsed="false">
      <c r="A84" s="5" t="s">
        <v>4</v>
      </c>
      <c r="B84" s="5" t="s">
        <v>57</v>
      </c>
      <c r="C84" s="5" t="s">
        <v>58</v>
      </c>
      <c r="D84" s="2" t="n">
        <v>19</v>
      </c>
      <c r="E84" s="5" t="s">
        <v>163</v>
      </c>
      <c r="F84" s="5" t="s">
        <v>165</v>
      </c>
      <c r="G84" s="2" t="n">
        <v>1</v>
      </c>
      <c r="H84" s="7" t="n">
        <v>0.9341533702</v>
      </c>
      <c r="I84" s="7" t="n">
        <v>0.3568306978</v>
      </c>
      <c r="J84" s="7" t="n">
        <v>-0.005416095334</v>
      </c>
      <c r="K84" s="7" t="n">
        <v>-0.3567993849</v>
      </c>
      <c r="L84" s="7" t="n">
        <v>0.9341619713</v>
      </c>
      <c r="M84" s="7" t="n">
        <v>0.005967431446</v>
      </c>
      <c r="N84" s="7" t="n">
        <v>0.007188873021</v>
      </c>
      <c r="O84" s="7" t="n">
        <v>-0.003642036713</v>
      </c>
      <c r="P84" s="7" t="n">
        <v>0.9999675273</v>
      </c>
      <c r="Q84" s="7" t="n">
        <v>8.405145961</v>
      </c>
      <c r="R84" s="7" t="n">
        <v>1.38727628</v>
      </c>
      <c r="S84" s="7" t="n">
        <v>0.6440002721</v>
      </c>
    </row>
    <row r="85" customFormat="false" ht="15" hidden="false" customHeight="false" outlineLevel="0" collapsed="false">
      <c r="A85" s="5" t="s">
        <v>4</v>
      </c>
      <c r="B85" s="5" t="s">
        <v>57</v>
      </c>
      <c r="C85" s="5" t="s">
        <v>62</v>
      </c>
      <c r="D85" s="2" t="n">
        <v>19</v>
      </c>
      <c r="E85" s="5" t="s">
        <v>163</v>
      </c>
      <c r="F85" s="5" t="s">
        <v>165</v>
      </c>
      <c r="G85" s="2" t="n">
        <v>1</v>
      </c>
      <c r="H85" s="7" t="n">
        <v>0.9341533702</v>
      </c>
      <c r="I85" s="7" t="n">
        <v>0.3568306978</v>
      </c>
      <c r="J85" s="7" t="n">
        <v>-0.005416095334</v>
      </c>
      <c r="K85" s="7" t="n">
        <v>-0.3567993849</v>
      </c>
      <c r="L85" s="7" t="n">
        <v>0.9341619713</v>
      </c>
      <c r="M85" s="7" t="n">
        <v>0.005967431446</v>
      </c>
      <c r="N85" s="7" t="n">
        <v>0.007188873021</v>
      </c>
      <c r="O85" s="7" t="n">
        <v>-0.003642036713</v>
      </c>
      <c r="P85" s="7" t="n">
        <v>0.9999675273</v>
      </c>
      <c r="Q85" s="7" t="n">
        <v>8.405145961</v>
      </c>
      <c r="R85" s="7" t="n">
        <v>1.38727628</v>
      </c>
      <c r="S85" s="7" t="n">
        <v>0.6440002721</v>
      </c>
    </row>
    <row r="86" customFormat="false" ht="15" hidden="false" customHeight="false" outlineLevel="0" collapsed="false">
      <c r="A86" s="5" t="s">
        <v>4</v>
      </c>
      <c r="B86" s="5" t="s">
        <v>57</v>
      </c>
      <c r="C86" s="5" t="s">
        <v>58</v>
      </c>
      <c r="D86" s="2" t="n">
        <v>19</v>
      </c>
      <c r="E86" s="5" t="s">
        <v>163</v>
      </c>
      <c r="F86" s="5" t="s">
        <v>166</v>
      </c>
      <c r="G86" s="2" t="n">
        <v>1</v>
      </c>
      <c r="H86" s="7" t="n">
        <v>0.9022141489</v>
      </c>
      <c r="I86" s="7" t="n">
        <v>0.4310188352</v>
      </c>
      <c r="J86" s="7" t="n">
        <v>-0.01524444918</v>
      </c>
      <c r="K86" s="7" t="n">
        <v>-0.4311677647</v>
      </c>
      <c r="L86" s="7" t="n">
        <v>0.9022340437</v>
      </c>
      <c r="M86" s="7" t="n">
        <v>-0.008251609538</v>
      </c>
      <c r="N86" s="7" t="n">
        <v>0.0101974619</v>
      </c>
      <c r="O86" s="7" t="n">
        <v>0.01401763395</v>
      </c>
      <c r="P86" s="7" t="n">
        <v>0.9998497476</v>
      </c>
      <c r="Q86" s="7" t="n">
        <v>22.84407211</v>
      </c>
      <c r="R86" s="7" t="n">
        <v>6.512771839</v>
      </c>
      <c r="S86" s="7" t="n">
        <v>1.594550716</v>
      </c>
    </row>
    <row r="87" customFormat="false" ht="15" hidden="false" customHeight="false" outlineLevel="0" collapsed="false">
      <c r="A87" s="5" t="s">
        <v>4</v>
      </c>
      <c r="B87" s="5" t="s">
        <v>57</v>
      </c>
      <c r="C87" s="5" t="s">
        <v>62</v>
      </c>
      <c r="D87" s="2" t="n">
        <v>19</v>
      </c>
      <c r="E87" s="5" t="s">
        <v>163</v>
      </c>
      <c r="F87" s="5" t="s">
        <v>166</v>
      </c>
      <c r="G87" s="2" t="n">
        <v>1</v>
      </c>
      <c r="H87" s="7" t="n">
        <v>0.9022141489</v>
      </c>
      <c r="I87" s="7" t="n">
        <v>0.4310188352</v>
      </c>
      <c r="J87" s="7" t="n">
        <v>-0.01524444918</v>
      </c>
      <c r="K87" s="7" t="n">
        <v>-0.4311677647</v>
      </c>
      <c r="L87" s="7" t="n">
        <v>0.9022340437</v>
      </c>
      <c r="M87" s="7" t="n">
        <v>-0.008251609538</v>
      </c>
      <c r="N87" s="7" t="n">
        <v>0.0101974619</v>
      </c>
      <c r="O87" s="7" t="n">
        <v>0.01401763395</v>
      </c>
      <c r="P87" s="7" t="n">
        <v>0.9998497476</v>
      </c>
      <c r="Q87" s="7" t="n">
        <v>22.84407211</v>
      </c>
      <c r="R87" s="7" t="n">
        <v>6.512771839</v>
      </c>
      <c r="S87" s="7" t="n">
        <v>1.594550716</v>
      </c>
    </row>
    <row r="88" customFormat="false" ht="15" hidden="false" customHeight="false" outlineLevel="0" collapsed="false">
      <c r="A88" s="5" t="s">
        <v>4</v>
      </c>
      <c r="B88" s="5" t="s">
        <v>57</v>
      </c>
      <c r="C88" s="5" t="s">
        <v>58</v>
      </c>
      <c r="D88" s="2" t="n">
        <v>19</v>
      </c>
      <c r="E88" s="5" t="s">
        <v>163</v>
      </c>
      <c r="F88" s="5" t="s">
        <v>167</v>
      </c>
      <c r="G88" s="2" t="n">
        <v>1</v>
      </c>
      <c r="H88" s="7" t="n">
        <v>0.2275391139</v>
      </c>
      <c r="I88" s="7" t="n">
        <v>-0.9737689409</v>
      </c>
      <c r="J88" s="7" t="n">
        <v>3.58174136E-005</v>
      </c>
      <c r="K88" s="7" t="n">
        <v>0.9736336973</v>
      </c>
      <c r="L88" s="7" t="n">
        <v>0.2275068984</v>
      </c>
      <c r="M88" s="7" t="n">
        <v>-0.01667437048</v>
      </c>
      <c r="N88" s="7" t="n">
        <v>0.01622883537</v>
      </c>
      <c r="O88" s="7" t="n">
        <v>0.003828944525</v>
      </c>
      <c r="P88" s="7" t="n">
        <v>0.9998609724</v>
      </c>
      <c r="Q88" s="7" t="n">
        <v>-16.50159702</v>
      </c>
      <c r="R88" s="7" t="n">
        <v>20.54389185</v>
      </c>
      <c r="S88" s="7" t="n">
        <v>1.094332993</v>
      </c>
    </row>
    <row r="89" customFormat="false" ht="15" hidden="false" customHeight="false" outlineLevel="0" collapsed="false">
      <c r="A89" s="5" t="s">
        <v>4</v>
      </c>
      <c r="B89" s="5" t="s">
        <v>57</v>
      </c>
      <c r="C89" s="5" t="s">
        <v>62</v>
      </c>
      <c r="D89" s="2" t="n">
        <v>19</v>
      </c>
      <c r="E89" s="5" t="s">
        <v>163</v>
      </c>
      <c r="F89" s="5" t="s">
        <v>167</v>
      </c>
      <c r="G89" s="2" t="n">
        <v>1</v>
      </c>
      <c r="H89" s="7" t="n">
        <v>0.2275391139</v>
      </c>
      <c r="I89" s="7" t="n">
        <v>-0.9737689409</v>
      </c>
      <c r="J89" s="7" t="n">
        <v>3.58174136E-005</v>
      </c>
      <c r="K89" s="7" t="n">
        <v>0.9736336973</v>
      </c>
      <c r="L89" s="7" t="n">
        <v>0.2275068984</v>
      </c>
      <c r="M89" s="7" t="n">
        <v>-0.01667437048</v>
      </c>
      <c r="N89" s="7" t="n">
        <v>0.01622883537</v>
      </c>
      <c r="O89" s="7" t="n">
        <v>0.003828944525</v>
      </c>
      <c r="P89" s="7" t="n">
        <v>0.9998609724</v>
      </c>
      <c r="Q89" s="7" t="n">
        <v>-16.50159702</v>
      </c>
      <c r="R89" s="7" t="n">
        <v>20.54389185</v>
      </c>
      <c r="S89" s="7" t="n">
        <v>1.094332993</v>
      </c>
    </row>
    <row r="90" customFormat="false" ht="15" hidden="false" customHeight="false" outlineLevel="0" collapsed="false">
      <c r="A90" s="5" t="s">
        <v>4</v>
      </c>
      <c r="B90" s="5" t="s">
        <v>57</v>
      </c>
      <c r="C90" s="5" t="s">
        <v>58</v>
      </c>
      <c r="D90" s="2" t="n">
        <v>19</v>
      </c>
      <c r="E90" s="5" t="s">
        <v>163</v>
      </c>
      <c r="F90" s="5" t="s">
        <v>168</v>
      </c>
      <c r="G90" s="2" t="n">
        <v>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customFormat="false" ht="15" hidden="false" customHeight="false" outlineLevel="0" collapsed="false">
      <c r="A91" s="5" t="s">
        <v>4</v>
      </c>
      <c r="B91" s="5" t="s">
        <v>57</v>
      </c>
      <c r="C91" s="5" t="s">
        <v>62</v>
      </c>
      <c r="D91" s="2" t="n">
        <v>19</v>
      </c>
      <c r="E91" s="5" t="s">
        <v>163</v>
      </c>
      <c r="F91" s="5" t="s">
        <v>168</v>
      </c>
      <c r="G91" s="2" t="n">
        <v>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customFormat="false" ht="15" hidden="false" customHeight="false" outlineLevel="0" collapsed="false">
      <c r="A92" s="5" t="s">
        <v>4</v>
      </c>
      <c r="B92" s="5" t="s">
        <v>57</v>
      </c>
      <c r="C92" s="5" t="s">
        <v>58</v>
      </c>
      <c r="D92" s="2" t="n">
        <v>20</v>
      </c>
      <c r="E92" s="5" t="s">
        <v>163</v>
      </c>
      <c r="F92" s="5" t="s">
        <v>164</v>
      </c>
      <c r="G92" s="2" t="n">
        <v>1</v>
      </c>
      <c r="H92" s="7" t="n">
        <v>-0.7191608157</v>
      </c>
      <c r="I92" s="7" t="n">
        <v>-0.694817523</v>
      </c>
      <c r="J92" s="7" t="n">
        <v>0.006027506334</v>
      </c>
      <c r="K92" s="7" t="n">
        <v>0.6947897012</v>
      </c>
      <c r="L92" s="7" t="n">
        <v>-0.7191860165</v>
      </c>
      <c r="M92" s="7" t="n">
        <v>-0.006224530575</v>
      </c>
      <c r="N92" s="7" t="n">
        <v>0.008659811187</v>
      </c>
      <c r="O92" s="7" t="n">
        <v>-0.0002885891613</v>
      </c>
      <c r="P92" s="7" t="n">
        <v>0.9999624615</v>
      </c>
      <c r="Q92" s="7" t="n">
        <v>-11.07956803</v>
      </c>
      <c r="R92" s="7" t="n">
        <v>-0.8839826124</v>
      </c>
      <c r="S92" s="7" t="n">
        <v>0.5974988539</v>
      </c>
    </row>
    <row r="93" customFormat="false" ht="15" hidden="false" customHeight="false" outlineLevel="0" collapsed="false">
      <c r="A93" s="5" t="s">
        <v>4</v>
      </c>
      <c r="B93" s="5" t="s">
        <v>57</v>
      </c>
      <c r="C93" s="5" t="s">
        <v>62</v>
      </c>
      <c r="D93" s="2" t="n">
        <v>20</v>
      </c>
      <c r="E93" s="5" t="s">
        <v>163</v>
      </c>
      <c r="F93" s="5" t="s">
        <v>164</v>
      </c>
      <c r="G93" s="2" t="n">
        <v>1</v>
      </c>
      <c r="H93" s="7" t="n">
        <v>-0.7191608157</v>
      </c>
      <c r="I93" s="7" t="n">
        <v>-0.694817523</v>
      </c>
      <c r="J93" s="7" t="n">
        <v>0.006027506334</v>
      </c>
      <c r="K93" s="7" t="n">
        <v>0.6947897012</v>
      </c>
      <c r="L93" s="7" t="n">
        <v>-0.7191860165</v>
      </c>
      <c r="M93" s="7" t="n">
        <v>-0.006224530575</v>
      </c>
      <c r="N93" s="7" t="n">
        <v>0.008659811187</v>
      </c>
      <c r="O93" s="7" t="n">
        <v>-0.0002885891613</v>
      </c>
      <c r="P93" s="7" t="n">
        <v>0.9999624615</v>
      </c>
      <c r="Q93" s="7" t="n">
        <v>-11.07956803</v>
      </c>
      <c r="R93" s="7" t="n">
        <v>-0.8839826124</v>
      </c>
      <c r="S93" s="7" t="n">
        <v>0.5974988539</v>
      </c>
    </row>
    <row r="94" customFormat="false" ht="15" hidden="false" customHeight="false" outlineLevel="0" collapsed="false">
      <c r="A94" s="5" t="s">
        <v>4</v>
      </c>
      <c r="B94" s="5" t="s">
        <v>57</v>
      </c>
      <c r="C94" s="5" t="s">
        <v>58</v>
      </c>
      <c r="D94" s="2" t="n">
        <v>20</v>
      </c>
      <c r="E94" s="5" t="s">
        <v>163</v>
      </c>
      <c r="F94" s="5" t="s">
        <v>165</v>
      </c>
      <c r="G94" s="2" t="n">
        <v>1</v>
      </c>
      <c r="H94" s="7" t="n">
        <v>0.9336234298</v>
      </c>
      <c r="I94" s="7" t="n">
        <v>0.3582559015</v>
      </c>
      <c r="J94" s="7" t="n">
        <v>-1.917368767E-005</v>
      </c>
      <c r="K94" s="7" t="n">
        <v>-0.3582548012</v>
      </c>
      <c r="L94" s="7" t="n">
        <v>0.9336206923</v>
      </c>
      <c r="M94" s="7" t="n">
        <v>0.002429042902</v>
      </c>
      <c r="N94" s="7" t="n">
        <v>0.0008881199062</v>
      </c>
      <c r="O94" s="7" t="n">
        <v>-0.0022609423</v>
      </c>
      <c r="P94" s="7" t="n">
        <v>0.9999970497</v>
      </c>
      <c r="Q94" s="7" t="n">
        <v>8.423456475</v>
      </c>
      <c r="R94" s="7" t="n">
        <v>1.349386009</v>
      </c>
      <c r="S94" s="7" t="n">
        <v>0.5556721654</v>
      </c>
    </row>
    <row r="95" customFormat="false" ht="15" hidden="false" customHeight="false" outlineLevel="0" collapsed="false">
      <c r="A95" s="5" t="s">
        <v>4</v>
      </c>
      <c r="B95" s="5" t="s">
        <v>57</v>
      </c>
      <c r="C95" s="5" t="s">
        <v>62</v>
      </c>
      <c r="D95" s="2" t="n">
        <v>20</v>
      </c>
      <c r="E95" s="5" t="s">
        <v>163</v>
      </c>
      <c r="F95" s="5" t="s">
        <v>165</v>
      </c>
      <c r="G95" s="2" t="n">
        <v>1</v>
      </c>
      <c r="H95" s="7" t="n">
        <v>0.9336234298</v>
      </c>
      <c r="I95" s="7" t="n">
        <v>0.3582559015</v>
      </c>
      <c r="J95" s="7" t="n">
        <v>-1.917368767E-005</v>
      </c>
      <c r="K95" s="7" t="n">
        <v>-0.3582548012</v>
      </c>
      <c r="L95" s="7" t="n">
        <v>0.9336206923</v>
      </c>
      <c r="M95" s="7" t="n">
        <v>0.002429042902</v>
      </c>
      <c r="N95" s="7" t="n">
        <v>0.0008881199062</v>
      </c>
      <c r="O95" s="7" t="n">
        <v>-0.0022609423</v>
      </c>
      <c r="P95" s="7" t="n">
        <v>0.9999970497</v>
      </c>
      <c r="Q95" s="7" t="n">
        <v>8.423456475</v>
      </c>
      <c r="R95" s="7" t="n">
        <v>1.349386009</v>
      </c>
      <c r="S95" s="7" t="n">
        <v>0.5556721654</v>
      </c>
    </row>
    <row r="96" customFormat="false" ht="15" hidden="false" customHeight="false" outlineLevel="0" collapsed="false">
      <c r="A96" s="5" t="s">
        <v>4</v>
      </c>
      <c r="B96" s="5" t="s">
        <v>57</v>
      </c>
      <c r="C96" s="5" t="s">
        <v>58</v>
      </c>
      <c r="D96" s="2" t="n">
        <v>20</v>
      </c>
      <c r="E96" s="5" t="s">
        <v>163</v>
      </c>
      <c r="F96" s="5" t="s">
        <v>166</v>
      </c>
      <c r="G96" s="2" t="n">
        <v>1</v>
      </c>
      <c r="H96" s="7" t="n">
        <v>0.9028250649</v>
      </c>
      <c r="I96" s="7" t="n">
        <v>0.4299685097</v>
      </c>
      <c r="J96" s="7" t="n">
        <v>-0.00582948767</v>
      </c>
      <c r="K96" s="7" t="n">
        <v>-0.4300071422</v>
      </c>
      <c r="L96" s="7" t="n">
        <v>0.9027677259</v>
      </c>
      <c r="M96" s="7" t="n">
        <v>-0.01021228317</v>
      </c>
      <c r="N96" s="7" t="n">
        <v>0.0008717131526</v>
      </c>
      <c r="O96" s="7" t="n">
        <v>0.01172662655</v>
      </c>
      <c r="P96" s="7" t="n">
        <v>0.9999308608</v>
      </c>
      <c r="Q96" s="7" t="n">
        <v>22.86703954</v>
      </c>
      <c r="R96" s="7" t="n">
        <v>6.550767704</v>
      </c>
      <c r="S96" s="7" t="n">
        <v>1.436760576</v>
      </c>
    </row>
    <row r="97" customFormat="false" ht="15" hidden="false" customHeight="false" outlineLevel="0" collapsed="false">
      <c r="A97" s="5" t="s">
        <v>4</v>
      </c>
      <c r="B97" s="5" t="s">
        <v>57</v>
      </c>
      <c r="C97" s="5" t="s">
        <v>62</v>
      </c>
      <c r="D97" s="2" t="n">
        <v>20</v>
      </c>
      <c r="E97" s="5" t="s">
        <v>163</v>
      </c>
      <c r="F97" s="5" t="s">
        <v>166</v>
      </c>
      <c r="G97" s="2" t="n">
        <v>1</v>
      </c>
      <c r="H97" s="7" t="n">
        <v>0.9028250649</v>
      </c>
      <c r="I97" s="7" t="n">
        <v>0.4299685097</v>
      </c>
      <c r="J97" s="7" t="n">
        <v>-0.00582948767</v>
      </c>
      <c r="K97" s="7" t="n">
        <v>-0.4300071422</v>
      </c>
      <c r="L97" s="7" t="n">
        <v>0.9027677259</v>
      </c>
      <c r="M97" s="7" t="n">
        <v>-0.01021228317</v>
      </c>
      <c r="N97" s="7" t="n">
        <v>0.0008717131526</v>
      </c>
      <c r="O97" s="7" t="n">
        <v>0.01172662655</v>
      </c>
      <c r="P97" s="7" t="n">
        <v>0.9999308608</v>
      </c>
      <c r="Q97" s="7" t="n">
        <v>22.86703954</v>
      </c>
      <c r="R97" s="7" t="n">
        <v>6.550767704</v>
      </c>
      <c r="S97" s="7" t="n">
        <v>1.436760576</v>
      </c>
    </row>
    <row r="98" customFormat="false" ht="15" hidden="false" customHeight="false" outlineLevel="0" collapsed="false">
      <c r="A98" s="5" t="s">
        <v>4</v>
      </c>
      <c r="B98" s="5" t="s">
        <v>57</v>
      </c>
      <c r="C98" s="5" t="s">
        <v>58</v>
      </c>
      <c r="D98" s="2" t="n">
        <v>20</v>
      </c>
      <c r="E98" s="5" t="s">
        <v>163</v>
      </c>
      <c r="F98" s="5" t="s">
        <v>167</v>
      </c>
      <c r="G98" s="2" t="n">
        <v>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customFormat="false" ht="15" hidden="false" customHeight="false" outlineLevel="0" collapsed="false">
      <c r="A99" s="5" t="s">
        <v>4</v>
      </c>
      <c r="B99" s="5" t="s">
        <v>57</v>
      </c>
      <c r="C99" s="5" t="s">
        <v>62</v>
      </c>
      <c r="D99" s="2" t="n">
        <v>20</v>
      </c>
      <c r="E99" s="5" t="s">
        <v>163</v>
      </c>
      <c r="F99" s="5" t="s">
        <v>167</v>
      </c>
      <c r="G99" s="2" t="n">
        <v>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customFormat="false" ht="15" hidden="false" customHeight="false" outlineLevel="0" collapsed="false">
      <c r="A100" s="5" t="s">
        <v>4</v>
      </c>
      <c r="B100" s="5" t="s">
        <v>57</v>
      </c>
      <c r="C100" s="5" t="s">
        <v>58</v>
      </c>
      <c r="D100" s="2" t="n">
        <v>20</v>
      </c>
      <c r="E100" s="5" t="s">
        <v>163</v>
      </c>
      <c r="F100" s="5" t="s">
        <v>168</v>
      </c>
      <c r="G100" s="2" t="n">
        <v>1</v>
      </c>
      <c r="H100" s="7" t="n">
        <v>0.9888083513</v>
      </c>
      <c r="I100" s="7" t="n">
        <v>0.147683604</v>
      </c>
      <c r="J100" s="7" t="n">
        <v>0.02115650259</v>
      </c>
      <c r="K100" s="7" t="n">
        <v>-0.1476745614</v>
      </c>
      <c r="L100" s="7" t="n">
        <v>0.9890339899</v>
      </c>
      <c r="M100" s="7" t="n">
        <v>-0.001997709403</v>
      </c>
      <c r="N100" s="7" t="n">
        <v>-0.02121952909</v>
      </c>
      <c r="O100" s="7" t="n">
        <v>-0.001148925499</v>
      </c>
      <c r="P100" s="7" t="n">
        <v>0.9997741803</v>
      </c>
      <c r="Q100" s="7" t="n">
        <v>25.23642115</v>
      </c>
      <c r="R100" s="7" t="n">
        <v>19.81945794</v>
      </c>
      <c r="S100" s="7" t="n">
        <v>2.003277019</v>
      </c>
    </row>
    <row r="101" customFormat="false" ht="15" hidden="false" customHeight="false" outlineLevel="0" collapsed="false">
      <c r="A101" s="5" t="s">
        <v>4</v>
      </c>
      <c r="B101" s="5" t="s">
        <v>57</v>
      </c>
      <c r="C101" s="5" t="s">
        <v>62</v>
      </c>
      <c r="D101" s="2" t="n">
        <v>20</v>
      </c>
      <c r="E101" s="5" t="s">
        <v>163</v>
      </c>
      <c r="F101" s="5" t="s">
        <v>168</v>
      </c>
      <c r="G101" s="2" t="n">
        <v>1</v>
      </c>
      <c r="H101" s="7" t="n">
        <v>0.9888083513</v>
      </c>
      <c r="I101" s="7" t="n">
        <v>0.147683604</v>
      </c>
      <c r="J101" s="7" t="n">
        <v>0.02115650259</v>
      </c>
      <c r="K101" s="7" t="n">
        <v>-0.1476745614</v>
      </c>
      <c r="L101" s="7" t="n">
        <v>0.9890339899</v>
      </c>
      <c r="M101" s="7" t="n">
        <v>-0.001997709403</v>
      </c>
      <c r="N101" s="7" t="n">
        <v>-0.02121952909</v>
      </c>
      <c r="O101" s="7" t="n">
        <v>-0.001148925499</v>
      </c>
      <c r="P101" s="7" t="n">
        <v>0.9997741803</v>
      </c>
      <c r="Q101" s="7" t="n">
        <v>25.23642115</v>
      </c>
      <c r="R101" s="7" t="n">
        <v>19.81945794</v>
      </c>
      <c r="S101" s="7" t="n">
        <v>2.003277019</v>
      </c>
    </row>
    <row r="102" customFormat="false" ht="15" hidden="false" customHeight="false" outlineLevel="0" collapsed="false">
      <c r="A102" s="5" t="s">
        <v>4</v>
      </c>
      <c r="B102" s="5" t="s">
        <v>57</v>
      </c>
      <c r="C102" s="5" t="s">
        <v>58</v>
      </c>
      <c r="D102" s="2" t="n">
        <v>11</v>
      </c>
      <c r="E102" s="5" t="s">
        <v>164</v>
      </c>
      <c r="F102" s="5" t="s">
        <v>165</v>
      </c>
      <c r="G102" s="2" t="n">
        <v>1</v>
      </c>
      <c r="H102" s="7" t="n">
        <v>-0.9177689312</v>
      </c>
      <c r="I102" s="7" t="n">
        <v>0.3954470549</v>
      </c>
      <c r="J102" s="7" t="n">
        <v>-0.03635678336</v>
      </c>
      <c r="K102" s="7" t="n">
        <v>-0.3962601836</v>
      </c>
      <c r="L102" s="7" t="n">
        <v>-0.9179509175</v>
      </c>
      <c r="M102" s="7" t="n">
        <v>0.01854669887</v>
      </c>
      <c r="N102" s="7" t="n">
        <v>-0.0260395052</v>
      </c>
      <c r="O102" s="7" t="n">
        <v>0.03142832964</v>
      </c>
      <c r="P102" s="7" t="n">
        <v>0.999166755</v>
      </c>
      <c r="Q102" s="7" t="n">
        <v>-1.542811764</v>
      </c>
      <c r="R102" s="7" t="n">
        <v>-3.71434612</v>
      </c>
      <c r="S102" s="7" t="n">
        <v>0.3226114517</v>
      </c>
    </row>
    <row r="103" customFormat="false" ht="15" hidden="false" customHeight="false" outlineLevel="0" collapsed="false">
      <c r="A103" s="5" t="s">
        <v>4</v>
      </c>
      <c r="B103" s="5" t="s">
        <v>57</v>
      </c>
      <c r="C103" s="5" t="s">
        <v>62</v>
      </c>
      <c r="D103" s="2" t="n">
        <v>11</v>
      </c>
      <c r="E103" s="5" t="s">
        <v>164</v>
      </c>
      <c r="F103" s="5" t="s">
        <v>165</v>
      </c>
      <c r="G103" s="2" t="n">
        <v>1</v>
      </c>
      <c r="H103" s="7" t="n">
        <v>-0.918793231</v>
      </c>
      <c r="I103" s="7" t="n">
        <v>0.3946310156</v>
      </c>
      <c r="J103" s="7" t="n">
        <v>-0.009239057481</v>
      </c>
      <c r="K103" s="7" t="n">
        <v>-0.394690364</v>
      </c>
      <c r="L103" s="7" t="n">
        <v>-0.9187959817</v>
      </c>
      <c r="M103" s="7" t="n">
        <v>0.00578450948</v>
      </c>
      <c r="N103" s="7" t="n">
        <v>-0.006206062038</v>
      </c>
      <c r="O103" s="7" t="n">
        <v>0.008961335115</v>
      </c>
      <c r="P103" s="7" t="n">
        <v>0.9999405879</v>
      </c>
      <c r="Q103" s="7" t="n">
        <v>-1.465562173</v>
      </c>
      <c r="R103" s="7" t="n">
        <v>-3.763489969</v>
      </c>
      <c r="S103" s="7" t="n">
        <v>0.1880036509</v>
      </c>
    </row>
    <row r="104" customFormat="false" ht="15" hidden="false" customHeight="false" outlineLevel="0" collapsed="false">
      <c r="A104" s="5" t="s">
        <v>4</v>
      </c>
      <c r="B104" s="5" t="s">
        <v>57</v>
      </c>
      <c r="C104" s="5" t="s">
        <v>58</v>
      </c>
      <c r="D104" s="2" t="n">
        <v>11</v>
      </c>
      <c r="E104" s="5" t="s">
        <v>164</v>
      </c>
      <c r="F104" s="5" t="s">
        <v>166</v>
      </c>
      <c r="G104" s="2" t="n">
        <v>1</v>
      </c>
      <c r="H104" s="7" t="n">
        <v>-0.9480051061</v>
      </c>
      <c r="I104" s="7" t="n">
        <v>0.3182333457</v>
      </c>
      <c r="J104" s="7" t="n">
        <v>0.003722430415</v>
      </c>
      <c r="K104" s="7" t="n">
        <v>-0.3182545561</v>
      </c>
      <c r="L104" s="7" t="n">
        <v>-0.9479166516</v>
      </c>
      <c r="M104" s="7" t="n">
        <v>-0.0129637637</v>
      </c>
      <c r="N104" s="7" t="n">
        <v>-0.00059694812</v>
      </c>
      <c r="O104" s="7" t="n">
        <v>-0.01347439462</v>
      </c>
      <c r="P104" s="7" t="n">
        <v>0.999909038</v>
      </c>
      <c r="Q104" s="7" t="n">
        <v>12.61073164</v>
      </c>
      <c r="R104" s="7" t="n">
        <v>2.185411973</v>
      </c>
      <c r="S104" s="7" t="n">
        <v>0.8624863741</v>
      </c>
    </row>
    <row r="105" customFormat="false" ht="15" hidden="false" customHeight="false" outlineLevel="0" collapsed="false">
      <c r="A105" s="5" t="s">
        <v>4</v>
      </c>
      <c r="B105" s="5" t="s">
        <v>57</v>
      </c>
      <c r="C105" s="5" t="s">
        <v>62</v>
      </c>
      <c r="D105" s="2" t="n">
        <v>11</v>
      </c>
      <c r="E105" s="5" t="s">
        <v>164</v>
      </c>
      <c r="F105" s="5" t="s">
        <v>166</v>
      </c>
      <c r="G105" s="2" t="n">
        <v>1</v>
      </c>
      <c r="H105" s="7" t="n">
        <v>-0.9480051061</v>
      </c>
      <c r="I105" s="7" t="n">
        <v>0.3182333457</v>
      </c>
      <c r="J105" s="7" t="n">
        <v>0.003722430415</v>
      </c>
      <c r="K105" s="7" t="n">
        <v>-0.3182545561</v>
      </c>
      <c r="L105" s="7" t="n">
        <v>-0.9479166516</v>
      </c>
      <c r="M105" s="7" t="n">
        <v>-0.0129637637</v>
      </c>
      <c r="N105" s="7" t="n">
        <v>-0.00059694812</v>
      </c>
      <c r="O105" s="7" t="n">
        <v>-0.01347439462</v>
      </c>
      <c r="P105" s="7" t="n">
        <v>0.999909038</v>
      </c>
      <c r="Q105" s="7" t="n">
        <v>12.61073164</v>
      </c>
      <c r="R105" s="7" t="n">
        <v>2.185411973</v>
      </c>
      <c r="S105" s="7" t="n">
        <v>0.8624863741</v>
      </c>
    </row>
    <row r="106" customFormat="false" ht="15" hidden="false" customHeight="false" outlineLevel="0" collapsed="false">
      <c r="A106" s="5" t="s">
        <v>4</v>
      </c>
      <c r="B106" s="5" t="s">
        <v>57</v>
      </c>
      <c r="C106" s="5" t="s">
        <v>58</v>
      </c>
      <c r="D106" s="2" t="n">
        <v>11</v>
      </c>
      <c r="E106" s="5" t="s">
        <v>164</v>
      </c>
      <c r="F106" s="5" t="s">
        <v>167</v>
      </c>
      <c r="G106" s="2" t="n">
        <v>1</v>
      </c>
      <c r="H106" s="7" t="n">
        <v>0.5139923674</v>
      </c>
      <c r="I106" s="7" t="n">
        <v>0.8577811816</v>
      </c>
      <c r="J106" s="7" t="n">
        <v>0.004826051392</v>
      </c>
      <c r="K106" s="7" t="n">
        <v>-0.8577630114</v>
      </c>
      <c r="L106" s="7" t="n">
        <v>0.5140136137</v>
      </c>
      <c r="M106" s="7" t="n">
        <v>-0.005711498285</v>
      </c>
      <c r="N106" s="7" t="n">
        <v>-0.007379871863</v>
      </c>
      <c r="O106" s="7" t="n">
        <v>-0.00120394185</v>
      </c>
      <c r="P106" s="7" t="n">
        <v>0.9999720436</v>
      </c>
      <c r="Q106" s="7" t="n">
        <v>-10.04740889</v>
      </c>
      <c r="R106" s="7" t="n">
        <v>11.45051673</v>
      </c>
      <c r="S106" s="7" t="n">
        <v>0.485678471</v>
      </c>
    </row>
    <row r="107" customFormat="false" ht="15" hidden="false" customHeight="false" outlineLevel="0" collapsed="false">
      <c r="A107" s="5" t="s">
        <v>4</v>
      </c>
      <c r="B107" s="5" t="s">
        <v>57</v>
      </c>
      <c r="C107" s="5" t="s">
        <v>62</v>
      </c>
      <c r="D107" s="2" t="n">
        <v>11</v>
      </c>
      <c r="E107" s="5" t="s">
        <v>164</v>
      </c>
      <c r="F107" s="5" t="s">
        <v>167</v>
      </c>
      <c r="G107" s="2" t="n">
        <v>1</v>
      </c>
      <c r="H107" s="7" t="n">
        <v>0.5139923674</v>
      </c>
      <c r="I107" s="7" t="n">
        <v>0.8577811816</v>
      </c>
      <c r="J107" s="7" t="n">
        <v>0.004826051392</v>
      </c>
      <c r="K107" s="7" t="n">
        <v>-0.8577630114</v>
      </c>
      <c r="L107" s="7" t="n">
        <v>0.5140136137</v>
      </c>
      <c r="M107" s="7" t="n">
        <v>-0.005711498285</v>
      </c>
      <c r="N107" s="7" t="n">
        <v>-0.007379871863</v>
      </c>
      <c r="O107" s="7" t="n">
        <v>-0.00120394185</v>
      </c>
      <c r="P107" s="7" t="n">
        <v>0.9999720436</v>
      </c>
      <c r="Q107" s="7" t="n">
        <v>-10.04740889</v>
      </c>
      <c r="R107" s="7" t="n">
        <v>11.45051673</v>
      </c>
      <c r="S107" s="7" t="n">
        <v>0.485678471</v>
      </c>
    </row>
    <row r="108" customFormat="false" ht="15" hidden="false" customHeight="false" outlineLevel="0" collapsed="false">
      <c r="A108" s="5" t="s">
        <v>4</v>
      </c>
      <c r="B108" s="5" t="s">
        <v>57</v>
      </c>
      <c r="C108" s="5" t="s">
        <v>58</v>
      </c>
      <c r="D108" s="2" t="n">
        <v>11</v>
      </c>
      <c r="E108" s="5" t="s">
        <v>164</v>
      </c>
      <c r="F108" s="5" t="s">
        <v>168</v>
      </c>
      <c r="G108" s="2" t="n">
        <v>1</v>
      </c>
      <c r="H108" s="7" t="n">
        <v>-0.813447607</v>
      </c>
      <c r="I108" s="7" t="n">
        <v>0.5816330998</v>
      </c>
      <c r="J108" s="7" t="n">
        <v>0.002434733517</v>
      </c>
      <c r="K108" s="7" t="n">
        <v>-0.58154327</v>
      </c>
      <c r="L108" s="7" t="n">
        <v>-0.8133833476</v>
      </c>
      <c r="M108" s="7" t="n">
        <v>0.0146613449</v>
      </c>
      <c r="N108" s="7" t="n">
        <v>0.01050789518</v>
      </c>
      <c r="O108" s="7" t="n">
        <v>0.01051033303</v>
      </c>
      <c r="P108" s="7" t="n">
        <v>0.9998895524</v>
      </c>
      <c r="Q108" s="7" t="n">
        <v>16.63381039</v>
      </c>
      <c r="R108" s="7" t="n">
        <v>12.70982709</v>
      </c>
      <c r="S108" s="7" t="n">
        <v>1.176448183</v>
      </c>
    </row>
    <row r="109" customFormat="false" ht="15" hidden="false" customHeight="false" outlineLevel="0" collapsed="false">
      <c r="A109" s="5" t="s">
        <v>4</v>
      </c>
      <c r="B109" s="5" t="s">
        <v>57</v>
      </c>
      <c r="C109" s="5" t="s">
        <v>62</v>
      </c>
      <c r="D109" s="2" t="n">
        <v>11</v>
      </c>
      <c r="E109" s="5" t="s">
        <v>164</v>
      </c>
      <c r="F109" s="5" t="s">
        <v>168</v>
      </c>
      <c r="G109" s="2" t="n">
        <v>1</v>
      </c>
      <c r="H109" s="7" t="n">
        <v>-0.8132655068</v>
      </c>
      <c r="I109" s="7" t="n">
        <v>0.5818435993</v>
      </c>
      <c r="J109" s="7" t="n">
        <v>0.007565808009</v>
      </c>
      <c r="K109" s="7" t="n">
        <v>-0.5818041089</v>
      </c>
      <c r="L109" s="7" t="n">
        <v>-0.8132998184</v>
      </c>
      <c r="M109" s="7" t="n">
        <v>0.006883624152</v>
      </c>
      <c r="N109" s="7" t="n">
        <v>0.01015846293</v>
      </c>
      <c r="O109" s="7" t="n">
        <v>0.001196395898</v>
      </c>
      <c r="P109" s="7" t="n">
        <v>0.9999476858</v>
      </c>
      <c r="Q109" s="7" t="n">
        <v>16.66612297</v>
      </c>
      <c r="R109" s="7" t="n">
        <v>12.67343383</v>
      </c>
      <c r="S109" s="7" t="n">
        <v>1.305056269</v>
      </c>
    </row>
    <row r="110" customFormat="false" ht="15" hidden="false" customHeight="false" outlineLevel="0" collapsed="false">
      <c r="A110" s="5" t="s">
        <v>4</v>
      </c>
      <c r="B110" s="5" t="s">
        <v>57</v>
      </c>
      <c r="C110" s="5" t="s">
        <v>58</v>
      </c>
      <c r="D110" s="2" t="n">
        <v>12</v>
      </c>
      <c r="E110" s="5" t="s">
        <v>164</v>
      </c>
      <c r="F110" s="5" t="s">
        <v>165</v>
      </c>
      <c r="G110" s="2" t="n">
        <v>1</v>
      </c>
      <c r="H110" s="7" t="n">
        <v>-0.919757818</v>
      </c>
      <c r="I110" s="7" t="n">
        <v>0.3924862958</v>
      </c>
      <c r="J110" s="7" t="n">
        <v>-0.0002525862738</v>
      </c>
      <c r="K110" s="7" t="n">
        <v>-0.392481881</v>
      </c>
      <c r="L110" s="7" t="n">
        <v>-0.919744011</v>
      </c>
      <c r="M110" s="7" t="n">
        <v>0.005378407357</v>
      </c>
      <c r="N110" s="7" t="n">
        <v>0.001878636468</v>
      </c>
      <c r="O110" s="7" t="n">
        <v>0.005045967751</v>
      </c>
      <c r="P110" s="7" t="n">
        <v>0.9999855044</v>
      </c>
      <c r="Q110" s="7" t="n">
        <v>-1.450734236</v>
      </c>
      <c r="R110" s="7" t="n">
        <v>-3.781631461</v>
      </c>
      <c r="S110" s="7" t="n">
        <v>0.07944349154</v>
      </c>
    </row>
    <row r="111" customFormat="false" ht="15" hidden="false" customHeight="false" outlineLevel="0" collapsed="false">
      <c r="A111" s="5" t="s">
        <v>4</v>
      </c>
      <c r="B111" s="5" t="s">
        <v>57</v>
      </c>
      <c r="C111" s="5" t="s">
        <v>62</v>
      </c>
      <c r="D111" s="2" t="n">
        <v>12</v>
      </c>
      <c r="E111" s="5" t="s">
        <v>164</v>
      </c>
      <c r="F111" s="5" t="s">
        <v>165</v>
      </c>
      <c r="G111" s="2" t="n">
        <v>1</v>
      </c>
      <c r="H111" s="7" t="n">
        <v>-0.919757818</v>
      </c>
      <c r="I111" s="7" t="n">
        <v>0.3924862958</v>
      </c>
      <c r="J111" s="7" t="n">
        <v>-0.0002525862738</v>
      </c>
      <c r="K111" s="7" t="n">
        <v>-0.392481881</v>
      </c>
      <c r="L111" s="7" t="n">
        <v>-0.919744011</v>
      </c>
      <c r="M111" s="7" t="n">
        <v>0.005378407357</v>
      </c>
      <c r="N111" s="7" t="n">
        <v>0.001878636468</v>
      </c>
      <c r="O111" s="7" t="n">
        <v>0.005045967751</v>
      </c>
      <c r="P111" s="7" t="n">
        <v>0.9999855044</v>
      </c>
      <c r="Q111" s="7" t="n">
        <v>-1.450734236</v>
      </c>
      <c r="R111" s="7" t="n">
        <v>-3.781631461</v>
      </c>
      <c r="S111" s="7" t="n">
        <v>0.07944349154</v>
      </c>
    </row>
    <row r="112" customFormat="false" ht="15" hidden="false" customHeight="false" outlineLevel="0" collapsed="false">
      <c r="A112" s="5" t="s">
        <v>4</v>
      </c>
      <c r="B112" s="5" t="s">
        <v>57</v>
      </c>
      <c r="C112" s="5" t="s">
        <v>58</v>
      </c>
      <c r="D112" s="2" t="n">
        <v>12</v>
      </c>
      <c r="E112" s="5" t="s">
        <v>164</v>
      </c>
      <c r="F112" s="5" t="s">
        <v>166</v>
      </c>
      <c r="G112" s="2" t="n">
        <v>1</v>
      </c>
      <c r="H112" s="7" t="n">
        <v>-0.9482570479</v>
      </c>
      <c r="I112" s="7" t="n">
        <v>0.3174958543</v>
      </c>
      <c r="J112" s="7" t="n">
        <v>-0.002225658204</v>
      </c>
      <c r="K112" s="7" t="n">
        <v>-0.3174735885</v>
      </c>
      <c r="L112" s="7" t="n">
        <v>-0.9482404226</v>
      </c>
      <c r="M112" s="7" t="n">
        <v>-0.007114880228</v>
      </c>
      <c r="N112" s="7" t="n">
        <v>-0.004369404052</v>
      </c>
      <c r="O112" s="7" t="n">
        <v>-0.006040147624</v>
      </c>
      <c r="P112" s="7" t="n">
        <v>0.9999722121</v>
      </c>
      <c r="Q112" s="7" t="n">
        <v>12.62910707</v>
      </c>
      <c r="R112" s="7" t="n">
        <v>2.18937042</v>
      </c>
      <c r="S112" s="7" t="n">
        <v>0.8789847238</v>
      </c>
    </row>
    <row r="113" customFormat="false" ht="15" hidden="false" customHeight="false" outlineLevel="0" collapsed="false">
      <c r="A113" s="5" t="s">
        <v>4</v>
      </c>
      <c r="B113" s="5" t="s">
        <v>57</v>
      </c>
      <c r="C113" s="5" t="s">
        <v>62</v>
      </c>
      <c r="D113" s="2" t="n">
        <v>12</v>
      </c>
      <c r="E113" s="5" t="s">
        <v>164</v>
      </c>
      <c r="F113" s="5" t="s">
        <v>166</v>
      </c>
      <c r="G113" s="2" t="n">
        <v>1</v>
      </c>
      <c r="H113" s="7" t="n">
        <v>-0.9482570479</v>
      </c>
      <c r="I113" s="7" t="n">
        <v>0.3174958543</v>
      </c>
      <c r="J113" s="7" t="n">
        <v>-0.002225658204</v>
      </c>
      <c r="K113" s="7" t="n">
        <v>-0.3174735885</v>
      </c>
      <c r="L113" s="7" t="n">
        <v>-0.9482404226</v>
      </c>
      <c r="M113" s="7" t="n">
        <v>-0.007114880228</v>
      </c>
      <c r="N113" s="7" t="n">
        <v>-0.004369404052</v>
      </c>
      <c r="O113" s="7" t="n">
        <v>-0.006040147624</v>
      </c>
      <c r="P113" s="7" t="n">
        <v>0.9999722121</v>
      </c>
      <c r="Q113" s="7" t="n">
        <v>12.62910707</v>
      </c>
      <c r="R113" s="7" t="n">
        <v>2.18937042</v>
      </c>
      <c r="S113" s="7" t="n">
        <v>0.8789847238</v>
      </c>
    </row>
    <row r="114" customFormat="false" ht="15" hidden="false" customHeight="false" outlineLevel="0" collapsed="false">
      <c r="A114" s="5" t="s">
        <v>4</v>
      </c>
      <c r="B114" s="5" t="s">
        <v>57</v>
      </c>
      <c r="C114" s="5" t="s">
        <v>58</v>
      </c>
      <c r="D114" s="2" t="n">
        <v>12</v>
      </c>
      <c r="E114" s="5" t="s">
        <v>164</v>
      </c>
      <c r="F114" s="5" t="s">
        <v>167</v>
      </c>
      <c r="G114" s="2" t="n">
        <v>1</v>
      </c>
      <c r="H114" s="7" t="n">
        <v>0.5140417968</v>
      </c>
      <c r="I114" s="7" t="n">
        <v>0.8577635859</v>
      </c>
      <c r="J114" s="7" t="n">
        <v>0.001631527685</v>
      </c>
      <c r="K114" s="7" t="n">
        <v>-0.8577320086</v>
      </c>
      <c r="L114" s="7" t="n">
        <v>0.5140377303</v>
      </c>
      <c r="M114" s="7" t="n">
        <v>-0.007811099692</v>
      </c>
      <c r="N114" s="7" t="n">
        <v>-0.007538743669</v>
      </c>
      <c r="O114" s="7" t="n">
        <v>0.002615818202</v>
      </c>
      <c r="P114" s="7" t="n">
        <v>0.9999681619</v>
      </c>
      <c r="Q114" s="7" t="n">
        <v>-10.03031105</v>
      </c>
      <c r="R114" s="7" t="n">
        <v>11.47180378</v>
      </c>
      <c r="S114" s="7" t="n">
        <v>0.4363672183</v>
      </c>
    </row>
    <row r="115" customFormat="false" ht="15" hidden="false" customHeight="false" outlineLevel="0" collapsed="false">
      <c r="A115" s="5" t="s">
        <v>4</v>
      </c>
      <c r="B115" s="5" t="s">
        <v>57</v>
      </c>
      <c r="C115" s="5" t="s">
        <v>62</v>
      </c>
      <c r="D115" s="2" t="n">
        <v>12</v>
      </c>
      <c r="E115" s="5" t="s">
        <v>164</v>
      </c>
      <c r="F115" s="5" t="s">
        <v>167</v>
      </c>
      <c r="G115" s="2" t="n">
        <v>1</v>
      </c>
      <c r="H115" s="7" t="n">
        <v>0.5140417968</v>
      </c>
      <c r="I115" s="7" t="n">
        <v>0.8577635859</v>
      </c>
      <c r="J115" s="7" t="n">
        <v>0.001631527685</v>
      </c>
      <c r="K115" s="7" t="n">
        <v>-0.8577320086</v>
      </c>
      <c r="L115" s="7" t="n">
        <v>0.5140377303</v>
      </c>
      <c r="M115" s="7" t="n">
        <v>-0.007811099692</v>
      </c>
      <c r="N115" s="7" t="n">
        <v>-0.007538743669</v>
      </c>
      <c r="O115" s="7" t="n">
        <v>0.002615818202</v>
      </c>
      <c r="P115" s="7" t="n">
        <v>0.9999681619</v>
      </c>
      <c r="Q115" s="7" t="n">
        <v>-10.03031105</v>
      </c>
      <c r="R115" s="7" t="n">
        <v>11.47180378</v>
      </c>
      <c r="S115" s="7" t="n">
        <v>0.4363672183</v>
      </c>
    </row>
    <row r="116" customFormat="false" ht="15" hidden="false" customHeight="false" outlineLevel="0" collapsed="false">
      <c r="A116" s="5" t="s">
        <v>4</v>
      </c>
      <c r="B116" s="5" t="s">
        <v>57</v>
      </c>
      <c r="C116" s="5" t="s">
        <v>58</v>
      </c>
      <c r="D116" s="2" t="n">
        <v>12</v>
      </c>
      <c r="E116" s="5" t="s">
        <v>164</v>
      </c>
      <c r="F116" s="5" t="s">
        <v>168</v>
      </c>
      <c r="G116" s="2" t="n"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customFormat="false" ht="15" hidden="false" customHeight="false" outlineLevel="0" collapsed="false">
      <c r="A117" s="5" t="s">
        <v>4</v>
      </c>
      <c r="B117" s="5" t="s">
        <v>57</v>
      </c>
      <c r="C117" s="5" t="s">
        <v>62</v>
      </c>
      <c r="D117" s="2" t="n">
        <v>12</v>
      </c>
      <c r="E117" s="5" t="s">
        <v>164</v>
      </c>
      <c r="F117" s="5" t="s">
        <v>168</v>
      </c>
      <c r="G117" s="2" t="n">
        <v>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customFormat="false" ht="15" hidden="false" customHeight="false" outlineLevel="0" collapsed="false">
      <c r="A118" s="5" t="s">
        <v>4</v>
      </c>
      <c r="B118" s="5" t="s">
        <v>57</v>
      </c>
      <c r="C118" s="5" t="s">
        <v>58</v>
      </c>
      <c r="D118" s="2" t="n">
        <v>13</v>
      </c>
      <c r="E118" s="5" t="s">
        <v>164</v>
      </c>
      <c r="F118" s="5" t="s">
        <v>165</v>
      </c>
      <c r="G118" s="2" t="n">
        <v>1</v>
      </c>
      <c r="H118" s="7" t="n">
        <v>-0.9192790337</v>
      </c>
      <c r="I118" s="7" t="n">
        <v>0.3936053886</v>
      </c>
      <c r="J118" s="7" t="n">
        <v>-0.0009253202663</v>
      </c>
      <c r="K118" s="7" t="n">
        <v>-0.3936022929</v>
      </c>
      <c r="L118" s="7" t="n">
        <v>-0.9192775618</v>
      </c>
      <c r="M118" s="7" t="n">
        <v>-0.002449374506</v>
      </c>
      <c r="N118" s="7" t="n">
        <v>-0.001814713162</v>
      </c>
      <c r="O118" s="7" t="n">
        <v>-0.00188745045</v>
      </c>
      <c r="P118" s="7" t="n">
        <v>0.9999965722</v>
      </c>
      <c r="Q118" s="7" t="n">
        <v>-1.454057129</v>
      </c>
      <c r="R118" s="7" t="n">
        <v>-3.793906714</v>
      </c>
      <c r="S118" s="7" t="n">
        <v>0.131832269</v>
      </c>
    </row>
    <row r="119" customFormat="false" ht="15" hidden="false" customHeight="false" outlineLevel="0" collapsed="false">
      <c r="A119" s="5" t="s">
        <v>4</v>
      </c>
      <c r="B119" s="5" t="s">
        <v>57</v>
      </c>
      <c r="C119" s="5" t="s">
        <v>62</v>
      </c>
      <c r="D119" s="2" t="n">
        <v>13</v>
      </c>
      <c r="E119" s="5" t="s">
        <v>164</v>
      </c>
      <c r="F119" s="5" t="s">
        <v>165</v>
      </c>
      <c r="G119" s="2" t="n">
        <v>1</v>
      </c>
      <c r="H119" s="7" t="n">
        <v>-0.9192790337</v>
      </c>
      <c r="I119" s="7" t="n">
        <v>0.3936053886</v>
      </c>
      <c r="J119" s="7" t="n">
        <v>-0.0009253202663</v>
      </c>
      <c r="K119" s="7" t="n">
        <v>-0.3936022929</v>
      </c>
      <c r="L119" s="7" t="n">
        <v>-0.9192775618</v>
      </c>
      <c r="M119" s="7" t="n">
        <v>-0.002449374506</v>
      </c>
      <c r="N119" s="7" t="n">
        <v>-0.001814713162</v>
      </c>
      <c r="O119" s="7" t="n">
        <v>-0.00188745045</v>
      </c>
      <c r="P119" s="7" t="n">
        <v>0.9999965722</v>
      </c>
      <c r="Q119" s="7" t="n">
        <v>-1.454057129</v>
      </c>
      <c r="R119" s="7" t="n">
        <v>-3.793906714</v>
      </c>
      <c r="S119" s="7" t="n">
        <v>0.131832269</v>
      </c>
    </row>
    <row r="120" customFormat="false" ht="15" hidden="false" customHeight="false" outlineLevel="0" collapsed="false">
      <c r="A120" s="5" t="s">
        <v>4</v>
      </c>
      <c r="B120" s="5" t="s">
        <v>57</v>
      </c>
      <c r="C120" s="5" t="s">
        <v>58</v>
      </c>
      <c r="D120" s="2" t="n">
        <v>13</v>
      </c>
      <c r="E120" s="5" t="s">
        <v>164</v>
      </c>
      <c r="F120" s="5" t="s">
        <v>166</v>
      </c>
      <c r="G120" s="2" t="n">
        <v>1</v>
      </c>
      <c r="H120" s="7" t="n">
        <v>-0.9481090115</v>
      </c>
      <c r="I120" s="7" t="n">
        <v>0.3178017377</v>
      </c>
      <c r="J120" s="7" t="n">
        <v>-0.009558129895</v>
      </c>
      <c r="K120" s="7" t="n">
        <v>-0.3177991408</v>
      </c>
      <c r="L120" s="7" t="n">
        <v>-0.9481562942</v>
      </c>
      <c r="M120" s="7" t="n">
        <v>-0.001829717327</v>
      </c>
      <c r="N120" s="7" t="n">
        <v>-0.009644088366</v>
      </c>
      <c r="O120" s="7" t="n">
        <v>0.001302793982</v>
      </c>
      <c r="P120" s="7" t="n">
        <v>0.999952646</v>
      </c>
      <c r="Q120" s="7" t="n">
        <v>12.61779898</v>
      </c>
      <c r="R120" s="7" t="n">
        <v>2.171299936</v>
      </c>
      <c r="S120" s="7" t="n">
        <v>0.8423877315</v>
      </c>
    </row>
    <row r="121" customFormat="false" ht="15" hidden="false" customHeight="false" outlineLevel="0" collapsed="false">
      <c r="A121" s="5" t="s">
        <v>4</v>
      </c>
      <c r="B121" s="5" t="s">
        <v>57</v>
      </c>
      <c r="C121" s="5" t="s">
        <v>62</v>
      </c>
      <c r="D121" s="2" t="n">
        <v>13</v>
      </c>
      <c r="E121" s="5" t="s">
        <v>164</v>
      </c>
      <c r="F121" s="5" t="s">
        <v>166</v>
      </c>
      <c r="G121" s="2" t="n">
        <v>1</v>
      </c>
      <c r="H121" s="7" t="n">
        <v>-0.9481090115</v>
      </c>
      <c r="I121" s="7" t="n">
        <v>0.3178017377</v>
      </c>
      <c r="J121" s="7" t="n">
        <v>-0.009558129895</v>
      </c>
      <c r="K121" s="7" t="n">
        <v>-0.3177991408</v>
      </c>
      <c r="L121" s="7" t="n">
        <v>-0.9481562942</v>
      </c>
      <c r="M121" s="7" t="n">
        <v>-0.001829717327</v>
      </c>
      <c r="N121" s="7" t="n">
        <v>-0.009644088366</v>
      </c>
      <c r="O121" s="7" t="n">
        <v>0.001302793982</v>
      </c>
      <c r="P121" s="7" t="n">
        <v>0.999952646</v>
      </c>
      <c r="Q121" s="7" t="n">
        <v>12.61779898</v>
      </c>
      <c r="R121" s="7" t="n">
        <v>2.171299936</v>
      </c>
      <c r="S121" s="7" t="n">
        <v>0.8423877315</v>
      </c>
    </row>
    <row r="122" customFormat="false" ht="15" hidden="false" customHeight="false" outlineLevel="0" collapsed="false">
      <c r="A122" s="5" t="s">
        <v>4</v>
      </c>
      <c r="B122" s="5" t="s">
        <v>57</v>
      </c>
      <c r="C122" s="5" t="s">
        <v>58</v>
      </c>
      <c r="D122" s="2" t="n">
        <v>13</v>
      </c>
      <c r="E122" s="5" t="s">
        <v>164</v>
      </c>
      <c r="F122" s="5" t="s">
        <v>167</v>
      </c>
      <c r="G122" s="2" t="n">
        <v>1</v>
      </c>
      <c r="H122" s="7" t="n">
        <v>0.5069795161</v>
      </c>
      <c r="I122" s="7" t="n">
        <v>0.8606488477</v>
      </c>
      <c r="J122" s="7" t="n">
        <v>-0.04749032722</v>
      </c>
      <c r="K122" s="7" t="n">
        <v>-0.8617792389</v>
      </c>
      <c r="L122" s="7" t="n">
        <v>0.5072267591</v>
      </c>
      <c r="M122" s="7" t="n">
        <v>-0.007586717916</v>
      </c>
      <c r="N122" s="7" t="n">
        <v>0.01755886473</v>
      </c>
      <c r="O122" s="7" t="n">
        <v>0.04477248862</v>
      </c>
      <c r="P122" s="7" t="n">
        <v>0.9988428858</v>
      </c>
      <c r="Q122" s="7" t="n">
        <v>-10.05316659</v>
      </c>
      <c r="R122" s="7" t="n">
        <v>11.54501173</v>
      </c>
      <c r="S122" s="7" t="n">
        <v>-0.1423263324</v>
      </c>
    </row>
    <row r="123" customFormat="false" ht="15" hidden="false" customHeight="false" outlineLevel="0" collapsed="false">
      <c r="A123" s="5" t="s">
        <v>4</v>
      </c>
      <c r="B123" s="5" t="s">
        <v>57</v>
      </c>
      <c r="C123" s="5" t="s">
        <v>62</v>
      </c>
      <c r="D123" s="2" t="n">
        <v>13</v>
      </c>
      <c r="E123" s="5" t="s">
        <v>164</v>
      </c>
      <c r="F123" s="5" t="s">
        <v>167</v>
      </c>
      <c r="G123" s="2" t="n">
        <v>1</v>
      </c>
      <c r="H123" s="7" t="n">
        <v>0.5069795161</v>
      </c>
      <c r="I123" s="7" t="n">
        <v>0.8606488477</v>
      </c>
      <c r="J123" s="7" t="n">
        <v>-0.04749032722</v>
      </c>
      <c r="K123" s="7" t="n">
        <v>-0.8617792389</v>
      </c>
      <c r="L123" s="7" t="n">
        <v>0.5072267591</v>
      </c>
      <c r="M123" s="7" t="n">
        <v>-0.007586717916</v>
      </c>
      <c r="N123" s="7" t="n">
        <v>0.01755886473</v>
      </c>
      <c r="O123" s="7" t="n">
        <v>0.04477248862</v>
      </c>
      <c r="P123" s="7" t="n">
        <v>0.9988428858</v>
      </c>
      <c r="Q123" s="7" t="n">
        <v>-10.05316659</v>
      </c>
      <c r="R123" s="7" t="n">
        <v>11.54501173</v>
      </c>
      <c r="S123" s="7" t="n">
        <v>-0.1423263324</v>
      </c>
    </row>
    <row r="124" customFormat="false" ht="15" hidden="false" customHeight="false" outlineLevel="0" collapsed="false">
      <c r="A124" s="5" t="s">
        <v>4</v>
      </c>
      <c r="B124" s="5" t="s">
        <v>57</v>
      </c>
      <c r="C124" s="5" t="s">
        <v>58</v>
      </c>
      <c r="D124" s="2" t="n">
        <v>13</v>
      </c>
      <c r="E124" s="5" t="s">
        <v>164</v>
      </c>
      <c r="F124" s="5" t="s">
        <v>168</v>
      </c>
      <c r="G124" s="2" t="n">
        <v>1</v>
      </c>
      <c r="H124" s="7" t="n">
        <v>-0.812869582</v>
      </c>
      <c r="I124" s="7" t="n">
        <v>0.5821549066</v>
      </c>
      <c r="J124" s="7" t="n">
        <v>0.01840400504</v>
      </c>
      <c r="K124" s="7" t="n">
        <v>-0.5820261413</v>
      </c>
      <c r="L124" s="7" t="n">
        <v>-0.8130775582</v>
      </c>
      <c r="M124" s="7" t="n">
        <v>0.01226601668</v>
      </c>
      <c r="N124" s="7" t="n">
        <v>0.02210460528</v>
      </c>
      <c r="O124" s="7" t="n">
        <v>-0.0007409401832</v>
      </c>
      <c r="P124" s="7" t="n">
        <v>0.9997553888</v>
      </c>
      <c r="Q124" s="7" t="n">
        <v>16.71098061</v>
      </c>
      <c r="R124" s="7" t="n">
        <v>12.71361219</v>
      </c>
      <c r="S124" s="7" t="n">
        <v>0.8780438982</v>
      </c>
    </row>
    <row r="125" customFormat="false" ht="15" hidden="false" customHeight="false" outlineLevel="0" collapsed="false">
      <c r="A125" s="5" t="s">
        <v>4</v>
      </c>
      <c r="B125" s="5" t="s">
        <v>57</v>
      </c>
      <c r="C125" s="5" t="s">
        <v>62</v>
      </c>
      <c r="D125" s="2" t="n">
        <v>13</v>
      </c>
      <c r="E125" s="5" t="s">
        <v>164</v>
      </c>
      <c r="F125" s="5" t="s">
        <v>168</v>
      </c>
      <c r="G125" s="2" t="n">
        <v>1</v>
      </c>
      <c r="H125" s="7" t="n">
        <v>-0.8214739828</v>
      </c>
      <c r="I125" s="7" t="n">
        <v>0.5679842961</v>
      </c>
      <c r="J125" s="7" t="n">
        <v>-0.05073790375</v>
      </c>
      <c r="K125" s="7" t="n">
        <v>-0.5693572828</v>
      </c>
      <c r="L125" s="7" t="n">
        <v>-0.8119751704</v>
      </c>
      <c r="M125" s="7" t="n">
        <v>0.128563631</v>
      </c>
      <c r="N125" s="7" t="n">
        <v>0.03182420541</v>
      </c>
      <c r="O125" s="7" t="n">
        <v>0.134499673</v>
      </c>
      <c r="P125" s="7" t="n">
        <v>0.9904024727</v>
      </c>
      <c r="Q125" s="7" t="n">
        <v>16.17108925</v>
      </c>
      <c r="R125" s="7" t="n">
        <v>13.2717446</v>
      </c>
      <c r="S125" s="7" t="n">
        <v>3.096317276</v>
      </c>
    </row>
    <row r="126" customFormat="false" ht="15" hidden="false" customHeight="false" outlineLevel="0" collapsed="false">
      <c r="A126" s="5" t="s">
        <v>4</v>
      </c>
      <c r="B126" s="5" t="s">
        <v>57</v>
      </c>
      <c r="C126" s="5" t="s">
        <v>58</v>
      </c>
      <c r="D126" s="2" t="n">
        <v>14</v>
      </c>
      <c r="E126" s="5" t="s">
        <v>164</v>
      </c>
      <c r="F126" s="5" t="s">
        <v>165</v>
      </c>
      <c r="G126" s="2" t="n">
        <v>1</v>
      </c>
      <c r="H126" s="7" t="n">
        <v>-0.9194810486</v>
      </c>
      <c r="I126" s="7" t="n">
        <v>0.3931331232</v>
      </c>
      <c r="J126" s="7" t="n">
        <v>0.0009739934767</v>
      </c>
      <c r="K126" s="7" t="n">
        <v>-0.3931182875</v>
      </c>
      <c r="L126" s="7" t="n">
        <v>-0.919463088</v>
      </c>
      <c r="M126" s="7" t="n">
        <v>0.006755878333</v>
      </c>
      <c r="N126" s="7" t="n">
        <v>0.003551510599</v>
      </c>
      <c r="O126" s="7" t="n">
        <v>0.005829007446</v>
      </c>
      <c r="P126" s="7" t="n">
        <v>0.9999767045</v>
      </c>
      <c r="Q126" s="7" t="n">
        <v>-1.448311503</v>
      </c>
      <c r="R126" s="7" t="n">
        <v>-3.772624431</v>
      </c>
      <c r="S126" s="7" t="n">
        <v>0.05449251286</v>
      </c>
    </row>
    <row r="127" customFormat="false" ht="15" hidden="false" customHeight="false" outlineLevel="0" collapsed="false">
      <c r="A127" s="5" t="s">
        <v>4</v>
      </c>
      <c r="B127" s="5" t="s">
        <v>57</v>
      </c>
      <c r="C127" s="5" t="s">
        <v>62</v>
      </c>
      <c r="D127" s="2" t="n">
        <v>14</v>
      </c>
      <c r="E127" s="5" t="s">
        <v>164</v>
      </c>
      <c r="F127" s="5" t="s">
        <v>165</v>
      </c>
      <c r="G127" s="2" t="n">
        <v>1</v>
      </c>
      <c r="H127" s="7" t="n">
        <v>-0.9194810486</v>
      </c>
      <c r="I127" s="7" t="n">
        <v>0.3931331232</v>
      </c>
      <c r="J127" s="7" t="n">
        <v>0.0009739934767</v>
      </c>
      <c r="K127" s="7" t="n">
        <v>-0.3931182875</v>
      </c>
      <c r="L127" s="7" t="n">
        <v>-0.919463088</v>
      </c>
      <c r="M127" s="7" t="n">
        <v>0.006755878333</v>
      </c>
      <c r="N127" s="7" t="n">
        <v>0.003551510599</v>
      </c>
      <c r="O127" s="7" t="n">
        <v>0.005829007446</v>
      </c>
      <c r="P127" s="7" t="n">
        <v>0.9999767045</v>
      </c>
      <c r="Q127" s="7" t="n">
        <v>-1.448311503</v>
      </c>
      <c r="R127" s="7" t="n">
        <v>-3.772624431</v>
      </c>
      <c r="S127" s="7" t="n">
        <v>0.05449251286</v>
      </c>
    </row>
    <row r="128" customFormat="false" ht="15" hidden="false" customHeight="false" outlineLevel="0" collapsed="false">
      <c r="A128" s="5" t="s">
        <v>4</v>
      </c>
      <c r="B128" s="5" t="s">
        <v>57</v>
      </c>
      <c r="C128" s="5" t="s">
        <v>58</v>
      </c>
      <c r="D128" s="2" t="n">
        <v>14</v>
      </c>
      <c r="E128" s="5" t="s">
        <v>164</v>
      </c>
      <c r="F128" s="5" t="s">
        <v>166</v>
      </c>
      <c r="G128" s="2" t="n">
        <v>1</v>
      </c>
      <c r="H128" s="7" t="n">
        <v>-0.9468644371</v>
      </c>
      <c r="I128" s="7" t="n">
        <v>0.3215948895</v>
      </c>
      <c r="J128" s="7" t="n">
        <v>0.00494620194</v>
      </c>
      <c r="K128" s="7" t="n">
        <v>-0.3215058479</v>
      </c>
      <c r="L128" s="7" t="n">
        <v>-0.9459461566</v>
      </c>
      <c r="M128" s="7" t="n">
        <v>-0.04265980148</v>
      </c>
      <c r="N128" s="7" t="n">
        <v>-0.009040333428</v>
      </c>
      <c r="O128" s="7" t="n">
        <v>-0.04198328176</v>
      </c>
      <c r="P128" s="7" t="n">
        <v>0.9990774126</v>
      </c>
      <c r="Q128" s="7" t="n">
        <v>12.63738104</v>
      </c>
      <c r="R128" s="7" t="n">
        <v>2.123664413</v>
      </c>
      <c r="S128" s="7" t="n">
        <v>0.6867402146</v>
      </c>
    </row>
    <row r="129" customFormat="false" ht="15" hidden="false" customHeight="false" outlineLevel="0" collapsed="false">
      <c r="A129" s="5" t="s">
        <v>4</v>
      </c>
      <c r="B129" s="5" t="s">
        <v>57</v>
      </c>
      <c r="C129" s="5" t="s">
        <v>62</v>
      </c>
      <c r="D129" s="2" t="n">
        <v>14</v>
      </c>
      <c r="E129" s="5" t="s">
        <v>164</v>
      </c>
      <c r="F129" s="5" t="s">
        <v>166</v>
      </c>
      <c r="G129" s="2" t="n">
        <v>1</v>
      </c>
      <c r="H129" s="7" t="n">
        <v>-0.9468644371</v>
      </c>
      <c r="I129" s="7" t="n">
        <v>0.3215948895</v>
      </c>
      <c r="J129" s="7" t="n">
        <v>0.00494620194</v>
      </c>
      <c r="K129" s="7" t="n">
        <v>-0.3215058479</v>
      </c>
      <c r="L129" s="7" t="n">
        <v>-0.9459461566</v>
      </c>
      <c r="M129" s="7" t="n">
        <v>-0.04265980148</v>
      </c>
      <c r="N129" s="7" t="n">
        <v>-0.009040333428</v>
      </c>
      <c r="O129" s="7" t="n">
        <v>-0.04198328176</v>
      </c>
      <c r="P129" s="7" t="n">
        <v>0.9990774126</v>
      </c>
      <c r="Q129" s="7" t="n">
        <v>12.63738104</v>
      </c>
      <c r="R129" s="7" t="n">
        <v>2.123664413</v>
      </c>
      <c r="S129" s="7" t="n">
        <v>0.6867402146</v>
      </c>
    </row>
    <row r="130" customFormat="false" ht="15" hidden="false" customHeight="false" outlineLevel="0" collapsed="false">
      <c r="A130" s="5" t="s">
        <v>4</v>
      </c>
      <c r="B130" s="5" t="s">
        <v>57</v>
      </c>
      <c r="C130" s="5" t="s">
        <v>58</v>
      </c>
      <c r="D130" s="2" t="n">
        <v>14</v>
      </c>
      <c r="E130" s="5" t="s">
        <v>164</v>
      </c>
      <c r="F130" s="5" t="s">
        <v>167</v>
      </c>
      <c r="G130" s="2" t="n">
        <v>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customFormat="false" ht="15" hidden="false" customHeight="false" outlineLevel="0" collapsed="false">
      <c r="A131" s="5" t="s">
        <v>4</v>
      </c>
      <c r="B131" s="5" t="s">
        <v>57</v>
      </c>
      <c r="C131" s="5" t="s">
        <v>62</v>
      </c>
      <c r="D131" s="2" t="n">
        <v>14</v>
      </c>
      <c r="E131" s="5" t="s">
        <v>164</v>
      </c>
      <c r="F131" s="5" t="s">
        <v>167</v>
      </c>
      <c r="G131" s="2" t="n">
        <v>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customFormat="false" ht="15" hidden="false" customHeight="false" outlineLevel="0" collapsed="false">
      <c r="A132" s="5" t="s">
        <v>4</v>
      </c>
      <c r="B132" s="5" t="s">
        <v>57</v>
      </c>
      <c r="C132" s="5" t="s">
        <v>58</v>
      </c>
      <c r="D132" s="2" t="n">
        <v>14</v>
      </c>
      <c r="E132" s="5" t="s">
        <v>164</v>
      </c>
      <c r="F132" s="5" t="s">
        <v>168</v>
      </c>
      <c r="G132" s="2" t="n">
        <v>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customFormat="false" ht="15" hidden="false" customHeight="false" outlineLevel="0" collapsed="false">
      <c r="A133" s="5" t="s">
        <v>4</v>
      </c>
      <c r="B133" s="5" t="s">
        <v>57</v>
      </c>
      <c r="C133" s="5" t="s">
        <v>62</v>
      </c>
      <c r="D133" s="2" t="n">
        <v>14</v>
      </c>
      <c r="E133" s="5" t="s">
        <v>164</v>
      </c>
      <c r="F133" s="5" t="s">
        <v>168</v>
      </c>
      <c r="G133" s="2" t="n">
        <v>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customFormat="false" ht="15" hidden="false" customHeight="false" outlineLevel="0" collapsed="false">
      <c r="A134" s="5" t="s">
        <v>4</v>
      </c>
      <c r="B134" s="5" t="s">
        <v>57</v>
      </c>
      <c r="C134" s="5" t="s">
        <v>58</v>
      </c>
      <c r="D134" s="2" t="n">
        <v>15</v>
      </c>
      <c r="E134" s="5" t="s">
        <v>164</v>
      </c>
      <c r="F134" s="5" t="s">
        <v>165</v>
      </c>
      <c r="G134" s="2" t="n">
        <v>1</v>
      </c>
      <c r="H134" s="7" t="n">
        <v>-0.9194677842</v>
      </c>
      <c r="I134" s="7" t="n">
        <v>0.3931652486</v>
      </c>
      <c r="J134" s="7" t="n">
        <v>0.0002848520234</v>
      </c>
      <c r="K134" s="7" t="n">
        <v>-0.3931653128</v>
      </c>
      <c r="L134" s="7" t="n">
        <v>-0.9194671291</v>
      </c>
      <c r="M134" s="7" t="n">
        <v>-0.001111443656</v>
      </c>
      <c r="N134" s="7" t="n">
        <v>-0.0001750689493</v>
      </c>
      <c r="O134" s="7" t="n">
        <v>-0.001133930571</v>
      </c>
      <c r="P134" s="7" t="n">
        <v>0.9999993418</v>
      </c>
      <c r="Q134" s="7" t="n">
        <v>-1.445092248</v>
      </c>
      <c r="R134" s="7" t="n">
        <v>-3.790878874</v>
      </c>
      <c r="S134" s="7" t="n">
        <v>0.1170622414</v>
      </c>
    </row>
    <row r="135" customFormat="false" ht="15" hidden="false" customHeight="false" outlineLevel="0" collapsed="false">
      <c r="A135" s="5" t="s">
        <v>4</v>
      </c>
      <c r="B135" s="5" t="s">
        <v>57</v>
      </c>
      <c r="C135" s="5" t="s">
        <v>62</v>
      </c>
      <c r="D135" s="2" t="n">
        <v>15</v>
      </c>
      <c r="E135" s="5" t="s">
        <v>164</v>
      </c>
      <c r="F135" s="5" t="s">
        <v>165</v>
      </c>
      <c r="G135" s="2" t="n">
        <v>1</v>
      </c>
      <c r="H135" s="7" t="n">
        <v>-0.9194677842</v>
      </c>
      <c r="I135" s="7" t="n">
        <v>0.3931652486</v>
      </c>
      <c r="J135" s="7" t="n">
        <v>0.0002848520234</v>
      </c>
      <c r="K135" s="7" t="n">
        <v>-0.3931653128</v>
      </c>
      <c r="L135" s="7" t="n">
        <v>-0.9194671291</v>
      </c>
      <c r="M135" s="7" t="n">
        <v>-0.001111443656</v>
      </c>
      <c r="N135" s="7" t="n">
        <v>-0.0001750689493</v>
      </c>
      <c r="O135" s="7" t="n">
        <v>-0.001133930571</v>
      </c>
      <c r="P135" s="7" t="n">
        <v>0.9999993418</v>
      </c>
      <c r="Q135" s="7" t="n">
        <v>-1.445092248</v>
      </c>
      <c r="R135" s="7" t="n">
        <v>-3.790878874</v>
      </c>
      <c r="S135" s="7" t="n">
        <v>0.1170622414</v>
      </c>
    </row>
    <row r="136" customFormat="false" ht="15" hidden="false" customHeight="false" outlineLevel="0" collapsed="false">
      <c r="A136" s="5" t="s">
        <v>4</v>
      </c>
      <c r="B136" s="5" t="s">
        <v>57</v>
      </c>
      <c r="C136" s="5" t="s">
        <v>58</v>
      </c>
      <c r="D136" s="2" t="n">
        <v>15</v>
      </c>
      <c r="E136" s="5" t="s">
        <v>164</v>
      </c>
      <c r="F136" s="5" t="s">
        <v>166</v>
      </c>
      <c r="G136" s="2" t="n">
        <v>1</v>
      </c>
      <c r="H136" s="7" t="n">
        <v>-0.9487544699</v>
      </c>
      <c r="I136" s="7" t="n">
        <v>0.3159158314</v>
      </c>
      <c r="J136" s="7" t="n">
        <v>-0.007883103687</v>
      </c>
      <c r="K136" s="7" t="n">
        <v>-0.3159408379</v>
      </c>
      <c r="L136" s="7" t="n">
        <v>-0.9487765098</v>
      </c>
      <c r="M136" s="7" t="n">
        <v>0.00212634364</v>
      </c>
      <c r="N136" s="7" t="n">
        <v>-0.006807557984</v>
      </c>
      <c r="O136" s="7" t="n">
        <v>0.004507972417</v>
      </c>
      <c r="P136" s="7" t="n">
        <v>0.9999666671</v>
      </c>
      <c r="Q136" s="7" t="n">
        <v>12.62207089</v>
      </c>
      <c r="R136" s="7" t="n">
        <v>2.185478972</v>
      </c>
      <c r="S136" s="7" t="n">
        <v>0.8829219456</v>
      </c>
    </row>
    <row r="137" customFormat="false" ht="15" hidden="false" customHeight="false" outlineLevel="0" collapsed="false">
      <c r="A137" s="5" t="s">
        <v>4</v>
      </c>
      <c r="B137" s="5" t="s">
        <v>57</v>
      </c>
      <c r="C137" s="5" t="s">
        <v>62</v>
      </c>
      <c r="D137" s="2" t="n">
        <v>15</v>
      </c>
      <c r="E137" s="5" t="s">
        <v>164</v>
      </c>
      <c r="F137" s="5" t="s">
        <v>166</v>
      </c>
      <c r="G137" s="2" t="n">
        <v>1</v>
      </c>
      <c r="H137" s="7" t="n">
        <v>-0.9487544699</v>
      </c>
      <c r="I137" s="7" t="n">
        <v>0.3159158314</v>
      </c>
      <c r="J137" s="7" t="n">
        <v>-0.007883103687</v>
      </c>
      <c r="K137" s="7" t="n">
        <v>-0.3159408379</v>
      </c>
      <c r="L137" s="7" t="n">
        <v>-0.9487765098</v>
      </c>
      <c r="M137" s="7" t="n">
        <v>0.00212634364</v>
      </c>
      <c r="N137" s="7" t="n">
        <v>-0.006807557984</v>
      </c>
      <c r="O137" s="7" t="n">
        <v>0.004507972417</v>
      </c>
      <c r="P137" s="7" t="n">
        <v>0.9999666671</v>
      </c>
      <c r="Q137" s="7" t="n">
        <v>12.62207089</v>
      </c>
      <c r="R137" s="7" t="n">
        <v>2.185478972</v>
      </c>
      <c r="S137" s="7" t="n">
        <v>0.8829219456</v>
      </c>
    </row>
    <row r="138" customFormat="false" ht="15" hidden="false" customHeight="false" outlineLevel="0" collapsed="false">
      <c r="A138" s="5" t="s">
        <v>4</v>
      </c>
      <c r="B138" s="5" t="s">
        <v>57</v>
      </c>
      <c r="C138" s="5" t="s">
        <v>58</v>
      </c>
      <c r="D138" s="2" t="n">
        <v>15</v>
      </c>
      <c r="E138" s="5" t="s">
        <v>164</v>
      </c>
      <c r="F138" s="5" t="s">
        <v>167</v>
      </c>
      <c r="G138" s="2" t="n">
        <v>1</v>
      </c>
      <c r="H138" s="7" t="n">
        <v>0.5156125185</v>
      </c>
      <c r="I138" s="7" t="n">
        <v>0.8567942586</v>
      </c>
      <c r="J138" s="7" t="n">
        <v>0.006879620519</v>
      </c>
      <c r="K138" s="7" t="n">
        <v>-0.8567231387</v>
      </c>
      <c r="L138" s="7" t="n">
        <v>0.5156583734</v>
      </c>
      <c r="M138" s="7" t="n">
        <v>-0.01104108829</v>
      </c>
      <c r="N138" s="7" t="n">
        <v>-0.01300747498</v>
      </c>
      <c r="O138" s="7" t="n">
        <v>-0.0002010067447</v>
      </c>
      <c r="P138" s="7" t="n">
        <v>0.999915379</v>
      </c>
      <c r="Q138" s="7" t="n">
        <v>-10.0533377</v>
      </c>
      <c r="R138" s="7" t="n">
        <v>11.45106187</v>
      </c>
      <c r="S138" s="7" t="n">
        <v>0.5152080559</v>
      </c>
    </row>
    <row r="139" customFormat="false" ht="15" hidden="false" customHeight="false" outlineLevel="0" collapsed="false">
      <c r="A139" s="5" t="s">
        <v>4</v>
      </c>
      <c r="B139" s="5" t="s">
        <v>57</v>
      </c>
      <c r="C139" s="5" t="s">
        <v>62</v>
      </c>
      <c r="D139" s="2" t="n">
        <v>15</v>
      </c>
      <c r="E139" s="5" t="s">
        <v>164</v>
      </c>
      <c r="F139" s="5" t="s">
        <v>167</v>
      </c>
      <c r="G139" s="2" t="n">
        <v>1</v>
      </c>
      <c r="H139" s="7" t="n">
        <v>0.5156125185</v>
      </c>
      <c r="I139" s="7" t="n">
        <v>0.8567942586</v>
      </c>
      <c r="J139" s="7" t="n">
        <v>0.006879620519</v>
      </c>
      <c r="K139" s="7" t="n">
        <v>-0.8567231387</v>
      </c>
      <c r="L139" s="7" t="n">
        <v>0.5156583734</v>
      </c>
      <c r="M139" s="7" t="n">
        <v>-0.01104108829</v>
      </c>
      <c r="N139" s="7" t="n">
        <v>-0.01300747498</v>
      </c>
      <c r="O139" s="7" t="n">
        <v>-0.0002010067447</v>
      </c>
      <c r="P139" s="7" t="n">
        <v>0.999915379</v>
      </c>
      <c r="Q139" s="7" t="n">
        <v>-10.0533377</v>
      </c>
      <c r="R139" s="7" t="n">
        <v>11.45106187</v>
      </c>
      <c r="S139" s="7" t="n">
        <v>0.5152080559</v>
      </c>
    </row>
    <row r="140" customFormat="false" ht="15" hidden="false" customHeight="false" outlineLevel="0" collapsed="false">
      <c r="A140" s="5" t="s">
        <v>4</v>
      </c>
      <c r="B140" s="5" t="s">
        <v>57</v>
      </c>
      <c r="C140" s="5" t="s">
        <v>58</v>
      </c>
      <c r="D140" s="2" t="n">
        <v>15</v>
      </c>
      <c r="E140" s="5" t="s">
        <v>164</v>
      </c>
      <c r="F140" s="5" t="s">
        <v>168</v>
      </c>
      <c r="G140" s="2" t="n">
        <v>1</v>
      </c>
      <c r="H140" s="7" t="n">
        <v>-0.8134724066</v>
      </c>
      <c r="I140" s="7" t="n">
        <v>0.5815963393</v>
      </c>
      <c r="J140" s="7" t="n">
        <v>0.002888232901</v>
      </c>
      <c r="K140" s="7" t="n">
        <v>-0.5815986898</v>
      </c>
      <c r="L140" s="7" t="n">
        <v>-0.8134354134</v>
      </c>
      <c r="M140" s="7" t="n">
        <v>-0.008111243566</v>
      </c>
      <c r="N140" s="7" t="n">
        <v>-0.002368078641</v>
      </c>
      <c r="O140" s="7" t="n">
        <v>-0.008278065295</v>
      </c>
      <c r="P140" s="7" t="n">
        <v>0.9999629322</v>
      </c>
      <c r="Q140" s="7" t="n">
        <v>16.63656893</v>
      </c>
      <c r="R140" s="7" t="n">
        <v>12.64776931</v>
      </c>
      <c r="S140" s="7" t="n">
        <v>1.593244189</v>
      </c>
    </row>
    <row r="141" customFormat="false" ht="15" hidden="false" customHeight="false" outlineLevel="0" collapsed="false">
      <c r="A141" s="5" t="s">
        <v>4</v>
      </c>
      <c r="B141" s="5" t="s">
        <v>57</v>
      </c>
      <c r="C141" s="5" t="s">
        <v>62</v>
      </c>
      <c r="D141" s="2" t="n">
        <v>15</v>
      </c>
      <c r="E141" s="5" t="s">
        <v>164</v>
      </c>
      <c r="F141" s="5" t="s">
        <v>168</v>
      </c>
      <c r="G141" s="2" t="n">
        <v>1</v>
      </c>
      <c r="H141" s="7" t="n">
        <v>-0.8133471172</v>
      </c>
      <c r="I141" s="7" t="n">
        <v>0.5815317372</v>
      </c>
      <c r="J141" s="7" t="n">
        <v>-0.01695008914</v>
      </c>
      <c r="K141" s="7" t="n">
        <v>-0.5816508861</v>
      </c>
      <c r="L141" s="7" t="n">
        <v>-0.8134339206</v>
      </c>
      <c r="M141" s="7" t="n">
        <v>0.002739247066</v>
      </c>
      <c r="N141" s="7" t="n">
        <v>-0.01219481836</v>
      </c>
      <c r="O141" s="7" t="n">
        <v>0.01208699307</v>
      </c>
      <c r="P141" s="7" t="n">
        <v>0.9998525846</v>
      </c>
      <c r="Q141" s="7" t="n">
        <v>16.62646637</v>
      </c>
      <c r="R141" s="7" t="n">
        <v>12.65566632</v>
      </c>
      <c r="S141" s="7" t="n">
        <v>1.457102897</v>
      </c>
    </row>
    <row r="142" customFormat="false" ht="15" hidden="false" customHeight="false" outlineLevel="0" collapsed="false">
      <c r="A142" s="5" t="s">
        <v>4</v>
      </c>
      <c r="B142" s="5" t="s">
        <v>57</v>
      </c>
      <c r="C142" s="5" t="s">
        <v>58</v>
      </c>
      <c r="D142" s="2" t="n">
        <v>16</v>
      </c>
      <c r="E142" s="5" t="s">
        <v>164</v>
      </c>
      <c r="F142" s="5" t="s">
        <v>165</v>
      </c>
      <c r="G142" s="2" t="n">
        <v>1</v>
      </c>
      <c r="H142" s="7" t="n">
        <v>-0.9193888219</v>
      </c>
      <c r="I142" s="7" t="n">
        <v>0.3933492424</v>
      </c>
      <c r="J142" s="7" t="n">
        <v>-0.0007534216335</v>
      </c>
      <c r="K142" s="7" t="n">
        <v>-0.3933499608</v>
      </c>
      <c r="L142" s="7" t="n">
        <v>-0.9193873714</v>
      </c>
      <c r="M142" s="7" t="n">
        <v>0.001633889914</v>
      </c>
      <c r="N142" s="7" t="n">
        <v>-4.999697539E-005</v>
      </c>
      <c r="O142" s="7" t="n">
        <v>0.001798538493</v>
      </c>
      <c r="P142" s="7" t="n">
        <v>0.9999983814</v>
      </c>
      <c r="Q142" s="7" t="n">
        <v>-1.451963941</v>
      </c>
      <c r="R142" s="7" t="n">
        <v>-3.792643526</v>
      </c>
      <c r="S142" s="7" t="n">
        <v>0.1239053921</v>
      </c>
    </row>
    <row r="143" customFormat="false" ht="15" hidden="false" customHeight="false" outlineLevel="0" collapsed="false">
      <c r="A143" s="5" t="s">
        <v>4</v>
      </c>
      <c r="B143" s="5" t="s">
        <v>57</v>
      </c>
      <c r="C143" s="5" t="s">
        <v>62</v>
      </c>
      <c r="D143" s="2" t="n">
        <v>16</v>
      </c>
      <c r="E143" s="5" t="s">
        <v>164</v>
      </c>
      <c r="F143" s="5" t="s">
        <v>165</v>
      </c>
      <c r="G143" s="2" t="n">
        <v>1</v>
      </c>
      <c r="H143" s="7" t="n">
        <v>-0.9193888219</v>
      </c>
      <c r="I143" s="7" t="n">
        <v>0.3933492424</v>
      </c>
      <c r="J143" s="7" t="n">
        <v>-0.0007534216335</v>
      </c>
      <c r="K143" s="7" t="n">
        <v>-0.3933499608</v>
      </c>
      <c r="L143" s="7" t="n">
        <v>-0.9193873714</v>
      </c>
      <c r="M143" s="7" t="n">
        <v>0.001633889914</v>
      </c>
      <c r="N143" s="7" t="n">
        <v>-4.999697539E-005</v>
      </c>
      <c r="O143" s="7" t="n">
        <v>0.001798538493</v>
      </c>
      <c r="P143" s="7" t="n">
        <v>0.9999983814</v>
      </c>
      <c r="Q143" s="7" t="n">
        <v>-1.451963941</v>
      </c>
      <c r="R143" s="7" t="n">
        <v>-3.792643526</v>
      </c>
      <c r="S143" s="7" t="n">
        <v>0.1239053921</v>
      </c>
    </row>
    <row r="144" customFormat="false" ht="15" hidden="false" customHeight="false" outlineLevel="0" collapsed="false">
      <c r="A144" s="5" t="s">
        <v>4</v>
      </c>
      <c r="B144" s="5" t="s">
        <v>57</v>
      </c>
      <c r="C144" s="5" t="s">
        <v>58</v>
      </c>
      <c r="D144" s="2" t="n">
        <v>16</v>
      </c>
      <c r="E144" s="5" t="s">
        <v>164</v>
      </c>
      <c r="F144" s="5" t="s">
        <v>166</v>
      </c>
      <c r="G144" s="2" t="n">
        <v>1</v>
      </c>
      <c r="H144" s="7" t="n">
        <v>-0.9484601623</v>
      </c>
      <c r="I144" s="7" t="n">
        <v>0.3166802148</v>
      </c>
      <c r="J144" s="7" t="n">
        <v>-0.0117030828</v>
      </c>
      <c r="K144" s="7" t="n">
        <v>-0.3165684738</v>
      </c>
      <c r="L144" s="7" t="n">
        <v>-0.948512002</v>
      </c>
      <c r="M144" s="7" t="n">
        <v>-0.01045865534</v>
      </c>
      <c r="N144" s="7" t="n">
        <v>-0.01441256372</v>
      </c>
      <c r="O144" s="7" t="n">
        <v>-0.006214790879</v>
      </c>
      <c r="P144" s="7" t="n">
        <v>0.9998768196</v>
      </c>
      <c r="Q144" s="7" t="n">
        <v>12.61707753</v>
      </c>
      <c r="R144" s="7" t="n">
        <v>2.153379533</v>
      </c>
      <c r="S144" s="7" t="n">
        <v>0.8329237445</v>
      </c>
    </row>
    <row r="145" customFormat="false" ht="15" hidden="false" customHeight="false" outlineLevel="0" collapsed="false">
      <c r="A145" s="5" t="s">
        <v>4</v>
      </c>
      <c r="B145" s="5" t="s">
        <v>57</v>
      </c>
      <c r="C145" s="5" t="s">
        <v>62</v>
      </c>
      <c r="D145" s="2" t="n">
        <v>16</v>
      </c>
      <c r="E145" s="5" t="s">
        <v>164</v>
      </c>
      <c r="F145" s="5" t="s">
        <v>166</v>
      </c>
      <c r="G145" s="2" t="n">
        <v>1</v>
      </c>
      <c r="H145" s="7" t="n">
        <v>-0.9484601623</v>
      </c>
      <c r="I145" s="7" t="n">
        <v>0.3166802148</v>
      </c>
      <c r="J145" s="7" t="n">
        <v>-0.0117030828</v>
      </c>
      <c r="K145" s="7" t="n">
        <v>-0.3165684738</v>
      </c>
      <c r="L145" s="7" t="n">
        <v>-0.948512002</v>
      </c>
      <c r="M145" s="7" t="n">
        <v>-0.01045865534</v>
      </c>
      <c r="N145" s="7" t="n">
        <v>-0.01441256372</v>
      </c>
      <c r="O145" s="7" t="n">
        <v>-0.006214790879</v>
      </c>
      <c r="P145" s="7" t="n">
        <v>0.9998768196</v>
      </c>
      <c r="Q145" s="7" t="n">
        <v>12.61707753</v>
      </c>
      <c r="R145" s="7" t="n">
        <v>2.153379533</v>
      </c>
      <c r="S145" s="7" t="n">
        <v>0.8329237445</v>
      </c>
    </row>
    <row r="146" customFormat="false" ht="15" hidden="false" customHeight="false" outlineLevel="0" collapsed="false">
      <c r="A146" s="5" t="s">
        <v>4</v>
      </c>
      <c r="B146" s="5" t="s">
        <v>57</v>
      </c>
      <c r="C146" s="5" t="s">
        <v>58</v>
      </c>
      <c r="D146" s="2" t="n">
        <v>16</v>
      </c>
      <c r="E146" s="5" t="s">
        <v>164</v>
      </c>
      <c r="F146" s="5" t="s">
        <v>167</v>
      </c>
      <c r="G146" s="2" t="n">
        <v>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customFormat="false" ht="15" hidden="false" customHeight="false" outlineLevel="0" collapsed="false">
      <c r="A147" s="5" t="s">
        <v>4</v>
      </c>
      <c r="B147" s="5" t="s">
        <v>57</v>
      </c>
      <c r="C147" s="5" t="s">
        <v>62</v>
      </c>
      <c r="D147" s="2" t="n">
        <v>16</v>
      </c>
      <c r="E147" s="5" t="s">
        <v>164</v>
      </c>
      <c r="F147" s="5" t="s">
        <v>167</v>
      </c>
      <c r="G147" s="2" t="n">
        <v>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customFormat="false" ht="15" hidden="false" customHeight="false" outlineLevel="0" collapsed="false">
      <c r="A148" s="5" t="s">
        <v>4</v>
      </c>
      <c r="B148" s="5" t="s">
        <v>57</v>
      </c>
      <c r="C148" s="5" t="s">
        <v>58</v>
      </c>
      <c r="D148" s="2" t="n">
        <v>16</v>
      </c>
      <c r="E148" s="5" t="s">
        <v>164</v>
      </c>
      <c r="F148" s="5" t="s">
        <v>168</v>
      </c>
      <c r="G148" s="2" t="n">
        <v>1</v>
      </c>
      <c r="H148" s="7" t="n">
        <v>-0.8132212753</v>
      </c>
      <c r="I148" s="7" t="n">
        <v>0.5819545268</v>
      </c>
      <c r="J148" s="7" t="n">
        <v>0.0002934077785</v>
      </c>
      <c r="K148" s="7" t="n">
        <v>-0.5819461137</v>
      </c>
      <c r="L148" s="7" t="n">
        <v>-0.8132065893</v>
      </c>
      <c r="M148" s="7" t="n">
        <v>-0.005810669902</v>
      </c>
      <c r="N148" s="7" t="n">
        <v>-0.003142944514</v>
      </c>
      <c r="O148" s="7" t="n">
        <v>-0.004896107904</v>
      </c>
      <c r="P148" s="7" t="n">
        <v>0.9999830749</v>
      </c>
      <c r="Q148" s="7" t="n">
        <v>16.65914133</v>
      </c>
      <c r="R148" s="7" t="n">
        <v>12.65991923</v>
      </c>
      <c r="S148" s="7" t="n">
        <v>1.556538991</v>
      </c>
    </row>
    <row r="149" customFormat="false" ht="15" hidden="false" customHeight="false" outlineLevel="0" collapsed="false">
      <c r="A149" s="5" t="s">
        <v>4</v>
      </c>
      <c r="B149" s="5" t="s">
        <v>57</v>
      </c>
      <c r="C149" s="5" t="s">
        <v>62</v>
      </c>
      <c r="D149" s="2" t="n">
        <v>16</v>
      </c>
      <c r="E149" s="5" t="s">
        <v>164</v>
      </c>
      <c r="F149" s="5" t="s">
        <v>168</v>
      </c>
      <c r="G149" s="2" t="n">
        <v>1</v>
      </c>
      <c r="H149" s="7" t="n">
        <v>-0.8132633673</v>
      </c>
      <c r="I149" s="7" t="n">
        <v>0.5818877319</v>
      </c>
      <c r="J149" s="7" t="n">
        <v>0.003059892266</v>
      </c>
      <c r="K149" s="7" t="n">
        <v>-0.5818940585</v>
      </c>
      <c r="L149" s="7" t="n">
        <v>-0.8132369407</v>
      </c>
      <c r="M149" s="7" t="n">
        <v>-0.006706934791</v>
      </c>
      <c r="N149" s="7" t="n">
        <v>-0.001414265648</v>
      </c>
      <c r="O149" s="7" t="n">
        <v>-0.007235037502</v>
      </c>
      <c r="P149" s="7" t="n">
        <v>0.9999728267</v>
      </c>
      <c r="Q149" s="7" t="n">
        <v>16.66223843</v>
      </c>
      <c r="R149" s="7" t="n">
        <v>12.65837537</v>
      </c>
      <c r="S149" s="7" t="n">
        <v>1.612312099</v>
      </c>
    </row>
    <row r="150" customFormat="false" ht="15" hidden="false" customHeight="false" outlineLevel="0" collapsed="false">
      <c r="A150" s="5" t="s">
        <v>4</v>
      </c>
      <c r="B150" s="5" t="s">
        <v>57</v>
      </c>
      <c r="C150" s="5" t="s">
        <v>58</v>
      </c>
      <c r="D150" s="2" t="n">
        <v>17</v>
      </c>
      <c r="E150" s="5" t="s">
        <v>164</v>
      </c>
      <c r="F150" s="5" t="s">
        <v>165</v>
      </c>
      <c r="G150" s="2" t="n">
        <v>1</v>
      </c>
      <c r="H150" s="7" t="n">
        <v>-0.919393611</v>
      </c>
      <c r="I150" s="7" t="n">
        <v>0.3933251515</v>
      </c>
      <c r="J150" s="7" t="n">
        <v>-0.003273099169</v>
      </c>
      <c r="K150" s="7" t="n">
        <v>-0.3933333974</v>
      </c>
      <c r="L150" s="7" t="n">
        <v>-0.9193927141</v>
      </c>
      <c r="M150" s="7" t="n">
        <v>0.002423994582</v>
      </c>
      <c r="N150" s="7" t="n">
        <v>-0.002055845492</v>
      </c>
      <c r="O150" s="7" t="n">
        <v>0.003516024347</v>
      </c>
      <c r="P150" s="7" t="n">
        <v>0.9999917055</v>
      </c>
      <c r="Q150" s="7" t="n">
        <v>-1.449980909</v>
      </c>
      <c r="R150" s="7" t="n">
        <v>-3.76452514</v>
      </c>
      <c r="S150" s="7" t="n">
        <v>0.1376221853</v>
      </c>
    </row>
    <row r="151" customFormat="false" ht="15" hidden="false" customHeight="false" outlineLevel="0" collapsed="false">
      <c r="A151" s="5" t="s">
        <v>4</v>
      </c>
      <c r="B151" s="5" t="s">
        <v>57</v>
      </c>
      <c r="C151" s="5" t="s">
        <v>62</v>
      </c>
      <c r="D151" s="2" t="n">
        <v>17</v>
      </c>
      <c r="E151" s="5" t="s">
        <v>164</v>
      </c>
      <c r="F151" s="5" t="s">
        <v>165</v>
      </c>
      <c r="G151" s="2" t="n">
        <v>1</v>
      </c>
      <c r="H151" s="7" t="n">
        <v>-0.9191361225</v>
      </c>
      <c r="I151" s="7" t="n">
        <v>0.3939395048</v>
      </c>
      <c r="J151" s="7" t="n">
        <v>-0.0006744541928</v>
      </c>
      <c r="K151" s="7" t="n">
        <v>-0.3939298961</v>
      </c>
      <c r="L151" s="7" t="n">
        <v>-0.9191233213</v>
      </c>
      <c r="M151" s="7" t="n">
        <v>-0.005617584686</v>
      </c>
      <c r="N151" s="7" t="n">
        <v>-0.002832895107</v>
      </c>
      <c r="O151" s="7" t="n">
        <v>-0.004897637337</v>
      </c>
      <c r="P151" s="7" t="n">
        <v>0.9999839938</v>
      </c>
      <c r="Q151" s="7" t="n">
        <v>-1.448815361</v>
      </c>
      <c r="R151" s="7" t="n">
        <v>-3.777110524</v>
      </c>
      <c r="S151" s="7" t="n">
        <v>0.1483026697</v>
      </c>
    </row>
    <row r="152" customFormat="false" ht="15" hidden="false" customHeight="false" outlineLevel="0" collapsed="false">
      <c r="A152" s="5" t="s">
        <v>4</v>
      </c>
      <c r="B152" s="5" t="s">
        <v>57</v>
      </c>
      <c r="C152" s="5" t="s">
        <v>58</v>
      </c>
      <c r="D152" s="2" t="n">
        <v>17</v>
      </c>
      <c r="E152" s="5" t="s">
        <v>164</v>
      </c>
      <c r="F152" s="5" t="s">
        <v>166</v>
      </c>
      <c r="G152" s="2" t="n">
        <v>1</v>
      </c>
      <c r="H152" s="7" t="n">
        <v>-0.9492211043</v>
      </c>
      <c r="I152" s="7" t="n">
        <v>0.3108157254</v>
      </c>
      <c r="J152" s="7" t="n">
        <v>-0.04871221647</v>
      </c>
      <c r="K152" s="7" t="n">
        <v>-0.3135943042</v>
      </c>
      <c r="L152" s="7" t="n">
        <v>-0.9471772471</v>
      </c>
      <c r="M152" s="7" t="n">
        <v>0.06718537793</v>
      </c>
      <c r="N152" s="7" t="n">
        <v>-0.02525683112</v>
      </c>
      <c r="O152" s="7" t="n">
        <v>0.07904965226</v>
      </c>
      <c r="P152" s="7" t="n">
        <v>0.9965506736</v>
      </c>
      <c r="Q152" s="7" t="n">
        <v>12.53340332</v>
      </c>
      <c r="R152" s="7" t="n">
        <v>2.279198945</v>
      </c>
      <c r="S152" s="7" t="n">
        <v>0.9865492115</v>
      </c>
    </row>
    <row r="153" customFormat="false" ht="15" hidden="false" customHeight="false" outlineLevel="0" collapsed="false">
      <c r="A153" s="5" t="s">
        <v>4</v>
      </c>
      <c r="B153" s="5" t="s">
        <v>57</v>
      </c>
      <c r="C153" s="5" t="s">
        <v>62</v>
      </c>
      <c r="D153" s="2" t="n">
        <v>17</v>
      </c>
      <c r="E153" s="5" t="s">
        <v>164</v>
      </c>
      <c r="F153" s="5" t="s">
        <v>166</v>
      </c>
      <c r="G153" s="2" t="n">
        <v>1</v>
      </c>
      <c r="H153" s="7" t="n">
        <v>-0.9492211043</v>
      </c>
      <c r="I153" s="7" t="n">
        <v>0.3108157254</v>
      </c>
      <c r="J153" s="7" t="n">
        <v>-0.04871221647</v>
      </c>
      <c r="K153" s="7" t="n">
        <v>-0.3135943042</v>
      </c>
      <c r="L153" s="7" t="n">
        <v>-0.9471772471</v>
      </c>
      <c r="M153" s="7" t="n">
        <v>0.06718537793</v>
      </c>
      <c r="N153" s="7" t="n">
        <v>-0.02525683112</v>
      </c>
      <c r="O153" s="7" t="n">
        <v>0.07904965226</v>
      </c>
      <c r="P153" s="7" t="n">
        <v>0.9965506736</v>
      </c>
      <c r="Q153" s="7" t="n">
        <v>12.53340332</v>
      </c>
      <c r="R153" s="7" t="n">
        <v>2.279198945</v>
      </c>
      <c r="S153" s="7" t="n">
        <v>0.9865492115</v>
      </c>
    </row>
    <row r="154" customFormat="false" ht="15" hidden="false" customHeight="false" outlineLevel="0" collapsed="false">
      <c r="A154" s="5" t="s">
        <v>4</v>
      </c>
      <c r="B154" s="5" t="s">
        <v>57</v>
      </c>
      <c r="C154" s="5" t="s">
        <v>58</v>
      </c>
      <c r="D154" s="2" t="n">
        <v>17</v>
      </c>
      <c r="E154" s="5" t="s">
        <v>164</v>
      </c>
      <c r="F154" s="5" t="s">
        <v>167</v>
      </c>
      <c r="G154" s="2" t="n">
        <v>1</v>
      </c>
      <c r="H154" s="7" t="n">
        <v>0.5194269204</v>
      </c>
      <c r="I154" s="7" t="n">
        <v>0.8542421577</v>
      </c>
      <c r="J154" s="7" t="n">
        <v>0.02158727487</v>
      </c>
      <c r="K154" s="7" t="n">
        <v>-0.8542107592</v>
      </c>
      <c r="L154" s="7" t="n">
        <v>0.5197502735</v>
      </c>
      <c r="M154" s="7" t="n">
        <v>-0.01355108951</v>
      </c>
      <c r="N154" s="7" t="n">
        <v>-0.02279590396</v>
      </c>
      <c r="O154" s="7" t="n">
        <v>-0.01140128177</v>
      </c>
      <c r="P154" s="7" t="n">
        <v>0.999675126</v>
      </c>
      <c r="Q154" s="7" t="n">
        <v>-10.04170827</v>
      </c>
      <c r="R154" s="7" t="n">
        <v>11.3908442</v>
      </c>
      <c r="S154" s="7" t="n">
        <v>0.6894244492</v>
      </c>
    </row>
    <row r="155" customFormat="false" ht="15" hidden="false" customHeight="false" outlineLevel="0" collapsed="false">
      <c r="A155" s="5" t="s">
        <v>4</v>
      </c>
      <c r="B155" s="5" t="s">
        <v>57</v>
      </c>
      <c r="C155" s="5" t="s">
        <v>62</v>
      </c>
      <c r="D155" s="2" t="n">
        <v>17</v>
      </c>
      <c r="E155" s="5" t="s">
        <v>164</v>
      </c>
      <c r="F155" s="5" t="s">
        <v>167</v>
      </c>
      <c r="G155" s="2" t="n">
        <v>1</v>
      </c>
      <c r="H155" s="7" t="n">
        <v>0.5194269204</v>
      </c>
      <c r="I155" s="7" t="n">
        <v>0.8542421577</v>
      </c>
      <c r="J155" s="7" t="n">
        <v>0.02158727487</v>
      </c>
      <c r="K155" s="7" t="n">
        <v>-0.8542107592</v>
      </c>
      <c r="L155" s="7" t="n">
        <v>0.5197502735</v>
      </c>
      <c r="M155" s="7" t="n">
        <v>-0.01355108951</v>
      </c>
      <c r="N155" s="7" t="n">
        <v>-0.02279590396</v>
      </c>
      <c r="O155" s="7" t="n">
        <v>-0.01140128177</v>
      </c>
      <c r="P155" s="7" t="n">
        <v>0.999675126</v>
      </c>
      <c r="Q155" s="7" t="n">
        <v>-10.04170827</v>
      </c>
      <c r="R155" s="7" t="n">
        <v>11.3908442</v>
      </c>
      <c r="S155" s="7" t="n">
        <v>0.6894244492</v>
      </c>
    </row>
    <row r="156" customFormat="false" ht="15" hidden="false" customHeight="false" outlineLevel="0" collapsed="false">
      <c r="A156" s="5" t="s">
        <v>4</v>
      </c>
      <c r="B156" s="5" t="s">
        <v>57</v>
      </c>
      <c r="C156" s="5" t="s">
        <v>58</v>
      </c>
      <c r="D156" s="2" t="n">
        <v>17</v>
      </c>
      <c r="E156" s="5" t="s">
        <v>164</v>
      </c>
      <c r="F156" s="5" t="s">
        <v>168</v>
      </c>
      <c r="G156" s="2" t="n">
        <v>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customFormat="false" ht="15" hidden="false" customHeight="false" outlineLevel="0" collapsed="false">
      <c r="A157" s="5" t="s">
        <v>4</v>
      </c>
      <c r="B157" s="5" t="s">
        <v>57</v>
      </c>
      <c r="C157" s="5" t="s">
        <v>62</v>
      </c>
      <c r="D157" s="2" t="n">
        <v>17</v>
      </c>
      <c r="E157" s="5" t="s">
        <v>164</v>
      </c>
      <c r="F157" s="5" t="s">
        <v>168</v>
      </c>
      <c r="G157" s="2" t="n">
        <v>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customFormat="false" ht="15" hidden="false" customHeight="false" outlineLevel="0" collapsed="false">
      <c r="A158" s="5" t="s">
        <v>4</v>
      </c>
      <c r="B158" s="5" t="s">
        <v>57</v>
      </c>
      <c r="C158" s="5" t="s">
        <v>58</v>
      </c>
      <c r="D158" s="2" t="n">
        <v>18</v>
      </c>
      <c r="E158" s="5" t="s">
        <v>164</v>
      </c>
      <c r="F158" s="5" t="s">
        <v>165</v>
      </c>
      <c r="G158" s="2" t="n">
        <v>1</v>
      </c>
      <c r="H158" s="7" t="n">
        <v>-0.9200029727</v>
      </c>
      <c r="I158" s="7" t="n">
        <v>0.3919109985</v>
      </c>
      <c r="J158" s="7" t="n">
        <v>-0.0005473467805</v>
      </c>
      <c r="K158" s="7" t="n">
        <v>-0.3919109746</v>
      </c>
      <c r="L158" s="7" t="n">
        <v>-0.9200031326</v>
      </c>
      <c r="M158" s="7" t="n">
        <v>-0.0001546991649</v>
      </c>
      <c r="N158" s="7" t="n">
        <v>-0.0005641890569</v>
      </c>
      <c r="O158" s="7" t="n">
        <v>7.218751864E-005</v>
      </c>
      <c r="P158" s="7" t="n">
        <v>0.9999998382</v>
      </c>
      <c r="Q158" s="7" t="n">
        <v>-1.458984202</v>
      </c>
      <c r="R158" s="7" t="n">
        <v>-3.812099015</v>
      </c>
      <c r="S158" s="7" t="n">
        <v>0.1159795741</v>
      </c>
    </row>
    <row r="159" customFormat="false" ht="15" hidden="false" customHeight="false" outlineLevel="0" collapsed="false">
      <c r="A159" s="5" t="s">
        <v>4</v>
      </c>
      <c r="B159" s="5" t="s">
        <v>57</v>
      </c>
      <c r="C159" s="5" t="s">
        <v>62</v>
      </c>
      <c r="D159" s="2" t="n">
        <v>18</v>
      </c>
      <c r="E159" s="5" t="s">
        <v>164</v>
      </c>
      <c r="F159" s="5" t="s">
        <v>165</v>
      </c>
      <c r="G159" s="2" t="n">
        <v>1</v>
      </c>
      <c r="H159" s="7" t="n">
        <v>-0.9200029727</v>
      </c>
      <c r="I159" s="7" t="n">
        <v>0.3919109985</v>
      </c>
      <c r="J159" s="7" t="n">
        <v>-0.0005473467805</v>
      </c>
      <c r="K159" s="7" t="n">
        <v>-0.3919109746</v>
      </c>
      <c r="L159" s="7" t="n">
        <v>-0.9200031326</v>
      </c>
      <c r="M159" s="7" t="n">
        <v>-0.0001546991649</v>
      </c>
      <c r="N159" s="7" t="n">
        <v>-0.0005641890569</v>
      </c>
      <c r="O159" s="7" t="n">
        <v>7.218751864E-005</v>
      </c>
      <c r="P159" s="7" t="n">
        <v>0.9999998382</v>
      </c>
      <c r="Q159" s="7" t="n">
        <v>-1.458984202</v>
      </c>
      <c r="R159" s="7" t="n">
        <v>-3.812099015</v>
      </c>
      <c r="S159" s="7" t="n">
        <v>0.1159795741</v>
      </c>
    </row>
    <row r="160" customFormat="false" ht="15" hidden="false" customHeight="false" outlineLevel="0" collapsed="false">
      <c r="A160" s="5" t="s">
        <v>4</v>
      </c>
      <c r="B160" s="5" t="s">
        <v>57</v>
      </c>
      <c r="C160" s="5" t="s">
        <v>58</v>
      </c>
      <c r="D160" s="2" t="n">
        <v>18</v>
      </c>
      <c r="E160" s="5" t="s">
        <v>164</v>
      </c>
      <c r="F160" s="5" t="s">
        <v>166</v>
      </c>
      <c r="G160" s="2" t="n">
        <v>1</v>
      </c>
      <c r="H160" s="7" t="n">
        <v>-0.9491565494</v>
      </c>
      <c r="I160" s="7" t="n">
        <v>0.3147951973</v>
      </c>
      <c r="J160" s="7" t="n">
        <v>-0.002414230561</v>
      </c>
      <c r="K160" s="7" t="n">
        <v>-0.3147666914</v>
      </c>
      <c r="L160" s="7" t="n">
        <v>-0.9491335647</v>
      </c>
      <c r="M160" s="7" t="n">
        <v>-0.008210133081</v>
      </c>
      <c r="N160" s="7" t="n">
        <v>-0.004875937721</v>
      </c>
      <c r="O160" s="7" t="n">
        <v>-0.007032782219</v>
      </c>
      <c r="P160" s="7" t="n">
        <v>0.9999633819</v>
      </c>
      <c r="Q160" s="7" t="n">
        <v>12.65368265</v>
      </c>
      <c r="R160" s="7" t="n">
        <v>2.193863288</v>
      </c>
      <c r="S160" s="7" t="n">
        <v>0.8733326943</v>
      </c>
    </row>
    <row r="161" customFormat="false" ht="15" hidden="false" customHeight="false" outlineLevel="0" collapsed="false">
      <c r="A161" s="5" t="s">
        <v>4</v>
      </c>
      <c r="B161" s="5" t="s">
        <v>57</v>
      </c>
      <c r="C161" s="5" t="s">
        <v>62</v>
      </c>
      <c r="D161" s="2" t="n">
        <v>18</v>
      </c>
      <c r="E161" s="5" t="s">
        <v>164</v>
      </c>
      <c r="F161" s="5" t="s">
        <v>166</v>
      </c>
      <c r="G161" s="2" t="n">
        <v>1</v>
      </c>
      <c r="H161" s="7" t="n">
        <v>-0.9491565494</v>
      </c>
      <c r="I161" s="7" t="n">
        <v>0.3147951973</v>
      </c>
      <c r="J161" s="7" t="n">
        <v>-0.002414230561</v>
      </c>
      <c r="K161" s="7" t="n">
        <v>-0.3147666914</v>
      </c>
      <c r="L161" s="7" t="n">
        <v>-0.9491335647</v>
      </c>
      <c r="M161" s="7" t="n">
        <v>-0.008210133081</v>
      </c>
      <c r="N161" s="7" t="n">
        <v>-0.004875937721</v>
      </c>
      <c r="O161" s="7" t="n">
        <v>-0.007032782219</v>
      </c>
      <c r="P161" s="7" t="n">
        <v>0.9999633819</v>
      </c>
      <c r="Q161" s="7" t="n">
        <v>12.65368265</v>
      </c>
      <c r="R161" s="7" t="n">
        <v>2.193863288</v>
      </c>
      <c r="S161" s="7" t="n">
        <v>0.8733326943</v>
      </c>
    </row>
    <row r="162" customFormat="false" ht="15" hidden="false" customHeight="false" outlineLevel="0" collapsed="false">
      <c r="A162" s="5" t="s">
        <v>4</v>
      </c>
      <c r="B162" s="5" t="s">
        <v>57</v>
      </c>
      <c r="C162" s="5" t="s">
        <v>58</v>
      </c>
      <c r="D162" s="2" t="n">
        <v>18</v>
      </c>
      <c r="E162" s="5" t="s">
        <v>164</v>
      </c>
      <c r="F162" s="5" t="s">
        <v>167</v>
      </c>
      <c r="G162" s="2" t="n">
        <v>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customFormat="false" ht="15" hidden="false" customHeight="false" outlineLevel="0" collapsed="false">
      <c r="A163" s="5" t="s">
        <v>4</v>
      </c>
      <c r="B163" s="5" t="s">
        <v>57</v>
      </c>
      <c r="C163" s="5" t="s">
        <v>62</v>
      </c>
      <c r="D163" s="2" t="n">
        <v>18</v>
      </c>
      <c r="E163" s="5" t="s">
        <v>164</v>
      </c>
      <c r="F163" s="5" t="s">
        <v>167</v>
      </c>
      <c r="G163" s="2" t="n">
        <v>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customFormat="false" ht="15" hidden="false" customHeight="false" outlineLevel="0" collapsed="false">
      <c r="A164" s="5" t="s">
        <v>4</v>
      </c>
      <c r="B164" s="5" t="s">
        <v>57</v>
      </c>
      <c r="C164" s="5" t="s">
        <v>58</v>
      </c>
      <c r="D164" s="2" t="n">
        <v>18</v>
      </c>
      <c r="E164" s="5" t="s">
        <v>164</v>
      </c>
      <c r="F164" s="5" t="s">
        <v>168</v>
      </c>
      <c r="G164" s="2" t="n">
        <v>1</v>
      </c>
      <c r="H164" s="7" t="n">
        <v>-0.8130413367</v>
      </c>
      <c r="I164" s="7" t="n">
        <v>0.5821477768</v>
      </c>
      <c r="J164" s="7" t="n">
        <v>-0.008231086775</v>
      </c>
      <c r="K164" s="7" t="n">
        <v>-0.5821404621</v>
      </c>
      <c r="L164" s="7" t="n">
        <v>-0.8130806821</v>
      </c>
      <c r="M164" s="7" t="n">
        <v>-0.003505239037</v>
      </c>
      <c r="N164" s="7" t="n">
        <v>-0.008733104762</v>
      </c>
      <c r="O164" s="7" t="n">
        <v>0.001941744427</v>
      </c>
      <c r="P164" s="7" t="n">
        <v>0.9999599805</v>
      </c>
      <c r="Q164" s="7" t="n">
        <v>16.623658</v>
      </c>
      <c r="R164" s="7" t="n">
        <v>12.62021159</v>
      </c>
      <c r="S164" s="7" t="n">
        <v>1.542627292</v>
      </c>
    </row>
    <row r="165" customFormat="false" ht="15" hidden="false" customHeight="false" outlineLevel="0" collapsed="false">
      <c r="A165" s="5" t="s">
        <v>4</v>
      </c>
      <c r="B165" s="5" t="s">
        <v>57</v>
      </c>
      <c r="C165" s="5" t="s">
        <v>62</v>
      </c>
      <c r="D165" s="2" t="n">
        <v>18</v>
      </c>
      <c r="E165" s="5" t="s">
        <v>164</v>
      </c>
      <c r="F165" s="5" t="s">
        <v>168</v>
      </c>
      <c r="G165" s="2" t="n">
        <v>1</v>
      </c>
      <c r="H165" s="7" t="n">
        <v>-0.8130413367</v>
      </c>
      <c r="I165" s="7" t="n">
        <v>0.5821477768</v>
      </c>
      <c r="J165" s="7" t="n">
        <v>-0.008231086775</v>
      </c>
      <c r="K165" s="7" t="n">
        <v>-0.5821404621</v>
      </c>
      <c r="L165" s="7" t="n">
        <v>-0.8130806821</v>
      </c>
      <c r="M165" s="7" t="n">
        <v>-0.003505239037</v>
      </c>
      <c r="N165" s="7" t="n">
        <v>-0.008733104762</v>
      </c>
      <c r="O165" s="7" t="n">
        <v>0.001941744427</v>
      </c>
      <c r="P165" s="7" t="n">
        <v>0.9999599805</v>
      </c>
      <c r="Q165" s="7" t="n">
        <v>16.623658</v>
      </c>
      <c r="R165" s="7" t="n">
        <v>12.62021159</v>
      </c>
      <c r="S165" s="7" t="n">
        <v>1.542627292</v>
      </c>
    </row>
    <row r="166" customFormat="false" ht="15" hidden="false" customHeight="false" outlineLevel="0" collapsed="false">
      <c r="A166" s="5" t="s">
        <v>4</v>
      </c>
      <c r="B166" s="5" t="s">
        <v>57</v>
      </c>
      <c r="C166" s="5" t="s">
        <v>58</v>
      </c>
      <c r="D166" s="2" t="n">
        <v>19</v>
      </c>
      <c r="E166" s="5" t="s">
        <v>164</v>
      </c>
      <c r="F166" s="5" t="s">
        <v>165</v>
      </c>
      <c r="G166" s="2" t="n">
        <v>1</v>
      </c>
      <c r="H166" s="7" t="n">
        <v>-0.9187285226</v>
      </c>
      <c r="I166" s="7" t="n">
        <v>0.39409458</v>
      </c>
      <c r="J166" s="7" t="n">
        <v>-0.02504723115</v>
      </c>
      <c r="K166" s="7" t="n">
        <v>-0.3945180599</v>
      </c>
      <c r="L166" s="7" t="n">
        <v>-0.9187668989</v>
      </c>
      <c r="M166" s="7" t="n">
        <v>0.01492936352</v>
      </c>
      <c r="N166" s="7" t="n">
        <v>-0.01712898565</v>
      </c>
      <c r="O166" s="7" t="n">
        <v>0.02359761713</v>
      </c>
      <c r="P166" s="7" t="n">
        <v>0.9995747848</v>
      </c>
      <c r="Q166" s="7" t="n">
        <v>-1.489089223</v>
      </c>
      <c r="R166" s="7" t="n">
        <v>-3.741208925</v>
      </c>
      <c r="S166" s="7" t="n">
        <v>0.03358048308</v>
      </c>
    </row>
    <row r="167" customFormat="false" ht="15" hidden="false" customHeight="false" outlineLevel="0" collapsed="false">
      <c r="A167" s="5" t="s">
        <v>4</v>
      </c>
      <c r="B167" s="5" t="s">
        <v>57</v>
      </c>
      <c r="C167" s="5" t="s">
        <v>62</v>
      </c>
      <c r="D167" s="2" t="n">
        <v>19</v>
      </c>
      <c r="E167" s="5" t="s">
        <v>164</v>
      </c>
      <c r="F167" s="5" t="s">
        <v>165</v>
      </c>
      <c r="G167" s="2" t="n">
        <v>1</v>
      </c>
      <c r="H167" s="7" t="n">
        <v>-0.919341318</v>
      </c>
      <c r="I167" s="7" t="n">
        <v>0.3934606988</v>
      </c>
      <c r="J167" s="7" t="n">
        <v>0.0004685035997</v>
      </c>
      <c r="K167" s="7" t="n">
        <v>-0.3934474029</v>
      </c>
      <c r="L167" s="7" t="n">
        <v>-0.9193188389</v>
      </c>
      <c r="M167" s="7" t="n">
        <v>0.007212042214</v>
      </c>
      <c r="N167" s="7" t="n">
        <v>0.003268359355</v>
      </c>
      <c r="O167" s="7" t="n">
        <v>0.00644599687</v>
      </c>
      <c r="P167" s="7" t="n">
        <v>0.9999738831</v>
      </c>
      <c r="Q167" s="7" t="n">
        <v>-1.436739932</v>
      </c>
      <c r="R167" s="7" t="n">
        <v>-3.758557776</v>
      </c>
      <c r="S167" s="7" t="n">
        <v>0.09180530793</v>
      </c>
    </row>
    <row r="168" customFormat="false" ht="15" hidden="false" customHeight="false" outlineLevel="0" collapsed="false">
      <c r="A168" s="5" t="s">
        <v>4</v>
      </c>
      <c r="B168" s="5" t="s">
        <v>57</v>
      </c>
      <c r="C168" s="5" t="s">
        <v>58</v>
      </c>
      <c r="D168" s="2" t="n">
        <v>19</v>
      </c>
      <c r="E168" s="5" t="s">
        <v>164</v>
      </c>
      <c r="F168" s="5" t="s">
        <v>166</v>
      </c>
      <c r="G168" s="2" t="n">
        <v>1</v>
      </c>
      <c r="H168" s="7" t="n">
        <v>-0.9484601868</v>
      </c>
      <c r="I168" s="7" t="n">
        <v>0.3168706528</v>
      </c>
      <c r="J168" s="7" t="n">
        <v>-0.004032805332</v>
      </c>
      <c r="K168" s="7" t="n">
        <v>-0.3168618526</v>
      </c>
      <c r="L168" s="7" t="n">
        <v>-0.9484679213</v>
      </c>
      <c r="M168" s="7" t="n">
        <v>-0.002677413011</v>
      </c>
      <c r="N168" s="7" t="n">
        <v>-0.004673380099</v>
      </c>
      <c r="O168" s="7" t="n">
        <v>-0.001261577476</v>
      </c>
      <c r="P168" s="7" t="n">
        <v>0.9999882839</v>
      </c>
      <c r="Q168" s="7" t="n">
        <v>12.62396114</v>
      </c>
      <c r="R168" s="7" t="n">
        <v>2.158032951</v>
      </c>
      <c r="S168" s="7" t="n">
        <v>0.8338269251</v>
      </c>
    </row>
    <row r="169" customFormat="false" ht="15" hidden="false" customHeight="false" outlineLevel="0" collapsed="false">
      <c r="A169" s="5" t="s">
        <v>4</v>
      </c>
      <c r="B169" s="5" t="s">
        <v>57</v>
      </c>
      <c r="C169" s="5" t="s">
        <v>62</v>
      </c>
      <c r="D169" s="2" t="n">
        <v>19</v>
      </c>
      <c r="E169" s="5" t="s">
        <v>164</v>
      </c>
      <c r="F169" s="5" t="s">
        <v>166</v>
      </c>
      <c r="G169" s="2" t="n">
        <v>1</v>
      </c>
      <c r="H169" s="7" t="n">
        <v>-0.9484601868</v>
      </c>
      <c r="I169" s="7" t="n">
        <v>0.3168706528</v>
      </c>
      <c r="J169" s="7" t="n">
        <v>-0.004032805332</v>
      </c>
      <c r="K169" s="7" t="n">
        <v>-0.3168618526</v>
      </c>
      <c r="L169" s="7" t="n">
        <v>-0.9484679213</v>
      </c>
      <c r="M169" s="7" t="n">
        <v>-0.002677413011</v>
      </c>
      <c r="N169" s="7" t="n">
        <v>-0.004673380099</v>
      </c>
      <c r="O169" s="7" t="n">
        <v>-0.001261577476</v>
      </c>
      <c r="P169" s="7" t="n">
        <v>0.9999882839</v>
      </c>
      <c r="Q169" s="7" t="n">
        <v>12.62396114</v>
      </c>
      <c r="R169" s="7" t="n">
        <v>2.158032951</v>
      </c>
      <c r="S169" s="7" t="n">
        <v>0.8338269251</v>
      </c>
    </row>
    <row r="170" customFormat="false" ht="15" hidden="false" customHeight="false" outlineLevel="0" collapsed="false">
      <c r="A170" s="5" t="s">
        <v>4</v>
      </c>
      <c r="B170" s="5" t="s">
        <v>57</v>
      </c>
      <c r="C170" s="5" t="s">
        <v>58</v>
      </c>
      <c r="D170" s="2" t="n">
        <v>19</v>
      </c>
      <c r="E170" s="5" t="s">
        <v>164</v>
      </c>
      <c r="F170" s="5" t="s">
        <v>167</v>
      </c>
      <c r="G170" s="2" t="n">
        <v>1</v>
      </c>
      <c r="H170" s="7" t="n">
        <v>0.5191064281</v>
      </c>
      <c r="I170" s="7" t="n">
        <v>0.8545767907</v>
      </c>
      <c r="J170" s="7" t="n">
        <v>0.01506735291</v>
      </c>
      <c r="K170" s="7" t="n">
        <v>-0.8546018697</v>
      </c>
      <c r="L170" s="7" t="n">
        <v>0.5192402326</v>
      </c>
      <c r="M170" s="7" t="n">
        <v>-0.006724971842</v>
      </c>
      <c r="N170" s="7" t="n">
        <v>-0.01357058068</v>
      </c>
      <c r="O170" s="7" t="n">
        <v>-0.009385611852</v>
      </c>
      <c r="P170" s="7" t="n">
        <v>0.9998638655</v>
      </c>
      <c r="Q170" s="7" t="n">
        <v>-10.04299614</v>
      </c>
      <c r="R170" s="7" t="n">
        <v>11.41481391</v>
      </c>
      <c r="S170" s="7" t="n">
        <v>0.5390872571</v>
      </c>
    </row>
    <row r="171" customFormat="false" ht="15" hidden="false" customHeight="false" outlineLevel="0" collapsed="false">
      <c r="A171" s="5" t="s">
        <v>4</v>
      </c>
      <c r="B171" s="5" t="s">
        <v>57</v>
      </c>
      <c r="C171" s="5" t="s">
        <v>62</v>
      </c>
      <c r="D171" s="2" t="n">
        <v>19</v>
      </c>
      <c r="E171" s="5" t="s">
        <v>164</v>
      </c>
      <c r="F171" s="5" t="s">
        <v>167</v>
      </c>
      <c r="G171" s="2" t="n">
        <v>1</v>
      </c>
      <c r="H171" s="7" t="n">
        <v>0.5191064281</v>
      </c>
      <c r="I171" s="7" t="n">
        <v>0.8545767907</v>
      </c>
      <c r="J171" s="7" t="n">
        <v>0.01506735291</v>
      </c>
      <c r="K171" s="7" t="n">
        <v>-0.8546018697</v>
      </c>
      <c r="L171" s="7" t="n">
        <v>0.5192402326</v>
      </c>
      <c r="M171" s="7" t="n">
        <v>-0.006724971842</v>
      </c>
      <c r="N171" s="7" t="n">
        <v>-0.01357058068</v>
      </c>
      <c r="O171" s="7" t="n">
        <v>-0.009385611852</v>
      </c>
      <c r="P171" s="7" t="n">
        <v>0.9998638655</v>
      </c>
      <c r="Q171" s="7" t="n">
        <v>-10.04299614</v>
      </c>
      <c r="R171" s="7" t="n">
        <v>11.41481391</v>
      </c>
      <c r="S171" s="7" t="n">
        <v>0.5390872571</v>
      </c>
    </row>
    <row r="172" customFormat="false" ht="15" hidden="false" customHeight="false" outlineLevel="0" collapsed="false">
      <c r="A172" s="5" t="s">
        <v>4</v>
      </c>
      <c r="B172" s="5" t="s">
        <v>57</v>
      </c>
      <c r="C172" s="5" t="s">
        <v>58</v>
      </c>
      <c r="D172" s="2" t="n">
        <v>19</v>
      </c>
      <c r="E172" s="5" t="s">
        <v>164</v>
      </c>
      <c r="F172" s="5" t="s">
        <v>168</v>
      </c>
      <c r="G172" s="2" t="n">
        <v>1</v>
      </c>
      <c r="H172" s="7" t="n">
        <v>-0.8123067117</v>
      </c>
      <c r="I172" s="7" t="n">
        <v>0.5811546849</v>
      </c>
      <c r="J172" s="7" t="n">
        <v>-0.04916338386</v>
      </c>
      <c r="K172" s="7" t="n">
        <v>-0.5825087202</v>
      </c>
      <c r="L172" s="7" t="n">
        <v>-0.8126062947</v>
      </c>
      <c r="M172" s="7" t="n">
        <v>0.0188308424</v>
      </c>
      <c r="N172" s="7" t="n">
        <v>-0.02900684291</v>
      </c>
      <c r="O172" s="7" t="n">
        <v>0.04393451949</v>
      </c>
      <c r="P172" s="7" t="n">
        <v>0.9986132189</v>
      </c>
      <c r="Q172" s="7" t="n">
        <v>16.56411797</v>
      </c>
      <c r="R172" s="7" t="n">
        <v>12.64827843</v>
      </c>
      <c r="S172" s="7" t="n">
        <v>1.258650799</v>
      </c>
    </row>
    <row r="173" customFormat="false" ht="15" hidden="false" customHeight="false" outlineLevel="0" collapsed="false">
      <c r="A173" s="5" t="s">
        <v>4</v>
      </c>
      <c r="B173" s="5" t="s">
        <v>57</v>
      </c>
      <c r="C173" s="5" t="s">
        <v>62</v>
      </c>
      <c r="D173" s="2" t="n">
        <v>19</v>
      </c>
      <c r="E173" s="5" t="s">
        <v>164</v>
      </c>
      <c r="F173" s="5" t="s">
        <v>168</v>
      </c>
      <c r="G173" s="2" t="n">
        <v>1</v>
      </c>
      <c r="H173" s="7" t="n">
        <v>-0.8133865541</v>
      </c>
      <c r="I173" s="7" t="n">
        <v>0.5814775723</v>
      </c>
      <c r="J173" s="7" t="n">
        <v>-0.0169158685</v>
      </c>
      <c r="K173" s="7" t="n">
        <v>-0.5815958691</v>
      </c>
      <c r="L173" s="7" t="n">
        <v>-0.8134733769</v>
      </c>
      <c r="M173" s="7" t="n">
        <v>0.002703704856</v>
      </c>
      <c r="N173" s="7" t="n">
        <v>-0.01218846493</v>
      </c>
      <c r="O173" s="7" t="n">
        <v>0.01203735642</v>
      </c>
      <c r="P173" s="7" t="n">
        <v>0.9998532609</v>
      </c>
      <c r="Q173" s="7" t="n">
        <v>16.6270184</v>
      </c>
      <c r="R173" s="7" t="n">
        <v>12.62709933</v>
      </c>
      <c r="S173" s="7" t="n">
        <v>1.464856903</v>
      </c>
    </row>
    <row r="174" customFormat="false" ht="15" hidden="false" customHeight="false" outlineLevel="0" collapsed="false">
      <c r="A174" s="5" t="s">
        <v>4</v>
      </c>
      <c r="B174" s="5" t="s">
        <v>57</v>
      </c>
      <c r="C174" s="5" t="s">
        <v>58</v>
      </c>
      <c r="D174" s="2" t="n">
        <v>20</v>
      </c>
      <c r="E174" s="5" t="s">
        <v>164</v>
      </c>
      <c r="F174" s="5" t="s">
        <v>165</v>
      </c>
      <c r="G174" s="2" t="n">
        <v>1</v>
      </c>
      <c r="H174" s="7" t="n">
        <v>-0.9174748753</v>
      </c>
      <c r="I174" s="7" t="n">
        <v>0.3952161188</v>
      </c>
      <c r="J174" s="7" t="n">
        <v>-0.04521142103</v>
      </c>
      <c r="K174" s="7" t="n">
        <v>-0.3962985426</v>
      </c>
      <c r="L174" s="7" t="n">
        <v>-0.9179486778</v>
      </c>
      <c r="M174" s="7" t="n">
        <v>0.01782386408</v>
      </c>
      <c r="N174" s="7" t="n">
        <v>-0.03445748578</v>
      </c>
      <c r="O174" s="7" t="n">
        <v>0.03427016774</v>
      </c>
      <c r="P174" s="7" t="n">
        <v>0.9988184206</v>
      </c>
      <c r="Q174" s="7" t="n">
        <v>-1.556878329</v>
      </c>
      <c r="R174" s="7" t="n">
        <v>-3.72190223</v>
      </c>
      <c r="S174" s="7" t="n">
        <v>0.2658130764</v>
      </c>
    </row>
    <row r="175" customFormat="false" ht="15" hidden="false" customHeight="false" outlineLevel="0" collapsed="false">
      <c r="A175" s="5" t="s">
        <v>4</v>
      </c>
      <c r="B175" s="5" t="s">
        <v>57</v>
      </c>
      <c r="C175" s="5" t="s">
        <v>62</v>
      </c>
      <c r="D175" s="2" t="n">
        <v>20</v>
      </c>
      <c r="E175" s="5" t="s">
        <v>164</v>
      </c>
      <c r="F175" s="5" t="s">
        <v>165</v>
      </c>
      <c r="G175" s="2" t="n">
        <v>1</v>
      </c>
      <c r="H175" s="7" t="n">
        <v>-0.9192966063</v>
      </c>
      <c r="I175" s="7" t="n">
        <v>0.3935497902</v>
      </c>
      <c r="J175" s="7" t="n">
        <v>-0.003508874387</v>
      </c>
      <c r="K175" s="7" t="n">
        <v>-0.3935609544</v>
      </c>
      <c r="L175" s="7" t="n">
        <v>-0.91929214</v>
      </c>
      <c r="M175" s="7" t="n">
        <v>0.003425869136</v>
      </c>
      <c r="N175" s="7" t="n">
        <v>-0.001877430564</v>
      </c>
      <c r="O175" s="7" t="n">
        <v>0.004530345823</v>
      </c>
      <c r="P175" s="7" t="n">
        <v>0.9999879755</v>
      </c>
      <c r="Q175" s="7" t="n">
        <v>-1.458855156</v>
      </c>
      <c r="R175" s="7" t="n">
        <v>-3.775056926</v>
      </c>
      <c r="S175" s="7" t="n">
        <v>0.1430723331</v>
      </c>
    </row>
    <row r="176" customFormat="false" ht="15" hidden="false" customHeight="false" outlineLevel="0" collapsed="false">
      <c r="A176" s="5" t="s">
        <v>4</v>
      </c>
      <c r="B176" s="5" t="s">
        <v>57</v>
      </c>
      <c r="C176" s="5" t="s">
        <v>58</v>
      </c>
      <c r="D176" s="2" t="n">
        <v>20</v>
      </c>
      <c r="E176" s="5" t="s">
        <v>164</v>
      </c>
      <c r="F176" s="5" t="s">
        <v>166</v>
      </c>
      <c r="G176" s="2" t="n">
        <v>1</v>
      </c>
      <c r="H176" s="7" t="n">
        <v>-0.9490730105</v>
      </c>
      <c r="I176" s="7" t="n">
        <v>0.3149150938</v>
      </c>
      <c r="J176" s="7" t="n">
        <v>-0.009428917038</v>
      </c>
      <c r="K176" s="7" t="n">
        <v>-0.3147989685</v>
      </c>
      <c r="L176" s="7" t="n">
        <v>-0.9490824568</v>
      </c>
      <c r="M176" s="7" t="n">
        <v>-0.01200415306</v>
      </c>
      <c r="N176" s="7" t="n">
        <v>-0.01272910873</v>
      </c>
      <c r="O176" s="7" t="n">
        <v>-0.008424604325</v>
      </c>
      <c r="P176" s="7" t="n">
        <v>0.9998834911</v>
      </c>
      <c r="Q176" s="7" t="n">
        <v>12.59440815</v>
      </c>
      <c r="R176" s="7" t="n">
        <v>2.160638078</v>
      </c>
      <c r="S176" s="7" t="n">
        <v>0.8472574393</v>
      </c>
    </row>
    <row r="177" customFormat="false" ht="15" hidden="false" customHeight="false" outlineLevel="0" collapsed="false">
      <c r="A177" s="5" t="s">
        <v>4</v>
      </c>
      <c r="B177" s="5" t="s">
        <v>57</v>
      </c>
      <c r="C177" s="5" t="s">
        <v>62</v>
      </c>
      <c r="D177" s="2" t="n">
        <v>20</v>
      </c>
      <c r="E177" s="5" t="s">
        <v>164</v>
      </c>
      <c r="F177" s="5" t="s">
        <v>166</v>
      </c>
      <c r="G177" s="2" t="n">
        <v>1</v>
      </c>
      <c r="H177" s="7" t="n">
        <v>-0.9490730105</v>
      </c>
      <c r="I177" s="7" t="n">
        <v>0.3149150938</v>
      </c>
      <c r="J177" s="7" t="n">
        <v>-0.009428917038</v>
      </c>
      <c r="K177" s="7" t="n">
        <v>-0.3147989685</v>
      </c>
      <c r="L177" s="7" t="n">
        <v>-0.9490824568</v>
      </c>
      <c r="M177" s="7" t="n">
        <v>-0.01200415306</v>
      </c>
      <c r="N177" s="7" t="n">
        <v>-0.01272910873</v>
      </c>
      <c r="O177" s="7" t="n">
        <v>-0.008424604325</v>
      </c>
      <c r="P177" s="7" t="n">
        <v>0.9998834911</v>
      </c>
      <c r="Q177" s="7" t="n">
        <v>12.59440815</v>
      </c>
      <c r="R177" s="7" t="n">
        <v>2.160638078</v>
      </c>
      <c r="S177" s="7" t="n">
        <v>0.8472574393</v>
      </c>
    </row>
    <row r="178" customFormat="false" ht="15" hidden="false" customHeight="false" outlineLevel="0" collapsed="false">
      <c r="A178" s="5" t="s">
        <v>4</v>
      </c>
      <c r="B178" s="5" t="s">
        <v>57</v>
      </c>
      <c r="C178" s="5" t="s">
        <v>58</v>
      </c>
      <c r="D178" s="2" t="n">
        <v>20</v>
      </c>
      <c r="E178" s="5" t="s">
        <v>164</v>
      </c>
      <c r="F178" s="5" t="s">
        <v>167</v>
      </c>
      <c r="G178" s="2" t="n">
        <v>1</v>
      </c>
      <c r="H178" s="7" t="n">
        <v>0.5116914453</v>
      </c>
      <c r="I178" s="7" t="n">
        <v>0.8591684569</v>
      </c>
      <c r="J178" s="7" t="n">
        <v>0.001194725255</v>
      </c>
      <c r="K178" s="7" t="n">
        <v>-0.8591670488</v>
      </c>
      <c r="L178" s="7" t="n">
        <v>0.5116927917</v>
      </c>
      <c r="M178" s="7" t="n">
        <v>-0.001571334775</v>
      </c>
      <c r="N178" s="7" t="n">
        <v>-0.001961373575</v>
      </c>
      <c r="O178" s="7" t="n">
        <v>-0.0002224300098</v>
      </c>
      <c r="P178" s="7" t="n">
        <v>0.9999980518</v>
      </c>
      <c r="Q178" s="7" t="n">
        <v>-10.03173738</v>
      </c>
      <c r="R178" s="7" t="n">
        <v>11.51506711</v>
      </c>
      <c r="S178" s="7" t="n">
        <v>0.4260065642</v>
      </c>
    </row>
    <row r="179" customFormat="false" ht="15" hidden="false" customHeight="false" outlineLevel="0" collapsed="false">
      <c r="A179" s="5" t="s">
        <v>4</v>
      </c>
      <c r="B179" s="5" t="s">
        <v>57</v>
      </c>
      <c r="C179" s="5" t="s">
        <v>62</v>
      </c>
      <c r="D179" s="2" t="n">
        <v>20</v>
      </c>
      <c r="E179" s="5" t="s">
        <v>164</v>
      </c>
      <c r="F179" s="5" t="s">
        <v>167</v>
      </c>
      <c r="G179" s="2" t="n">
        <v>1</v>
      </c>
      <c r="H179" s="7" t="n">
        <v>0.5116914453</v>
      </c>
      <c r="I179" s="7" t="n">
        <v>0.8591684569</v>
      </c>
      <c r="J179" s="7" t="n">
        <v>0.001194725255</v>
      </c>
      <c r="K179" s="7" t="n">
        <v>-0.8591670488</v>
      </c>
      <c r="L179" s="7" t="n">
        <v>0.5116927917</v>
      </c>
      <c r="M179" s="7" t="n">
        <v>-0.001571334775</v>
      </c>
      <c r="N179" s="7" t="n">
        <v>-0.001961373575</v>
      </c>
      <c r="O179" s="7" t="n">
        <v>-0.0002224300098</v>
      </c>
      <c r="P179" s="7" t="n">
        <v>0.9999980518</v>
      </c>
      <c r="Q179" s="7" t="n">
        <v>-10.03173738</v>
      </c>
      <c r="R179" s="7" t="n">
        <v>11.51506711</v>
      </c>
      <c r="S179" s="7" t="n">
        <v>0.4260065642</v>
      </c>
    </row>
    <row r="180" customFormat="false" ht="15" hidden="false" customHeight="false" outlineLevel="0" collapsed="false">
      <c r="A180" s="5" t="s">
        <v>4</v>
      </c>
      <c r="B180" s="5" t="s">
        <v>57</v>
      </c>
      <c r="C180" s="5" t="s">
        <v>58</v>
      </c>
      <c r="D180" s="2" t="n">
        <v>20</v>
      </c>
      <c r="E180" s="5" t="s">
        <v>164</v>
      </c>
      <c r="F180" s="5" t="s">
        <v>168</v>
      </c>
      <c r="G180" s="2" t="n">
        <v>1</v>
      </c>
      <c r="H180" s="7" t="n">
        <v>-0.8126729227</v>
      </c>
      <c r="I180" s="7" t="n">
        <v>0.5805460714</v>
      </c>
      <c r="J180" s="7" t="n">
        <v>-0.05028896219</v>
      </c>
      <c r="K180" s="7" t="n">
        <v>-0.5819067003</v>
      </c>
      <c r="L180" s="7" t="n">
        <v>-0.813069078</v>
      </c>
      <c r="M180" s="7" t="n">
        <v>0.01741455285</v>
      </c>
      <c r="N180" s="7" t="n">
        <v>-0.03077844988</v>
      </c>
      <c r="O180" s="7" t="n">
        <v>0.0434158196</v>
      </c>
      <c r="P180" s="7" t="n">
        <v>0.9985828727</v>
      </c>
      <c r="Q180" s="7" t="n">
        <v>16.50202291</v>
      </c>
      <c r="R180" s="7" t="n">
        <v>12.6425598</v>
      </c>
      <c r="S180" s="7" t="n">
        <v>1.315522324</v>
      </c>
    </row>
    <row r="181" customFormat="false" ht="15" hidden="false" customHeight="false" outlineLevel="0" collapsed="false">
      <c r="A181" s="5" t="s">
        <v>4</v>
      </c>
      <c r="B181" s="5" t="s">
        <v>57</v>
      </c>
      <c r="C181" s="5" t="s">
        <v>62</v>
      </c>
      <c r="D181" s="2" t="n">
        <v>20</v>
      </c>
      <c r="E181" s="5" t="s">
        <v>164</v>
      </c>
      <c r="F181" s="5" t="s">
        <v>168</v>
      </c>
      <c r="G181" s="2" t="n">
        <v>1</v>
      </c>
      <c r="H181" s="7" t="n">
        <v>-0.8185752046</v>
      </c>
      <c r="I181" s="7" t="n">
        <v>0.5642899715</v>
      </c>
      <c r="J181" s="7" t="n">
        <v>-0.1072914837</v>
      </c>
      <c r="K181" s="7" t="n">
        <v>-0.5738726936</v>
      </c>
      <c r="L181" s="7" t="n">
        <v>-0.8114280452</v>
      </c>
      <c r="M181" s="7" t="n">
        <v>0.1107007631</v>
      </c>
      <c r="N181" s="7" t="n">
        <v>-0.02459198838</v>
      </c>
      <c r="O181" s="7" t="n">
        <v>0.1521885526</v>
      </c>
      <c r="P181" s="7" t="n">
        <v>0.9880454841</v>
      </c>
      <c r="Q181" s="7" t="n">
        <v>16.26186698</v>
      </c>
      <c r="R181" s="7" t="n">
        <v>12.84343471</v>
      </c>
      <c r="S181" s="7" t="n">
        <v>2.022523647</v>
      </c>
    </row>
    <row r="182" customFormat="false" ht="15" hidden="false" customHeight="false" outlineLevel="0" collapsed="false">
      <c r="A182" s="5" t="s">
        <v>4</v>
      </c>
      <c r="B182" s="5" t="s">
        <v>57</v>
      </c>
      <c r="C182" s="5" t="s">
        <v>58</v>
      </c>
      <c r="D182" s="2" t="n">
        <v>11</v>
      </c>
      <c r="E182" s="5" t="s">
        <v>165</v>
      </c>
      <c r="F182" s="5" t="s">
        <v>166</v>
      </c>
      <c r="G182" s="2" t="n">
        <v>1</v>
      </c>
      <c r="H182" s="7" t="n">
        <v>0.9967076811</v>
      </c>
      <c r="I182" s="7" t="n">
        <v>0.08047178437</v>
      </c>
      <c r="J182" s="7" t="n">
        <v>-0.009904061677</v>
      </c>
      <c r="K182" s="7" t="n">
        <v>-0.08043760938</v>
      </c>
      <c r="L182" s="7" t="n">
        <v>0.9967523924</v>
      </c>
      <c r="M182" s="7" t="n">
        <v>0.003802528508</v>
      </c>
      <c r="N182" s="7" t="n">
        <v>0.01017789343</v>
      </c>
      <c r="O182" s="7" t="n">
        <v>-0.002993350327</v>
      </c>
      <c r="P182" s="7" t="n">
        <v>0.9999437236</v>
      </c>
      <c r="Q182" s="7" t="n">
        <v>14.36370684</v>
      </c>
      <c r="R182" s="7" t="n">
        <v>5.85670941</v>
      </c>
      <c r="S182" s="7" t="n">
        <v>0.7465290621</v>
      </c>
    </row>
    <row r="183" customFormat="false" ht="15" hidden="false" customHeight="false" outlineLevel="0" collapsed="false">
      <c r="A183" s="5" t="s">
        <v>4</v>
      </c>
      <c r="B183" s="5" t="s">
        <v>57</v>
      </c>
      <c r="C183" s="5" t="s">
        <v>62</v>
      </c>
      <c r="D183" s="2" t="n">
        <v>11</v>
      </c>
      <c r="E183" s="5" t="s">
        <v>165</v>
      </c>
      <c r="F183" s="5" t="s">
        <v>166</v>
      </c>
      <c r="G183" s="2" t="n">
        <v>1</v>
      </c>
      <c r="H183" s="7" t="n">
        <v>0.9967076811</v>
      </c>
      <c r="I183" s="7" t="n">
        <v>0.08047178437</v>
      </c>
      <c r="J183" s="7" t="n">
        <v>-0.009904061677</v>
      </c>
      <c r="K183" s="7" t="n">
        <v>-0.08043760938</v>
      </c>
      <c r="L183" s="7" t="n">
        <v>0.9967523924</v>
      </c>
      <c r="M183" s="7" t="n">
        <v>0.003802528508</v>
      </c>
      <c r="N183" s="7" t="n">
        <v>0.01017789343</v>
      </c>
      <c r="O183" s="7" t="n">
        <v>-0.002993350327</v>
      </c>
      <c r="P183" s="7" t="n">
        <v>0.9999437236</v>
      </c>
      <c r="Q183" s="7" t="n">
        <v>14.36370684</v>
      </c>
      <c r="R183" s="7" t="n">
        <v>5.85670941</v>
      </c>
      <c r="S183" s="7" t="n">
        <v>0.7465290621</v>
      </c>
    </row>
    <row r="184" customFormat="false" ht="15" hidden="false" customHeight="false" outlineLevel="0" collapsed="false">
      <c r="A184" s="5" t="s">
        <v>4</v>
      </c>
      <c r="B184" s="5" t="s">
        <v>57</v>
      </c>
      <c r="C184" s="5" t="s">
        <v>58</v>
      </c>
      <c r="D184" s="2" t="n">
        <v>11</v>
      </c>
      <c r="E184" s="5" t="s">
        <v>165</v>
      </c>
      <c r="F184" s="5" t="s">
        <v>167</v>
      </c>
      <c r="G184" s="2" t="n">
        <v>1</v>
      </c>
      <c r="H184" s="7" t="n">
        <v>-0.1351870047</v>
      </c>
      <c r="I184" s="7" t="n">
        <v>-0.9908181777</v>
      </c>
      <c r="J184" s="7" t="n">
        <v>0.001952559567</v>
      </c>
      <c r="K184" s="7" t="n">
        <v>0.9908131743</v>
      </c>
      <c r="L184" s="7" t="n">
        <v>-0.1351931661</v>
      </c>
      <c r="M184" s="7" t="n">
        <v>-0.003472975458</v>
      </c>
      <c r="N184" s="7" t="n">
        <v>0.003705059925</v>
      </c>
      <c r="O184" s="7" t="n">
        <v>0.001465120593</v>
      </c>
      <c r="P184" s="7" t="n">
        <v>0.9999920629</v>
      </c>
      <c r="Q184" s="7" t="n">
        <v>-13.98060619</v>
      </c>
      <c r="R184" s="7" t="n">
        <v>12.40448582</v>
      </c>
      <c r="S184" s="7" t="n">
        <v>0.3242261874</v>
      </c>
    </row>
    <row r="185" customFormat="false" ht="15" hidden="false" customHeight="false" outlineLevel="0" collapsed="false">
      <c r="A185" s="5" t="s">
        <v>4</v>
      </c>
      <c r="B185" s="5" t="s">
        <v>57</v>
      </c>
      <c r="C185" s="5" t="s">
        <v>62</v>
      </c>
      <c r="D185" s="2" t="n">
        <v>11</v>
      </c>
      <c r="E185" s="5" t="s">
        <v>165</v>
      </c>
      <c r="F185" s="5" t="s">
        <v>167</v>
      </c>
      <c r="G185" s="2" t="n">
        <v>1</v>
      </c>
      <c r="H185" s="7" t="n">
        <v>-0.1351870047</v>
      </c>
      <c r="I185" s="7" t="n">
        <v>-0.9908181777</v>
      </c>
      <c r="J185" s="7" t="n">
        <v>0.001952559567</v>
      </c>
      <c r="K185" s="7" t="n">
        <v>0.9908131743</v>
      </c>
      <c r="L185" s="7" t="n">
        <v>-0.1351931661</v>
      </c>
      <c r="M185" s="7" t="n">
        <v>-0.003472975458</v>
      </c>
      <c r="N185" s="7" t="n">
        <v>0.003705059925</v>
      </c>
      <c r="O185" s="7" t="n">
        <v>0.001465120593</v>
      </c>
      <c r="P185" s="7" t="n">
        <v>0.9999920629</v>
      </c>
      <c r="Q185" s="7" t="n">
        <v>-13.98060619</v>
      </c>
      <c r="R185" s="7" t="n">
        <v>12.40448582</v>
      </c>
      <c r="S185" s="7" t="n">
        <v>0.3242261874</v>
      </c>
    </row>
    <row r="186" customFormat="false" ht="15" hidden="false" customHeight="false" outlineLevel="0" collapsed="false">
      <c r="A186" s="5" t="s">
        <v>4</v>
      </c>
      <c r="B186" s="5" t="s">
        <v>57</v>
      </c>
      <c r="C186" s="5" t="s">
        <v>58</v>
      </c>
      <c r="D186" s="2" t="n">
        <v>11</v>
      </c>
      <c r="E186" s="5" t="s">
        <v>165</v>
      </c>
      <c r="F186" s="5" t="s">
        <v>168</v>
      </c>
      <c r="G186" s="2" t="n">
        <v>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customFormat="false" ht="15" hidden="false" customHeight="false" outlineLevel="0" collapsed="false">
      <c r="A187" s="5" t="s">
        <v>4</v>
      </c>
      <c r="B187" s="5" t="s">
        <v>57</v>
      </c>
      <c r="C187" s="5" t="s">
        <v>62</v>
      </c>
      <c r="D187" s="2" t="n">
        <v>11</v>
      </c>
      <c r="E187" s="5" t="s">
        <v>165</v>
      </c>
      <c r="F187" s="5" t="s">
        <v>168</v>
      </c>
      <c r="G187" s="2" t="n">
        <v>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customFormat="false" ht="15" hidden="false" customHeight="false" outlineLevel="0" collapsed="false">
      <c r="A188" s="5" t="s">
        <v>4</v>
      </c>
      <c r="B188" s="5" t="s">
        <v>57</v>
      </c>
      <c r="C188" s="5" t="s">
        <v>58</v>
      </c>
      <c r="D188" s="2" t="n">
        <v>12</v>
      </c>
      <c r="E188" s="5" t="s">
        <v>165</v>
      </c>
      <c r="F188" s="5" t="s">
        <v>166</v>
      </c>
      <c r="G188" s="2" t="n">
        <v>1</v>
      </c>
      <c r="H188" s="7" t="n">
        <v>0.9966400015</v>
      </c>
      <c r="I188" s="7" t="n">
        <v>0.08150026849</v>
      </c>
      <c r="J188" s="7" t="n">
        <v>-0.008149457521</v>
      </c>
      <c r="K188" s="7" t="n">
        <v>-0.08147653759</v>
      </c>
      <c r="L188" s="7" t="n">
        <v>0.9966701123</v>
      </c>
      <c r="M188" s="7" t="n">
        <v>0.003203304416</v>
      </c>
      <c r="N188" s="7" t="n">
        <v>0.008383390912</v>
      </c>
      <c r="O188" s="7" t="n">
        <v>-0.002528551736</v>
      </c>
      <c r="P188" s="7" t="n">
        <v>0.9999616619</v>
      </c>
      <c r="Q188" s="7" t="n">
        <v>14.37078543</v>
      </c>
      <c r="R188" s="7" t="n">
        <v>5.848123797</v>
      </c>
      <c r="S188" s="7" t="n">
        <v>0.7310446912</v>
      </c>
    </row>
    <row r="189" customFormat="false" ht="15" hidden="false" customHeight="false" outlineLevel="0" collapsed="false">
      <c r="A189" s="5" t="s">
        <v>4</v>
      </c>
      <c r="B189" s="5" t="s">
        <v>57</v>
      </c>
      <c r="C189" s="5" t="s">
        <v>62</v>
      </c>
      <c r="D189" s="2" t="n">
        <v>12</v>
      </c>
      <c r="E189" s="5" t="s">
        <v>165</v>
      </c>
      <c r="F189" s="5" t="s">
        <v>166</v>
      </c>
      <c r="G189" s="2" t="n">
        <v>1</v>
      </c>
      <c r="H189" s="7" t="n">
        <v>0.9966400015</v>
      </c>
      <c r="I189" s="7" t="n">
        <v>0.08150026849</v>
      </c>
      <c r="J189" s="7" t="n">
        <v>-0.008149457521</v>
      </c>
      <c r="K189" s="7" t="n">
        <v>-0.08147653759</v>
      </c>
      <c r="L189" s="7" t="n">
        <v>0.9966701123</v>
      </c>
      <c r="M189" s="7" t="n">
        <v>0.003203304416</v>
      </c>
      <c r="N189" s="7" t="n">
        <v>0.008383390912</v>
      </c>
      <c r="O189" s="7" t="n">
        <v>-0.002528551736</v>
      </c>
      <c r="P189" s="7" t="n">
        <v>0.9999616619</v>
      </c>
      <c r="Q189" s="7" t="n">
        <v>14.37078543</v>
      </c>
      <c r="R189" s="7" t="n">
        <v>5.848123797</v>
      </c>
      <c r="S189" s="7" t="n">
        <v>0.7310446912</v>
      </c>
    </row>
    <row r="190" customFormat="false" ht="15" hidden="false" customHeight="false" outlineLevel="0" collapsed="false">
      <c r="A190" s="5" t="s">
        <v>4</v>
      </c>
      <c r="B190" s="5" t="s">
        <v>57</v>
      </c>
      <c r="C190" s="5" t="s">
        <v>58</v>
      </c>
      <c r="D190" s="2" t="n">
        <v>12</v>
      </c>
      <c r="E190" s="5" t="s">
        <v>165</v>
      </c>
      <c r="F190" s="5" t="s">
        <v>167</v>
      </c>
      <c r="G190" s="2" t="n">
        <v>1</v>
      </c>
      <c r="H190" s="7" t="n">
        <v>-0.135568185</v>
      </c>
      <c r="I190" s="7" t="n">
        <v>-0.9907670176</v>
      </c>
      <c r="J190" s="7" t="n">
        <v>-0.00140857405</v>
      </c>
      <c r="K190" s="7" t="n">
        <v>0.9907585995</v>
      </c>
      <c r="L190" s="7" t="n">
        <v>-0.1355605597</v>
      </c>
      <c r="M190" s="7" t="n">
        <v>-0.004553253344</v>
      </c>
      <c r="N190" s="7" t="n">
        <v>0.004320266149</v>
      </c>
      <c r="O190" s="7" t="n">
        <v>-0.002012833145</v>
      </c>
      <c r="P190" s="7" t="n">
        <v>0.9999886418</v>
      </c>
      <c r="Q190" s="7" t="n">
        <v>-13.99983212</v>
      </c>
      <c r="R190" s="7" t="n">
        <v>12.40399362</v>
      </c>
      <c r="S190" s="7" t="n">
        <v>0.2883772416</v>
      </c>
    </row>
    <row r="191" customFormat="false" ht="15" hidden="false" customHeight="false" outlineLevel="0" collapsed="false">
      <c r="A191" s="5" t="s">
        <v>4</v>
      </c>
      <c r="B191" s="5" t="s">
        <v>57</v>
      </c>
      <c r="C191" s="5" t="s">
        <v>62</v>
      </c>
      <c r="D191" s="2" t="n">
        <v>12</v>
      </c>
      <c r="E191" s="5" t="s">
        <v>165</v>
      </c>
      <c r="F191" s="5" t="s">
        <v>167</v>
      </c>
      <c r="G191" s="2" t="n">
        <v>1</v>
      </c>
      <c r="H191" s="7" t="n">
        <v>-0.135568185</v>
      </c>
      <c r="I191" s="7" t="n">
        <v>-0.9907670176</v>
      </c>
      <c r="J191" s="7" t="n">
        <v>-0.00140857405</v>
      </c>
      <c r="K191" s="7" t="n">
        <v>0.9907585995</v>
      </c>
      <c r="L191" s="7" t="n">
        <v>-0.1355605597</v>
      </c>
      <c r="M191" s="7" t="n">
        <v>-0.004553253344</v>
      </c>
      <c r="N191" s="7" t="n">
        <v>0.004320266149</v>
      </c>
      <c r="O191" s="7" t="n">
        <v>-0.002012833145</v>
      </c>
      <c r="P191" s="7" t="n">
        <v>0.9999886418</v>
      </c>
      <c r="Q191" s="7" t="n">
        <v>-13.99983212</v>
      </c>
      <c r="R191" s="7" t="n">
        <v>12.40399362</v>
      </c>
      <c r="S191" s="7" t="n">
        <v>0.2883772416</v>
      </c>
    </row>
    <row r="192" customFormat="false" ht="15" hidden="false" customHeight="false" outlineLevel="0" collapsed="false">
      <c r="A192" s="5" t="s">
        <v>4</v>
      </c>
      <c r="B192" s="5" t="s">
        <v>57</v>
      </c>
      <c r="C192" s="5" t="s">
        <v>58</v>
      </c>
      <c r="D192" s="2" t="n">
        <v>12</v>
      </c>
      <c r="E192" s="5" t="s">
        <v>165</v>
      </c>
      <c r="F192" s="5" t="s">
        <v>168</v>
      </c>
      <c r="G192" s="2" t="n">
        <v>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customFormat="false" ht="15" hidden="false" customHeight="false" outlineLevel="0" collapsed="false">
      <c r="A193" s="5" t="s">
        <v>4</v>
      </c>
      <c r="B193" s="5" t="s">
        <v>57</v>
      </c>
      <c r="C193" s="5" t="s">
        <v>62</v>
      </c>
      <c r="D193" s="2" t="n">
        <v>12</v>
      </c>
      <c r="E193" s="5" t="s">
        <v>165</v>
      </c>
      <c r="F193" s="5" t="s">
        <v>168</v>
      </c>
      <c r="G193" s="2" t="n">
        <v>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customFormat="false" ht="15" hidden="false" customHeight="false" outlineLevel="0" collapsed="false">
      <c r="A194" s="5" t="s">
        <v>4</v>
      </c>
      <c r="B194" s="5" t="s">
        <v>57</v>
      </c>
      <c r="C194" s="5" t="s">
        <v>58</v>
      </c>
      <c r="D194" s="2" t="n">
        <v>13</v>
      </c>
      <c r="E194" s="5" t="s">
        <v>165</v>
      </c>
      <c r="F194" s="5" t="s">
        <v>166</v>
      </c>
      <c r="G194" s="2" t="n">
        <v>1</v>
      </c>
      <c r="H194" s="7" t="n">
        <v>0.996632019</v>
      </c>
      <c r="I194" s="7" t="n">
        <v>0.08170717878</v>
      </c>
      <c r="J194" s="7" t="n">
        <v>-0.006968183282</v>
      </c>
      <c r="K194" s="7" t="n">
        <v>-0.08170782972</v>
      </c>
      <c r="L194" s="7" t="n">
        <v>0.9966563068</v>
      </c>
      <c r="M194" s="7" t="n">
        <v>0.000191690126</v>
      </c>
      <c r="N194" s="7" t="n">
        <v>0.006960546274</v>
      </c>
      <c r="O194" s="7" t="n">
        <v>0.0003783106157</v>
      </c>
      <c r="P194" s="7" t="n">
        <v>0.9999757035</v>
      </c>
      <c r="Q194" s="7" t="n">
        <v>14.37511532</v>
      </c>
      <c r="R194" s="7" t="n">
        <v>5.839428324</v>
      </c>
      <c r="S194" s="7" t="n">
        <v>0.7514150342</v>
      </c>
    </row>
    <row r="195" customFormat="false" ht="15" hidden="false" customHeight="false" outlineLevel="0" collapsed="false">
      <c r="A195" s="5" t="s">
        <v>4</v>
      </c>
      <c r="B195" s="5" t="s">
        <v>57</v>
      </c>
      <c r="C195" s="5" t="s">
        <v>62</v>
      </c>
      <c r="D195" s="2" t="n">
        <v>13</v>
      </c>
      <c r="E195" s="5" t="s">
        <v>165</v>
      </c>
      <c r="F195" s="5" t="s">
        <v>166</v>
      </c>
      <c r="G195" s="2" t="n">
        <v>1</v>
      </c>
      <c r="H195" s="7" t="n">
        <v>0.996632019</v>
      </c>
      <c r="I195" s="7" t="n">
        <v>0.08170717878</v>
      </c>
      <c r="J195" s="7" t="n">
        <v>-0.006968183282</v>
      </c>
      <c r="K195" s="7" t="n">
        <v>-0.08170782972</v>
      </c>
      <c r="L195" s="7" t="n">
        <v>0.9966563068</v>
      </c>
      <c r="M195" s="7" t="n">
        <v>0.000191690126</v>
      </c>
      <c r="N195" s="7" t="n">
        <v>0.006960546274</v>
      </c>
      <c r="O195" s="7" t="n">
        <v>0.0003783106157</v>
      </c>
      <c r="P195" s="7" t="n">
        <v>0.9999757035</v>
      </c>
      <c r="Q195" s="7" t="n">
        <v>14.37511532</v>
      </c>
      <c r="R195" s="7" t="n">
        <v>5.839428324</v>
      </c>
      <c r="S195" s="7" t="n">
        <v>0.7514150342</v>
      </c>
    </row>
    <row r="196" customFormat="false" ht="15" hidden="false" customHeight="false" outlineLevel="0" collapsed="false">
      <c r="A196" s="5" t="s">
        <v>4</v>
      </c>
      <c r="B196" s="5" t="s">
        <v>57</v>
      </c>
      <c r="C196" s="5" t="s">
        <v>58</v>
      </c>
      <c r="D196" s="2" t="n">
        <v>13</v>
      </c>
      <c r="E196" s="5" t="s">
        <v>165</v>
      </c>
      <c r="F196" s="5" t="s">
        <v>167</v>
      </c>
      <c r="G196" s="2" t="n">
        <v>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customFormat="false" ht="15" hidden="false" customHeight="false" outlineLevel="0" collapsed="false">
      <c r="A197" s="5" t="s">
        <v>4</v>
      </c>
      <c r="B197" s="5" t="s">
        <v>57</v>
      </c>
      <c r="C197" s="5" t="s">
        <v>62</v>
      </c>
      <c r="D197" s="2" t="n">
        <v>13</v>
      </c>
      <c r="E197" s="5" t="s">
        <v>165</v>
      </c>
      <c r="F197" s="5" t="s">
        <v>167</v>
      </c>
      <c r="G197" s="2" t="n">
        <v>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customFormat="false" ht="15" hidden="false" customHeight="false" outlineLevel="0" collapsed="false">
      <c r="A198" s="5" t="s">
        <v>4</v>
      </c>
      <c r="B198" s="5" t="s">
        <v>57</v>
      </c>
      <c r="C198" s="5" t="s">
        <v>58</v>
      </c>
      <c r="D198" s="2" t="n">
        <v>13</v>
      </c>
      <c r="E198" s="5" t="s">
        <v>165</v>
      </c>
      <c r="F198" s="5" t="s">
        <v>168</v>
      </c>
      <c r="G198" s="2" t="n">
        <v>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customFormat="false" ht="15" hidden="false" customHeight="false" outlineLevel="0" collapsed="false">
      <c r="A199" s="5" t="s">
        <v>4</v>
      </c>
      <c r="B199" s="5" t="s">
        <v>57</v>
      </c>
      <c r="C199" s="5" t="s">
        <v>62</v>
      </c>
      <c r="D199" s="2" t="n">
        <v>13</v>
      </c>
      <c r="E199" s="5" t="s">
        <v>165</v>
      </c>
      <c r="F199" s="5" t="s">
        <v>168</v>
      </c>
      <c r="G199" s="2" t="n">
        <v>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customFormat="false" ht="15" hidden="false" customHeight="false" outlineLevel="0" collapsed="false">
      <c r="A200" s="5" t="s">
        <v>4</v>
      </c>
      <c r="B200" s="5" t="s">
        <v>57</v>
      </c>
      <c r="C200" s="5" t="s">
        <v>58</v>
      </c>
      <c r="D200" s="2" t="n">
        <v>14</v>
      </c>
      <c r="E200" s="5" t="s">
        <v>165</v>
      </c>
      <c r="F200" s="5" t="s">
        <v>166</v>
      </c>
      <c r="G200" s="2" t="n">
        <v>1</v>
      </c>
      <c r="H200" s="7" t="n">
        <v>0.9967528359</v>
      </c>
      <c r="I200" s="7" t="n">
        <v>0.08003999217</v>
      </c>
      <c r="J200" s="7" t="n">
        <v>-0.008796810609</v>
      </c>
      <c r="K200" s="7" t="n">
        <v>-0.07999988738</v>
      </c>
      <c r="L200" s="7" t="n">
        <v>0.9967832159</v>
      </c>
      <c r="M200" s="7" t="n">
        <v>0.004820632103</v>
      </c>
      <c r="N200" s="7" t="n">
        <v>0.009154356524</v>
      </c>
      <c r="O200" s="7" t="n">
        <v>-0.004101234861</v>
      </c>
      <c r="P200" s="7" t="n">
        <v>0.9999496875</v>
      </c>
      <c r="Q200" s="7" t="n">
        <v>14.36150033</v>
      </c>
      <c r="R200" s="7" t="n">
        <v>5.850857157</v>
      </c>
      <c r="S200" s="7" t="n">
        <v>0.7098332065</v>
      </c>
    </row>
    <row r="201" customFormat="false" ht="15" hidden="false" customHeight="false" outlineLevel="0" collapsed="false">
      <c r="A201" s="5" t="s">
        <v>4</v>
      </c>
      <c r="B201" s="5" t="s">
        <v>57</v>
      </c>
      <c r="C201" s="5" t="s">
        <v>62</v>
      </c>
      <c r="D201" s="2" t="n">
        <v>14</v>
      </c>
      <c r="E201" s="5" t="s">
        <v>165</v>
      </c>
      <c r="F201" s="5" t="s">
        <v>166</v>
      </c>
      <c r="G201" s="2" t="n">
        <v>1</v>
      </c>
      <c r="H201" s="7" t="n">
        <v>0.9967528359</v>
      </c>
      <c r="I201" s="7" t="n">
        <v>0.08003999217</v>
      </c>
      <c r="J201" s="7" t="n">
        <v>-0.008796810609</v>
      </c>
      <c r="K201" s="7" t="n">
        <v>-0.07999988738</v>
      </c>
      <c r="L201" s="7" t="n">
        <v>0.9967832159</v>
      </c>
      <c r="M201" s="7" t="n">
        <v>0.004820632103</v>
      </c>
      <c r="N201" s="7" t="n">
        <v>0.009154356524</v>
      </c>
      <c r="O201" s="7" t="n">
        <v>-0.004101234861</v>
      </c>
      <c r="P201" s="7" t="n">
        <v>0.9999496875</v>
      </c>
      <c r="Q201" s="7" t="n">
        <v>14.36150033</v>
      </c>
      <c r="R201" s="7" t="n">
        <v>5.850857157</v>
      </c>
      <c r="S201" s="7" t="n">
        <v>0.7098332065</v>
      </c>
    </row>
    <row r="202" customFormat="false" ht="15" hidden="false" customHeight="false" outlineLevel="0" collapsed="false">
      <c r="A202" s="5" t="s">
        <v>4</v>
      </c>
      <c r="B202" s="5" t="s">
        <v>57</v>
      </c>
      <c r="C202" s="5" t="s">
        <v>58</v>
      </c>
      <c r="D202" s="2" t="n">
        <v>14</v>
      </c>
      <c r="E202" s="5" t="s">
        <v>165</v>
      </c>
      <c r="F202" s="5" t="s">
        <v>167</v>
      </c>
      <c r="G202" s="2" t="n">
        <v>1</v>
      </c>
      <c r="H202" s="7" t="n">
        <v>-0.1348631321</v>
      </c>
      <c r="I202" s="7" t="n">
        <v>-0.9908618975</v>
      </c>
      <c r="J202" s="7" t="n">
        <v>-0.002153074732</v>
      </c>
      <c r="K202" s="7" t="n">
        <v>0.9908542673</v>
      </c>
      <c r="L202" s="7" t="n">
        <v>-0.1348517094</v>
      </c>
      <c r="M202" s="7" t="n">
        <v>-0.004778859935</v>
      </c>
      <c r="N202" s="7" t="n">
        <v>0.004444844415</v>
      </c>
      <c r="O202" s="7" t="n">
        <v>-0.002777875305</v>
      </c>
      <c r="P202" s="7" t="n">
        <v>0.9999862633</v>
      </c>
      <c r="Q202" s="7" t="n">
        <v>-13.96194278</v>
      </c>
      <c r="R202" s="7" t="n">
        <v>12.41242672</v>
      </c>
      <c r="S202" s="7" t="n">
        <v>0.2470778799</v>
      </c>
    </row>
    <row r="203" customFormat="false" ht="15" hidden="false" customHeight="false" outlineLevel="0" collapsed="false">
      <c r="A203" s="5" t="s">
        <v>4</v>
      </c>
      <c r="B203" s="5" t="s">
        <v>57</v>
      </c>
      <c r="C203" s="5" t="s">
        <v>62</v>
      </c>
      <c r="D203" s="2" t="n">
        <v>14</v>
      </c>
      <c r="E203" s="5" t="s">
        <v>165</v>
      </c>
      <c r="F203" s="5" t="s">
        <v>167</v>
      </c>
      <c r="G203" s="2" t="n">
        <v>1</v>
      </c>
      <c r="H203" s="7" t="n">
        <v>-0.1348631321</v>
      </c>
      <c r="I203" s="7" t="n">
        <v>-0.9908618975</v>
      </c>
      <c r="J203" s="7" t="n">
        <v>-0.002153074732</v>
      </c>
      <c r="K203" s="7" t="n">
        <v>0.9908542673</v>
      </c>
      <c r="L203" s="7" t="n">
        <v>-0.1348517094</v>
      </c>
      <c r="M203" s="7" t="n">
        <v>-0.004778859935</v>
      </c>
      <c r="N203" s="7" t="n">
        <v>0.004444844415</v>
      </c>
      <c r="O203" s="7" t="n">
        <v>-0.002777875305</v>
      </c>
      <c r="P203" s="7" t="n">
        <v>0.9999862633</v>
      </c>
      <c r="Q203" s="7" t="n">
        <v>-13.96194278</v>
      </c>
      <c r="R203" s="7" t="n">
        <v>12.41242672</v>
      </c>
      <c r="S203" s="7" t="n">
        <v>0.2470778799</v>
      </c>
    </row>
    <row r="204" customFormat="false" ht="15" hidden="false" customHeight="false" outlineLevel="0" collapsed="false">
      <c r="A204" s="5" t="s">
        <v>4</v>
      </c>
      <c r="B204" s="5" t="s">
        <v>57</v>
      </c>
      <c r="C204" s="5" t="s">
        <v>58</v>
      </c>
      <c r="D204" s="2" t="n">
        <v>14</v>
      </c>
      <c r="E204" s="5" t="s">
        <v>165</v>
      </c>
      <c r="F204" s="5" t="s">
        <v>168</v>
      </c>
      <c r="G204" s="2" t="n">
        <v>1</v>
      </c>
      <c r="H204" s="7" t="n">
        <v>0.976658572</v>
      </c>
      <c r="I204" s="7" t="n">
        <v>-0.2146170624</v>
      </c>
      <c r="J204" s="7" t="n">
        <v>0.008806263261</v>
      </c>
      <c r="K204" s="7" t="n">
        <v>0.2145676756</v>
      </c>
      <c r="L204" s="7" t="n">
        <v>0.976689282</v>
      </c>
      <c r="M204" s="7" t="n">
        <v>0.006225676827</v>
      </c>
      <c r="N204" s="7" t="n">
        <v>-0.009937119414</v>
      </c>
      <c r="O204" s="7" t="n">
        <v>-0.004190821202</v>
      </c>
      <c r="P204" s="7" t="n">
        <v>0.9999418436</v>
      </c>
      <c r="Q204" s="7" t="n">
        <v>17.28826692</v>
      </c>
      <c r="R204" s="7" t="n">
        <v>16.64858672</v>
      </c>
      <c r="S204" s="7" t="n">
        <v>1.033701618</v>
      </c>
    </row>
    <row r="205" customFormat="false" ht="15" hidden="false" customHeight="false" outlineLevel="0" collapsed="false">
      <c r="A205" s="5" t="s">
        <v>4</v>
      </c>
      <c r="B205" s="5" t="s">
        <v>57</v>
      </c>
      <c r="C205" s="5" t="s">
        <v>62</v>
      </c>
      <c r="D205" s="2" t="n">
        <v>14</v>
      </c>
      <c r="E205" s="5" t="s">
        <v>165</v>
      </c>
      <c r="F205" s="5" t="s">
        <v>168</v>
      </c>
      <c r="G205" s="2" t="n">
        <v>1</v>
      </c>
      <c r="H205" s="7" t="n">
        <v>0.976658572</v>
      </c>
      <c r="I205" s="7" t="n">
        <v>-0.2146170624</v>
      </c>
      <c r="J205" s="7" t="n">
        <v>0.008806263261</v>
      </c>
      <c r="K205" s="7" t="n">
        <v>0.2145676756</v>
      </c>
      <c r="L205" s="7" t="n">
        <v>0.976689282</v>
      </c>
      <c r="M205" s="7" t="n">
        <v>0.006225676827</v>
      </c>
      <c r="N205" s="7" t="n">
        <v>-0.009937119414</v>
      </c>
      <c r="O205" s="7" t="n">
        <v>-0.004190821202</v>
      </c>
      <c r="P205" s="7" t="n">
        <v>0.9999418436</v>
      </c>
      <c r="Q205" s="7" t="n">
        <v>17.28826692</v>
      </c>
      <c r="R205" s="7" t="n">
        <v>16.64858672</v>
      </c>
      <c r="S205" s="7" t="n">
        <v>1.033701618</v>
      </c>
    </row>
    <row r="206" customFormat="false" ht="15" hidden="false" customHeight="false" outlineLevel="0" collapsed="false">
      <c r="A206" s="5" t="s">
        <v>4</v>
      </c>
      <c r="B206" s="5" t="s">
        <v>57</v>
      </c>
      <c r="C206" s="5" t="s">
        <v>58</v>
      </c>
      <c r="D206" s="2" t="n">
        <v>15</v>
      </c>
      <c r="E206" s="5" t="s">
        <v>165</v>
      </c>
      <c r="F206" s="5" t="s">
        <v>166</v>
      </c>
      <c r="G206" s="2" t="n">
        <v>1</v>
      </c>
      <c r="H206" s="7" t="n">
        <v>0.9966072697</v>
      </c>
      <c r="I206" s="7" t="n">
        <v>0.08195986099</v>
      </c>
      <c r="J206" s="7" t="n">
        <v>-0.007518715706</v>
      </c>
      <c r="K206" s="7" t="n">
        <v>-0.08194362414</v>
      </c>
      <c r="L206" s="7" t="n">
        <v>0.9966339714</v>
      </c>
      <c r="M206" s="7" t="n">
        <v>0.002443266486</v>
      </c>
      <c r="N206" s="7" t="n">
        <v>0.007693657275</v>
      </c>
      <c r="O206" s="7" t="n">
        <v>-0.001818866328</v>
      </c>
      <c r="P206" s="7" t="n">
        <v>0.9999687492</v>
      </c>
      <c r="Q206" s="7" t="n">
        <v>14.36956967</v>
      </c>
      <c r="R206" s="7" t="n">
        <v>5.837691683</v>
      </c>
      <c r="S206" s="7" t="n">
        <v>0.7438155669</v>
      </c>
    </row>
    <row r="207" customFormat="false" ht="15" hidden="false" customHeight="false" outlineLevel="0" collapsed="false">
      <c r="A207" s="5" t="s">
        <v>4</v>
      </c>
      <c r="B207" s="5" t="s">
        <v>57</v>
      </c>
      <c r="C207" s="5" t="s">
        <v>62</v>
      </c>
      <c r="D207" s="2" t="n">
        <v>15</v>
      </c>
      <c r="E207" s="5" t="s">
        <v>165</v>
      </c>
      <c r="F207" s="5" t="s">
        <v>166</v>
      </c>
      <c r="G207" s="2" t="n">
        <v>1</v>
      </c>
      <c r="H207" s="7" t="n">
        <v>0.9966072697</v>
      </c>
      <c r="I207" s="7" t="n">
        <v>0.08195986099</v>
      </c>
      <c r="J207" s="7" t="n">
        <v>-0.007518715706</v>
      </c>
      <c r="K207" s="7" t="n">
        <v>-0.08194362414</v>
      </c>
      <c r="L207" s="7" t="n">
        <v>0.9966339714</v>
      </c>
      <c r="M207" s="7" t="n">
        <v>0.002443266486</v>
      </c>
      <c r="N207" s="7" t="n">
        <v>0.007693657275</v>
      </c>
      <c r="O207" s="7" t="n">
        <v>-0.001818866328</v>
      </c>
      <c r="P207" s="7" t="n">
        <v>0.9999687492</v>
      </c>
      <c r="Q207" s="7" t="n">
        <v>14.36956967</v>
      </c>
      <c r="R207" s="7" t="n">
        <v>5.837691683</v>
      </c>
      <c r="S207" s="7" t="n">
        <v>0.7438155669</v>
      </c>
    </row>
    <row r="208" customFormat="false" ht="15" hidden="false" customHeight="false" outlineLevel="0" collapsed="false">
      <c r="A208" s="5" t="s">
        <v>4</v>
      </c>
      <c r="B208" s="5" t="s">
        <v>57</v>
      </c>
      <c r="C208" s="5" t="s">
        <v>58</v>
      </c>
      <c r="D208" s="2" t="n">
        <v>15</v>
      </c>
      <c r="E208" s="5" t="s">
        <v>165</v>
      </c>
      <c r="F208" s="5" t="s">
        <v>167</v>
      </c>
      <c r="G208" s="2" t="n">
        <v>1</v>
      </c>
      <c r="H208" s="7" t="n">
        <v>-0.1356865305</v>
      </c>
      <c r="I208" s="7" t="n">
        <v>-0.9907447544</v>
      </c>
      <c r="J208" s="7" t="n">
        <v>-0.00374125699</v>
      </c>
      <c r="K208" s="7" t="n">
        <v>0.9907392013</v>
      </c>
      <c r="L208" s="7" t="n">
        <v>-0.1356647779</v>
      </c>
      <c r="M208" s="7" t="n">
        <v>-0.005559045308</v>
      </c>
      <c r="N208" s="7" t="n">
        <v>0.00500003818</v>
      </c>
      <c r="O208" s="7" t="n">
        <v>-0.004460897534</v>
      </c>
      <c r="P208" s="7" t="n">
        <v>0.9999775498</v>
      </c>
      <c r="Q208" s="7" t="n">
        <v>-14.00191779</v>
      </c>
      <c r="R208" s="7" t="n">
        <v>12.4068128</v>
      </c>
      <c r="S208" s="7" t="n">
        <v>0.2572332648</v>
      </c>
    </row>
    <row r="209" customFormat="false" ht="15" hidden="false" customHeight="false" outlineLevel="0" collapsed="false">
      <c r="A209" s="5" t="s">
        <v>4</v>
      </c>
      <c r="B209" s="5" t="s">
        <v>57</v>
      </c>
      <c r="C209" s="5" t="s">
        <v>62</v>
      </c>
      <c r="D209" s="2" t="n">
        <v>15</v>
      </c>
      <c r="E209" s="5" t="s">
        <v>165</v>
      </c>
      <c r="F209" s="5" t="s">
        <v>167</v>
      </c>
      <c r="G209" s="2" t="n">
        <v>1</v>
      </c>
      <c r="H209" s="7" t="n">
        <v>-0.1356865305</v>
      </c>
      <c r="I209" s="7" t="n">
        <v>-0.9907447544</v>
      </c>
      <c r="J209" s="7" t="n">
        <v>-0.00374125699</v>
      </c>
      <c r="K209" s="7" t="n">
        <v>0.9907392013</v>
      </c>
      <c r="L209" s="7" t="n">
        <v>-0.1356647779</v>
      </c>
      <c r="M209" s="7" t="n">
        <v>-0.005559045308</v>
      </c>
      <c r="N209" s="7" t="n">
        <v>0.00500003818</v>
      </c>
      <c r="O209" s="7" t="n">
        <v>-0.004460897534</v>
      </c>
      <c r="P209" s="7" t="n">
        <v>0.9999775498</v>
      </c>
      <c r="Q209" s="7" t="n">
        <v>-14.00191779</v>
      </c>
      <c r="R209" s="7" t="n">
        <v>12.4068128</v>
      </c>
      <c r="S209" s="7" t="n">
        <v>0.2572332648</v>
      </c>
    </row>
    <row r="210" customFormat="false" ht="15" hidden="false" customHeight="false" outlineLevel="0" collapsed="false">
      <c r="A210" s="5" t="s">
        <v>4</v>
      </c>
      <c r="B210" s="5" t="s">
        <v>57</v>
      </c>
      <c r="C210" s="5" t="s">
        <v>58</v>
      </c>
      <c r="D210" s="2" t="n">
        <v>15</v>
      </c>
      <c r="E210" s="5" t="s">
        <v>165</v>
      </c>
      <c r="F210" s="5" t="s">
        <v>168</v>
      </c>
      <c r="G210" s="2" t="n">
        <v>1</v>
      </c>
      <c r="H210" s="7" t="n">
        <v>0.9768260253</v>
      </c>
      <c r="I210" s="7" t="n">
        <v>-0.2140129771</v>
      </c>
      <c r="J210" s="7" t="n">
        <v>-0.003059726188</v>
      </c>
      <c r="K210" s="7" t="n">
        <v>0.2140186226</v>
      </c>
      <c r="L210" s="7" t="n">
        <v>0.9768281847</v>
      </c>
      <c r="M210" s="7" t="n">
        <v>0.001651305427</v>
      </c>
      <c r="N210" s="7" t="n">
        <v>0.002635425987</v>
      </c>
      <c r="O210" s="7" t="n">
        <v>-0.002267876501</v>
      </c>
      <c r="P210" s="7" t="n">
        <v>0.9999939556</v>
      </c>
      <c r="Q210" s="7" t="n">
        <v>17.28003704</v>
      </c>
      <c r="R210" s="7" t="n">
        <v>16.60601418</v>
      </c>
      <c r="S210" s="7" t="n">
        <v>1.39306792</v>
      </c>
    </row>
    <row r="211" customFormat="false" ht="15" hidden="false" customHeight="false" outlineLevel="0" collapsed="false">
      <c r="A211" s="5" t="s">
        <v>4</v>
      </c>
      <c r="B211" s="5" t="s">
        <v>57</v>
      </c>
      <c r="C211" s="5" t="s">
        <v>62</v>
      </c>
      <c r="D211" s="2" t="n">
        <v>15</v>
      </c>
      <c r="E211" s="5" t="s">
        <v>165</v>
      </c>
      <c r="F211" s="5" t="s">
        <v>168</v>
      </c>
      <c r="G211" s="2" t="n">
        <v>1</v>
      </c>
      <c r="H211" s="7" t="n">
        <v>0.9768260253</v>
      </c>
      <c r="I211" s="7" t="n">
        <v>-0.2140129771</v>
      </c>
      <c r="J211" s="7" t="n">
        <v>-0.003059726188</v>
      </c>
      <c r="K211" s="7" t="n">
        <v>0.2140186226</v>
      </c>
      <c r="L211" s="7" t="n">
        <v>0.9768281847</v>
      </c>
      <c r="M211" s="7" t="n">
        <v>0.001651305427</v>
      </c>
      <c r="N211" s="7" t="n">
        <v>0.002635425987</v>
      </c>
      <c r="O211" s="7" t="n">
        <v>-0.002267876501</v>
      </c>
      <c r="P211" s="7" t="n">
        <v>0.9999939556</v>
      </c>
      <c r="Q211" s="7" t="n">
        <v>17.28003704</v>
      </c>
      <c r="R211" s="7" t="n">
        <v>16.60601418</v>
      </c>
      <c r="S211" s="7" t="n">
        <v>1.39306792</v>
      </c>
    </row>
    <row r="212" customFormat="false" ht="15" hidden="false" customHeight="false" outlineLevel="0" collapsed="false">
      <c r="A212" s="5" t="s">
        <v>4</v>
      </c>
      <c r="B212" s="5" t="s">
        <v>57</v>
      </c>
      <c r="C212" s="5" t="s">
        <v>58</v>
      </c>
      <c r="D212" s="2" t="n">
        <v>16</v>
      </c>
      <c r="E212" s="5" t="s">
        <v>165</v>
      </c>
      <c r="F212" s="5" t="s">
        <v>166</v>
      </c>
      <c r="G212" s="2" t="n">
        <v>1</v>
      </c>
      <c r="H212" s="7" t="n">
        <v>0.9965907</v>
      </c>
      <c r="I212" s="7" t="n">
        <v>0.08227201436</v>
      </c>
      <c r="J212" s="7" t="n">
        <v>-0.006188078574</v>
      </c>
      <c r="K212" s="7" t="n">
        <v>-0.08229420492</v>
      </c>
      <c r="L212" s="7" t="n">
        <v>0.9966022086</v>
      </c>
      <c r="M212" s="7" t="n">
        <v>-0.003420782114</v>
      </c>
      <c r="N212" s="7" t="n">
        <v>0.005885618138</v>
      </c>
      <c r="O212" s="7" t="n">
        <v>0.003918362648</v>
      </c>
      <c r="P212" s="7" t="n">
        <v>0.9999750027</v>
      </c>
      <c r="Q212" s="7" t="n">
        <v>14.38514789</v>
      </c>
      <c r="R212" s="7" t="n">
        <v>5.834674247</v>
      </c>
      <c r="S212" s="7" t="n">
        <v>0.7614866977</v>
      </c>
    </row>
    <row r="213" customFormat="false" ht="15" hidden="false" customHeight="false" outlineLevel="0" collapsed="false">
      <c r="A213" s="5" t="s">
        <v>4</v>
      </c>
      <c r="B213" s="5" t="s">
        <v>57</v>
      </c>
      <c r="C213" s="5" t="s">
        <v>62</v>
      </c>
      <c r="D213" s="2" t="n">
        <v>16</v>
      </c>
      <c r="E213" s="5" t="s">
        <v>165</v>
      </c>
      <c r="F213" s="5" t="s">
        <v>166</v>
      </c>
      <c r="G213" s="2" t="n">
        <v>1</v>
      </c>
      <c r="H213" s="7" t="n">
        <v>0.9965907</v>
      </c>
      <c r="I213" s="7" t="n">
        <v>0.08227201436</v>
      </c>
      <c r="J213" s="7" t="n">
        <v>-0.006188078574</v>
      </c>
      <c r="K213" s="7" t="n">
        <v>-0.08229420492</v>
      </c>
      <c r="L213" s="7" t="n">
        <v>0.9966022086</v>
      </c>
      <c r="M213" s="7" t="n">
        <v>-0.003420782114</v>
      </c>
      <c r="N213" s="7" t="n">
        <v>0.005885618138</v>
      </c>
      <c r="O213" s="7" t="n">
        <v>0.003918362648</v>
      </c>
      <c r="P213" s="7" t="n">
        <v>0.9999750027</v>
      </c>
      <c r="Q213" s="7" t="n">
        <v>14.38514789</v>
      </c>
      <c r="R213" s="7" t="n">
        <v>5.834674247</v>
      </c>
      <c r="S213" s="7" t="n">
        <v>0.7614866977</v>
      </c>
    </row>
    <row r="214" customFormat="false" ht="15" hidden="false" customHeight="false" outlineLevel="0" collapsed="false">
      <c r="A214" s="5" t="s">
        <v>4</v>
      </c>
      <c r="B214" s="5" t="s">
        <v>57</v>
      </c>
      <c r="C214" s="5" t="s">
        <v>58</v>
      </c>
      <c r="D214" s="2" t="n">
        <v>16</v>
      </c>
      <c r="E214" s="5" t="s">
        <v>165</v>
      </c>
      <c r="F214" s="5" t="s">
        <v>167</v>
      </c>
      <c r="G214" s="2" t="n">
        <v>1</v>
      </c>
      <c r="H214" s="7" t="n">
        <v>-0.1346638297</v>
      </c>
      <c r="I214" s="7" t="n">
        <v>-0.990879523</v>
      </c>
      <c r="J214" s="7" t="n">
        <v>0.00483982736</v>
      </c>
      <c r="K214" s="7" t="n">
        <v>0.9908647559</v>
      </c>
      <c r="L214" s="7" t="n">
        <v>-0.1346943899</v>
      </c>
      <c r="M214" s="7" t="n">
        <v>-0.006667594638</v>
      </c>
      <c r="N214" s="7" t="n">
        <v>0.007258680587</v>
      </c>
      <c r="O214" s="7" t="n">
        <v>0.003897730527</v>
      </c>
      <c r="P214" s="7" t="n">
        <v>0.9999660591</v>
      </c>
      <c r="Q214" s="7" t="n">
        <v>-13.98555898</v>
      </c>
      <c r="R214" s="7" t="n">
        <v>12.40053813</v>
      </c>
      <c r="S214" s="7" t="n">
        <v>0.3519499531</v>
      </c>
    </row>
    <row r="215" customFormat="false" ht="15" hidden="false" customHeight="false" outlineLevel="0" collapsed="false">
      <c r="A215" s="5" t="s">
        <v>4</v>
      </c>
      <c r="B215" s="5" t="s">
        <v>57</v>
      </c>
      <c r="C215" s="5" t="s">
        <v>62</v>
      </c>
      <c r="D215" s="2" t="n">
        <v>16</v>
      </c>
      <c r="E215" s="5" t="s">
        <v>165</v>
      </c>
      <c r="F215" s="5" t="s">
        <v>167</v>
      </c>
      <c r="G215" s="2" t="n">
        <v>1</v>
      </c>
      <c r="H215" s="7" t="n">
        <v>-0.1346638297</v>
      </c>
      <c r="I215" s="7" t="n">
        <v>-0.990879523</v>
      </c>
      <c r="J215" s="7" t="n">
        <v>0.00483982736</v>
      </c>
      <c r="K215" s="7" t="n">
        <v>0.9908647559</v>
      </c>
      <c r="L215" s="7" t="n">
        <v>-0.1346943899</v>
      </c>
      <c r="M215" s="7" t="n">
        <v>-0.006667594638</v>
      </c>
      <c r="N215" s="7" t="n">
        <v>0.007258680587</v>
      </c>
      <c r="O215" s="7" t="n">
        <v>0.003897730527</v>
      </c>
      <c r="P215" s="7" t="n">
        <v>0.9999660591</v>
      </c>
      <c r="Q215" s="7" t="n">
        <v>-13.98555898</v>
      </c>
      <c r="R215" s="7" t="n">
        <v>12.40053813</v>
      </c>
      <c r="S215" s="7" t="n">
        <v>0.3519499531</v>
      </c>
    </row>
    <row r="216" customFormat="false" ht="15" hidden="false" customHeight="false" outlineLevel="0" collapsed="false">
      <c r="A216" s="5" t="s">
        <v>4</v>
      </c>
      <c r="B216" s="5" t="s">
        <v>57</v>
      </c>
      <c r="C216" s="5" t="s">
        <v>58</v>
      </c>
      <c r="D216" s="2" t="n">
        <v>16</v>
      </c>
      <c r="E216" s="5" t="s">
        <v>165</v>
      </c>
      <c r="F216" s="5" t="s">
        <v>168</v>
      </c>
      <c r="G216" s="2" t="n">
        <v>1</v>
      </c>
      <c r="H216" s="7" t="n">
        <v>0.9765122316</v>
      </c>
      <c r="I216" s="7" t="n">
        <v>-0.2151483168</v>
      </c>
      <c r="J216" s="7" t="n">
        <v>-0.01162167068</v>
      </c>
      <c r="K216" s="7" t="n">
        <v>0.2152136766</v>
      </c>
      <c r="L216" s="7" t="n">
        <v>0.9765557387</v>
      </c>
      <c r="M216" s="7" t="n">
        <v>0.004686436646</v>
      </c>
      <c r="N216" s="7" t="n">
        <v>0.01034093024</v>
      </c>
      <c r="O216" s="7" t="n">
        <v>-0.007077505183</v>
      </c>
      <c r="P216" s="7" t="n">
        <v>0.999921484</v>
      </c>
      <c r="Q216" s="7" t="n">
        <v>17.21394549</v>
      </c>
      <c r="R216" s="7" t="n">
        <v>16.66582648</v>
      </c>
      <c r="S216" s="7" t="n">
        <v>1.464432323</v>
      </c>
    </row>
    <row r="217" customFormat="false" ht="15" hidden="false" customHeight="false" outlineLevel="0" collapsed="false">
      <c r="A217" s="5" t="s">
        <v>4</v>
      </c>
      <c r="B217" s="5" t="s">
        <v>57</v>
      </c>
      <c r="C217" s="5" t="s">
        <v>62</v>
      </c>
      <c r="D217" s="2" t="n">
        <v>16</v>
      </c>
      <c r="E217" s="5" t="s">
        <v>165</v>
      </c>
      <c r="F217" s="5" t="s">
        <v>168</v>
      </c>
      <c r="G217" s="2" t="n">
        <v>1</v>
      </c>
      <c r="H217" s="7" t="n">
        <v>0.9765122316</v>
      </c>
      <c r="I217" s="7" t="n">
        <v>-0.2151483168</v>
      </c>
      <c r="J217" s="7" t="n">
        <v>-0.01162167068</v>
      </c>
      <c r="K217" s="7" t="n">
        <v>0.2152136766</v>
      </c>
      <c r="L217" s="7" t="n">
        <v>0.9765557387</v>
      </c>
      <c r="M217" s="7" t="n">
        <v>0.004686436646</v>
      </c>
      <c r="N217" s="7" t="n">
        <v>0.01034093024</v>
      </c>
      <c r="O217" s="7" t="n">
        <v>-0.007077505183</v>
      </c>
      <c r="P217" s="7" t="n">
        <v>0.999921484</v>
      </c>
      <c r="Q217" s="7" t="n">
        <v>17.21394549</v>
      </c>
      <c r="R217" s="7" t="n">
        <v>16.66582648</v>
      </c>
      <c r="S217" s="7" t="n">
        <v>1.464432323</v>
      </c>
    </row>
    <row r="218" customFormat="false" ht="15" hidden="false" customHeight="false" outlineLevel="0" collapsed="false">
      <c r="A218" s="5" t="s">
        <v>4</v>
      </c>
      <c r="B218" s="5" t="s">
        <v>57</v>
      </c>
      <c r="C218" s="5" t="s">
        <v>58</v>
      </c>
      <c r="D218" s="2" t="n">
        <v>17</v>
      </c>
      <c r="E218" s="5" t="s">
        <v>165</v>
      </c>
      <c r="F218" s="5" t="s">
        <v>166</v>
      </c>
      <c r="G218" s="2" t="n">
        <v>1</v>
      </c>
      <c r="H218" s="7" t="n">
        <v>0.9966819006</v>
      </c>
      <c r="I218" s="7" t="n">
        <v>0.08053895953</v>
      </c>
      <c r="J218" s="7" t="n">
        <v>-0.01177561499</v>
      </c>
      <c r="K218" s="7" t="n">
        <v>-0.08055642819</v>
      </c>
      <c r="L218" s="7" t="n">
        <v>0.9967495321</v>
      </c>
      <c r="M218" s="7" t="n">
        <v>-0.001015974267</v>
      </c>
      <c r="N218" s="7" t="n">
        <v>0.01165551322</v>
      </c>
      <c r="O218" s="7" t="n">
        <v>0.001961204646</v>
      </c>
      <c r="P218" s="7" t="n">
        <v>0.9999301489</v>
      </c>
      <c r="Q218" s="7" t="n">
        <v>14.34027368</v>
      </c>
      <c r="R218" s="7" t="n">
        <v>5.841815588</v>
      </c>
      <c r="S218" s="7" t="n">
        <v>0.8270709778</v>
      </c>
    </row>
    <row r="219" customFormat="false" ht="15" hidden="false" customHeight="false" outlineLevel="0" collapsed="false">
      <c r="A219" s="5" t="s">
        <v>4</v>
      </c>
      <c r="B219" s="5" t="s">
        <v>57</v>
      </c>
      <c r="C219" s="5" t="s">
        <v>62</v>
      </c>
      <c r="D219" s="2" t="n">
        <v>17</v>
      </c>
      <c r="E219" s="5" t="s">
        <v>165</v>
      </c>
      <c r="F219" s="5" t="s">
        <v>166</v>
      </c>
      <c r="G219" s="2" t="n">
        <v>1</v>
      </c>
      <c r="H219" s="7" t="n">
        <v>0.9966819006</v>
      </c>
      <c r="I219" s="7" t="n">
        <v>0.08053895953</v>
      </c>
      <c r="J219" s="7" t="n">
        <v>-0.01177561499</v>
      </c>
      <c r="K219" s="7" t="n">
        <v>-0.08055642819</v>
      </c>
      <c r="L219" s="7" t="n">
        <v>0.9967495321</v>
      </c>
      <c r="M219" s="7" t="n">
        <v>-0.001015974267</v>
      </c>
      <c r="N219" s="7" t="n">
        <v>0.01165551322</v>
      </c>
      <c r="O219" s="7" t="n">
        <v>0.001961204646</v>
      </c>
      <c r="P219" s="7" t="n">
        <v>0.9999301489</v>
      </c>
      <c r="Q219" s="7" t="n">
        <v>14.34027368</v>
      </c>
      <c r="R219" s="7" t="n">
        <v>5.841815588</v>
      </c>
      <c r="S219" s="7" t="n">
        <v>0.8270709778</v>
      </c>
    </row>
    <row r="220" customFormat="false" ht="15" hidden="false" customHeight="false" outlineLevel="0" collapsed="false">
      <c r="A220" s="5" t="s">
        <v>4</v>
      </c>
      <c r="B220" s="5" t="s">
        <v>57</v>
      </c>
      <c r="C220" s="5" t="s">
        <v>58</v>
      </c>
      <c r="D220" s="2" t="n">
        <v>17</v>
      </c>
      <c r="E220" s="5" t="s">
        <v>165</v>
      </c>
      <c r="F220" s="5" t="s">
        <v>167</v>
      </c>
      <c r="G220" s="2" t="n">
        <v>1</v>
      </c>
      <c r="H220" s="7" t="n">
        <v>-0.1348808676</v>
      </c>
      <c r="I220" s="7" t="n">
        <v>-0.9908355179</v>
      </c>
      <c r="J220" s="7" t="n">
        <v>0.007219974793</v>
      </c>
      <c r="K220" s="7" t="n">
        <v>0.9908314153</v>
      </c>
      <c r="L220" s="7" t="n">
        <v>-0.1349302321</v>
      </c>
      <c r="M220" s="7" t="n">
        <v>-0.006851198992</v>
      </c>
      <c r="N220" s="7" t="n">
        <v>0.007762604176</v>
      </c>
      <c r="O220" s="7" t="n">
        <v>0.006229682178</v>
      </c>
      <c r="P220" s="7" t="n">
        <v>0.9999504653</v>
      </c>
      <c r="Q220" s="7" t="n">
        <v>-13.98436075</v>
      </c>
      <c r="R220" s="7" t="n">
        <v>12.38981649</v>
      </c>
      <c r="S220" s="7" t="n">
        <v>0.38502583</v>
      </c>
    </row>
    <row r="221" customFormat="false" ht="15" hidden="false" customHeight="false" outlineLevel="0" collapsed="false">
      <c r="A221" s="5" t="s">
        <v>4</v>
      </c>
      <c r="B221" s="5" t="s">
        <v>57</v>
      </c>
      <c r="C221" s="5" t="s">
        <v>62</v>
      </c>
      <c r="D221" s="2" t="n">
        <v>17</v>
      </c>
      <c r="E221" s="5" t="s">
        <v>165</v>
      </c>
      <c r="F221" s="5" t="s">
        <v>167</v>
      </c>
      <c r="G221" s="2" t="n">
        <v>1</v>
      </c>
      <c r="H221" s="7" t="n">
        <v>-0.1348808676</v>
      </c>
      <c r="I221" s="7" t="n">
        <v>-0.9908355179</v>
      </c>
      <c r="J221" s="7" t="n">
        <v>0.007219974793</v>
      </c>
      <c r="K221" s="7" t="n">
        <v>0.9908314153</v>
      </c>
      <c r="L221" s="7" t="n">
        <v>-0.1349302321</v>
      </c>
      <c r="M221" s="7" t="n">
        <v>-0.006851198992</v>
      </c>
      <c r="N221" s="7" t="n">
        <v>0.007762604176</v>
      </c>
      <c r="O221" s="7" t="n">
        <v>0.006229682178</v>
      </c>
      <c r="P221" s="7" t="n">
        <v>0.9999504653</v>
      </c>
      <c r="Q221" s="7" t="n">
        <v>-13.98436075</v>
      </c>
      <c r="R221" s="7" t="n">
        <v>12.38981649</v>
      </c>
      <c r="S221" s="7" t="n">
        <v>0.38502583</v>
      </c>
    </row>
    <row r="222" customFormat="false" ht="15" hidden="false" customHeight="false" outlineLevel="0" collapsed="false">
      <c r="A222" s="5" t="s">
        <v>4</v>
      </c>
      <c r="B222" s="5" t="s">
        <v>57</v>
      </c>
      <c r="C222" s="5" t="s">
        <v>58</v>
      </c>
      <c r="D222" s="2" t="n">
        <v>17</v>
      </c>
      <c r="E222" s="5" t="s">
        <v>165</v>
      </c>
      <c r="F222" s="5" t="s">
        <v>168</v>
      </c>
      <c r="G222" s="2" t="n">
        <v>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customFormat="false" ht="15" hidden="false" customHeight="false" outlineLevel="0" collapsed="false">
      <c r="A223" s="5" t="s">
        <v>4</v>
      </c>
      <c r="B223" s="5" t="s">
        <v>57</v>
      </c>
      <c r="C223" s="5" t="s">
        <v>62</v>
      </c>
      <c r="D223" s="2" t="n">
        <v>17</v>
      </c>
      <c r="E223" s="5" t="s">
        <v>165</v>
      </c>
      <c r="F223" s="5" t="s">
        <v>168</v>
      </c>
      <c r="G223" s="2" t="n">
        <v>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customFormat="false" ht="15" hidden="false" customHeight="false" outlineLevel="0" collapsed="false">
      <c r="A224" s="5" t="s">
        <v>4</v>
      </c>
      <c r="B224" s="5" t="s">
        <v>57</v>
      </c>
      <c r="C224" s="5" t="s">
        <v>58</v>
      </c>
      <c r="D224" s="2" t="n">
        <v>18</v>
      </c>
      <c r="E224" s="5" t="s">
        <v>165</v>
      </c>
      <c r="F224" s="5" t="s">
        <v>166</v>
      </c>
      <c r="G224" s="2" t="n">
        <v>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customFormat="false" ht="15" hidden="false" customHeight="false" outlineLevel="0" collapsed="false">
      <c r="A225" s="5" t="s">
        <v>4</v>
      </c>
      <c r="B225" s="5" t="s">
        <v>57</v>
      </c>
      <c r="C225" s="5" t="s">
        <v>62</v>
      </c>
      <c r="D225" s="2" t="n">
        <v>18</v>
      </c>
      <c r="E225" s="5" t="s">
        <v>165</v>
      </c>
      <c r="F225" s="5" t="s">
        <v>166</v>
      </c>
      <c r="G225" s="2" t="n">
        <v>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customFormat="false" ht="15" hidden="false" customHeight="false" outlineLevel="0" collapsed="false">
      <c r="A226" s="5" t="s">
        <v>4</v>
      </c>
      <c r="B226" s="5" t="s">
        <v>57</v>
      </c>
      <c r="C226" s="5" t="s">
        <v>58</v>
      </c>
      <c r="D226" s="2" t="n">
        <v>18</v>
      </c>
      <c r="E226" s="5" t="s">
        <v>165</v>
      </c>
      <c r="F226" s="5" t="s">
        <v>167</v>
      </c>
      <c r="G226" s="2" t="n">
        <v>1</v>
      </c>
      <c r="H226" s="7" t="n">
        <v>-0.1346786001</v>
      </c>
      <c r="I226" s="7" t="n">
        <v>-0.9908397502</v>
      </c>
      <c r="J226" s="7" t="n">
        <v>-0.009912825769</v>
      </c>
      <c r="K226" s="7" t="n">
        <v>0.9908806254</v>
      </c>
      <c r="L226" s="7" t="n">
        <v>-0.1346287322</v>
      </c>
      <c r="M226" s="7" t="n">
        <v>-0.005539912592</v>
      </c>
      <c r="N226" s="7" t="n">
        <v>0.004154614443</v>
      </c>
      <c r="O226" s="7" t="n">
        <v>-0.01056853467</v>
      </c>
      <c r="P226" s="7" t="n">
        <v>0.9999355205</v>
      </c>
      <c r="Q226" s="7" t="n">
        <v>-14.01041596</v>
      </c>
      <c r="R226" s="7" t="n">
        <v>12.4138334</v>
      </c>
      <c r="S226" s="7" t="n">
        <v>0.1906479268</v>
      </c>
    </row>
    <row r="227" customFormat="false" ht="15" hidden="false" customHeight="false" outlineLevel="0" collapsed="false">
      <c r="A227" s="5" t="s">
        <v>4</v>
      </c>
      <c r="B227" s="5" t="s">
        <v>57</v>
      </c>
      <c r="C227" s="5" t="s">
        <v>62</v>
      </c>
      <c r="D227" s="2" t="n">
        <v>18</v>
      </c>
      <c r="E227" s="5" t="s">
        <v>165</v>
      </c>
      <c r="F227" s="5" t="s">
        <v>167</v>
      </c>
      <c r="G227" s="2" t="n">
        <v>1</v>
      </c>
      <c r="H227" s="7" t="n">
        <v>-0.1346786001</v>
      </c>
      <c r="I227" s="7" t="n">
        <v>-0.9908397502</v>
      </c>
      <c r="J227" s="7" t="n">
        <v>-0.009912825769</v>
      </c>
      <c r="K227" s="7" t="n">
        <v>0.9908806254</v>
      </c>
      <c r="L227" s="7" t="n">
        <v>-0.1346287322</v>
      </c>
      <c r="M227" s="7" t="n">
        <v>-0.005539912592</v>
      </c>
      <c r="N227" s="7" t="n">
        <v>0.004154614443</v>
      </c>
      <c r="O227" s="7" t="n">
        <v>-0.01056853467</v>
      </c>
      <c r="P227" s="7" t="n">
        <v>0.9999355205</v>
      </c>
      <c r="Q227" s="7" t="n">
        <v>-14.01041596</v>
      </c>
      <c r="R227" s="7" t="n">
        <v>12.4138334</v>
      </c>
      <c r="S227" s="7" t="n">
        <v>0.1906479268</v>
      </c>
    </row>
    <row r="228" customFormat="false" ht="15" hidden="false" customHeight="false" outlineLevel="0" collapsed="false">
      <c r="A228" s="5" t="s">
        <v>4</v>
      </c>
      <c r="B228" s="5" t="s">
        <v>57</v>
      </c>
      <c r="C228" s="5" t="s">
        <v>58</v>
      </c>
      <c r="D228" s="2" t="n">
        <v>18</v>
      </c>
      <c r="E228" s="5" t="s">
        <v>165</v>
      </c>
      <c r="F228" s="5" t="s">
        <v>168</v>
      </c>
      <c r="G228" s="2" t="n">
        <v>1</v>
      </c>
      <c r="H228" s="7" t="n">
        <v>0.9750578234</v>
      </c>
      <c r="I228" s="7" t="n">
        <v>-0.2217520746</v>
      </c>
      <c r="J228" s="7" t="n">
        <v>-0.009394598611</v>
      </c>
      <c r="K228" s="7" t="n">
        <v>0.2214705039</v>
      </c>
      <c r="L228" s="7" t="n">
        <v>0.9748586718</v>
      </c>
      <c r="M228" s="7" t="n">
        <v>-0.02452317124</v>
      </c>
      <c r="N228" s="7" t="n">
        <v>0.01459647002</v>
      </c>
      <c r="O228" s="7" t="n">
        <v>0.02183088348</v>
      </c>
      <c r="P228" s="7" t="n">
        <v>0.9996551183</v>
      </c>
      <c r="Q228" s="7" t="n">
        <v>17.16371299</v>
      </c>
      <c r="R228" s="7" t="n">
        <v>16.65422824</v>
      </c>
      <c r="S228" s="7" t="n">
        <v>1.836994863</v>
      </c>
    </row>
    <row r="229" customFormat="false" ht="15" hidden="false" customHeight="false" outlineLevel="0" collapsed="false">
      <c r="A229" s="5" t="s">
        <v>4</v>
      </c>
      <c r="B229" s="5" t="s">
        <v>57</v>
      </c>
      <c r="C229" s="5" t="s">
        <v>62</v>
      </c>
      <c r="D229" s="2" t="n">
        <v>18</v>
      </c>
      <c r="E229" s="5" t="s">
        <v>165</v>
      </c>
      <c r="F229" s="5" t="s">
        <v>168</v>
      </c>
      <c r="G229" s="2" t="n">
        <v>1</v>
      </c>
      <c r="H229" s="7" t="n">
        <v>0.9750578234</v>
      </c>
      <c r="I229" s="7" t="n">
        <v>-0.2217520746</v>
      </c>
      <c r="J229" s="7" t="n">
        <v>-0.009394598611</v>
      </c>
      <c r="K229" s="7" t="n">
        <v>0.2214705039</v>
      </c>
      <c r="L229" s="7" t="n">
        <v>0.9748586718</v>
      </c>
      <c r="M229" s="7" t="n">
        <v>-0.02452317124</v>
      </c>
      <c r="N229" s="7" t="n">
        <v>0.01459647002</v>
      </c>
      <c r="O229" s="7" t="n">
        <v>0.02183088348</v>
      </c>
      <c r="P229" s="7" t="n">
        <v>0.9996551183</v>
      </c>
      <c r="Q229" s="7" t="n">
        <v>17.16371299</v>
      </c>
      <c r="R229" s="7" t="n">
        <v>16.65422824</v>
      </c>
      <c r="S229" s="7" t="n">
        <v>1.836994863</v>
      </c>
    </row>
    <row r="230" customFormat="false" ht="15" hidden="false" customHeight="false" outlineLevel="0" collapsed="false">
      <c r="A230" s="5" t="s">
        <v>4</v>
      </c>
      <c r="B230" s="5" t="s">
        <v>57</v>
      </c>
      <c r="C230" s="5" t="s">
        <v>58</v>
      </c>
      <c r="D230" s="2" t="n">
        <v>19</v>
      </c>
      <c r="E230" s="5" t="s">
        <v>165</v>
      </c>
      <c r="F230" s="5" t="s">
        <v>166</v>
      </c>
      <c r="G230" s="2" t="n">
        <v>1</v>
      </c>
      <c r="H230" s="7" t="n">
        <v>0.9967263659</v>
      </c>
      <c r="I230" s="7" t="n">
        <v>0.08043677184</v>
      </c>
      <c r="J230" s="7" t="n">
        <v>-0.00815335434</v>
      </c>
      <c r="K230" s="7" t="n">
        <v>-0.08044271753</v>
      </c>
      <c r="L230" s="7" t="n">
        <v>0.9967591517</v>
      </c>
      <c r="M230" s="7" t="n">
        <v>-0.0004033974598</v>
      </c>
      <c r="N230" s="7" t="n">
        <v>0.008094482566</v>
      </c>
      <c r="O230" s="7" t="n">
        <v>0.001057954864</v>
      </c>
      <c r="P230" s="7" t="n">
        <v>0.9999666795</v>
      </c>
      <c r="Q230" s="7" t="n">
        <v>14.38743214</v>
      </c>
      <c r="R230" s="7" t="n">
        <v>5.822606686</v>
      </c>
      <c r="S230" s="7" t="n">
        <v>0.7656377733</v>
      </c>
    </row>
    <row r="231" customFormat="false" ht="15" hidden="false" customHeight="false" outlineLevel="0" collapsed="false">
      <c r="A231" s="5" t="s">
        <v>4</v>
      </c>
      <c r="B231" s="5" t="s">
        <v>57</v>
      </c>
      <c r="C231" s="5" t="s">
        <v>62</v>
      </c>
      <c r="D231" s="2" t="n">
        <v>19</v>
      </c>
      <c r="E231" s="5" t="s">
        <v>165</v>
      </c>
      <c r="F231" s="5" t="s">
        <v>166</v>
      </c>
      <c r="G231" s="2" t="n">
        <v>1</v>
      </c>
      <c r="H231" s="7" t="n">
        <v>0.9967263659</v>
      </c>
      <c r="I231" s="7" t="n">
        <v>0.08043677184</v>
      </c>
      <c r="J231" s="7" t="n">
        <v>-0.00815335434</v>
      </c>
      <c r="K231" s="7" t="n">
        <v>-0.08044271753</v>
      </c>
      <c r="L231" s="7" t="n">
        <v>0.9967591517</v>
      </c>
      <c r="M231" s="7" t="n">
        <v>-0.0004033974598</v>
      </c>
      <c r="N231" s="7" t="n">
        <v>0.008094482566</v>
      </c>
      <c r="O231" s="7" t="n">
        <v>0.001057954864</v>
      </c>
      <c r="P231" s="7" t="n">
        <v>0.9999666795</v>
      </c>
      <c r="Q231" s="7" t="n">
        <v>14.38743214</v>
      </c>
      <c r="R231" s="7" t="n">
        <v>5.822606686</v>
      </c>
      <c r="S231" s="7" t="n">
        <v>0.7656377733</v>
      </c>
    </row>
    <row r="232" customFormat="false" ht="15" hidden="false" customHeight="false" outlineLevel="0" collapsed="false">
      <c r="A232" s="5" t="s">
        <v>4</v>
      </c>
      <c r="B232" s="5" t="s">
        <v>57</v>
      </c>
      <c r="C232" s="5" t="s">
        <v>58</v>
      </c>
      <c r="D232" s="2" t="n">
        <v>19</v>
      </c>
      <c r="E232" s="5" t="s">
        <v>165</v>
      </c>
      <c r="F232" s="5" t="s">
        <v>167</v>
      </c>
      <c r="G232" s="2" t="n">
        <v>1</v>
      </c>
      <c r="H232" s="7" t="n">
        <v>-0.1361050529</v>
      </c>
      <c r="I232" s="7" t="n">
        <v>-0.9906918298</v>
      </c>
      <c r="J232" s="7" t="n">
        <v>0.002261178965</v>
      </c>
      <c r="K232" s="7" t="n">
        <v>0.9906912836</v>
      </c>
      <c r="L232" s="7" t="n">
        <v>-0.1361100031</v>
      </c>
      <c r="M232" s="7" t="n">
        <v>-0.002201740795</v>
      </c>
      <c r="N232" s="7" t="n">
        <v>0.002489015693</v>
      </c>
      <c r="O232" s="7" t="n">
        <v>0.001940462244</v>
      </c>
      <c r="P232" s="7" t="n">
        <v>0.9999950197</v>
      </c>
      <c r="Q232" s="7" t="n">
        <v>-13.99928593</v>
      </c>
      <c r="R232" s="7" t="n">
        <v>12.41306936</v>
      </c>
      <c r="S232" s="7" t="n">
        <v>0.3130232239</v>
      </c>
    </row>
    <row r="233" customFormat="false" ht="15" hidden="false" customHeight="false" outlineLevel="0" collapsed="false">
      <c r="A233" s="5" t="s">
        <v>4</v>
      </c>
      <c r="B233" s="5" t="s">
        <v>57</v>
      </c>
      <c r="C233" s="5" t="s">
        <v>62</v>
      </c>
      <c r="D233" s="2" t="n">
        <v>19</v>
      </c>
      <c r="E233" s="5" t="s">
        <v>165</v>
      </c>
      <c r="F233" s="5" t="s">
        <v>167</v>
      </c>
      <c r="G233" s="2" t="n">
        <v>1</v>
      </c>
      <c r="H233" s="7" t="n">
        <v>-0.1361050529</v>
      </c>
      <c r="I233" s="7" t="n">
        <v>-0.9906918298</v>
      </c>
      <c r="J233" s="7" t="n">
        <v>0.002261178965</v>
      </c>
      <c r="K233" s="7" t="n">
        <v>0.9906912836</v>
      </c>
      <c r="L233" s="7" t="n">
        <v>-0.1361100031</v>
      </c>
      <c r="M233" s="7" t="n">
        <v>-0.002201740795</v>
      </c>
      <c r="N233" s="7" t="n">
        <v>0.002489015693</v>
      </c>
      <c r="O233" s="7" t="n">
        <v>0.001940462244</v>
      </c>
      <c r="P233" s="7" t="n">
        <v>0.9999950197</v>
      </c>
      <c r="Q233" s="7" t="n">
        <v>-13.99928593</v>
      </c>
      <c r="R233" s="7" t="n">
        <v>12.41306936</v>
      </c>
      <c r="S233" s="7" t="n">
        <v>0.3130232239</v>
      </c>
    </row>
    <row r="234" customFormat="false" ht="15" hidden="false" customHeight="false" outlineLevel="0" collapsed="false">
      <c r="A234" s="5" t="s">
        <v>4</v>
      </c>
      <c r="B234" s="5" t="s">
        <v>57</v>
      </c>
      <c r="C234" s="5" t="s">
        <v>58</v>
      </c>
      <c r="D234" s="2" t="n">
        <v>19</v>
      </c>
      <c r="E234" s="5" t="s">
        <v>165</v>
      </c>
      <c r="F234" s="5" t="s">
        <v>168</v>
      </c>
      <c r="G234" s="2" t="n">
        <v>1</v>
      </c>
      <c r="H234" s="7" t="n">
        <v>0.9764879181</v>
      </c>
      <c r="I234" s="7" t="n">
        <v>-0.2155554924</v>
      </c>
      <c r="J234" s="7" t="n">
        <v>0.00267872556</v>
      </c>
      <c r="K234" s="7" t="n">
        <v>0.21557137</v>
      </c>
      <c r="L234" s="7" t="n">
        <v>0.9764421844</v>
      </c>
      <c r="M234" s="7" t="n">
        <v>-0.009468098207</v>
      </c>
      <c r="N234" s="7" t="n">
        <v>-0.0005747200657</v>
      </c>
      <c r="O234" s="7" t="n">
        <v>0.009822940045</v>
      </c>
      <c r="P234" s="7" t="n">
        <v>0.9999515886</v>
      </c>
      <c r="Q234" s="7" t="n">
        <v>17.24482273</v>
      </c>
      <c r="R234" s="7" t="n">
        <v>16.65687413</v>
      </c>
      <c r="S234" s="7" t="n">
        <v>1.558647434</v>
      </c>
    </row>
    <row r="235" customFormat="false" ht="15" hidden="false" customHeight="false" outlineLevel="0" collapsed="false">
      <c r="A235" s="5" t="s">
        <v>4</v>
      </c>
      <c r="B235" s="5" t="s">
        <v>57</v>
      </c>
      <c r="C235" s="5" t="s">
        <v>62</v>
      </c>
      <c r="D235" s="2" t="n">
        <v>19</v>
      </c>
      <c r="E235" s="5" t="s">
        <v>165</v>
      </c>
      <c r="F235" s="5" t="s">
        <v>168</v>
      </c>
      <c r="G235" s="2" t="n">
        <v>1</v>
      </c>
      <c r="H235" s="7" t="n">
        <v>0.9764879181</v>
      </c>
      <c r="I235" s="7" t="n">
        <v>-0.2155554924</v>
      </c>
      <c r="J235" s="7" t="n">
        <v>0.00267872556</v>
      </c>
      <c r="K235" s="7" t="n">
        <v>0.21557137</v>
      </c>
      <c r="L235" s="7" t="n">
        <v>0.9764421844</v>
      </c>
      <c r="M235" s="7" t="n">
        <v>-0.009468098207</v>
      </c>
      <c r="N235" s="7" t="n">
        <v>-0.0005747200657</v>
      </c>
      <c r="O235" s="7" t="n">
        <v>0.009822940045</v>
      </c>
      <c r="P235" s="7" t="n">
        <v>0.9999515886</v>
      </c>
      <c r="Q235" s="7" t="n">
        <v>17.24482273</v>
      </c>
      <c r="R235" s="7" t="n">
        <v>16.65687413</v>
      </c>
      <c r="S235" s="7" t="n">
        <v>1.558647434</v>
      </c>
    </row>
    <row r="236" customFormat="false" ht="15" hidden="false" customHeight="false" outlineLevel="0" collapsed="false">
      <c r="A236" s="5" t="s">
        <v>4</v>
      </c>
      <c r="B236" s="5" t="s">
        <v>57</v>
      </c>
      <c r="C236" s="5" t="s">
        <v>58</v>
      </c>
      <c r="D236" s="2" t="n">
        <v>20</v>
      </c>
      <c r="E236" s="5" t="s">
        <v>165</v>
      </c>
      <c r="F236" s="5" t="s">
        <v>166</v>
      </c>
      <c r="G236" s="2" t="n">
        <v>1</v>
      </c>
      <c r="H236" s="7" t="n">
        <v>0.9966290167</v>
      </c>
      <c r="I236" s="7" t="n">
        <v>0.08180331295</v>
      </c>
      <c r="J236" s="7" t="n">
        <v>-0.006230659017</v>
      </c>
      <c r="K236" s="7" t="n">
        <v>-0.08182695978</v>
      </c>
      <c r="L236" s="7" t="n">
        <v>0.9966399063</v>
      </c>
      <c r="M236" s="7" t="n">
        <v>-0.003639472241</v>
      </c>
      <c r="N236" s="7" t="n">
        <v>0.005912002533</v>
      </c>
      <c r="O236" s="7" t="n">
        <v>0.004137039526</v>
      </c>
      <c r="P236" s="7" t="n">
        <v>0.9999739662</v>
      </c>
      <c r="Q236" s="7" t="n">
        <v>14.37170941</v>
      </c>
      <c r="R236" s="7" t="n">
        <v>5.83315536</v>
      </c>
      <c r="S236" s="7" t="n">
        <v>0.776843659</v>
      </c>
    </row>
    <row r="237" customFormat="false" ht="15" hidden="false" customHeight="false" outlineLevel="0" collapsed="false">
      <c r="A237" s="5" t="s">
        <v>4</v>
      </c>
      <c r="B237" s="5" t="s">
        <v>57</v>
      </c>
      <c r="C237" s="5" t="s">
        <v>62</v>
      </c>
      <c r="D237" s="2" t="n">
        <v>20</v>
      </c>
      <c r="E237" s="5" t="s">
        <v>165</v>
      </c>
      <c r="F237" s="5" t="s">
        <v>166</v>
      </c>
      <c r="G237" s="2" t="n">
        <v>1</v>
      </c>
      <c r="H237" s="7" t="n">
        <v>0.9966290167</v>
      </c>
      <c r="I237" s="7" t="n">
        <v>0.08180331295</v>
      </c>
      <c r="J237" s="7" t="n">
        <v>-0.006230659017</v>
      </c>
      <c r="K237" s="7" t="n">
        <v>-0.08182695978</v>
      </c>
      <c r="L237" s="7" t="n">
        <v>0.9966399063</v>
      </c>
      <c r="M237" s="7" t="n">
        <v>-0.003639472241</v>
      </c>
      <c r="N237" s="7" t="n">
        <v>0.005912002533</v>
      </c>
      <c r="O237" s="7" t="n">
        <v>0.004137039526</v>
      </c>
      <c r="P237" s="7" t="n">
        <v>0.9999739662</v>
      </c>
      <c r="Q237" s="7" t="n">
        <v>14.37170941</v>
      </c>
      <c r="R237" s="7" t="n">
        <v>5.83315536</v>
      </c>
      <c r="S237" s="7" t="n">
        <v>0.776843659</v>
      </c>
    </row>
    <row r="238" customFormat="false" ht="15" hidden="false" customHeight="false" outlineLevel="0" collapsed="false">
      <c r="A238" s="5" t="s">
        <v>4</v>
      </c>
      <c r="B238" s="5" t="s">
        <v>57</v>
      </c>
      <c r="C238" s="5" t="s">
        <v>58</v>
      </c>
      <c r="D238" s="2" t="n">
        <v>20</v>
      </c>
      <c r="E238" s="5" t="s">
        <v>165</v>
      </c>
      <c r="F238" s="5" t="s">
        <v>167</v>
      </c>
      <c r="G238" s="2" t="n">
        <v>1</v>
      </c>
      <c r="H238" s="7" t="n">
        <v>-0.1354106821</v>
      </c>
      <c r="I238" s="7" t="n">
        <v>-0.9906940354</v>
      </c>
      <c r="J238" s="7" t="n">
        <v>-0.01375773881</v>
      </c>
      <c r="K238" s="7" t="n">
        <v>0.9907675294</v>
      </c>
      <c r="L238" s="7" t="n">
        <v>-0.1353020243</v>
      </c>
      <c r="M238" s="7" t="n">
        <v>-0.008547804896</v>
      </c>
      <c r="N238" s="7" t="n">
        <v>0.006606809415</v>
      </c>
      <c r="O238" s="7" t="n">
        <v>-0.01478818498</v>
      </c>
      <c r="P238" s="7" t="n">
        <v>0.9998688212</v>
      </c>
      <c r="Q238" s="7" t="n">
        <v>-14.0241901</v>
      </c>
      <c r="R238" s="7" t="n">
        <v>12.38997295</v>
      </c>
      <c r="S238" s="7" t="n">
        <v>0.1191868321</v>
      </c>
    </row>
    <row r="239" customFormat="false" ht="15" hidden="false" customHeight="false" outlineLevel="0" collapsed="false">
      <c r="A239" s="5" t="s">
        <v>4</v>
      </c>
      <c r="B239" s="5" t="s">
        <v>57</v>
      </c>
      <c r="C239" s="5" t="s">
        <v>62</v>
      </c>
      <c r="D239" s="2" t="n">
        <v>20</v>
      </c>
      <c r="E239" s="5" t="s">
        <v>165</v>
      </c>
      <c r="F239" s="5" t="s">
        <v>167</v>
      </c>
      <c r="G239" s="2" t="n">
        <v>1</v>
      </c>
      <c r="H239" s="7" t="n">
        <v>-0.1354106821</v>
      </c>
      <c r="I239" s="7" t="n">
        <v>-0.9906940354</v>
      </c>
      <c r="J239" s="7" t="n">
        <v>-0.01375773881</v>
      </c>
      <c r="K239" s="7" t="n">
        <v>0.9907675294</v>
      </c>
      <c r="L239" s="7" t="n">
        <v>-0.1353020243</v>
      </c>
      <c r="M239" s="7" t="n">
        <v>-0.008547804896</v>
      </c>
      <c r="N239" s="7" t="n">
        <v>0.006606809415</v>
      </c>
      <c r="O239" s="7" t="n">
        <v>-0.01478818498</v>
      </c>
      <c r="P239" s="7" t="n">
        <v>0.9998688212</v>
      </c>
      <c r="Q239" s="7" t="n">
        <v>-14.0241901</v>
      </c>
      <c r="R239" s="7" t="n">
        <v>12.38997295</v>
      </c>
      <c r="S239" s="7" t="n">
        <v>0.1191868321</v>
      </c>
    </row>
    <row r="240" customFormat="false" ht="15" hidden="false" customHeight="false" outlineLevel="0" collapsed="false">
      <c r="A240" s="5" t="s">
        <v>4</v>
      </c>
      <c r="B240" s="5" t="s">
        <v>57</v>
      </c>
      <c r="C240" s="5" t="s">
        <v>58</v>
      </c>
      <c r="D240" s="2" t="n">
        <v>20</v>
      </c>
      <c r="E240" s="5" t="s">
        <v>165</v>
      </c>
      <c r="F240" s="5" t="s">
        <v>168</v>
      </c>
      <c r="G240" s="2" t="n">
        <v>1</v>
      </c>
      <c r="H240" s="7" t="n">
        <v>0.9765785499</v>
      </c>
      <c r="I240" s="7" t="n">
        <v>-0.2151557249</v>
      </c>
      <c r="J240" s="7" t="n">
        <v>-0.00153295324</v>
      </c>
      <c r="K240" s="7" t="n">
        <v>0.2151552563</v>
      </c>
      <c r="L240" s="7" t="n">
        <v>0.976579745</v>
      </c>
      <c r="M240" s="7" t="n">
        <v>-0.0004662273238</v>
      </c>
      <c r="N240" s="7" t="n">
        <v>0.001597362562</v>
      </c>
      <c r="O240" s="7" t="n">
        <v>0.0001254846566</v>
      </c>
      <c r="P240" s="7" t="n">
        <v>0.9999987163</v>
      </c>
      <c r="Q240" s="7" t="n">
        <v>17.25474148</v>
      </c>
      <c r="R240" s="7" t="n">
        <v>16.6612307</v>
      </c>
      <c r="S240" s="7" t="n">
        <v>1.441745979</v>
      </c>
    </row>
    <row r="241" customFormat="false" ht="15" hidden="false" customHeight="false" outlineLevel="0" collapsed="false">
      <c r="A241" s="5" t="s">
        <v>4</v>
      </c>
      <c r="B241" s="5" t="s">
        <v>57</v>
      </c>
      <c r="C241" s="5" t="s">
        <v>62</v>
      </c>
      <c r="D241" s="2" t="n">
        <v>20</v>
      </c>
      <c r="E241" s="5" t="s">
        <v>165</v>
      </c>
      <c r="F241" s="5" t="s">
        <v>168</v>
      </c>
      <c r="G241" s="2" t="n">
        <v>1</v>
      </c>
      <c r="H241" s="7" t="n">
        <v>0.9765785499</v>
      </c>
      <c r="I241" s="7" t="n">
        <v>-0.2151557249</v>
      </c>
      <c r="J241" s="7" t="n">
        <v>-0.00153295324</v>
      </c>
      <c r="K241" s="7" t="n">
        <v>0.2151552563</v>
      </c>
      <c r="L241" s="7" t="n">
        <v>0.976579745</v>
      </c>
      <c r="M241" s="7" t="n">
        <v>-0.0004662273238</v>
      </c>
      <c r="N241" s="7" t="n">
        <v>0.001597362562</v>
      </c>
      <c r="O241" s="7" t="n">
        <v>0.0001254846566</v>
      </c>
      <c r="P241" s="7" t="n">
        <v>0.9999987163</v>
      </c>
      <c r="Q241" s="7" t="n">
        <v>17.25474148</v>
      </c>
      <c r="R241" s="7" t="n">
        <v>16.6612307</v>
      </c>
      <c r="S241" s="7" t="n">
        <v>1.441745979</v>
      </c>
    </row>
    <row r="242" customFormat="false" ht="15" hidden="false" customHeight="false" outlineLevel="0" collapsed="false">
      <c r="A242" s="5" t="s">
        <v>4</v>
      </c>
      <c r="B242" s="5" t="s">
        <v>57</v>
      </c>
      <c r="C242" s="5" t="s">
        <v>58</v>
      </c>
      <c r="D242" s="2" t="n">
        <v>11</v>
      </c>
      <c r="E242" s="5" t="s">
        <v>166</v>
      </c>
      <c r="F242" s="5" t="s">
        <v>167</v>
      </c>
      <c r="G242" s="2" t="n">
        <v>1</v>
      </c>
      <c r="H242" s="7" t="n">
        <v>-0.2163500222</v>
      </c>
      <c r="I242" s="7" t="n">
        <v>-0.9762560292</v>
      </c>
      <c r="J242" s="7" t="n">
        <v>0.01080894947</v>
      </c>
      <c r="K242" s="7" t="n">
        <v>0.9763150011</v>
      </c>
      <c r="L242" s="7" t="n">
        <v>-0.2163512978</v>
      </c>
      <c r="M242" s="7" t="n">
        <v>0.001065153783</v>
      </c>
      <c r="N242" s="7" t="n">
        <v>0.001298667443</v>
      </c>
      <c r="O242" s="7" t="n">
        <v>0.01078338555</v>
      </c>
      <c r="P242" s="7" t="n">
        <v>0.9999410143</v>
      </c>
      <c r="Q242" s="7" t="n">
        <v>-5.183767489</v>
      </c>
      <c r="R242" s="7" t="n">
        <v>-0.3801385821</v>
      </c>
      <c r="S242" s="7" t="n">
        <v>-0.3708917596</v>
      </c>
    </row>
    <row r="243" customFormat="false" ht="15" hidden="false" customHeight="false" outlineLevel="0" collapsed="false">
      <c r="A243" s="5" t="s">
        <v>4</v>
      </c>
      <c r="B243" s="5" t="s">
        <v>57</v>
      </c>
      <c r="C243" s="5" t="s">
        <v>62</v>
      </c>
      <c r="D243" s="2" t="n">
        <v>11</v>
      </c>
      <c r="E243" s="5" t="s">
        <v>166</v>
      </c>
      <c r="F243" s="5" t="s">
        <v>167</v>
      </c>
      <c r="G243" s="2" t="n">
        <v>1</v>
      </c>
      <c r="H243" s="7" t="n">
        <v>-0.2163500222</v>
      </c>
      <c r="I243" s="7" t="n">
        <v>-0.9762560292</v>
      </c>
      <c r="J243" s="7" t="n">
        <v>0.01080894947</v>
      </c>
      <c r="K243" s="7" t="n">
        <v>0.9763150011</v>
      </c>
      <c r="L243" s="7" t="n">
        <v>-0.2163512978</v>
      </c>
      <c r="M243" s="7" t="n">
        <v>0.001065153783</v>
      </c>
      <c r="N243" s="7" t="n">
        <v>0.001298667443</v>
      </c>
      <c r="O243" s="7" t="n">
        <v>0.01078338555</v>
      </c>
      <c r="P243" s="7" t="n">
        <v>0.9999410143</v>
      </c>
      <c r="Q243" s="7" t="n">
        <v>-5.183767489</v>
      </c>
      <c r="R243" s="7" t="n">
        <v>-0.3801385821</v>
      </c>
      <c r="S243" s="7" t="n">
        <v>-0.3708917596</v>
      </c>
    </row>
    <row r="244" customFormat="false" ht="15" hidden="false" customHeight="false" outlineLevel="0" collapsed="false">
      <c r="A244" s="5" t="s">
        <v>4</v>
      </c>
      <c r="B244" s="5" t="s">
        <v>57</v>
      </c>
      <c r="C244" s="5" t="s">
        <v>58</v>
      </c>
      <c r="D244" s="2" t="n">
        <v>11</v>
      </c>
      <c r="E244" s="5" t="s">
        <v>166</v>
      </c>
      <c r="F244" s="5" t="s">
        <v>168</v>
      </c>
      <c r="G244" s="2" t="n">
        <v>1</v>
      </c>
      <c r="H244" s="7" t="n">
        <v>0.9558691918</v>
      </c>
      <c r="I244" s="7" t="n">
        <v>-0.2937761332</v>
      </c>
      <c r="J244" s="7" t="n">
        <v>0.003109929389</v>
      </c>
      <c r="K244" s="7" t="n">
        <v>0.2937708985</v>
      </c>
      <c r="L244" s="7" t="n">
        <v>0.955873695</v>
      </c>
      <c r="M244" s="7" t="n">
        <v>0.002034320397</v>
      </c>
      <c r="N244" s="7" t="n">
        <v>-0.003570334476</v>
      </c>
      <c r="O244" s="7" t="n">
        <v>-0.001030937443</v>
      </c>
      <c r="P244" s="7" t="n">
        <v>0.9999930949</v>
      </c>
      <c r="Q244" s="7" t="n">
        <v>5.218763701</v>
      </c>
      <c r="R244" s="7" t="n">
        <v>6.855730646</v>
      </c>
      <c r="S244" s="7" t="n">
        <v>0.7710393041</v>
      </c>
    </row>
    <row r="245" customFormat="false" ht="15" hidden="false" customHeight="false" outlineLevel="0" collapsed="false">
      <c r="A245" s="5" t="s">
        <v>4</v>
      </c>
      <c r="B245" s="5" t="s">
        <v>57</v>
      </c>
      <c r="C245" s="5" t="s">
        <v>62</v>
      </c>
      <c r="D245" s="2" t="n">
        <v>11</v>
      </c>
      <c r="E245" s="5" t="s">
        <v>166</v>
      </c>
      <c r="F245" s="5" t="s">
        <v>168</v>
      </c>
      <c r="G245" s="2" t="n">
        <v>1</v>
      </c>
      <c r="H245" s="7" t="n">
        <v>0.9558691918</v>
      </c>
      <c r="I245" s="7" t="n">
        <v>-0.2937761332</v>
      </c>
      <c r="J245" s="7" t="n">
        <v>0.003109929389</v>
      </c>
      <c r="K245" s="7" t="n">
        <v>0.2937708985</v>
      </c>
      <c r="L245" s="7" t="n">
        <v>0.955873695</v>
      </c>
      <c r="M245" s="7" t="n">
        <v>0.002034320397</v>
      </c>
      <c r="N245" s="7" t="n">
        <v>-0.003570334476</v>
      </c>
      <c r="O245" s="7" t="n">
        <v>-0.001030937443</v>
      </c>
      <c r="P245" s="7" t="n">
        <v>0.9999930949</v>
      </c>
      <c r="Q245" s="7" t="n">
        <v>5.218763701</v>
      </c>
      <c r="R245" s="7" t="n">
        <v>6.855730646</v>
      </c>
      <c r="S245" s="7" t="n">
        <v>0.7710393041</v>
      </c>
    </row>
    <row r="246" customFormat="false" ht="15" hidden="false" customHeight="false" outlineLevel="0" collapsed="false">
      <c r="A246" s="5" t="s">
        <v>4</v>
      </c>
      <c r="B246" s="5" t="s">
        <v>57</v>
      </c>
      <c r="C246" s="5" t="s">
        <v>58</v>
      </c>
      <c r="D246" s="2" t="n">
        <v>12</v>
      </c>
      <c r="E246" s="5" t="s">
        <v>166</v>
      </c>
      <c r="F246" s="5" t="s">
        <v>167</v>
      </c>
      <c r="G246" s="2" t="n">
        <v>1</v>
      </c>
      <c r="H246" s="7" t="n">
        <v>-0.2165088504</v>
      </c>
      <c r="I246" s="7" t="n">
        <v>-0.9762745146</v>
      </c>
      <c r="J246" s="7" t="n">
        <v>0.003462639493</v>
      </c>
      <c r="K246" s="7" t="n">
        <v>0.9762761475</v>
      </c>
      <c r="L246" s="7" t="n">
        <v>-0.2165172669</v>
      </c>
      <c r="M246" s="7" t="n">
        <v>-0.002270885182</v>
      </c>
      <c r="N246" s="7" t="n">
        <v>0.002966728568</v>
      </c>
      <c r="O246" s="7" t="n">
        <v>0.002888825605</v>
      </c>
      <c r="P246" s="7" t="n">
        <v>0.9999914266</v>
      </c>
      <c r="Q246" s="7" t="n">
        <v>-5.192723441</v>
      </c>
      <c r="R246" s="7" t="n">
        <v>-0.371473668</v>
      </c>
      <c r="S246" s="7" t="n">
        <v>-0.3992172488</v>
      </c>
    </row>
    <row r="247" customFormat="false" ht="15" hidden="false" customHeight="false" outlineLevel="0" collapsed="false">
      <c r="A247" s="5" t="s">
        <v>4</v>
      </c>
      <c r="B247" s="5" t="s">
        <v>57</v>
      </c>
      <c r="C247" s="5" t="s">
        <v>62</v>
      </c>
      <c r="D247" s="2" t="n">
        <v>12</v>
      </c>
      <c r="E247" s="5" t="s">
        <v>166</v>
      </c>
      <c r="F247" s="5" t="s">
        <v>167</v>
      </c>
      <c r="G247" s="2" t="n">
        <v>1</v>
      </c>
      <c r="H247" s="7" t="n">
        <v>-0.2165088504</v>
      </c>
      <c r="I247" s="7" t="n">
        <v>-0.9762745146</v>
      </c>
      <c r="J247" s="7" t="n">
        <v>0.003462639493</v>
      </c>
      <c r="K247" s="7" t="n">
        <v>0.9762761475</v>
      </c>
      <c r="L247" s="7" t="n">
        <v>-0.2165172669</v>
      </c>
      <c r="M247" s="7" t="n">
        <v>-0.002270885182</v>
      </c>
      <c r="N247" s="7" t="n">
        <v>0.002966728568</v>
      </c>
      <c r="O247" s="7" t="n">
        <v>0.002888825605</v>
      </c>
      <c r="P247" s="7" t="n">
        <v>0.9999914266</v>
      </c>
      <c r="Q247" s="7" t="n">
        <v>-5.192723441</v>
      </c>
      <c r="R247" s="7" t="n">
        <v>-0.371473668</v>
      </c>
      <c r="S247" s="7" t="n">
        <v>-0.3992172488</v>
      </c>
    </row>
    <row r="248" customFormat="false" ht="15" hidden="false" customHeight="false" outlineLevel="0" collapsed="false">
      <c r="A248" s="5" t="s">
        <v>4</v>
      </c>
      <c r="B248" s="5" t="s">
        <v>57</v>
      </c>
      <c r="C248" s="5" t="s">
        <v>58</v>
      </c>
      <c r="D248" s="2" t="n">
        <v>12</v>
      </c>
      <c r="E248" s="5" t="s">
        <v>166</v>
      </c>
      <c r="F248" s="5" t="s">
        <v>168</v>
      </c>
      <c r="G248" s="2" t="n">
        <v>1</v>
      </c>
      <c r="H248" s="7" t="n">
        <v>0.9557278612</v>
      </c>
      <c r="I248" s="7" t="n">
        <v>-0.2942295093</v>
      </c>
      <c r="J248" s="7" t="n">
        <v>0.003640223378</v>
      </c>
      <c r="K248" s="7" t="n">
        <v>0.2942362196</v>
      </c>
      <c r="L248" s="7" t="n">
        <v>0.9557316153</v>
      </c>
      <c r="M248" s="7" t="n">
        <v>-0.001458312467</v>
      </c>
      <c r="N248" s="7" t="n">
        <v>-0.003049998007</v>
      </c>
      <c r="O248" s="7" t="n">
        <v>0.002464835421</v>
      </c>
      <c r="P248" s="7" t="n">
        <v>0.999992311</v>
      </c>
      <c r="Q248" s="7" t="n">
        <v>5.226123952</v>
      </c>
      <c r="R248" s="7" t="n">
        <v>6.853690814</v>
      </c>
      <c r="S248" s="7" t="n">
        <v>0.7808183282</v>
      </c>
    </row>
    <row r="249" customFormat="false" ht="15" hidden="false" customHeight="false" outlineLevel="0" collapsed="false">
      <c r="A249" s="5" t="s">
        <v>4</v>
      </c>
      <c r="B249" s="5" t="s">
        <v>57</v>
      </c>
      <c r="C249" s="5" t="s">
        <v>62</v>
      </c>
      <c r="D249" s="2" t="n">
        <v>12</v>
      </c>
      <c r="E249" s="5" t="s">
        <v>166</v>
      </c>
      <c r="F249" s="5" t="s">
        <v>168</v>
      </c>
      <c r="G249" s="2" t="n">
        <v>1</v>
      </c>
      <c r="H249" s="7" t="n">
        <v>0.9557278612</v>
      </c>
      <c r="I249" s="7" t="n">
        <v>-0.2942295093</v>
      </c>
      <c r="J249" s="7" t="n">
        <v>0.003640223378</v>
      </c>
      <c r="K249" s="7" t="n">
        <v>0.2942362196</v>
      </c>
      <c r="L249" s="7" t="n">
        <v>0.9557316153</v>
      </c>
      <c r="M249" s="7" t="n">
        <v>-0.001458312467</v>
      </c>
      <c r="N249" s="7" t="n">
        <v>-0.003049998007</v>
      </c>
      <c r="O249" s="7" t="n">
        <v>0.002464835421</v>
      </c>
      <c r="P249" s="7" t="n">
        <v>0.999992311</v>
      </c>
      <c r="Q249" s="7" t="n">
        <v>5.226123952</v>
      </c>
      <c r="R249" s="7" t="n">
        <v>6.853690814</v>
      </c>
      <c r="S249" s="7" t="n">
        <v>0.7808183282</v>
      </c>
    </row>
    <row r="250" customFormat="false" ht="15" hidden="false" customHeight="false" outlineLevel="0" collapsed="false">
      <c r="A250" s="5" t="s">
        <v>4</v>
      </c>
      <c r="B250" s="5" t="s">
        <v>57</v>
      </c>
      <c r="C250" s="5" t="s">
        <v>58</v>
      </c>
      <c r="D250" s="2" t="n">
        <v>13</v>
      </c>
      <c r="E250" s="5" t="s">
        <v>166</v>
      </c>
      <c r="F250" s="5" t="s">
        <v>167</v>
      </c>
      <c r="G250" s="2" t="n">
        <v>1</v>
      </c>
      <c r="H250" s="7" t="n">
        <v>-0.2151131588</v>
      </c>
      <c r="I250" s="7" t="n">
        <v>-0.9765867044</v>
      </c>
      <c r="J250" s="7" t="n">
        <v>0.002176643074</v>
      </c>
      <c r="K250" s="7" t="n">
        <v>0.9765876032</v>
      </c>
      <c r="L250" s="7" t="n">
        <v>-0.2151083469</v>
      </c>
      <c r="M250" s="7" t="n">
        <v>0.002247762464</v>
      </c>
      <c r="N250" s="7" t="n">
        <v>-0.001726920844</v>
      </c>
      <c r="O250" s="7" t="n">
        <v>0.002609205926</v>
      </c>
      <c r="P250" s="7" t="n">
        <v>0.9999951049</v>
      </c>
      <c r="Q250" s="7" t="n">
        <v>-5.194203681</v>
      </c>
      <c r="R250" s="7" t="n">
        <v>-0.3649074428</v>
      </c>
      <c r="S250" s="7" t="n">
        <v>-0.4102631535</v>
      </c>
    </row>
    <row r="251" customFormat="false" ht="15" hidden="false" customHeight="false" outlineLevel="0" collapsed="false">
      <c r="A251" s="5" t="s">
        <v>4</v>
      </c>
      <c r="B251" s="5" t="s">
        <v>57</v>
      </c>
      <c r="C251" s="5" t="s">
        <v>62</v>
      </c>
      <c r="D251" s="2" t="n">
        <v>13</v>
      </c>
      <c r="E251" s="5" t="s">
        <v>166</v>
      </c>
      <c r="F251" s="5" t="s">
        <v>167</v>
      </c>
      <c r="G251" s="2" t="n">
        <v>1</v>
      </c>
      <c r="H251" s="7" t="n">
        <v>-0.2151131588</v>
      </c>
      <c r="I251" s="7" t="n">
        <v>-0.9765867044</v>
      </c>
      <c r="J251" s="7" t="n">
        <v>0.002176643074</v>
      </c>
      <c r="K251" s="7" t="n">
        <v>0.9765876032</v>
      </c>
      <c r="L251" s="7" t="n">
        <v>-0.2151083469</v>
      </c>
      <c r="M251" s="7" t="n">
        <v>0.002247762464</v>
      </c>
      <c r="N251" s="7" t="n">
        <v>-0.001726920844</v>
      </c>
      <c r="O251" s="7" t="n">
        <v>0.002609205926</v>
      </c>
      <c r="P251" s="7" t="n">
        <v>0.9999951049</v>
      </c>
      <c r="Q251" s="7" t="n">
        <v>-5.194203681</v>
      </c>
      <c r="R251" s="7" t="n">
        <v>-0.3649074428</v>
      </c>
      <c r="S251" s="7" t="n">
        <v>-0.4102631535</v>
      </c>
    </row>
    <row r="252" customFormat="false" ht="15" hidden="false" customHeight="false" outlineLevel="0" collapsed="false">
      <c r="A252" s="5" t="s">
        <v>4</v>
      </c>
      <c r="B252" s="5" t="s">
        <v>57</v>
      </c>
      <c r="C252" s="5" t="s">
        <v>58</v>
      </c>
      <c r="D252" s="2" t="n">
        <v>13</v>
      </c>
      <c r="E252" s="5" t="s">
        <v>166</v>
      </c>
      <c r="F252" s="5" t="s">
        <v>168</v>
      </c>
      <c r="G252" s="2" t="n">
        <v>1</v>
      </c>
      <c r="H252" s="7" t="n">
        <v>0.9553472858</v>
      </c>
      <c r="I252" s="7" t="n">
        <v>-0.2954143298</v>
      </c>
      <c r="J252" s="7" t="n">
        <v>0.006475902479</v>
      </c>
      <c r="K252" s="7" t="n">
        <v>0.2954606217</v>
      </c>
      <c r="L252" s="7" t="n">
        <v>0.9553213014</v>
      </c>
      <c r="M252" s="7" t="n">
        <v>-0.008014489549</v>
      </c>
      <c r="N252" s="7" t="n">
        <v>-0.003818972526</v>
      </c>
      <c r="O252" s="7" t="n">
        <v>0.00956999501</v>
      </c>
      <c r="P252" s="7" t="n">
        <v>0.9999469139</v>
      </c>
      <c r="Q252" s="7" t="n">
        <v>5.22763577</v>
      </c>
      <c r="R252" s="7" t="n">
        <v>6.837428485</v>
      </c>
      <c r="S252" s="7" t="n">
        <v>0.7489482251</v>
      </c>
    </row>
    <row r="253" customFormat="false" ht="15" hidden="false" customHeight="false" outlineLevel="0" collapsed="false">
      <c r="A253" s="5" t="s">
        <v>4</v>
      </c>
      <c r="B253" s="5" t="s">
        <v>57</v>
      </c>
      <c r="C253" s="5" t="s">
        <v>62</v>
      </c>
      <c r="D253" s="2" t="n">
        <v>13</v>
      </c>
      <c r="E253" s="5" t="s">
        <v>166</v>
      </c>
      <c r="F253" s="5" t="s">
        <v>168</v>
      </c>
      <c r="G253" s="2" t="n">
        <v>1</v>
      </c>
      <c r="H253" s="7" t="n">
        <v>0.9553472858</v>
      </c>
      <c r="I253" s="7" t="n">
        <v>-0.2954143298</v>
      </c>
      <c r="J253" s="7" t="n">
        <v>0.006475902479</v>
      </c>
      <c r="K253" s="7" t="n">
        <v>0.2954606217</v>
      </c>
      <c r="L253" s="7" t="n">
        <v>0.9553213014</v>
      </c>
      <c r="M253" s="7" t="n">
        <v>-0.008014489549</v>
      </c>
      <c r="N253" s="7" t="n">
        <v>-0.003818972526</v>
      </c>
      <c r="O253" s="7" t="n">
        <v>0.00956999501</v>
      </c>
      <c r="P253" s="7" t="n">
        <v>0.9999469139</v>
      </c>
      <c r="Q253" s="7" t="n">
        <v>5.22763577</v>
      </c>
      <c r="R253" s="7" t="n">
        <v>6.837428485</v>
      </c>
      <c r="S253" s="7" t="n">
        <v>0.7489482251</v>
      </c>
    </row>
    <row r="254" customFormat="false" ht="15" hidden="false" customHeight="false" outlineLevel="0" collapsed="false">
      <c r="A254" s="5" t="s">
        <v>4</v>
      </c>
      <c r="B254" s="5" t="s">
        <v>57</v>
      </c>
      <c r="C254" s="5" t="s">
        <v>58</v>
      </c>
      <c r="D254" s="2" t="n">
        <v>14</v>
      </c>
      <c r="E254" s="5" t="s">
        <v>166</v>
      </c>
      <c r="F254" s="5" t="s">
        <v>167</v>
      </c>
      <c r="G254" s="2" t="n">
        <v>1</v>
      </c>
      <c r="H254" s="7" t="n">
        <v>-0.2163501052</v>
      </c>
      <c r="I254" s="7" t="n">
        <v>-0.9763153022</v>
      </c>
      <c r="J254" s="7" t="n">
        <v>0.001030901251</v>
      </c>
      <c r="K254" s="7" t="n">
        <v>0.9763080003</v>
      </c>
      <c r="L254" s="7" t="n">
        <v>-0.2163524791</v>
      </c>
      <c r="M254" s="7" t="n">
        <v>-0.003780662502</v>
      </c>
      <c r="N254" s="7" t="n">
        <v>0.003914156694</v>
      </c>
      <c r="O254" s="7" t="n">
        <v>0.0001885304085</v>
      </c>
      <c r="P254" s="7" t="n">
        <v>0.9999923219</v>
      </c>
      <c r="Q254" s="7" t="n">
        <v>-5.195476853</v>
      </c>
      <c r="R254" s="7" t="n">
        <v>-0.3894729933</v>
      </c>
      <c r="S254" s="7" t="n">
        <v>-0.4418611226</v>
      </c>
    </row>
    <row r="255" customFormat="false" ht="15" hidden="false" customHeight="false" outlineLevel="0" collapsed="false">
      <c r="A255" s="5" t="s">
        <v>4</v>
      </c>
      <c r="B255" s="5" t="s">
        <v>57</v>
      </c>
      <c r="C255" s="5" t="s">
        <v>62</v>
      </c>
      <c r="D255" s="2" t="n">
        <v>14</v>
      </c>
      <c r="E255" s="5" t="s">
        <v>166</v>
      </c>
      <c r="F255" s="5" t="s">
        <v>167</v>
      </c>
      <c r="G255" s="2" t="n">
        <v>1</v>
      </c>
      <c r="H255" s="7" t="n">
        <v>-0.2163501052</v>
      </c>
      <c r="I255" s="7" t="n">
        <v>-0.9763153022</v>
      </c>
      <c r="J255" s="7" t="n">
        <v>0.001030901251</v>
      </c>
      <c r="K255" s="7" t="n">
        <v>0.9763080003</v>
      </c>
      <c r="L255" s="7" t="n">
        <v>-0.2163524791</v>
      </c>
      <c r="M255" s="7" t="n">
        <v>-0.003780662502</v>
      </c>
      <c r="N255" s="7" t="n">
        <v>0.003914156694</v>
      </c>
      <c r="O255" s="7" t="n">
        <v>0.0001885304085</v>
      </c>
      <c r="P255" s="7" t="n">
        <v>0.9999923219</v>
      </c>
      <c r="Q255" s="7" t="n">
        <v>-5.195476853</v>
      </c>
      <c r="R255" s="7" t="n">
        <v>-0.3894729933</v>
      </c>
      <c r="S255" s="7" t="n">
        <v>-0.4418611226</v>
      </c>
    </row>
    <row r="256" customFormat="false" ht="15" hidden="false" customHeight="false" outlineLevel="0" collapsed="false">
      <c r="A256" s="5" t="s">
        <v>4</v>
      </c>
      <c r="B256" s="5" t="s">
        <v>57</v>
      </c>
      <c r="C256" s="5" t="s">
        <v>58</v>
      </c>
      <c r="D256" s="2" t="n">
        <v>14</v>
      </c>
      <c r="E256" s="5" t="s">
        <v>166</v>
      </c>
      <c r="F256" s="5" t="s">
        <v>168</v>
      </c>
      <c r="G256" s="2" t="n">
        <v>1</v>
      </c>
      <c r="H256" s="7" t="n">
        <v>0.9560234851</v>
      </c>
      <c r="I256" s="7" t="n">
        <v>-0.2932330542</v>
      </c>
      <c r="J256" s="7" t="n">
        <v>-0.005785478739</v>
      </c>
      <c r="K256" s="7" t="n">
        <v>0.2932616665</v>
      </c>
      <c r="L256" s="7" t="n">
        <v>0.9560195039</v>
      </c>
      <c r="M256" s="7" t="n">
        <v>0.004929824576</v>
      </c>
      <c r="N256" s="7" t="n">
        <v>0.004085442996</v>
      </c>
      <c r="O256" s="7" t="n">
        <v>-0.006409687209</v>
      </c>
      <c r="P256" s="7" t="n">
        <v>0.9999711121</v>
      </c>
      <c r="Q256" s="7" t="n">
        <v>5.198787287</v>
      </c>
      <c r="R256" s="7" t="n">
        <v>6.859618497</v>
      </c>
      <c r="S256" s="7" t="n">
        <v>0.7094352472</v>
      </c>
    </row>
    <row r="257" customFormat="false" ht="15" hidden="false" customHeight="false" outlineLevel="0" collapsed="false">
      <c r="A257" s="5" t="s">
        <v>4</v>
      </c>
      <c r="B257" s="5" t="s">
        <v>57</v>
      </c>
      <c r="C257" s="5" t="s">
        <v>62</v>
      </c>
      <c r="D257" s="2" t="n">
        <v>14</v>
      </c>
      <c r="E257" s="5" t="s">
        <v>166</v>
      </c>
      <c r="F257" s="5" t="s">
        <v>168</v>
      </c>
      <c r="G257" s="2" t="n">
        <v>1</v>
      </c>
      <c r="H257" s="7" t="n">
        <v>0.9560234851</v>
      </c>
      <c r="I257" s="7" t="n">
        <v>-0.2932330542</v>
      </c>
      <c r="J257" s="7" t="n">
        <v>-0.005785478739</v>
      </c>
      <c r="K257" s="7" t="n">
        <v>0.2932616665</v>
      </c>
      <c r="L257" s="7" t="n">
        <v>0.9560195039</v>
      </c>
      <c r="M257" s="7" t="n">
        <v>0.004929824576</v>
      </c>
      <c r="N257" s="7" t="n">
        <v>0.004085442996</v>
      </c>
      <c r="O257" s="7" t="n">
        <v>-0.006409687209</v>
      </c>
      <c r="P257" s="7" t="n">
        <v>0.9999711121</v>
      </c>
      <c r="Q257" s="7" t="n">
        <v>5.198787287</v>
      </c>
      <c r="R257" s="7" t="n">
        <v>6.859618497</v>
      </c>
      <c r="S257" s="7" t="n">
        <v>0.7094352472</v>
      </c>
    </row>
    <row r="258" customFormat="false" ht="15" hidden="false" customHeight="false" outlineLevel="0" collapsed="false">
      <c r="A258" s="5" t="s">
        <v>4</v>
      </c>
      <c r="B258" s="5" t="s">
        <v>57</v>
      </c>
      <c r="C258" s="5" t="s">
        <v>58</v>
      </c>
      <c r="D258" s="2" t="n">
        <v>15</v>
      </c>
      <c r="E258" s="5" t="s">
        <v>166</v>
      </c>
      <c r="F258" s="5" t="s">
        <v>167</v>
      </c>
      <c r="G258" s="2" t="n">
        <v>1</v>
      </c>
      <c r="H258" s="7" t="n">
        <v>-0.2165098416</v>
      </c>
      <c r="I258" s="7" t="n">
        <v>-0.9762561236</v>
      </c>
      <c r="J258" s="7" t="n">
        <v>0.006889822909</v>
      </c>
      <c r="K258" s="7" t="n">
        <v>0.9762793888</v>
      </c>
      <c r="L258" s="7" t="n">
        <v>-0.2165145514</v>
      </c>
      <c r="M258" s="7" t="n">
        <v>6.374518886E-005</v>
      </c>
      <c r="N258" s="7" t="n">
        <v>0.001429515286</v>
      </c>
      <c r="O258" s="7" t="n">
        <v>0.00674019356</v>
      </c>
      <c r="P258" s="7" t="n">
        <v>0.9999762629</v>
      </c>
      <c r="Q258" s="7" t="n">
        <v>-5.189242675</v>
      </c>
      <c r="R258" s="7" t="n">
        <v>-0.3714166564</v>
      </c>
      <c r="S258" s="7" t="n">
        <v>-0.4098043805</v>
      </c>
    </row>
    <row r="259" customFormat="false" ht="15" hidden="false" customHeight="false" outlineLevel="0" collapsed="false">
      <c r="A259" s="5" t="s">
        <v>4</v>
      </c>
      <c r="B259" s="5" t="s">
        <v>57</v>
      </c>
      <c r="C259" s="5" t="s">
        <v>62</v>
      </c>
      <c r="D259" s="2" t="n">
        <v>15</v>
      </c>
      <c r="E259" s="5" t="s">
        <v>166</v>
      </c>
      <c r="F259" s="5" t="s">
        <v>167</v>
      </c>
      <c r="G259" s="2" t="n">
        <v>1</v>
      </c>
      <c r="H259" s="7" t="n">
        <v>-0.2165098416</v>
      </c>
      <c r="I259" s="7" t="n">
        <v>-0.9762561236</v>
      </c>
      <c r="J259" s="7" t="n">
        <v>0.006889822909</v>
      </c>
      <c r="K259" s="7" t="n">
        <v>0.9762793888</v>
      </c>
      <c r="L259" s="7" t="n">
        <v>-0.2165145514</v>
      </c>
      <c r="M259" s="7" t="n">
        <v>6.374518886E-005</v>
      </c>
      <c r="N259" s="7" t="n">
        <v>0.001429515286</v>
      </c>
      <c r="O259" s="7" t="n">
        <v>0.00674019356</v>
      </c>
      <c r="P259" s="7" t="n">
        <v>0.9999762629</v>
      </c>
      <c r="Q259" s="7" t="n">
        <v>-5.189242675</v>
      </c>
      <c r="R259" s="7" t="n">
        <v>-0.3714166564</v>
      </c>
      <c r="S259" s="7" t="n">
        <v>-0.4098043805</v>
      </c>
    </row>
    <row r="260" customFormat="false" ht="15" hidden="false" customHeight="false" outlineLevel="0" collapsed="false">
      <c r="A260" s="5" t="s">
        <v>4</v>
      </c>
      <c r="B260" s="5" t="s">
        <v>57</v>
      </c>
      <c r="C260" s="5" t="s">
        <v>58</v>
      </c>
      <c r="D260" s="2" t="n">
        <v>15</v>
      </c>
      <c r="E260" s="5" t="s">
        <v>166</v>
      </c>
      <c r="F260" s="5" t="s">
        <v>168</v>
      </c>
      <c r="G260" s="2" t="n">
        <v>1</v>
      </c>
      <c r="H260" s="7" t="n">
        <v>0.9557079294</v>
      </c>
      <c r="I260" s="7" t="n">
        <v>-0.2941031401</v>
      </c>
      <c r="J260" s="7" t="n">
        <v>-0.01121144864</v>
      </c>
      <c r="K260" s="7" t="n">
        <v>0.2943034504</v>
      </c>
      <c r="L260" s="7" t="n">
        <v>0.9553333232</v>
      </c>
      <c r="M260" s="7" t="n">
        <v>0.02690205841</v>
      </c>
      <c r="N260" s="7" t="n">
        <v>0.002798690633</v>
      </c>
      <c r="O260" s="7" t="n">
        <v>-0.02901007856</v>
      </c>
      <c r="P260" s="7" t="n">
        <v>0.9995752011</v>
      </c>
      <c r="Q260" s="7" t="n">
        <v>5.200578141</v>
      </c>
      <c r="R260" s="7" t="n">
        <v>6.882848453</v>
      </c>
      <c r="S260" s="7" t="n">
        <v>0.8984156055</v>
      </c>
    </row>
    <row r="261" customFormat="false" ht="15" hidden="false" customHeight="false" outlineLevel="0" collapsed="false">
      <c r="A261" s="5" t="s">
        <v>4</v>
      </c>
      <c r="B261" s="5" t="s">
        <v>57</v>
      </c>
      <c r="C261" s="5" t="s">
        <v>62</v>
      </c>
      <c r="D261" s="2" t="n">
        <v>15</v>
      </c>
      <c r="E261" s="5" t="s">
        <v>166</v>
      </c>
      <c r="F261" s="5" t="s">
        <v>168</v>
      </c>
      <c r="G261" s="2" t="n">
        <v>1</v>
      </c>
      <c r="H261" s="7" t="n">
        <v>0.955535614</v>
      </c>
      <c r="I261" s="7" t="n">
        <v>-0.2948750156</v>
      </c>
      <c r="J261" s="7" t="n">
        <v>-0.0006445808742</v>
      </c>
      <c r="K261" s="7" t="n">
        <v>0.2948115466</v>
      </c>
      <c r="L261" s="7" t="n">
        <v>0.955279777</v>
      </c>
      <c r="M261" s="7" t="n">
        <v>0.02294993556</v>
      </c>
      <c r="N261" s="7" t="n">
        <v>-0.006151607531</v>
      </c>
      <c r="O261" s="7" t="n">
        <v>-0.02211951065</v>
      </c>
      <c r="P261" s="7" t="n">
        <v>0.9997364077</v>
      </c>
      <c r="Q261" s="7" t="n">
        <v>5.215798253</v>
      </c>
      <c r="R261" s="7" t="n">
        <v>6.864161043</v>
      </c>
      <c r="S261" s="7" t="n">
        <v>1.008127487</v>
      </c>
    </row>
    <row r="262" customFormat="false" ht="15" hidden="false" customHeight="false" outlineLevel="0" collapsed="false">
      <c r="A262" s="5" t="s">
        <v>4</v>
      </c>
      <c r="B262" s="5" t="s">
        <v>57</v>
      </c>
      <c r="C262" s="5" t="s">
        <v>58</v>
      </c>
      <c r="D262" s="2" t="n">
        <v>16</v>
      </c>
      <c r="E262" s="5" t="s">
        <v>166</v>
      </c>
      <c r="F262" s="5" t="s">
        <v>167</v>
      </c>
      <c r="G262" s="2" t="n">
        <v>1</v>
      </c>
      <c r="H262" s="7" t="n">
        <v>-0.2173534903</v>
      </c>
      <c r="I262" s="7" t="n">
        <v>-0.9760907798</v>
      </c>
      <c r="J262" s="7" t="n">
        <v>-0.002061536049</v>
      </c>
      <c r="K262" s="7" t="n">
        <v>0.9760842419</v>
      </c>
      <c r="L262" s="7" t="n">
        <v>-0.2173599897</v>
      </c>
      <c r="M262" s="7" t="n">
        <v>0.003766639828</v>
      </c>
      <c r="N262" s="7" t="n">
        <v>-0.004124677861</v>
      </c>
      <c r="O262" s="7" t="n">
        <v>-0.001193540538</v>
      </c>
      <c r="P262" s="7" t="n">
        <v>0.9999907812</v>
      </c>
      <c r="Q262" s="7" t="n">
        <v>-5.193774268</v>
      </c>
      <c r="R262" s="7" t="n">
        <v>-0.3830354666</v>
      </c>
      <c r="S262" s="7" t="n">
        <v>-0.3684145116</v>
      </c>
    </row>
    <row r="263" customFormat="false" ht="15" hidden="false" customHeight="false" outlineLevel="0" collapsed="false">
      <c r="A263" s="5" t="s">
        <v>4</v>
      </c>
      <c r="B263" s="5" t="s">
        <v>57</v>
      </c>
      <c r="C263" s="5" t="s">
        <v>62</v>
      </c>
      <c r="D263" s="2" t="n">
        <v>16</v>
      </c>
      <c r="E263" s="5" t="s">
        <v>166</v>
      </c>
      <c r="F263" s="5" t="s">
        <v>167</v>
      </c>
      <c r="G263" s="2" t="n">
        <v>1</v>
      </c>
      <c r="H263" s="7" t="n">
        <v>-0.2173534903</v>
      </c>
      <c r="I263" s="7" t="n">
        <v>-0.9760907798</v>
      </c>
      <c r="J263" s="7" t="n">
        <v>-0.002061536049</v>
      </c>
      <c r="K263" s="7" t="n">
        <v>0.9760842419</v>
      </c>
      <c r="L263" s="7" t="n">
        <v>-0.2173599897</v>
      </c>
      <c r="M263" s="7" t="n">
        <v>0.003766639828</v>
      </c>
      <c r="N263" s="7" t="n">
        <v>-0.004124677861</v>
      </c>
      <c r="O263" s="7" t="n">
        <v>-0.001193540538</v>
      </c>
      <c r="P263" s="7" t="n">
        <v>0.9999907812</v>
      </c>
      <c r="Q263" s="7" t="n">
        <v>-5.193774268</v>
      </c>
      <c r="R263" s="7" t="n">
        <v>-0.3830354666</v>
      </c>
      <c r="S263" s="7" t="n">
        <v>-0.3684145116</v>
      </c>
    </row>
    <row r="264" customFormat="false" ht="15" hidden="false" customHeight="false" outlineLevel="0" collapsed="false">
      <c r="A264" s="5" t="s">
        <v>4</v>
      </c>
      <c r="B264" s="5" t="s">
        <v>57</v>
      </c>
      <c r="C264" s="5" t="s">
        <v>58</v>
      </c>
      <c r="D264" s="2" t="n">
        <v>16</v>
      </c>
      <c r="E264" s="5" t="s">
        <v>166</v>
      </c>
      <c r="F264" s="5" t="s">
        <v>168</v>
      </c>
      <c r="G264" s="2" t="n">
        <v>1</v>
      </c>
      <c r="H264" s="7" t="n">
        <v>0.955655551</v>
      </c>
      <c r="I264" s="7" t="n">
        <v>-0.2944860666</v>
      </c>
      <c r="J264" s="7" t="n">
        <v>0.0006514638155</v>
      </c>
      <c r="K264" s="7" t="n">
        <v>0.2944866201</v>
      </c>
      <c r="L264" s="7" t="n">
        <v>0.955655027</v>
      </c>
      <c r="M264" s="7" t="n">
        <v>-0.001048818961</v>
      </c>
      <c r="N264" s="7" t="n">
        <v>-0.0003137120998</v>
      </c>
      <c r="O264" s="7" t="n">
        <v>0.001194157039</v>
      </c>
      <c r="P264" s="7" t="n">
        <v>0.9999992378</v>
      </c>
      <c r="Q264" s="7" t="n">
        <v>5.215876571</v>
      </c>
      <c r="R264" s="7" t="n">
        <v>6.855153192</v>
      </c>
      <c r="S264" s="7" t="n">
        <v>0.7270412731</v>
      </c>
    </row>
    <row r="265" customFormat="false" ht="15" hidden="false" customHeight="false" outlineLevel="0" collapsed="false">
      <c r="A265" s="5" t="s">
        <v>4</v>
      </c>
      <c r="B265" s="5" t="s">
        <v>57</v>
      </c>
      <c r="C265" s="5" t="s">
        <v>62</v>
      </c>
      <c r="D265" s="2" t="n">
        <v>16</v>
      </c>
      <c r="E265" s="5" t="s">
        <v>166</v>
      </c>
      <c r="F265" s="5" t="s">
        <v>168</v>
      </c>
      <c r="G265" s="2" t="n">
        <v>1</v>
      </c>
      <c r="H265" s="7" t="n">
        <v>0.955655551</v>
      </c>
      <c r="I265" s="7" t="n">
        <v>-0.2944860666</v>
      </c>
      <c r="J265" s="7" t="n">
        <v>0.0006514638155</v>
      </c>
      <c r="K265" s="7" t="n">
        <v>0.2944866201</v>
      </c>
      <c r="L265" s="7" t="n">
        <v>0.955655027</v>
      </c>
      <c r="M265" s="7" t="n">
        <v>-0.001048818961</v>
      </c>
      <c r="N265" s="7" t="n">
        <v>-0.0003137120998</v>
      </c>
      <c r="O265" s="7" t="n">
        <v>0.001194157039</v>
      </c>
      <c r="P265" s="7" t="n">
        <v>0.9999992378</v>
      </c>
      <c r="Q265" s="7" t="n">
        <v>5.215876571</v>
      </c>
      <c r="R265" s="7" t="n">
        <v>6.855153192</v>
      </c>
      <c r="S265" s="7" t="n">
        <v>0.7270412731</v>
      </c>
    </row>
    <row r="266" customFormat="false" ht="15" hidden="false" customHeight="false" outlineLevel="0" collapsed="false">
      <c r="A266" s="5" t="s">
        <v>4</v>
      </c>
      <c r="B266" s="5" t="s">
        <v>57</v>
      </c>
      <c r="C266" s="5" t="s">
        <v>58</v>
      </c>
      <c r="D266" s="2" t="n">
        <v>17</v>
      </c>
      <c r="E266" s="5" t="s">
        <v>166</v>
      </c>
      <c r="F266" s="5" t="s">
        <v>167</v>
      </c>
      <c r="G266" s="2" t="n">
        <v>1</v>
      </c>
      <c r="H266" s="7" t="n">
        <v>-0.2144019071</v>
      </c>
      <c r="I266" s="7" t="n">
        <v>-0.976742935</v>
      </c>
      <c r="J266" s="7" t="n">
        <v>0.00224972446</v>
      </c>
      <c r="K266" s="7" t="n">
        <v>0.9767355577</v>
      </c>
      <c r="L266" s="7" t="n">
        <v>-0.2144095562</v>
      </c>
      <c r="M266" s="7" t="n">
        <v>-0.004024005111</v>
      </c>
      <c r="N266" s="7" t="n">
        <v>0.004412780985</v>
      </c>
      <c r="O266" s="7" t="n">
        <v>0.001334631505</v>
      </c>
      <c r="P266" s="7" t="n">
        <v>0.999989373</v>
      </c>
      <c r="Q266" s="7" t="n">
        <v>-5.18859107</v>
      </c>
      <c r="R266" s="7" t="n">
        <v>-0.3781021318</v>
      </c>
      <c r="S266" s="7" t="n">
        <v>-0.4300541239</v>
      </c>
    </row>
    <row r="267" customFormat="false" ht="15" hidden="false" customHeight="false" outlineLevel="0" collapsed="false">
      <c r="A267" s="5" t="s">
        <v>4</v>
      </c>
      <c r="B267" s="5" t="s">
        <v>57</v>
      </c>
      <c r="C267" s="5" t="s">
        <v>62</v>
      </c>
      <c r="D267" s="2" t="n">
        <v>17</v>
      </c>
      <c r="E267" s="5" t="s">
        <v>166</v>
      </c>
      <c r="F267" s="5" t="s">
        <v>167</v>
      </c>
      <c r="G267" s="2" t="n">
        <v>1</v>
      </c>
      <c r="H267" s="7" t="n">
        <v>-0.2144019071</v>
      </c>
      <c r="I267" s="7" t="n">
        <v>-0.976742935</v>
      </c>
      <c r="J267" s="7" t="n">
        <v>0.00224972446</v>
      </c>
      <c r="K267" s="7" t="n">
        <v>0.9767355577</v>
      </c>
      <c r="L267" s="7" t="n">
        <v>-0.2144095562</v>
      </c>
      <c r="M267" s="7" t="n">
        <v>-0.004024005111</v>
      </c>
      <c r="N267" s="7" t="n">
        <v>0.004412780985</v>
      </c>
      <c r="O267" s="7" t="n">
        <v>0.001334631505</v>
      </c>
      <c r="P267" s="7" t="n">
        <v>0.999989373</v>
      </c>
      <c r="Q267" s="7" t="n">
        <v>-5.18859107</v>
      </c>
      <c r="R267" s="7" t="n">
        <v>-0.3781021318</v>
      </c>
      <c r="S267" s="7" t="n">
        <v>-0.4300541239</v>
      </c>
    </row>
    <row r="268" customFormat="false" ht="15" hidden="false" customHeight="false" outlineLevel="0" collapsed="false">
      <c r="A268" s="5" t="s">
        <v>4</v>
      </c>
      <c r="B268" s="5" t="s">
        <v>57</v>
      </c>
      <c r="C268" s="5" t="s">
        <v>58</v>
      </c>
      <c r="D268" s="2" t="n">
        <v>17</v>
      </c>
      <c r="E268" s="5" t="s">
        <v>166</v>
      </c>
      <c r="F268" s="5" t="s">
        <v>168</v>
      </c>
      <c r="G268" s="2" t="n">
        <v>1</v>
      </c>
      <c r="H268" s="7" t="n">
        <v>0.9558464972</v>
      </c>
      <c r="I268" s="7" t="n">
        <v>-0.2938600593</v>
      </c>
      <c r="J268" s="7" t="n">
        <v>0.001933757189</v>
      </c>
      <c r="K268" s="7" t="n">
        <v>0.2938662907</v>
      </c>
      <c r="L268" s="7" t="n">
        <v>0.9558191606</v>
      </c>
      <c r="M268" s="7" t="n">
        <v>-0.007234320882</v>
      </c>
      <c r="N268" s="7" t="n">
        <v>0.0002775557898</v>
      </c>
      <c r="O268" s="7" t="n">
        <v>0.007483166327</v>
      </c>
      <c r="P268" s="7" t="n">
        <v>0.9999719622</v>
      </c>
      <c r="Q268" s="7" t="n">
        <v>5.218415527</v>
      </c>
      <c r="R268" s="7" t="n">
        <v>6.834200794</v>
      </c>
      <c r="S268" s="7" t="n">
        <v>0.721768508</v>
      </c>
    </row>
    <row r="269" customFormat="false" ht="15" hidden="false" customHeight="false" outlineLevel="0" collapsed="false">
      <c r="A269" s="5" t="s">
        <v>4</v>
      </c>
      <c r="B269" s="5" t="s">
        <v>57</v>
      </c>
      <c r="C269" s="5" t="s">
        <v>62</v>
      </c>
      <c r="D269" s="2" t="n">
        <v>17</v>
      </c>
      <c r="E269" s="5" t="s">
        <v>166</v>
      </c>
      <c r="F269" s="5" t="s">
        <v>168</v>
      </c>
      <c r="G269" s="2" t="n">
        <v>1</v>
      </c>
      <c r="H269" s="7" t="n">
        <v>0.9558464972</v>
      </c>
      <c r="I269" s="7" t="n">
        <v>-0.2938600593</v>
      </c>
      <c r="J269" s="7" t="n">
        <v>0.001933757189</v>
      </c>
      <c r="K269" s="7" t="n">
        <v>0.2938662907</v>
      </c>
      <c r="L269" s="7" t="n">
        <v>0.9558191606</v>
      </c>
      <c r="M269" s="7" t="n">
        <v>-0.007234320882</v>
      </c>
      <c r="N269" s="7" t="n">
        <v>0.0002775557898</v>
      </c>
      <c r="O269" s="7" t="n">
        <v>0.007483166327</v>
      </c>
      <c r="P269" s="7" t="n">
        <v>0.9999719622</v>
      </c>
      <c r="Q269" s="7" t="n">
        <v>5.218415527</v>
      </c>
      <c r="R269" s="7" t="n">
        <v>6.834200794</v>
      </c>
      <c r="S269" s="7" t="n">
        <v>0.721768508</v>
      </c>
    </row>
    <row r="270" customFormat="false" ht="15" hidden="false" customHeight="false" outlineLevel="0" collapsed="false">
      <c r="A270" s="5" t="s">
        <v>4</v>
      </c>
      <c r="B270" s="5" t="s">
        <v>57</v>
      </c>
      <c r="C270" s="5" t="s">
        <v>58</v>
      </c>
      <c r="D270" s="2" t="n">
        <v>18</v>
      </c>
      <c r="E270" s="5" t="s">
        <v>166</v>
      </c>
      <c r="F270" s="5" t="s">
        <v>167</v>
      </c>
      <c r="G270" s="2" t="n">
        <v>1</v>
      </c>
      <c r="H270" s="7" t="n">
        <v>-0.2171186076</v>
      </c>
      <c r="I270" s="7" t="n">
        <v>-0.9761065752</v>
      </c>
      <c r="J270" s="7" t="n">
        <v>0.008687012291</v>
      </c>
      <c r="K270" s="7" t="n">
        <v>0.9761420087</v>
      </c>
      <c r="L270" s="7" t="n">
        <v>-0.2171321564</v>
      </c>
      <c r="M270" s="7" t="n">
        <v>-0.0006367950783</v>
      </c>
      <c r="N270" s="7" t="n">
        <v>0.002507809575</v>
      </c>
      <c r="O270" s="7" t="n">
        <v>0.008341497566</v>
      </c>
      <c r="P270" s="7" t="n">
        <v>0.9999620644</v>
      </c>
      <c r="Q270" s="7" t="n">
        <v>-5.185894056</v>
      </c>
      <c r="R270" s="7" t="n">
        <v>-0.3672115178</v>
      </c>
      <c r="S270" s="7" t="n">
        <v>-0.4078647812</v>
      </c>
    </row>
    <row r="271" customFormat="false" ht="15" hidden="false" customHeight="false" outlineLevel="0" collapsed="false">
      <c r="A271" s="5" t="s">
        <v>4</v>
      </c>
      <c r="B271" s="5" t="s">
        <v>57</v>
      </c>
      <c r="C271" s="5" t="s">
        <v>62</v>
      </c>
      <c r="D271" s="2" t="n">
        <v>18</v>
      </c>
      <c r="E271" s="5" t="s">
        <v>166</v>
      </c>
      <c r="F271" s="5" t="s">
        <v>167</v>
      </c>
      <c r="G271" s="2" t="n">
        <v>1</v>
      </c>
      <c r="H271" s="7" t="n">
        <v>-0.2171186076</v>
      </c>
      <c r="I271" s="7" t="n">
        <v>-0.9761065752</v>
      </c>
      <c r="J271" s="7" t="n">
        <v>0.008687012291</v>
      </c>
      <c r="K271" s="7" t="n">
        <v>0.9761420087</v>
      </c>
      <c r="L271" s="7" t="n">
        <v>-0.2171321564</v>
      </c>
      <c r="M271" s="7" t="n">
        <v>-0.0006367950783</v>
      </c>
      <c r="N271" s="7" t="n">
        <v>0.002507809575</v>
      </c>
      <c r="O271" s="7" t="n">
        <v>0.008341497566</v>
      </c>
      <c r="P271" s="7" t="n">
        <v>0.9999620644</v>
      </c>
      <c r="Q271" s="7" t="n">
        <v>-5.185894056</v>
      </c>
      <c r="R271" s="7" t="n">
        <v>-0.3672115178</v>
      </c>
      <c r="S271" s="7" t="n">
        <v>-0.4078647812</v>
      </c>
    </row>
    <row r="272" customFormat="false" ht="15" hidden="false" customHeight="false" outlineLevel="0" collapsed="false">
      <c r="A272" s="5" t="s">
        <v>4</v>
      </c>
      <c r="B272" s="5" t="s">
        <v>57</v>
      </c>
      <c r="C272" s="5" t="s">
        <v>58</v>
      </c>
      <c r="D272" s="2" t="n">
        <v>18</v>
      </c>
      <c r="E272" s="5" t="s">
        <v>166</v>
      </c>
      <c r="F272" s="5" t="s">
        <v>168</v>
      </c>
      <c r="G272" s="2" t="n">
        <v>1</v>
      </c>
      <c r="H272" s="7" t="n">
        <v>0.9556752994</v>
      </c>
      <c r="I272" s="7" t="n">
        <v>-0.2943873319</v>
      </c>
      <c r="J272" s="7" t="n">
        <v>0.004562993176</v>
      </c>
      <c r="K272" s="7" t="n">
        <v>0.2943958728</v>
      </c>
      <c r="L272" s="7" t="n">
        <v>0.9556826583</v>
      </c>
      <c r="M272" s="7" t="n">
        <v>-0.001314040055</v>
      </c>
      <c r="N272" s="7" t="n">
        <v>-0.003973936703</v>
      </c>
      <c r="O272" s="7" t="n">
        <v>0.002599121981</v>
      </c>
      <c r="P272" s="7" t="n">
        <v>0.9999887261</v>
      </c>
      <c r="Q272" s="7" t="n">
        <v>5.225072882</v>
      </c>
      <c r="R272" s="7" t="n">
        <v>6.854789044</v>
      </c>
      <c r="S272" s="7" t="n">
        <v>0.8012480511</v>
      </c>
    </row>
    <row r="273" customFormat="false" ht="15" hidden="false" customHeight="false" outlineLevel="0" collapsed="false">
      <c r="A273" s="5" t="s">
        <v>4</v>
      </c>
      <c r="B273" s="5" t="s">
        <v>57</v>
      </c>
      <c r="C273" s="5" t="s">
        <v>62</v>
      </c>
      <c r="D273" s="2" t="n">
        <v>18</v>
      </c>
      <c r="E273" s="5" t="s">
        <v>166</v>
      </c>
      <c r="F273" s="5" t="s">
        <v>168</v>
      </c>
      <c r="G273" s="2" t="n">
        <v>1</v>
      </c>
      <c r="H273" s="7" t="n">
        <v>0.9556752994</v>
      </c>
      <c r="I273" s="7" t="n">
        <v>-0.2943873319</v>
      </c>
      <c r="J273" s="7" t="n">
        <v>0.004562993176</v>
      </c>
      <c r="K273" s="7" t="n">
        <v>0.2943958728</v>
      </c>
      <c r="L273" s="7" t="n">
        <v>0.9556826583</v>
      </c>
      <c r="M273" s="7" t="n">
        <v>-0.001314040055</v>
      </c>
      <c r="N273" s="7" t="n">
        <v>-0.003973936703</v>
      </c>
      <c r="O273" s="7" t="n">
        <v>0.002599121981</v>
      </c>
      <c r="P273" s="7" t="n">
        <v>0.9999887261</v>
      </c>
      <c r="Q273" s="7" t="n">
        <v>5.225072882</v>
      </c>
      <c r="R273" s="7" t="n">
        <v>6.854789044</v>
      </c>
      <c r="S273" s="7" t="n">
        <v>0.8012480511</v>
      </c>
    </row>
    <row r="274" customFormat="false" ht="15" hidden="false" customHeight="false" outlineLevel="0" collapsed="false">
      <c r="A274" s="5" t="s">
        <v>4</v>
      </c>
      <c r="B274" s="5" t="s">
        <v>57</v>
      </c>
      <c r="C274" s="5" t="s">
        <v>58</v>
      </c>
      <c r="D274" s="2" t="n">
        <v>19</v>
      </c>
      <c r="E274" s="5" t="s">
        <v>166</v>
      </c>
      <c r="F274" s="5" t="s">
        <v>167</v>
      </c>
      <c r="G274" s="2" t="n">
        <v>1</v>
      </c>
      <c r="H274" s="7" t="n">
        <v>-0.2170707367</v>
      </c>
      <c r="I274" s="7" t="n">
        <v>-0.9761537212</v>
      </c>
      <c r="J274" s="7" t="n">
        <v>0.002051314528</v>
      </c>
      <c r="K274" s="7" t="n">
        <v>0.9761516985</v>
      </c>
      <c r="L274" s="7" t="n">
        <v>-0.2170754767</v>
      </c>
      <c r="M274" s="7" t="n">
        <v>-0.002469619808</v>
      </c>
      <c r="N274" s="7" t="n">
        <v>0.002856018644</v>
      </c>
      <c r="O274" s="7" t="n">
        <v>0.00146631197</v>
      </c>
      <c r="P274" s="7" t="n">
        <v>0.9999948465</v>
      </c>
      <c r="Q274" s="7" t="n">
        <v>-5.202223311</v>
      </c>
      <c r="R274" s="7" t="n">
        <v>-0.3793422535</v>
      </c>
      <c r="S274" s="7" t="n">
        <v>-0.4170077313</v>
      </c>
    </row>
    <row r="275" customFormat="false" ht="15" hidden="false" customHeight="false" outlineLevel="0" collapsed="false">
      <c r="A275" s="5" t="s">
        <v>4</v>
      </c>
      <c r="B275" s="5" t="s">
        <v>57</v>
      </c>
      <c r="C275" s="5" t="s">
        <v>62</v>
      </c>
      <c r="D275" s="2" t="n">
        <v>19</v>
      </c>
      <c r="E275" s="5" t="s">
        <v>166</v>
      </c>
      <c r="F275" s="5" t="s">
        <v>167</v>
      </c>
      <c r="G275" s="2" t="n">
        <v>1</v>
      </c>
      <c r="H275" s="7" t="n">
        <v>-0.2170707367</v>
      </c>
      <c r="I275" s="7" t="n">
        <v>-0.9761537212</v>
      </c>
      <c r="J275" s="7" t="n">
        <v>0.002051314528</v>
      </c>
      <c r="K275" s="7" t="n">
        <v>0.9761516985</v>
      </c>
      <c r="L275" s="7" t="n">
        <v>-0.2170754767</v>
      </c>
      <c r="M275" s="7" t="n">
        <v>-0.002469619808</v>
      </c>
      <c r="N275" s="7" t="n">
        <v>0.002856018644</v>
      </c>
      <c r="O275" s="7" t="n">
        <v>0.00146631197</v>
      </c>
      <c r="P275" s="7" t="n">
        <v>0.9999948465</v>
      </c>
      <c r="Q275" s="7" t="n">
        <v>-5.202223311</v>
      </c>
      <c r="R275" s="7" t="n">
        <v>-0.3793422535</v>
      </c>
      <c r="S275" s="7" t="n">
        <v>-0.4170077313</v>
      </c>
    </row>
    <row r="276" customFormat="false" ht="15" hidden="false" customHeight="false" outlineLevel="0" collapsed="false">
      <c r="A276" s="5" t="s">
        <v>4</v>
      </c>
      <c r="B276" s="5" t="s">
        <v>57</v>
      </c>
      <c r="C276" s="5" t="s">
        <v>58</v>
      </c>
      <c r="D276" s="2" t="n">
        <v>19</v>
      </c>
      <c r="E276" s="5" t="s">
        <v>166</v>
      </c>
      <c r="F276" s="5" t="s">
        <v>168</v>
      </c>
      <c r="G276" s="2" t="n">
        <v>1</v>
      </c>
      <c r="H276" s="7" t="n">
        <v>0.9556047008</v>
      </c>
      <c r="I276" s="7" t="n">
        <v>-0.2946501418</v>
      </c>
      <c r="J276" s="7" t="n">
        <v>0.0009745521908</v>
      </c>
      <c r="K276" s="7" t="n">
        <v>0.2946516999</v>
      </c>
      <c r="L276" s="7" t="n">
        <v>0.955597306</v>
      </c>
      <c r="M276" s="7" t="n">
        <v>-0.003763587993</v>
      </c>
      <c r="N276" s="7" t="n">
        <v>0.0001776622876</v>
      </c>
      <c r="O276" s="7" t="n">
        <v>0.003883655837</v>
      </c>
      <c r="P276" s="7" t="n">
        <v>0.9999924428</v>
      </c>
      <c r="Q276" s="7" t="n">
        <v>5.232080938</v>
      </c>
      <c r="R276" s="7" t="n">
        <v>6.852818701</v>
      </c>
      <c r="S276" s="7" t="n">
        <v>0.7290191762</v>
      </c>
    </row>
    <row r="277" customFormat="false" ht="15" hidden="false" customHeight="false" outlineLevel="0" collapsed="false">
      <c r="A277" s="5" t="s">
        <v>4</v>
      </c>
      <c r="B277" s="5" t="s">
        <v>57</v>
      </c>
      <c r="C277" s="5" t="s">
        <v>62</v>
      </c>
      <c r="D277" s="2" t="n">
        <v>19</v>
      </c>
      <c r="E277" s="5" t="s">
        <v>166</v>
      </c>
      <c r="F277" s="5" t="s">
        <v>168</v>
      </c>
      <c r="G277" s="2" t="n">
        <v>1</v>
      </c>
      <c r="H277" s="7" t="n">
        <v>0.9556047008</v>
      </c>
      <c r="I277" s="7" t="n">
        <v>-0.2946501418</v>
      </c>
      <c r="J277" s="7" t="n">
        <v>0.0009745521908</v>
      </c>
      <c r="K277" s="7" t="n">
        <v>0.2946516999</v>
      </c>
      <c r="L277" s="7" t="n">
        <v>0.955597306</v>
      </c>
      <c r="M277" s="7" t="n">
        <v>-0.003763587993</v>
      </c>
      <c r="N277" s="7" t="n">
        <v>0.0001776622876</v>
      </c>
      <c r="O277" s="7" t="n">
        <v>0.003883655837</v>
      </c>
      <c r="P277" s="7" t="n">
        <v>0.9999924428</v>
      </c>
      <c r="Q277" s="7" t="n">
        <v>5.232080938</v>
      </c>
      <c r="R277" s="7" t="n">
        <v>6.852818701</v>
      </c>
      <c r="S277" s="7" t="n">
        <v>0.7290191762</v>
      </c>
    </row>
    <row r="278" customFormat="false" ht="15" hidden="false" customHeight="false" outlineLevel="0" collapsed="false">
      <c r="A278" s="5" t="s">
        <v>4</v>
      </c>
      <c r="B278" s="5" t="s">
        <v>57</v>
      </c>
      <c r="C278" s="5" t="s">
        <v>58</v>
      </c>
      <c r="D278" s="2" t="n">
        <v>20</v>
      </c>
      <c r="E278" s="5" t="s">
        <v>166</v>
      </c>
      <c r="F278" s="5" t="s">
        <v>167</v>
      </c>
      <c r="G278" s="2" t="n">
        <v>1</v>
      </c>
      <c r="H278" s="7" t="n">
        <v>-0.2165263714</v>
      </c>
      <c r="I278" s="7" t="n">
        <v>-0.9762723953</v>
      </c>
      <c r="J278" s="7" t="n">
        <v>0.002922438546</v>
      </c>
      <c r="K278" s="7" t="n">
        <v>0.9762709984</v>
      </c>
      <c r="L278" s="7" t="n">
        <v>-0.2165344139</v>
      </c>
      <c r="M278" s="7" t="n">
        <v>-0.002790205143</v>
      </c>
      <c r="N278" s="7" t="n">
        <v>0.003356808776</v>
      </c>
      <c r="O278" s="7" t="n">
        <v>0.002248939002</v>
      </c>
      <c r="P278" s="7" t="n">
        <v>0.999991837</v>
      </c>
      <c r="Q278" s="7" t="n">
        <v>-5.209632309</v>
      </c>
      <c r="R278" s="7" t="n">
        <v>-0.3705684827</v>
      </c>
      <c r="S278" s="7" t="n">
        <v>-0.4133634077</v>
      </c>
    </row>
    <row r="279" customFormat="false" ht="15" hidden="false" customHeight="false" outlineLevel="0" collapsed="false">
      <c r="A279" s="5" t="s">
        <v>4</v>
      </c>
      <c r="B279" s="5" t="s">
        <v>57</v>
      </c>
      <c r="C279" s="5" t="s">
        <v>62</v>
      </c>
      <c r="D279" s="2" t="n">
        <v>20</v>
      </c>
      <c r="E279" s="5" t="s">
        <v>166</v>
      </c>
      <c r="F279" s="5" t="s">
        <v>167</v>
      </c>
      <c r="G279" s="2" t="n">
        <v>1</v>
      </c>
      <c r="H279" s="7" t="n">
        <v>-0.2165263714</v>
      </c>
      <c r="I279" s="7" t="n">
        <v>-0.9762723953</v>
      </c>
      <c r="J279" s="7" t="n">
        <v>0.002922438546</v>
      </c>
      <c r="K279" s="7" t="n">
        <v>0.9762709984</v>
      </c>
      <c r="L279" s="7" t="n">
        <v>-0.2165344139</v>
      </c>
      <c r="M279" s="7" t="n">
        <v>-0.002790205143</v>
      </c>
      <c r="N279" s="7" t="n">
        <v>0.003356808776</v>
      </c>
      <c r="O279" s="7" t="n">
        <v>0.002248939002</v>
      </c>
      <c r="P279" s="7" t="n">
        <v>0.999991837</v>
      </c>
      <c r="Q279" s="7" t="n">
        <v>-5.209632309</v>
      </c>
      <c r="R279" s="7" t="n">
        <v>-0.3705684827</v>
      </c>
      <c r="S279" s="7" t="n">
        <v>-0.4133634077</v>
      </c>
    </row>
    <row r="280" customFormat="false" ht="15" hidden="false" customHeight="false" outlineLevel="0" collapsed="false">
      <c r="A280" s="5" t="s">
        <v>4</v>
      </c>
      <c r="B280" s="5" t="s">
        <v>57</v>
      </c>
      <c r="C280" s="5" t="s">
        <v>58</v>
      </c>
      <c r="D280" s="2" t="n">
        <v>20</v>
      </c>
      <c r="E280" s="5" t="s">
        <v>166</v>
      </c>
      <c r="F280" s="5" t="s">
        <v>168</v>
      </c>
      <c r="G280" s="2" t="n">
        <v>1</v>
      </c>
      <c r="H280" s="7" t="n">
        <v>0.9560375686</v>
      </c>
      <c r="I280" s="7" t="n">
        <v>-0.2932421608</v>
      </c>
      <c r="J280" s="7" t="n">
        <v>-0.001096607637</v>
      </c>
      <c r="K280" s="7" t="n">
        <v>0.2932434211</v>
      </c>
      <c r="L280" s="7" t="n">
        <v>0.9560196262</v>
      </c>
      <c r="M280" s="7" t="n">
        <v>0.00589663815</v>
      </c>
      <c r="N280" s="7" t="n">
        <v>-0.0006807644896</v>
      </c>
      <c r="O280" s="7" t="n">
        <v>-0.005958980575</v>
      </c>
      <c r="P280" s="7" t="n">
        <v>0.9999820134</v>
      </c>
      <c r="Q280" s="7" t="n">
        <v>5.232873588</v>
      </c>
      <c r="R280" s="7" t="n">
        <v>6.879938884</v>
      </c>
      <c r="S280" s="7" t="n">
        <v>0.775106851</v>
      </c>
    </row>
    <row r="281" customFormat="false" ht="15" hidden="false" customHeight="false" outlineLevel="0" collapsed="false">
      <c r="A281" s="5" t="s">
        <v>4</v>
      </c>
      <c r="B281" s="5" t="s">
        <v>57</v>
      </c>
      <c r="C281" s="5" t="s">
        <v>62</v>
      </c>
      <c r="D281" s="2" t="n">
        <v>20</v>
      </c>
      <c r="E281" s="5" t="s">
        <v>166</v>
      </c>
      <c r="F281" s="5" t="s">
        <v>168</v>
      </c>
      <c r="G281" s="2" t="n">
        <v>1</v>
      </c>
      <c r="H281" s="7" t="n">
        <v>0.9560375686</v>
      </c>
      <c r="I281" s="7" t="n">
        <v>-0.2932421608</v>
      </c>
      <c r="J281" s="7" t="n">
        <v>-0.001096607637</v>
      </c>
      <c r="K281" s="7" t="n">
        <v>0.2932434211</v>
      </c>
      <c r="L281" s="7" t="n">
        <v>0.9560196262</v>
      </c>
      <c r="M281" s="7" t="n">
        <v>0.00589663815</v>
      </c>
      <c r="N281" s="7" t="n">
        <v>-0.0006807644896</v>
      </c>
      <c r="O281" s="7" t="n">
        <v>-0.005958980575</v>
      </c>
      <c r="P281" s="7" t="n">
        <v>0.9999820134</v>
      </c>
      <c r="Q281" s="7" t="n">
        <v>5.232873588</v>
      </c>
      <c r="R281" s="7" t="n">
        <v>6.879938884</v>
      </c>
      <c r="S281" s="7" t="n">
        <v>0.775106851</v>
      </c>
    </row>
    <row r="282" customFormat="false" ht="15" hidden="false" customHeight="false" outlineLevel="0" collapsed="false">
      <c r="A282" s="5" t="s">
        <v>4</v>
      </c>
      <c r="B282" s="5" t="s">
        <v>57</v>
      </c>
      <c r="C282" s="5" t="s">
        <v>58</v>
      </c>
      <c r="D282" s="2" t="n">
        <v>11</v>
      </c>
      <c r="E282" s="5" t="s">
        <v>167</v>
      </c>
      <c r="F282" s="5" t="s">
        <v>168</v>
      </c>
      <c r="G282" s="2" t="n">
        <v>1</v>
      </c>
      <c r="H282" s="7" t="n">
        <v>0.07668029024</v>
      </c>
      <c r="I282" s="7" t="n">
        <v>0.9970195681</v>
      </c>
      <c r="J282" s="7" t="n">
        <v>-0.008491991447</v>
      </c>
      <c r="K282" s="7" t="n">
        <v>-0.9970300446</v>
      </c>
      <c r="L282" s="7" t="n">
        <v>0.07673667054</v>
      </c>
      <c r="M282" s="7" t="n">
        <v>0.006524844755</v>
      </c>
      <c r="N282" s="7" t="n">
        <v>0.00715704505</v>
      </c>
      <c r="O282" s="7" t="n">
        <v>0.007966443621</v>
      </c>
      <c r="P282" s="7" t="n">
        <v>0.9999426546</v>
      </c>
      <c r="Q282" s="7" t="n">
        <v>6.006029758</v>
      </c>
      <c r="R282" s="7" t="n">
        <v>1.688674303</v>
      </c>
      <c r="S282" s="7" t="n">
        <v>1.181489629</v>
      </c>
    </row>
    <row r="283" customFormat="false" ht="15" hidden="false" customHeight="false" outlineLevel="0" collapsed="false">
      <c r="A283" s="5" t="s">
        <v>4</v>
      </c>
      <c r="B283" s="5" t="s">
        <v>57</v>
      </c>
      <c r="C283" s="5" t="s">
        <v>62</v>
      </c>
      <c r="D283" s="2" t="n">
        <v>11</v>
      </c>
      <c r="E283" s="5" t="s">
        <v>167</v>
      </c>
      <c r="F283" s="5" t="s">
        <v>168</v>
      </c>
      <c r="G283" s="2" t="n">
        <v>1</v>
      </c>
      <c r="H283" s="7" t="n">
        <v>0.07668029024</v>
      </c>
      <c r="I283" s="7" t="n">
        <v>0.9970195681</v>
      </c>
      <c r="J283" s="7" t="n">
        <v>-0.008491991447</v>
      </c>
      <c r="K283" s="7" t="n">
        <v>-0.9970300446</v>
      </c>
      <c r="L283" s="7" t="n">
        <v>0.07673667054</v>
      </c>
      <c r="M283" s="7" t="n">
        <v>0.006524844755</v>
      </c>
      <c r="N283" s="7" t="n">
        <v>0.00715704505</v>
      </c>
      <c r="O283" s="7" t="n">
        <v>0.007966443621</v>
      </c>
      <c r="P283" s="7" t="n">
        <v>0.9999426546</v>
      </c>
      <c r="Q283" s="7" t="n">
        <v>6.006029758</v>
      </c>
      <c r="R283" s="7" t="n">
        <v>1.688674303</v>
      </c>
      <c r="S283" s="7" t="n">
        <v>1.181489629</v>
      </c>
    </row>
    <row r="284" customFormat="false" ht="15" hidden="false" customHeight="false" outlineLevel="0" collapsed="false">
      <c r="A284" s="5" t="s">
        <v>4</v>
      </c>
      <c r="B284" s="5" t="s">
        <v>57</v>
      </c>
      <c r="C284" s="5" t="s">
        <v>58</v>
      </c>
      <c r="D284" s="2" t="n">
        <v>12</v>
      </c>
      <c r="E284" s="5" t="s">
        <v>167</v>
      </c>
      <c r="F284" s="5" t="s">
        <v>168</v>
      </c>
      <c r="G284" s="2" t="n">
        <v>1</v>
      </c>
      <c r="H284" s="7" t="n">
        <v>0.08006031718</v>
      </c>
      <c r="I284" s="7" t="n">
        <v>0.9967900208</v>
      </c>
      <c r="J284" s="7" t="n">
        <v>-4.897637008E-006</v>
      </c>
      <c r="K284" s="7" t="n">
        <v>-0.9967875619</v>
      </c>
      <c r="L284" s="7" t="n">
        <v>0.08006013059</v>
      </c>
      <c r="M284" s="7" t="n">
        <v>0.002220790325</v>
      </c>
      <c r="N284" s="7" t="n">
        <v>0.00221405374</v>
      </c>
      <c r="O284" s="7" t="n">
        <v>-0.0001729152741</v>
      </c>
      <c r="P284" s="7" t="n">
        <v>0.999997534</v>
      </c>
      <c r="Q284" s="7" t="n">
        <v>6.003424209</v>
      </c>
      <c r="R284" s="7" t="n">
        <v>1.713895611</v>
      </c>
      <c r="S284" s="7" t="n">
        <v>1.161435538</v>
      </c>
    </row>
    <row r="285" customFormat="false" ht="15" hidden="false" customHeight="false" outlineLevel="0" collapsed="false">
      <c r="A285" s="5" t="s">
        <v>4</v>
      </c>
      <c r="B285" s="5" t="s">
        <v>57</v>
      </c>
      <c r="C285" s="5" t="s">
        <v>62</v>
      </c>
      <c r="D285" s="2" t="n">
        <v>12</v>
      </c>
      <c r="E285" s="5" t="s">
        <v>167</v>
      </c>
      <c r="F285" s="5" t="s">
        <v>168</v>
      </c>
      <c r="G285" s="2" t="n">
        <v>1</v>
      </c>
      <c r="H285" s="7" t="n">
        <v>0.08006031718</v>
      </c>
      <c r="I285" s="7" t="n">
        <v>0.9967900208</v>
      </c>
      <c r="J285" s="7" t="n">
        <v>-4.897637008E-006</v>
      </c>
      <c r="K285" s="7" t="n">
        <v>-0.9967875619</v>
      </c>
      <c r="L285" s="7" t="n">
        <v>0.08006013059</v>
      </c>
      <c r="M285" s="7" t="n">
        <v>0.002220790325</v>
      </c>
      <c r="N285" s="7" t="n">
        <v>0.00221405374</v>
      </c>
      <c r="O285" s="7" t="n">
        <v>-0.0001729152741</v>
      </c>
      <c r="P285" s="7" t="n">
        <v>0.999997534</v>
      </c>
      <c r="Q285" s="7" t="n">
        <v>6.003424209</v>
      </c>
      <c r="R285" s="7" t="n">
        <v>1.713895611</v>
      </c>
      <c r="S285" s="7" t="n">
        <v>1.161435538</v>
      </c>
    </row>
    <row r="286" customFormat="false" ht="15" hidden="false" customHeight="false" outlineLevel="0" collapsed="false">
      <c r="A286" s="5" t="s">
        <v>4</v>
      </c>
      <c r="B286" s="5" t="s">
        <v>57</v>
      </c>
      <c r="C286" s="5" t="s">
        <v>58</v>
      </c>
      <c r="D286" s="2" t="n">
        <v>13</v>
      </c>
      <c r="E286" s="5" t="s">
        <v>167</v>
      </c>
      <c r="F286" s="5" t="s">
        <v>168</v>
      </c>
      <c r="G286" s="2" t="n">
        <v>1</v>
      </c>
      <c r="H286" s="7" t="n">
        <v>0.08098132788</v>
      </c>
      <c r="I286" s="7" t="n">
        <v>0.9967120982</v>
      </c>
      <c r="J286" s="7" t="n">
        <v>-0.002649104105</v>
      </c>
      <c r="K286" s="7" t="n">
        <v>-0.9967109486</v>
      </c>
      <c r="L286" s="7" t="n">
        <v>0.08097252625</v>
      </c>
      <c r="M286" s="7" t="n">
        <v>-0.003276425236</v>
      </c>
      <c r="N286" s="7" t="n">
        <v>-0.00305114802</v>
      </c>
      <c r="O286" s="7" t="n">
        <v>0.002905720332</v>
      </c>
      <c r="P286" s="7" t="n">
        <v>0.9999911236</v>
      </c>
      <c r="Q286" s="7" t="n">
        <v>6.013370823</v>
      </c>
      <c r="R286" s="7" t="n">
        <v>1.702505447</v>
      </c>
      <c r="S286" s="7" t="n">
        <v>1.18913699</v>
      </c>
    </row>
    <row r="287" customFormat="false" ht="15" hidden="false" customHeight="false" outlineLevel="0" collapsed="false">
      <c r="A287" s="5" t="s">
        <v>4</v>
      </c>
      <c r="B287" s="5" t="s">
        <v>57</v>
      </c>
      <c r="C287" s="5" t="s">
        <v>62</v>
      </c>
      <c r="D287" s="2" t="n">
        <v>13</v>
      </c>
      <c r="E287" s="5" t="s">
        <v>167</v>
      </c>
      <c r="F287" s="5" t="s">
        <v>168</v>
      </c>
      <c r="G287" s="2" t="n">
        <v>1</v>
      </c>
      <c r="H287" s="7" t="n">
        <v>0.08098132788</v>
      </c>
      <c r="I287" s="7" t="n">
        <v>0.9967120982</v>
      </c>
      <c r="J287" s="7" t="n">
        <v>-0.002649104105</v>
      </c>
      <c r="K287" s="7" t="n">
        <v>-0.9967109486</v>
      </c>
      <c r="L287" s="7" t="n">
        <v>0.08097252625</v>
      </c>
      <c r="M287" s="7" t="n">
        <v>-0.003276425236</v>
      </c>
      <c r="N287" s="7" t="n">
        <v>-0.00305114802</v>
      </c>
      <c r="O287" s="7" t="n">
        <v>0.002905720332</v>
      </c>
      <c r="P287" s="7" t="n">
        <v>0.9999911236</v>
      </c>
      <c r="Q287" s="7" t="n">
        <v>6.013370823</v>
      </c>
      <c r="R287" s="7" t="n">
        <v>1.702505447</v>
      </c>
      <c r="S287" s="7" t="n">
        <v>1.18913699</v>
      </c>
    </row>
    <row r="288" customFormat="false" ht="15" hidden="false" customHeight="false" outlineLevel="0" collapsed="false">
      <c r="A288" s="5" t="s">
        <v>4</v>
      </c>
      <c r="B288" s="5" t="s">
        <v>57</v>
      </c>
      <c r="C288" s="5" t="s">
        <v>58</v>
      </c>
      <c r="D288" s="2" t="n">
        <v>14</v>
      </c>
      <c r="E288" s="5" t="s">
        <v>167</v>
      </c>
      <c r="F288" s="5" t="s">
        <v>168</v>
      </c>
      <c r="G288" s="2" t="n">
        <v>1</v>
      </c>
      <c r="H288" s="7" t="n">
        <v>0.07953153855</v>
      </c>
      <c r="I288" s="7" t="n">
        <v>0.9968201402</v>
      </c>
      <c r="J288" s="7" t="n">
        <v>0.004933799261</v>
      </c>
      <c r="K288" s="7" t="n">
        <v>-0.9967230459</v>
      </c>
      <c r="L288" s="7" t="n">
        <v>0.07944854948</v>
      </c>
      <c r="M288" s="7" t="n">
        <v>0.01520189942</v>
      </c>
      <c r="N288" s="7" t="n">
        <v>0.01476157632</v>
      </c>
      <c r="O288" s="7" t="n">
        <v>-0.006126661877</v>
      </c>
      <c r="P288" s="7" t="n">
        <v>0.9998722718</v>
      </c>
      <c r="Q288" s="7" t="n">
        <v>6.026045249</v>
      </c>
      <c r="R288" s="7" t="n">
        <v>1.736520414</v>
      </c>
      <c r="S288" s="7" t="n">
        <v>0.9813118136</v>
      </c>
    </row>
    <row r="289" customFormat="false" ht="15" hidden="false" customHeight="false" outlineLevel="0" collapsed="false">
      <c r="A289" s="5" t="s">
        <v>4</v>
      </c>
      <c r="B289" s="5" t="s">
        <v>57</v>
      </c>
      <c r="C289" s="5" t="s">
        <v>62</v>
      </c>
      <c r="D289" s="2" t="n">
        <v>14</v>
      </c>
      <c r="E289" s="5" t="s">
        <v>167</v>
      </c>
      <c r="F289" s="5" t="s">
        <v>168</v>
      </c>
      <c r="G289" s="2" t="n">
        <v>1</v>
      </c>
      <c r="H289" s="7" t="n">
        <v>0.07953153855</v>
      </c>
      <c r="I289" s="7" t="n">
        <v>0.9968201402</v>
      </c>
      <c r="J289" s="7" t="n">
        <v>0.004933799261</v>
      </c>
      <c r="K289" s="7" t="n">
        <v>-0.9967230459</v>
      </c>
      <c r="L289" s="7" t="n">
        <v>0.07944854948</v>
      </c>
      <c r="M289" s="7" t="n">
        <v>0.01520189942</v>
      </c>
      <c r="N289" s="7" t="n">
        <v>0.01476157632</v>
      </c>
      <c r="O289" s="7" t="n">
        <v>-0.006126661877</v>
      </c>
      <c r="P289" s="7" t="n">
        <v>0.9998722718</v>
      </c>
      <c r="Q289" s="7" t="n">
        <v>6.026045249</v>
      </c>
      <c r="R289" s="7" t="n">
        <v>1.736520414</v>
      </c>
      <c r="S289" s="7" t="n">
        <v>0.9813118136</v>
      </c>
    </row>
    <row r="290" customFormat="false" ht="15" hidden="false" customHeight="false" outlineLevel="0" collapsed="false">
      <c r="A290" s="5" t="s">
        <v>4</v>
      </c>
      <c r="B290" s="5" t="s">
        <v>57</v>
      </c>
      <c r="C290" s="5" t="s">
        <v>58</v>
      </c>
      <c r="D290" s="2" t="n">
        <v>15</v>
      </c>
      <c r="E290" s="5" t="s">
        <v>167</v>
      </c>
      <c r="F290" s="5" t="s">
        <v>168</v>
      </c>
      <c r="G290" s="2" t="n">
        <v>1</v>
      </c>
      <c r="H290" s="7" t="n">
        <v>0.08179881867</v>
      </c>
      <c r="I290" s="7" t="n">
        <v>0.9966486808</v>
      </c>
      <c r="J290" s="7" t="n">
        <v>-0.0006003044349</v>
      </c>
      <c r="K290" s="7" t="n">
        <v>-0.9966476496</v>
      </c>
      <c r="L290" s="7" t="n">
        <v>0.08179776504</v>
      </c>
      <c r="M290" s="7" t="n">
        <v>-0.001608766055</v>
      </c>
      <c r="N290" s="7" t="n">
        <v>-0.001554271005</v>
      </c>
      <c r="O290" s="7" t="n">
        <v>0.0007298871669</v>
      </c>
      <c r="P290" s="7" t="n">
        <v>0.9999985258</v>
      </c>
      <c r="Q290" s="7" t="n">
        <v>5.999483206</v>
      </c>
      <c r="R290" s="7" t="n">
        <v>1.708969203</v>
      </c>
      <c r="S290" s="7" t="n">
        <v>1.164001974</v>
      </c>
    </row>
    <row r="291" customFormat="false" ht="15" hidden="false" customHeight="false" outlineLevel="0" collapsed="false">
      <c r="A291" s="5" t="s">
        <v>4</v>
      </c>
      <c r="B291" s="5" t="s">
        <v>57</v>
      </c>
      <c r="C291" s="5" t="s">
        <v>62</v>
      </c>
      <c r="D291" s="2" t="n">
        <v>15</v>
      </c>
      <c r="E291" s="5" t="s">
        <v>167</v>
      </c>
      <c r="F291" s="5" t="s">
        <v>168</v>
      </c>
      <c r="G291" s="2" t="n">
        <v>1</v>
      </c>
      <c r="H291" s="7" t="n">
        <v>0.08179881867</v>
      </c>
      <c r="I291" s="7" t="n">
        <v>0.9966486808</v>
      </c>
      <c r="J291" s="7" t="n">
        <v>-0.0006003044349</v>
      </c>
      <c r="K291" s="7" t="n">
        <v>-0.9966476496</v>
      </c>
      <c r="L291" s="7" t="n">
        <v>0.08179776504</v>
      </c>
      <c r="M291" s="7" t="n">
        <v>-0.001608766055</v>
      </c>
      <c r="N291" s="7" t="n">
        <v>-0.001554271005</v>
      </c>
      <c r="O291" s="7" t="n">
        <v>0.0007298871669</v>
      </c>
      <c r="P291" s="7" t="n">
        <v>0.9999985258</v>
      </c>
      <c r="Q291" s="7" t="n">
        <v>5.999483206</v>
      </c>
      <c r="R291" s="7" t="n">
        <v>1.708969203</v>
      </c>
      <c r="S291" s="7" t="n">
        <v>1.164001974</v>
      </c>
    </row>
    <row r="292" customFormat="false" ht="15" hidden="false" customHeight="false" outlineLevel="0" collapsed="false">
      <c r="A292" s="5" t="s">
        <v>4</v>
      </c>
      <c r="B292" s="5" t="s">
        <v>57</v>
      </c>
      <c r="C292" s="5" t="s">
        <v>58</v>
      </c>
      <c r="D292" s="2" t="n">
        <v>16</v>
      </c>
      <c r="E292" s="5" t="s">
        <v>167</v>
      </c>
      <c r="F292" s="5" t="s">
        <v>168</v>
      </c>
      <c r="G292" s="2" t="n">
        <v>1</v>
      </c>
      <c r="H292" s="7" t="n">
        <v>0.08060138644</v>
      </c>
      <c r="I292" s="7" t="n">
        <v>0.996731428</v>
      </c>
      <c r="J292" s="7" t="n">
        <v>-0.005465980193</v>
      </c>
      <c r="K292" s="7" t="n">
        <v>-0.9967273656</v>
      </c>
      <c r="L292" s="7" t="n">
        <v>0.08063253791</v>
      </c>
      <c r="M292" s="7" t="n">
        <v>0.005740431676</v>
      </c>
      <c r="N292" s="7" t="n">
        <v>0.006162404517</v>
      </c>
      <c r="O292" s="7" t="n">
        <v>0.004985405286</v>
      </c>
      <c r="P292" s="7" t="n">
        <v>0.9999685848</v>
      </c>
      <c r="Q292" s="7" t="n">
        <v>5.999239343</v>
      </c>
      <c r="R292" s="7" t="n">
        <v>1.731424872</v>
      </c>
      <c r="S292" s="7" t="n">
        <v>1.203766479</v>
      </c>
    </row>
    <row r="293" customFormat="false" ht="15" hidden="false" customHeight="false" outlineLevel="0" collapsed="false">
      <c r="A293" s="5" t="s">
        <v>4</v>
      </c>
      <c r="B293" s="5" t="s">
        <v>57</v>
      </c>
      <c r="C293" s="5" t="s">
        <v>62</v>
      </c>
      <c r="D293" s="2" t="n">
        <v>16</v>
      </c>
      <c r="E293" s="5" t="s">
        <v>167</v>
      </c>
      <c r="F293" s="5" t="s">
        <v>168</v>
      </c>
      <c r="G293" s="2" t="n">
        <v>1</v>
      </c>
      <c r="H293" s="7" t="n">
        <v>0.08060138644</v>
      </c>
      <c r="I293" s="7" t="n">
        <v>0.996731428</v>
      </c>
      <c r="J293" s="7" t="n">
        <v>-0.005465980193</v>
      </c>
      <c r="K293" s="7" t="n">
        <v>-0.9967273656</v>
      </c>
      <c r="L293" s="7" t="n">
        <v>0.08063253791</v>
      </c>
      <c r="M293" s="7" t="n">
        <v>0.005740431676</v>
      </c>
      <c r="N293" s="7" t="n">
        <v>0.006162404517</v>
      </c>
      <c r="O293" s="7" t="n">
        <v>0.004985405286</v>
      </c>
      <c r="P293" s="7" t="n">
        <v>0.9999685848</v>
      </c>
      <c r="Q293" s="7" t="n">
        <v>5.999239343</v>
      </c>
      <c r="R293" s="7" t="n">
        <v>1.731424872</v>
      </c>
      <c r="S293" s="7" t="n">
        <v>1.203766479</v>
      </c>
    </row>
    <row r="294" customFormat="false" ht="15" hidden="false" customHeight="false" outlineLevel="0" collapsed="false">
      <c r="A294" s="5" t="s">
        <v>4</v>
      </c>
      <c r="B294" s="5" t="s">
        <v>57</v>
      </c>
      <c r="C294" s="5" t="s">
        <v>58</v>
      </c>
      <c r="D294" s="2" t="n">
        <v>17</v>
      </c>
      <c r="E294" s="5" t="s">
        <v>167</v>
      </c>
      <c r="F294" s="5" t="s">
        <v>168</v>
      </c>
      <c r="G294" s="2" t="n">
        <v>1</v>
      </c>
      <c r="H294" s="7" t="n">
        <v>0.08116078057</v>
      </c>
      <c r="I294" s="7" t="n">
        <v>0.9966772284</v>
      </c>
      <c r="J294" s="7" t="n">
        <v>0.006886948862</v>
      </c>
      <c r="K294" s="7" t="n">
        <v>-0.9966793555</v>
      </c>
      <c r="L294" s="7" t="n">
        <v>0.08120263933</v>
      </c>
      <c r="M294" s="7" t="n">
        <v>-0.00603272078</v>
      </c>
      <c r="N294" s="7" t="n">
        <v>-0.006571913851</v>
      </c>
      <c r="O294" s="7" t="n">
        <v>-0.006374459425</v>
      </c>
      <c r="P294" s="7" t="n">
        <v>0.9999580872</v>
      </c>
      <c r="Q294" s="7" t="n">
        <v>6.026391556</v>
      </c>
      <c r="R294" s="7" t="n">
        <v>1.694586837</v>
      </c>
      <c r="S294" s="7" t="n">
        <v>1.109298161</v>
      </c>
    </row>
    <row r="295" customFormat="false" ht="15" hidden="false" customHeight="false" outlineLevel="0" collapsed="false">
      <c r="A295" s="5" t="s">
        <v>4</v>
      </c>
      <c r="B295" s="5" t="s">
        <v>57</v>
      </c>
      <c r="C295" s="5" t="s">
        <v>62</v>
      </c>
      <c r="D295" s="2" t="n">
        <v>17</v>
      </c>
      <c r="E295" s="5" t="s">
        <v>167</v>
      </c>
      <c r="F295" s="5" t="s">
        <v>168</v>
      </c>
      <c r="G295" s="2" t="n">
        <v>1</v>
      </c>
      <c r="H295" s="7" t="n">
        <v>0.08116078057</v>
      </c>
      <c r="I295" s="7" t="n">
        <v>0.9966772284</v>
      </c>
      <c r="J295" s="7" t="n">
        <v>0.006886948862</v>
      </c>
      <c r="K295" s="7" t="n">
        <v>-0.9966793555</v>
      </c>
      <c r="L295" s="7" t="n">
        <v>0.08120263933</v>
      </c>
      <c r="M295" s="7" t="n">
        <v>-0.00603272078</v>
      </c>
      <c r="N295" s="7" t="n">
        <v>-0.006571913851</v>
      </c>
      <c r="O295" s="7" t="n">
        <v>-0.006374459425</v>
      </c>
      <c r="P295" s="7" t="n">
        <v>0.9999580872</v>
      </c>
      <c r="Q295" s="7" t="n">
        <v>6.026391556</v>
      </c>
      <c r="R295" s="7" t="n">
        <v>1.694586837</v>
      </c>
      <c r="S295" s="7" t="n">
        <v>1.109298161</v>
      </c>
    </row>
    <row r="296" customFormat="false" ht="15" hidden="false" customHeight="false" outlineLevel="0" collapsed="false">
      <c r="A296" s="5" t="s">
        <v>4</v>
      </c>
      <c r="B296" s="5" t="s">
        <v>57</v>
      </c>
      <c r="C296" s="5" t="s">
        <v>58</v>
      </c>
      <c r="D296" s="2" t="n">
        <v>18</v>
      </c>
      <c r="E296" s="5" t="s">
        <v>167</v>
      </c>
      <c r="F296" s="5" t="s">
        <v>168</v>
      </c>
      <c r="G296" s="2" t="n">
        <v>1</v>
      </c>
      <c r="H296" s="7" t="n">
        <v>0.08182400706</v>
      </c>
      <c r="I296" s="7" t="n">
        <v>0.9966408856</v>
      </c>
      <c r="J296" s="7" t="n">
        <v>-0.003431754614</v>
      </c>
      <c r="K296" s="7" t="n">
        <v>-0.9966398936</v>
      </c>
      <c r="L296" s="7" t="n">
        <v>0.08181014239</v>
      </c>
      <c r="M296" s="7" t="n">
        <v>-0.004002888738</v>
      </c>
      <c r="N296" s="7" t="n">
        <v>-0.003708690244</v>
      </c>
      <c r="O296" s="7" t="n">
        <v>0.00374775595</v>
      </c>
      <c r="P296" s="7" t="n">
        <v>0.9999860999</v>
      </c>
      <c r="Q296" s="7" t="n">
        <v>6.008800513</v>
      </c>
      <c r="R296" s="7" t="n">
        <v>1.695435247</v>
      </c>
      <c r="S296" s="7" t="n">
        <v>1.174306753</v>
      </c>
    </row>
    <row r="297" customFormat="false" ht="15" hidden="false" customHeight="false" outlineLevel="0" collapsed="false">
      <c r="A297" s="5" t="s">
        <v>4</v>
      </c>
      <c r="B297" s="5" t="s">
        <v>57</v>
      </c>
      <c r="C297" s="5" t="s">
        <v>62</v>
      </c>
      <c r="D297" s="2" t="n">
        <v>18</v>
      </c>
      <c r="E297" s="5" t="s">
        <v>167</v>
      </c>
      <c r="F297" s="5" t="s">
        <v>168</v>
      </c>
      <c r="G297" s="2" t="n">
        <v>1</v>
      </c>
      <c r="H297" s="7" t="n">
        <v>0.08182400706</v>
      </c>
      <c r="I297" s="7" t="n">
        <v>0.9966408856</v>
      </c>
      <c r="J297" s="7" t="n">
        <v>-0.003431754614</v>
      </c>
      <c r="K297" s="7" t="n">
        <v>-0.9966398936</v>
      </c>
      <c r="L297" s="7" t="n">
        <v>0.08181014239</v>
      </c>
      <c r="M297" s="7" t="n">
        <v>-0.004002888738</v>
      </c>
      <c r="N297" s="7" t="n">
        <v>-0.003708690244</v>
      </c>
      <c r="O297" s="7" t="n">
        <v>0.00374775595</v>
      </c>
      <c r="P297" s="7" t="n">
        <v>0.9999860999</v>
      </c>
      <c r="Q297" s="7" t="n">
        <v>6.008800513</v>
      </c>
      <c r="R297" s="7" t="n">
        <v>1.695435247</v>
      </c>
      <c r="S297" s="7" t="n">
        <v>1.174306753</v>
      </c>
    </row>
    <row r="298" customFormat="false" ht="15" hidden="false" customHeight="false" outlineLevel="0" collapsed="false">
      <c r="A298" s="5" t="s">
        <v>4</v>
      </c>
      <c r="B298" s="5" t="s">
        <v>57</v>
      </c>
      <c r="C298" s="5" t="s">
        <v>58</v>
      </c>
      <c r="D298" s="2" t="n">
        <v>19</v>
      </c>
      <c r="E298" s="5" t="s">
        <v>167</v>
      </c>
      <c r="F298" s="5" t="s">
        <v>168</v>
      </c>
      <c r="G298" s="2" t="n">
        <v>1</v>
      </c>
      <c r="H298" s="7" t="n">
        <v>0.08147995748</v>
      </c>
      <c r="I298" s="7" t="n">
        <v>0.9966732875</v>
      </c>
      <c r="J298" s="7" t="n">
        <v>-0.001836965022</v>
      </c>
      <c r="K298" s="7" t="n">
        <v>-0.9966619807</v>
      </c>
      <c r="L298" s="7" t="n">
        <v>0.08146934284</v>
      </c>
      <c r="M298" s="7" t="n">
        <v>-0.00525760876</v>
      </c>
      <c r="N298" s="7" t="n">
        <v>-0.005090461874</v>
      </c>
      <c r="O298" s="7" t="n">
        <v>0.002259222936</v>
      </c>
      <c r="P298" s="7" t="n">
        <v>0.9999844914</v>
      </c>
      <c r="Q298" s="7" t="n">
        <v>6.008061681</v>
      </c>
      <c r="R298" s="7" t="n">
        <v>1.70766954</v>
      </c>
      <c r="S298" s="7" t="n">
        <v>1.221073629</v>
      </c>
    </row>
    <row r="299" customFormat="false" ht="15" hidden="false" customHeight="false" outlineLevel="0" collapsed="false">
      <c r="A299" s="5" t="s">
        <v>4</v>
      </c>
      <c r="B299" s="5" t="s">
        <v>57</v>
      </c>
      <c r="C299" s="5" t="s">
        <v>62</v>
      </c>
      <c r="D299" s="2" t="n">
        <v>19</v>
      </c>
      <c r="E299" s="5" t="s">
        <v>167</v>
      </c>
      <c r="F299" s="5" t="s">
        <v>168</v>
      </c>
      <c r="G299" s="2" t="n">
        <v>1</v>
      </c>
      <c r="H299" s="7" t="n">
        <v>0.08147995748</v>
      </c>
      <c r="I299" s="7" t="n">
        <v>0.9966732875</v>
      </c>
      <c r="J299" s="7" t="n">
        <v>-0.001836965022</v>
      </c>
      <c r="K299" s="7" t="n">
        <v>-0.9966619807</v>
      </c>
      <c r="L299" s="7" t="n">
        <v>0.08146934284</v>
      </c>
      <c r="M299" s="7" t="n">
        <v>-0.00525760876</v>
      </c>
      <c r="N299" s="7" t="n">
        <v>-0.005090461874</v>
      </c>
      <c r="O299" s="7" t="n">
        <v>0.002259222936</v>
      </c>
      <c r="P299" s="7" t="n">
        <v>0.9999844914</v>
      </c>
      <c r="Q299" s="7" t="n">
        <v>6.008061681</v>
      </c>
      <c r="R299" s="7" t="n">
        <v>1.70766954</v>
      </c>
      <c r="S299" s="7" t="n">
        <v>1.221073629</v>
      </c>
    </row>
    <row r="300" customFormat="false" ht="15" hidden="false" customHeight="false" outlineLevel="0" collapsed="false">
      <c r="A300" s="5" t="s">
        <v>4</v>
      </c>
      <c r="B300" s="5" t="s">
        <v>57</v>
      </c>
      <c r="C300" s="5" t="s">
        <v>58</v>
      </c>
      <c r="D300" s="2" t="n">
        <v>20</v>
      </c>
      <c r="E300" s="5" t="s">
        <v>167</v>
      </c>
      <c r="F300" s="5" t="s">
        <v>168</v>
      </c>
      <c r="G300" s="2" t="n">
        <v>1</v>
      </c>
      <c r="H300" s="7" t="n">
        <v>0.08797586622</v>
      </c>
      <c r="I300" s="7" t="n">
        <v>0.994598825</v>
      </c>
      <c r="J300" s="7" t="n">
        <v>-0.05507653155</v>
      </c>
      <c r="K300" s="7" t="n">
        <v>-0.9960268674</v>
      </c>
      <c r="L300" s="7" t="n">
        <v>0.0870662854</v>
      </c>
      <c r="M300" s="7" t="n">
        <v>-0.01870672054</v>
      </c>
      <c r="N300" s="7" t="n">
        <v>-0.01381037325</v>
      </c>
      <c r="O300" s="7" t="n">
        <v>0.05650344513</v>
      </c>
      <c r="P300" s="7" t="n">
        <v>0.9983068838</v>
      </c>
      <c r="Q300" s="7" t="n">
        <v>5.964872735</v>
      </c>
      <c r="R300" s="7" t="n">
        <v>1.677270609</v>
      </c>
      <c r="S300" s="7" t="n">
        <v>1.103577702</v>
      </c>
    </row>
    <row r="301" customFormat="false" ht="15" hidden="false" customHeight="false" outlineLevel="0" collapsed="false">
      <c r="A301" s="5" t="s">
        <v>4</v>
      </c>
      <c r="B301" s="5" t="s">
        <v>57</v>
      </c>
      <c r="C301" s="5" t="s">
        <v>62</v>
      </c>
      <c r="D301" s="2" t="n">
        <v>20</v>
      </c>
      <c r="E301" s="5" t="s">
        <v>167</v>
      </c>
      <c r="F301" s="5" t="s">
        <v>168</v>
      </c>
      <c r="G301" s="2" t="n">
        <v>1</v>
      </c>
      <c r="H301" s="7" t="n">
        <v>0.08797586622</v>
      </c>
      <c r="I301" s="7" t="n">
        <v>0.994598825</v>
      </c>
      <c r="J301" s="7" t="n">
        <v>-0.05507653155</v>
      </c>
      <c r="K301" s="7" t="n">
        <v>-0.9960268674</v>
      </c>
      <c r="L301" s="7" t="n">
        <v>0.0870662854</v>
      </c>
      <c r="M301" s="7" t="n">
        <v>-0.01870672054</v>
      </c>
      <c r="N301" s="7" t="n">
        <v>-0.01381037325</v>
      </c>
      <c r="O301" s="7" t="n">
        <v>0.05650344513</v>
      </c>
      <c r="P301" s="7" t="n">
        <v>0.9983068838</v>
      </c>
      <c r="Q301" s="7" t="n">
        <v>5.964872735</v>
      </c>
      <c r="R301" s="7" t="n">
        <v>1.677270609</v>
      </c>
      <c r="S301" s="7" t="n">
        <v>1.103577702</v>
      </c>
    </row>
    <row r="302" customFormat="false" ht="15" hidden="false" customHeight="false" outlineLevel="0" collapsed="false">
      <c r="A302" s="5" t="s">
        <v>4</v>
      </c>
      <c r="B302" s="5" t="s">
        <v>77</v>
      </c>
      <c r="C302" s="5" t="s">
        <v>58</v>
      </c>
      <c r="D302" s="2" t="n">
        <v>11</v>
      </c>
      <c r="E302" s="5" t="s">
        <v>163</v>
      </c>
      <c r="F302" s="5" t="s">
        <v>164</v>
      </c>
      <c r="G302" s="2" t="n">
        <v>1</v>
      </c>
      <c r="H302" s="7" t="n">
        <v>-0.7181162117</v>
      </c>
      <c r="I302" s="7" t="n">
        <v>-0.6959053618</v>
      </c>
      <c r="J302" s="7" t="n">
        <v>0.004983353795</v>
      </c>
      <c r="K302" s="7" t="n">
        <v>0.6959076654</v>
      </c>
      <c r="L302" s="7" t="n">
        <v>-0.7181296184</v>
      </c>
      <c r="M302" s="7" t="n">
        <v>-0.001540237057</v>
      </c>
      <c r="N302" s="7" t="n">
        <v>0.004650553186</v>
      </c>
      <c r="O302" s="7" t="n">
        <v>0.002361884904</v>
      </c>
      <c r="P302" s="7" t="n">
        <v>0.9999863968</v>
      </c>
      <c r="Q302" s="7" t="n">
        <v>-11.08507707</v>
      </c>
      <c r="R302" s="7" t="n">
        <v>-0.8655233295</v>
      </c>
      <c r="S302" s="7" t="n">
        <v>0.5587687229</v>
      </c>
    </row>
    <row r="303" customFormat="false" ht="15" hidden="false" customHeight="false" outlineLevel="0" collapsed="false">
      <c r="A303" s="5" t="s">
        <v>4</v>
      </c>
      <c r="B303" s="5" t="s">
        <v>77</v>
      </c>
      <c r="C303" s="5" t="s">
        <v>62</v>
      </c>
      <c r="D303" s="2" t="n">
        <v>11</v>
      </c>
      <c r="E303" s="5" t="s">
        <v>163</v>
      </c>
      <c r="F303" s="5" t="s">
        <v>164</v>
      </c>
      <c r="G303" s="2" t="n">
        <v>1</v>
      </c>
      <c r="H303" s="7" t="n">
        <v>-0.7181162117</v>
      </c>
      <c r="I303" s="7" t="n">
        <v>-0.6959053618</v>
      </c>
      <c r="J303" s="7" t="n">
        <v>0.004983353795</v>
      </c>
      <c r="K303" s="7" t="n">
        <v>0.6959076654</v>
      </c>
      <c r="L303" s="7" t="n">
        <v>-0.7181296184</v>
      </c>
      <c r="M303" s="7" t="n">
        <v>-0.001540237057</v>
      </c>
      <c r="N303" s="7" t="n">
        <v>0.004650553186</v>
      </c>
      <c r="O303" s="7" t="n">
        <v>0.002361884904</v>
      </c>
      <c r="P303" s="7" t="n">
        <v>0.9999863968</v>
      </c>
      <c r="Q303" s="7" t="n">
        <v>-11.08507707</v>
      </c>
      <c r="R303" s="7" t="n">
        <v>-0.8655233295</v>
      </c>
      <c r="S303" s="7" t="n">
        <v>0.5587687229</v>
      </c>
    </row>
    <row r="304" customFormat="false" ht="15" hidden="false" customHeight="false" outlineLevel="0" collapsed="false">
      <c r="A304" s="5" t="s">
        <v>4</v>
      </c>
      <c r="B304" s="5" t="s">
        <v>77</v>
      </c>
      <c r="C304" s="5" t="s">
        <v>58</v>
      </c>
      <c r="D304" s="2" t="n">
        <v>11</v>
      </c>
      <c r="E304" s="5" t="s">
        <v>163</v>
      </c>
      <c r="F304" s="5" t="s">
        <v>165</v>
      </c>
      <c r="G304" s="2" t="n">
        <v>1</v>
      </c>
      <c r="H304" s="7" t="n">
        <v>0.9340496425</v>
      </c>
      <c r="I304" s="7" t="n">
        <v>0.3567607785</v>
      </c>
      <c r="J304" s="7" t="n">
        <v>-0.01652308341</v>
      </c>
      <c r="K304" s="7" t="n">
        <v>-0.3567551578</v>
      </c>
      <c r="L304" s="7" t="n">
        <v>0.9341917828</v>
      </c>
      <c r="M304" s="7" t="n">
        <v>0.003386780079</v>
      </c>
      <c r="N304" s="7" t="n">
        <v>0.01664399904</v>
      </c>
      <c r="O304" s="7" t="n">
        <v>0.002731274506</v>
      </c>
      <c r="P304" s="7" t="n">
        <v>0.9998577486</v>
      </c>
      <c r="Q304" s="7" t="n">
        <v>8.352719663</v>
      </c>
      <c r="R304" s="7" t="n">
        <v>1.379260113</v>
      </c>
      <c r="S304" s="7" t="n">
        <v>0.8041627318</v>
      </c>
    </row>
    <row r="305" customFormat="false" ht="15" hidden="false" customHeight="false" outlineLevel="0" collapsed="false">
      <c r="A305" s="5" t="s">
        <v>4</v>
      </c>
      <c r="B305" s="5" t="s">
        <v>77</v>
      </c>
      <c r="C305" s="5" t="s">
        <v>62</v>
      </c>
      <c r="D305" s="2" t="n">
        <v>11</v>
      </c>
      <c r="E305" s="5" t="s">
        <v>163</v>
      </c>
      <c r="F305" s="5" t="s">
        <v>165</v>
      </c>
      <c r="G305" s="2" t="n">
        <v>1</v>
      </c>
      <c r="H305" s="7" t="n">
        <v>0.9339598415</v>
      </c>
      <c r="I305" s="7" t="n">
        <v>0.3573333101</v>
      </c>
      <c r="J305" s="7" t="n">
        <v>-0.005649779273</v>
      </c>
      <c r="K305" s="7" t="n">
        <v>-0.357304053</v>
      </c>
      <c r="L305" s="7" t="n">
        <v>0.9339714934</v>
      </c>
      <c r="M305" s="7" t="n">
        <v>0.005573435456</v>
      </c>
      <c r="N305" s="7" t="n">
        <v>0.007268306926</v>
      </c>
      <c r="O305" s="7" t="n">
        <v>-0.003186675862</v>
      </c>
      <c r="P305" s="7" t="n">
        <v>0.9999685079</v>
      </c>
      <c r="Q305" s="7" t="n">
        <v>8.38724006</v>
      </c>
      <c r="R305" s="7" t="n">
        <v>1.374048237</v>
      </c>
      <c r="S305" s="7" t="n">
        <v>0.667403367</v>
      </c>
    </row>
    <row r="306" customFormat="false" ht="15" hidden="false" customHeight="false" outlineLevel="0" collapsed="false">
      <c r="A306" s="5" t="s">
        <v>4</v>
      </c>
      <c r="B306" s="5" t="s">
        <v>77</v>
      </c>
      <c r="C306" s="5" t="s">
        <v>58</v>
      </c>
      <c r="D306" s="2" t="n">
        <v>11</v>
      </c>
      <c r="E306" s="5" t="s">
        <v>163</v>
      </c>
      <c r="F306" s="5" t="s">
        <v>166</v>
      </c>
      <c r="G306" s="2" t="n">
        <v>1</v>
      </c>
      <c r="H306" s="7" t="n">
        <v>0.9027682807</v>
      </c>
      <c r="I306" s="7" t="n">
        <v>0.4299116315</v>
      </c>
      <c r="J306" s="7" t="n">
        <v>-0.01361691416</v>
      </c>
      <c r="K306" s="7" t="n">
        <v>-0.4300211367</v>
      </c>
      <c r="L306" s="7" t="n">
        <v>0.902796313</v>
      </c>
      <c r="M306" s="7" t="n">
        <v>-0.006374897104</v>
      </c>
      <c r="N306" s="7" t="n">
        <v>0.009552657484</v>
      </c>
      <c r="O306" s="7" t="n">
        <v>0.0116106158</v>
      </c>
      <c r="P306" s="7" t="n">
        <v>0.9998869638</v>
      </c>
      <c r="Q306" s="7" t="n">
        <v>22.81579047</v>
      </c>
      <c r="R306" s="7" t="n">
        <v>6.534493531</v>
      </c>
      <c r="S306" s="7" t="n">
        <v>1.556614586</v>
      </c>
    </row>
    <row r="307" customFormat="false" ht="15" hidden="false" customHeight="false" outlineLevel="0" collapsed="false">
      <c r="A307" s="5" t="s">
        <v>4</v>
      </c>
      <c r="B307" s="5" t="s">
        <v>77</v>
      </c>
      <c r="C307" s="5" t="s">
        <v>62</v>
      </c>
      <c r="D307" s="2" t="n">
        <v>11</v>
      </c>
      <c r="E307" s="5" t="s">
        <v>163</v>
      </c>
      <c r="F307" s="5" t="s">
        <v>166</v>
      </c>
      <c r="G307" s="2" t="n">
        <v>1</v>
      </c>
      <c r="H307" s="7" t="n">
        <v>0.9027682807</v>
      </c>
      <c r="I307" s="7" t="n">
        <v>0.4299116315</v>
      </c>
      <c r="J307" s="7" t="n">
        <v>-0.01361691416</v>
      </c>
      <c r="K307" s="7" t="n">
        <v>-0.4300211367</v>
      </c>
      <c r="L307" s="7" t="n">
        <v>0.902796313</v>
      </c>
      <c r="M307" s="7" t="n">
        <v>-0.006374897104</v>
      </c>
      <c r="N307" s="7" t="n">
        <v>0.009552657484</v>
      </c>
      <c r="O307" s="7" t="n">
        <v>0.0116106158</v>
      </c>
      <c r="P307" s="7" t="n">
        <v>0.9998869638</v>
      </c>
      <c r="Q307" s="7" t="n">
        <v>22.81579047</v>
      </c>
      <c r="R307" s="7" t="n">
        <v>6.534493531</v>
      </c>
      <c r="S307" s="7" t="n">
        <v>1.556614586</v>
      </c>
    </row>
    <row r="308" customFormat="false" ht="15" hidden="false" customHeight="false" outlineLevel="0" collapsed="false">
      <c r="A308" s="5" t="s">
        <v>4</v>
      </c>
      <c r="B308" s="5" t="s">
        <v>77</v>
      </c>
      <c r="C308" s="5" t="s">
        <v>58</v>
      </c>
      <c r="D308" s="2" t="n">
        <v>11</v>
      </c>
      <c r="E308" s="5" t="s">
        <v>163</v>
      </c>
      <c r="F308" s="5" t="s">
        <v>167</v>
      </c>
      <c r="G308" s="2" t="n">
        <v>1</v>
      </c>
      <c r="H308" s="7" t="n">
        <v>0.2233017522</v>
      </c>
      <c r="I308" s="7" t="n">
        <v>-0.9746895416</v>
      </c>
      <c r="J308" s="7" t="n">
        <v>0.01079929899</v>
      </c>
      <c r="K308" s="7" t="n">
        <v>0.9744313476</v>
      </c>
      <c r="L308" s="7" t="n">
        <v>0.2229322137</v>
      </c>
      <c r="M308" s="7" t="n">
        <v>-0.02801387135</v>
      </c>
      <c r="N308" s="7" t="n">
        <v>0.0248973158</v>
      </c>
      <c r="O308" s="7" t="n">
        <v>0.01677872203</v>
      </c>
      <c r="P308" s="7" t="n">
        <v>0.9995491975</v>
      </c>
      <c r="Q308" s="7" t="n">
        <v>-16.5241972</v>
      </c>
      <c r="R308" s="7" t="n">
        <v>20.41552858</v>
      </c>
      <c r="S308" s="7" t="n">
        <v>1.381636592</v>
      </c>
    </row>
    <row r="309" customFormat="false" ht="15" hidden="false" customHeight="false" outlineLevel="0" collapsed="false">
      <c r="A309" s="5" t="s">
        <v>4</v>
      </c>
      <c r="B309" s="5" t="s">
        <v>77</v>
      </c>
      <c r="C309" s="5" t="s">
        <v>62</v>
      </c>
      <c r="D309" s="2" t="n">
        <v>11</v>
      </c>
      <c r="E309" s="5" t="s">
        <v>163</v>
      </c>
      <c r="F309" s="5" t="s">
        <v>167</v>
      </c>
      <c r="G309" s="2" t="n">
        <v>1</v>
      </c>
      <c r="H309" s="7" t="n">
        <v>0.2239948371</v>
      </c>
      <c r="I309" s="7" t="n">
        <v>-0.9745704053</v>
      </c>
      <c r="J309" s="7" t="n">
        <v>0.006232016686</v>
      </c>
      <c r="K309" s="7" t="n">
        <v>0.9744218032</v>
      </c>
      <c r="L309" s="7" t="n">
        <v>0.2238326124</v>
      </c>
      <c r="M309" s="7" t="n">
        <v>-0.02002775675</v>
      </c>
      <c r="N309" s="7" t="n">
        <v>0.01812353044</v>
      </c>
      <c r="O309" s="7" t="n">
        <v>0.01055872705</v>
      </c>
      <c r="P309" s="7" t="n">
        <v>0.9997800013</v>
      </c>
      <c r="Q309" s="7" t="n">
        <v>-16.52016106</v>
      </c>
      <c r="R309" s="7" t="n">
        <v>20.45021542</v>
      </c>
      <c r="S309" s="7" t="n">
        <v>1.250864917</v>
      </c>
    </row>
    <row r="310" customFormat="false" ht="15" hidden="false" customHeight="false" outlineLevel="0" collapsed="false">
      <c r="A310" s="5" t="s">
        <v>4</v>
      </c>
      <c r="B310" s="5" t="s">
        <v>77</v>
      </c>
      <c r="C310" s="5" t="s">
        <v>58</v>
      </c>
      <c r="D310" s="2" t="n">
        <v>11</v>
      </c>
      <c r="E310" s="5" t="s">
        <v>163</v>
      </c>
      <c r="F310" s="5" t="s">
        <v>168</v>
      </c>
      <c r="G310" s="2" t="n">
        <v>1</v>
      </c>
      <c r="H310" s="7" t="n">
        <v>0.9883211212</v>
      </c>
      <c r="I310" s="7" t="n">
        <v>0.139258358</v>
      </c>
      <c r="J310" s="7" t="n">
        <v>-0.06187464028</v>
      </c>
      <c r="K310" s="7" t="n">
        <v>-0.1397592457</v>
      </c>
      <c r="L310" s="7" t="n">
        <v>0.9901781416</v>
      </c>
      <c r="M310" s="7" t="n">
        <v>-0.003821150238</v>
      </c>
      <c r="N310" s="7" t="n">
        <v>0.06073478922</v>
      </c>
      <c r="O310" s="7" t="n">
        <v>0.01242407654</v>
      </c>
      <c r="P310" s="7" t="n">
        <v>0.9980766141</v>
      </c>
      <c r="Q310" s="7" t="n">
        <v>24.8158253</v>
      </c>
      <c r="R310" s="7" t="n">
        <v>19.95671892</v>
      </c>
      <c r="S310" s="7" t="n">
        <v>3.175833897</v>
      </c>
    </row>
    <row r="311" customFormat="false" ht="15" hidden="false" customHeight="false" outlineLevel="0" collapsed="false">
      <c r="A311" s="5" t="s">
        <v>4</v>
      </c>
      <c r="B311" s="5" t="s">
        <v>77</v>
      </c>
      <c r="C311" s="5" t="s">
        <v>62</v>
      </c>
      <c r="D311" s="2" t="n">
        <v>11</v>
      </c>
      <c r="E311" s="5" t="s">
        <v>163</v>
      </c>
      <c r="F311" s="5" t="s">
        <v>168</v>
      </c>
      <c r="G311" s="2" t="n">
        <v>1</v>
      </c>
      <c r="H311" s="7" t="n">
        <v>0.9883211212</v>
      </c>
      <c r="I311" s="7" t="n">
        <v>0.139258358</v>
      </c>
      <c r="J311" s="7" t="n">
        <v>-0.06187464028</v>
      </c>
      <c r="K311" s="7" t="n">
        <v>-0.1397592457</v>
      </c>
      <c r="L311" s="7" t="n">
        <v>0.9901781416</v>
      </c>
      <c r="M311" s="7" t="n">
        <v>-0.003821150238</v>
      </c>
      <c r="N311" s="7" t="n">
        <v>0.06073478922</v>
      </c>
      <c r="O311" s="7" t="n">
        <v>0.01242407654</v>
      </c>
      <c r="P311" s="7" t="n">
        <v>0.9980766141</v>
      </c>
      <c r="Q311" s="7" t="n">
        <v>24.8158253</v>
      </c>
      <c r="R311" s="7" t="n">
        <v>19.95671892</v>
      </c>
      <c r="S311" s="7" t="n">
        <v>3.175833897</v>
      </c>
    </row>
    <row r="312" customFormat="false" ht="15" hidden="false" customHeight="false" outlineLevel="0" collapsed="false">
      <c r="A312" s="5" t="s">
        <v>4</v>
      </c>
      <c r="B312" s="5" t="s">
        <v>77</v>
      </c>
      <c r="C312" s="5" t="s">
        <v>58</v>
      </c>
      <c r="D312" s="2" t="n">
        <v>12</v>
      </c>
      <c r="E312" s="5" t="s">
        <v>163</v>
      </c>
      <c r="F312" s="5" t="s">
        <v>164</v>
      </c>
      <c r="G312" s="2" t="n">
        <v>1</v>
      </c>
      <c r="H312" s="7" t="n">
        <v>-0.7181029933</v>
      </c>
      <c r="I312" s="7" t="n">
        <v>-0.6959151563</v>
      </c>
      <c r="J312" s="7" t="n">
        <v>0.005494198712</v>
      </c>
      <c r="K312" s="7" t="n">
        <v>0.695902372</v>
      </c>
      <c r="L312" s="7" t="n">
        <v>-0.7181236224</v>
      </c>
      <c r="M312" s="7" t="n">
        <v>-0.004283876131</v>
      </c>
      <c r="N312" s="7" t="n">
        <v>0.006926728208</v>
      </c>
      <c r="O312" s="7" t="n">
        <v>0.0007471616438</v>
      </c>
      <c r="P312" s="7" t="n">
        <v>0.9999757308</v>
      </c>
      <c r="Q312" s="7" t="n">
        <v>-11.08274414</v>
      </c>
      <c r="R312" s="7" t="n">
        <v>-0.8749496655</v>
      </c>
      <c r="S312" s="7" t="n">
        <v>0.6007352984</v>
      </c>
    </row>
    <row r="313" customFormat="false" ht="15" hidden="false" customHeight="false" outlineLevel="0" collapsed="false">
      <c r="A313" s="5" t="s">
        <v>4</v>
      </c>
      <c r="B313" s="5" t="s">
        <v>77</v>
      </c>
      <c r="C313" s="5" t="s">
        <v>62</v>
      </c>
      <c r="D313" s="2" t="n">
        <v>12</v>
      </c>
      <c r="E313" s="5" t="s">
        <v>163</v>
      </c>
      <c r="F313" s="5" t="s">
        <v>164</v>
      </c>
      <c r="G313" s="2" t="n">
        <v>1</v>
      </c>
      <c r="H313" s="7" t="n">
        <v>-0.7181029933</v>
      </c>
      <c r="I313" s="7" t="n">
        <v>-0.6959151563</v>
      </c>
      <c r="J313" s="7" t="n">
        <v>0.005494198712</v>
      </c>
      <c r="K313" s="7" t="n">
        <v>0.695902372</v>
      </c>
      <c r="L313" s="7" t="n">
        <v>-0.7181236224</v>
      </c>
      <c r="M313" s="7" t="n">
        <v>-0.004283876131</v>
      </c>
      <c r="N313" s="7" t="n">
        <v>0.006926728208</v>
      </c>
      <c r="O313" s="7" t="n">
        <v>0.0007471616438</v>
      </c>
      <c r="P313" s="7" t="n">
        <v>0.9999757308</v>
      </c>
      <c r="Q313" s="7" t="n">
        <v>-11.08274414</v>
      </c>
      <c r="R313" s="7" t="n">
        <v>-0.8749496655</v>
      </c>
      <c r="S313" s="7" t="n">
        <v>0.6007352984</v>
      </c>
    </row>
    <row r="314" customFormat="false" ht="15" hidden="false" customHeight="false" outlineLevel="0" collapsed="false">
      <c r="A314" s="5" t="s">
        <v>4</v>
      </c>
      <c r="B314" s="5" t="s">
        <v>77</v>
      </c>
      <c r="C314" s="5" t="s">
        <v>58</v>
      </c>
      <c r="D314" s="2" t="n">
        <v>12</v>
      </c>
      <c r="E314" s="5" t="s">
        <v>163</v>
      </c>
      <c r="F314" s="5" t="s">
        <v>165</v>
      </c>
      <c r="G314" s="2" t="n">
        <v>1</v>
      </c>
      <c r="H314" s="7" t="n">
        <v>0.933317442</v>
      </c>
      <c r="I314" s="7" t="n">
        <v>0.3590520642</v>
      </c>
      <c r="J314" s="7" t="n">
        <v>0.0004094599499</v>
      </c>
      <c r="K314" s="7" t="n">
        <v>-0.3590503852</v>
      </c>
      <c r="L314" s="7" t="n">
        <v>0.9333081417</v>
      </c>
      <c r="M314" s="7" t="n">
        <v>0.004328223959</v>
      </c>
      <c r="N314" s="7" t="n">
        <v>0.001171905442</v>
      </c>
      <c r="O314" s="7" t="n">
        <v>-0.004186623666</v>
      </c>
      <c r="P314" s="7" t="n">
        <v>0.9999905494</v>
      </c>
      <c r="Q314" s="7" t="n">
        <v>8.422920219</v>
      </c>
      <c r="R314" s="7" t="n">
        <v>1.343464913</v>
      </c>
      <c r="S314" s="7" t="n">
        <v>0.5718277942</v>
      </c>
    </row>
    <row r="315" customFormat="false" ht="15" hidden="false" customHeight="false" outlineLevel="0" collapsed="false">
      <c r="A315" s="5" t="s">
        <v>4</v>
      </c>
      <c r="B315" s="5" t="s">
        <v>77</v>
      </c>
      <c r="C315" s="5" t="s">
        <v>62</v>
      </c>
      <c r="D315" s="2" t="n">
        <v>12</v>
      </c>
      <c r="E315" s="5" t="s">
        <v>163</v>
      </c>
      <c r="F315" s="5" t="s">
        <v>165</v>
      </c>
      <c r="G315" s="2" t="n">
        <v>1</v>
      </c>
      <c r="H315" s="7" t="n">
        <v>0.933317442</v>
      </c>
      <c r="I315" s="7" t="n">
        <v>0.3590520642</v>
      </c>
      <c r="J315" s="7" t="n">
        <v>0.0004094599499</v>
      </c>
      <c r="K315" s="7" t="n">
        <v>-0.3590503852</v>
      </c>
      <c r="L315" s="7" t="n">
        <v>0.9333081417</v>
      </c>
      <c r="M315" s="7" t="n">
        <v>0.004328223959</v>
      </c>
      <c r="N315" s="7" t="n">
        <v>0.001171905442</v>
      </c>
      <c r="O315" s="7" t="n">
        <v>-0.004186623666</v>
      </c>
      <c r="P315" s="7" t="n">
        <v>0.9999905494</v>
      </c>
      <c r="Q315" s="7" t="n">
        <v>8.422920219</v>
      </c>
      <c r="R315" s="7" t="n">
        <v>1.343464913</v>
      </c>
      <c r="S315" s="7" t="n">
        <v>0.5718277942</v>
      </c>
    </row>
    <row r="316" customFormat="false" ht="15" hidden="false" customHeight="false" outlineLevel="0" collapsed="false">
      <c r="A316" s="5" t="s">
        <v>4</v>
      </c>
      <c r="B316" s="5" t="s">
        <v>77</v>
      </c>
      <c r="C316" s="5" t="s">
        <v>58</v>
      </c>
      <c r="D316" s="2" t="n">
        <v>12</v>
      </c>
      <c r="E316" s="5" t="s">
        <v>163</v>
      </c>
      <c r="F316" s="5" t="s">
        <v>166</v>
      </c>
      <c r="G316" s="2" t="n">
        <v>1</v>
      </c>
      <c r="H316" s="7" t="n">
        <v>0.9023531718</v>
      </c>
      <c r="I316" s="7" t="n">
        <v>0.4306502718</v>
      </c>
      <c r="J316" s="7" t="n">
        <v>-0.01729441357</v>
      </c>
      <c r="K316" s="7" t="n">
        <v>-0.4307594841</v>
      </c>
      <c r="L316" s="7" t="n">
        <v>0.902461804</v>
      </c>
      <c r="M316" s="7" t="n">
        <v>-0.002993192228</v>
      </c>
      <c r="N316" s="7" t="n">
        <v>0.01431852862</v>
      </c>
      <c r="O316" s="7" t="n">
        <v>0.01015064917</v>
      </c>
      <c r="P316" s="7" t="n">
        <v>0.9998459602</v>
      </c>
      <c r="Q316" s="7" t="n">
        <v>22.8327295</v>
      </c>
      <c r="R316" s="7" t="n">
        <v>6.541989702</v>
      </c>
      <c r="S316" s="7" t="n">
        <v>1.633094044</v>
      </c>
    </row>
    <row r="317" customFormat="false" ht="15" hidden="false" customHeight="false" outlineLevel="0" collapsed="false">
      <c r="A317" s="5" t="s">
        <v>4</v>
      </c>
      <c r="B317" s="5" t="s">
        <v>77</v>
      </c>
      <c r="C317" s="5" t="s">
        <v>62</v>
      </c>
      <c r="D317" s="2" t="n">
        <v>12</v>
      </c>
      <c r="E317" s="5" t="s">
        <v>163</v>
      </c>
      <c r="F317" s="5" t="s">
        <v>166</v>
      </c>
      <c r="G317" s="2" t="n">
        <v>1</v>
      </c>
      <c r="H317" s="7" t="n">
        <v>0.9023531718</v>
      </c>
      <c r="I317" s="7" t="n">
        <v>0.4306502718</v>
      </c>
      <c r="J317" s="7" t="n">
        <v>-0.01729441357</v>
      </c>
      <c r="K317" s="7" t="n">
        <v>-0.4307594841</v>
      </c>
      <c r="L317" s="7" t="n">
        <v>0.902461804</v>
      </c>
      <c r="M317" s="7" t="n">
        <v>-0.002993192228</v>
      </c>
      <c r="N317" s="7" t="n">
        <v>0.01431852862</v>
      </c>
      <c r="O317" s="7" t="n">
        <v>0.01015064917</v>
      </c>
      <c r="P317" s="7" t="n">
        <v>0.9998459602</v>
      </c>
      <c r="Q317" s="7" t="n">
        <v>22.8327295</v>
      </c>
      <c r="R317" s="7" t="n">
        <v>6.541989702</v>
      </c>
      <c r="S317" s="7" t="n">
        <v>1.633094044</v>
      </c>
    </row>
    <row r="318" customFormat="false" ht="15" hidden="false" customHeight="false" outlineLevel="0" collapsed="false">
      <c r="A318" s="5" t="s">
        <v>4</v>
      </c>
      <c r="B318" s="5" t="s">
        <v>77</v>
      </c>
      <c r="C318" s="5" t="s">
        <v>58</v>
      </c>
      <c r="D318" s="2" t="n">
        <v>12</v>
      </c>
      <c r="E318" s="5" t="s">
        <v>163</v>
      </c>
      <c r="F318" s="5" t="s">
        <v>167</v>
      </c>
      <c r="G318" s="2" t="n">
        <v>1</v>
      </c>
      <c r="H318" s="7" t="n">
        <v>0.2246616958</v>
      </c>
      <c r="I318" s="7" t="n">
        <v>-0.9744368036</v>
      </c>
      <c r="J318" s="7" t="n">
        <v>0.0001953483996</v>
      </c>
      <c r="K318" s="7" t="n">
        <v>0.9743737344</v>
      </c>
      <c r="L318" s="7" t="n">
        <v>0.2246448646</v>
      </c>
      <c r="M318" s="7" t="n">
        <v>-0.01142412155</v>
      </c>
      <c r="N318" s="7" t="n">
        <v>0.01108820047</v>
      </c>
      <c r="O318" s="7" t="n">
        <v>0.002756904869</v>
      </c>
      <c r="P318" s="7" t="n">
        <v>0.9999347235</v>
      </c>
      <c r="Q318" s="7" t="n">
        <v>-16.5246671</v>
      </c>
      <c r="R318" s="7" t="n">
        <v>20.49702356</v>
      </c>
      <c r="S318" s="7" t="n">
        <v>1.08292475</v>
      </c>
    </row>
    <row r="319" customFormat="false" ht="15" hidden="false" customHeight="false" outlineLevel="0" collapsed="false">
      <c r="A319" s="5" t="s">
        <v>4</v>
      </c>
      <c r="B319" s="5" t="s">
        <v>77</v>
      </c>
      <c r="C319" s="5" t="s">
        <v>62</v>
      </c>
      <c r="D319" s="2" t="n">
        <v>12</v>
      </c>
      <c r="E319" s="5" t="s">
        <v>163</v>
      </c>
      <c r="F319" s="5" t="s">
        <v>167</v>
      </c>
      <c r="G319" s="2" t="n">
        <v>1</v>
      </c>
      <c r="H319" s="7" t="n">
        <v>0.2246616958</v>
      </c>
      <c r="I319" s="7" t="n">
        <v>-0.9744368036</v>
      </c>
      <c r="J319" s="7" t="n">
        <v>0.0001953483996</v>
      </c>
      <c r="K319" s="7" t="n">
        <v>0.9743737344</v>
      </c>
      <c r="L319" s="7" t="n">
        <v>0.2246448646</v>
      </c>
      <c r="M319" s="7" t="n">
        <v>-0.01142412155</v>
      </c>
      <c r="N319" s="7" t="n">
        <v>0.01108820047</v>
      </c>
      <c r="O319" s="7" t="n">
        <v>0.002756904869</v>
      </c>
      <c r="P319" s="7" t="n">
        <v>0.9999347235</v>
      </c>
      <c r="Q319" s="7" t="n">
        <v>-16.5246671</v>
      </c>
      <c r="R319" s="7" t="n">
        <v>20.49702356</v>
      </c>
      <c r="S319" s="7" t="n">
        <v>1.08292475</v>
      </c>
    </row>
    <row r="320" customFormat="false" ht="15" hidden="false" customHeight="false" outlineLevel="0" collapsed="false">
      <c r="A320" s="5" t="s">
        <v>4</v>
      </c>
      <c r="B320" s="5" t="s">
        <v>77</v>
      </c>
      <c r="C320" s="5" t="s">
        <v>58</v>
      </c>
      <c r="D320" s="2" t="n">
        <v>12</v>
      </c>
      <c r="E320" s="5" t="s">
        <v>163</v>
      </c>
      <c r="F320" s="5" t="s">
        <v>168</v>
      </c>
      <c r="G320" s="2" t="n">
        <v>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customFormat="false" ht="15" hidden="false" customHeight="false" outlineLevel="0" collapsed="false">
      <c r="A321" s="5" t="s">
        <v>4</v>
      </c>
      <c r="B321" s="5" t="s">
        <v>77</v>
      </c>
      <c r="C321" s="5" t="s">
        <v>62</v>
      </c>
      <c r="D321" s="2" t="n">
        <v>12</v>
      </c>
      <c r="E321" s="5" t="s">
        <v>163</v>
      </c>
      <c r="F321" s="5" t="s">
        <v>168</v>
      </c>
      <c r="G321" s="2" t="n">
        <v>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customFormat="false" ht="15" hidden="false" customHeight="false" outlineLevel="0" collapsed="false">
      <c r="A322" s="5" t="s">
        <v>4</v>
      </c>
      <c r="B322" s="5" t="s">
        <v>77</v>
      </c>
      <c r="C322" s="5" t="s">
        <v>58</v>
      </c>
      <c r="D322" s="2" t="n">
        <v>13</v>
      </c>
      <c r="E322" s="5" t="s">
        <v>163</v>
      </c>
      <c r="F322" s="5" t="s">
        <v>164</v>
      </c>
      <c r="G322" s="2" t="n">
        <v>1</v>
      </c>
      <c r="H322" s="7" t="n">
        <v>-0.7179061222</v>
      </c>
      <c r="I322" s="7" t="n">
        <v>-0.6961347993</v>
      </c>
      <c r="J322" s="7" t="n">
        <v>0.002672229216</v>
      </c>
      <c r="K322" s="7" t="n">
        <v>0.6961333779</v>
      </c>
      <c r="L322" s="7" t="n">
        <v>-0.7179107302</v>
      </c>
      <c r="M322" s="7" t="n">
        <v>-0.001582271125</v>
      </c>
      <c r="N322" s="7" t="n">
        <v>0.00301989602</v>
      </c>
      <c r="O322" s="7" t="n">
        <v>0.000724305823</v>
      </c>
      <c r="P322" s="7" t="n">
        <v>0.9999951778</v>
      </c>
      <c r="Q322" s="7" t="n">
        <v>-11.09886277</v>
      </c>
      <c r="R322" s="7" t="n">
        <v>-0.8692835537</v>
      </c>
      <c r="S322" s="7" t="n">
        <v>0.5726528219</v>
      </c>
    </row>
    <row r="323" customFormat="false" ht="15" hidden="false" customHeight="false" outlineLevel="0" collapsed="false">
      <c r="A323" s="5" t="s">
        <v>4</v>
      </c>
      <c r="B323" s="5" t="s">
        <v>77</v>
      </c>
      <c r="C323" s="5" t="s">
        <v>62</v>
      </c>
      <c r="D323" s="2" t="n">
        <v>13</v>
      </c>
      <c r="E323" s="5" t="s">
        <v>163</v>
      </c>
      <c r="F323" s="5" t="s">
        <v>164</v>
      </c>
      <c r="G323" s="2" t="n">
        <v>1</v>
      </c>
      <c r="H323" s="7" t="n">
        <v>-0.7179061222</v>
      </c>
      <c r="I323" s="7" t="n">
        <v>-0.6961347993</v>
      </c>
      <c r="J323" s="7" t="n">
        <v>0.002672229216</v>
      </c>
      <c r="K323" s="7" t="n">
        <v>0.6961333779</v>
      </c>
      <c r="L323" s="7" t="n">
        <v>-0.7179107302</v>
      </c>
      <c r="M323" s="7" t="n">
        <v>-0.001582271125</v>
      </c>
      <c r="N323" s="7" t="n">
        <v>0.00301989602</v>
      </c>
      <c r="O323" s="7" t="n">
        <v>0.000724305823</v>
      </c>
      <c r="P323" s="7" t="n">
        <v>0.9999951778</v>
      </c>
      <c r="Q323" s="7" t="n">
        <v>-11.09886277</v>
      </c>
      <c r="R323" s="7" t="n">
        <v>-0.8692835537</v>
      </c>
      <c r="S323" s="7" t="n">
        <v>0.5726528219</v>
      </c>
    </row>
    <row r="324" customFormat="false" ht="15" hidden="false" customHeight="false" outlineLevel="0" collapsed="false">
      <c r="A324" s="5" t="s">
        <v>4</v>
      </c>
      <c r="B324" s="5" t="s">
        <v>77</v>
      </c>
      <c r="C324" s="5" t="s">
        <v>58</v>
      </c>
      <c r="D324" s="2" t="n">
        <v>13</v>
      </c>
      <c r="E324" s="5" t="s">
        <v>163</v>
      </c>
      <c r="F324" s="5" t="s">
        <v>165</v>
      </c>
      <c r="G324" s="2" t="n">
        <v>1</v>
      </c>
      <c r="H324" s="7" t="n">
        <v>0.9335595268</v>
      </c>
      <c r="I324" s="7" t="n">
        <v>0.3583833633</v>
      </c>
      <c r="J324" s="7" t="n">
        <v>-0.005289117153</v>
      </c>
      <c r="K324" s="7" t="n">
        <v>-0.3583468588</v>
      </c>
      <c r="L324" s="7" t="n">
        <v>0.9335640983</v>
      </c>
      <c r="M324" s="7" t="n">
        <v>0.006753012469</v>
      </c>
      <c r="N324" s="7" t="n">
        <v>0.007357897207</v>
      </c>
      <c r="O324" s="7" t="n">
        <v>-0.004409000608</v>
      </c>
      <c r="P324" s="7" t="n">
        <v>0.9999632104</v>
      </c>
      <c r="Q324" s="7" t="n">
        <v>8.408668529</v>
      </c>
      <c r="R324" s="7" t="n">
        <v>1.379281562</v>
      </c>
      <c r="S324" s="7" t="n">
        <v>0.6539364609</v>
      </c>
    </row>
    <row r="325" customFormat="false" ht="15" hidden="false" customHeight="false" outlineLevel="0" collapsed="false">
      <c r="A325" s="5" t="s">
        <v>4</v>
      </c>
      <c r="B325" s="5" t="s">
        <v>77</v>
      </c>
      <c r="C325" s="5" t="s">
        <v>62</v>
      </c>
      <c r="D325" s="2" t="n">
        <v>13</v>
      </c>
      <c r="E325" s="5" t="s">
        <v>163</v>
      </c>
      <c r="F325" s="5" t="s">
        <v>165</v>
      </c>
      <c r="G325" s="2" t="n">
        <v>1</v>
      </c>
      <c r="H325" s="7" t="n">
        <v>0.9335595268</v>
      </c>
      <c r="I325" s="7" t="n">
        <v>0.3583833633</v>
      </c>
      <c r="J325" s="7" t="n">
        <v>-0.005289117153</v>
      </c>
      <c r="K325" s="7" t="n">
        <v>-0.3583468588</v>
      </c>
      <c r="L325" s="7" t="n">
        <v>0.9335640983</v>
      </c>
      <c r="M325" s="7" t="n">
        <v>0.006753012469</v>
      </c>
      <c r="N325" s="7" t="n">
        <v>0.007357897207</v>
      </c>
      <c r="O325" s="7" t="n">
        <v>-0.004409000608</v>
      </c>
      <c r="P325" s="7" t="n">
        <v>0.9999632104</v>
      </c>
      <c r="Q325" s="7" t="n">
        <v>8.408668529</v>
      </c>
      <c r="R325" s="7" t="n">
        <v>1.379281562</v>
      </c>
      <c r="S325" s="7" t="n">
        <v>0.6539364609</v>
      </c>
    </row>
    <row r="326" customFormat="false" ht="15" hidden="false" customHeight="false" outlineLevel="0" collapsed="false">
      <c r="A326" s="5" t="s">
        <v>4</v>
      </c>
      <c r="B326" s="5" t="s">
        <v>77</v>
      </c>
      <c r="C326" s="5" t="s">
        <v>58</v>
      </c>
      <c r="D326" s="2" t="n">
        <v>13</v>
      </c>
      <c r="E326" s="5" t="s">
        <v>163</v>
      </c>
      <c r="F326" s="5" t="s">
        <v>166</v>
      </c>
      <c r="G326" s="2" t="n">
        <v>1</v>
      </c>
      <c r="H326" s="7" t="n">
        <v>0.9014316045</v>
      </c>
      <c r="I326" s="7" t="n">
        <v>0.4326522557</v>
      </c>
      <c r="J326" s="7" t="n">
        <v>-0.0152672233</v>
      </c>
      <c r="K326" s="7" t="n">
        <v>-0.4327798731</v>
      </c>
      <c r="L326" s="7" t="n">
        <v>0.9014782109</v>
      </c>
      <c r="M326" s="7" t="n">
        <v>-0.006214226662</v>
      </c>
      <c r="N326" s="7" t="n">
        <v>0.01107446997</v>
      </c>
      <c r="O326" s="7" t="n">
        <v>0.01220904728</v>
      </c>
      <c r="P326" s="7" t="n">
        <v>0.9998641384</v>
      </c>
      <c r="Q326" s="7" t="n">
        <v>22.86036785</v>
      </c>
      <c r="R326" s="7" t="n">
        <v>6.513283014</v>
      </c>
      <c r="S326" s="7" t="n">
        <v>1.574729627</v>
      </c>
    </row>
    <row r="327" customFormat="false" ht="15" hidden="false" customHeight="false" outlineLevel="0" collapsed="false">
      <c r="A327" s="5" t="s">
        <v>4</v>
      </c>
      <c r="B327" s="5" t="s">
        <v>77</v>
      </c>
      <c r="C327" s="5" t="s">
        <v>62</v>
      </c>
      <c r="D327" s="2" t="n">
        <v>13</v>
      </c>
      <c r="E327" s="5" t="s">
        <v>163</v>
      </c>
      <c r="F327" s="5" t="s">
        <v>166</v>
      </c>
      <c r="G327" s="2" t="n">
        <v>1</v>
      </c>
      <c r="H327" s="7" t="n">
        <v>0.9014316045</v>
      </c>
      <c r="I327" s="7" t="n">
        <v>0.4326522557</v>
      </c>
      <c r="J327" s="7" t="n">
        <v>-0.0152672233</v>
      </c>
      <c r="K327" s="7" t="n">
        <v>-0.4327798731</v>
      </c>
      <c r="L327" s="7" t="n">
        <v>0.9014782109</v>
      </c>
      <c r="M327" s="7" t="n">
        <v>-0.006214226662</v>
      </c>
      <c r="N327" s="7" t="n">
        <v>0.01107446997</v>
      </c>
      <c r="O327" s="7" t="n">
        <v>0.01220904728</v>
      </c>
      <c r="P327" s="7" t="n">
        <v>0.9998641384</v>
      </c>
      <c r="Q327" s="7" t="n">
        <v>22.86036785</v>
      </c>
      <c r="R327" s="7" t="n">
        <v>6.513283014</v>
      </c>
      <c r="S327" s="7" t="n">
        <v>1.574729627</v>
      </c>
    </row>
    <row r="328" customFormat="false" ht="15" hidden="false" customHeight="false" outlineLevel="0" collapsed="false">
      <c r="A328" s="5" t="s">
        <v>4</v>
      </c>
      <c r="B328" s="5" t="s">
        <v>77</v>
      </c>
      <c r="C328" s="5" t="s">
        <v>58</v>
      </c>
      <c r="D328" s="2" t="n">
        <v>13</v>
      </c>
      <c r="E328" s="5" t="s">
        <v>163</v>
      </c>
      <c r="F328" s="5" t="s">
        <v>167</v>
      </c>
      <c r="G328" s="2" t="n">
        <v>1</v>
      </c>
      <c r="H328" s="7" t="n">
        <v>0.2274536928</v>
      </c>
      <c r="I328" s="7" t="n">
        <v>-0.9737391463</v>
      </c>
      <c r="J328" s="7" t="n">
        <v>-0.009843403342</v>
      </c>
      <c r="K328" s="7" t="n">
        <v>0.9737617881</v>
      </c>
      <c r="L328" s="7" t="n">
        <v>0.2275111665</v>
      </c>
      <c r="M328" s="7" t="n">
        <v>-0.005162285266</v>
      </c>
      <c r="N328" s="7" t="n">
        <v>0.007266203425</v>
      </c>
      <c r="O328" s="7" t="n">
        <v>-0.008410949191</v>
      </c>
      <c r="P328" s="7" t="n">
        <v>0.9999382272</v>
      </c>
      <c r="Q328" s="7" t="n">
        <v>-16.52489448</v>
      </c>
      <c r="R328" s="7" t="n">
        <v>20.57403734</v>
      </c>
      <c r="S328" s="7" t="n">
        <v>0.8304760028</v>
      </c>
    </row>
    <row r="329" customFormat="false" ht="15" hidden="false" customHeight="false" outlineLevel="0" collapsed="false">
      <c r="A329" s="5" t="s">
        <v>4</v>
      </c>
      <c r="B329" s="5" t="s">
        <v>77</v>
      </c>
      <c r="C329" s="5" t="s">
        <v>62</v>
      </c>
      <c r="D329" s="2" t="n">
        <v>13</v>
      </c>
      <c r="E329" s="5" t="s">
        <v>163</v>
      </c>
      <c r="F329" s="5" t="s">
        <v>167</v>
      </c>
      <c r="G329" s="2" t="n">
        <v>1</v>
      </c>
      <c r="H329" s="7" t="n">
        <v>0.2274536928</v>
      </c>
      <c r="I329" s="7" t="n">
        <v>-0.9737391463</v>
      </c>
      <c r="J329" s="7" t="n">
        <v>-0.009843403342</v>
      </c>
      <c r="K329" s="7" t="n">
        <v>0.9737617881</v>
      </c>
      <c r="L329" s="7" t="n">
        <v>0.2275111665</v>
      </c>
      <c r="M329" s="7" t="n">
        <v>-0.005162285266</v>
      </c>
      <c r="N329" s="7" t="n">
        <v>0.007266203425</v>
      </c>
      <c r="O329" s="7" t="n">
        <v>-0.008410949191</v>
      </c>
      <c r="P329" s="7" t="n">
        <v>0.9999382272</v>
      </c>
      <c r="Q329" s="7" t="n">
        <v>-16.52489448</v>
      </c>
      <c r="R329" s="7" t="n">
        <v>20.57403734</v>
      </c>
      <c r="S329" s="7" t="n">
        <v>0.8304760028</v>
      </c>
    </row>
    <row r="330" customFormat="false" ht="15" hidden="false" customHeight="false" outlineLevel="0" collapsed="false">
      <c r="A330" s="5" t="s">
        <v>4</v>
      </c>
      <c r="B330" s="5" t="s">
        <v>77</v>
      </c>
      <c r="C330" s="5" t="s">
        <v>58</v>
      </c>
      <c r="D330" s="2" t="n">
        <v>13</v>
      </c>
      <c r="E330" s="5" t="s">
        <v>163</v>
      </c>
      <c r="F330" s="5" t="s">
        <v>168</v>
      </c>
      <c r="G330" s="2" t="n">
        <v>1</v>
      </c>
      <c r="H330" s="7" t="n">
        <v>0.9891425054</v>
      </c>
      <c r="I330" s="7" t="n">
        <v>0.1466892047</v>
      </c>
      <c r="J330" s="7" t="n">
        <v>-0.008909619332</v>
      </c>
      <c r="K330" s="7" t="n">
        <v>-0.1467490601</v>
      </c>
      <c r="L330" s="7" t="n">
        <v>0.9891525268</v>
      </c>
      <c r="M330" s="7" t="n">
        <v>-0.006480132323</v>
      </c>
      <c r="N330" s="7" t="n">
        <v>0.007862407018</v>
      </c>
      <c r="O330" s="7" t="n">
        <v>0.007717252584</v>
      </c>
      <c r="P330" s="7" t="n">
        <v>0.9999393114</v>
      </c>
      <c r="Q330" s="7" t="n">
        <v>25.14766067</v>
      </c>
      <c r="R330" s="7" t="n">
        <v>19.80580942</v>
      </c>
      <c r="S330" s="7" t="n">
        <v>2.283259376</v>
      </c>
    </row>
    <row r="331" customFormat="false" ht="15" hidden="false" customHeight="false" outlineLevel="0" collapsed="false">
      <c r="A331" s="5" t="s">
        <v>4</v>
      </c>
      <c r="B331" s="5" t="s">
        <v>77</v>
      </c>
      <c r="C331" s="5" t="s">
        <v>62</v>
      </c>
      <c r="D331" s="2" t="n">
        <v>13</v>
      </c>
      <c r="E331" s="5" t="s">
        <v>163</v>
      </c>
      <c r="F331" s="5" t="s">
        <v>168</v>
      </c>
      <c r="G331" s="2" t="n">
        <v>1</v>
      </c>
      <c r="H331" s="7" t="n">
        <v>0.9891425054</v>
      </c>
      <c r="I331" s="7" t="n">
        <v>0.1466892047</v>
      </c>
      <c r="J331" s="7" t="n">
        <v>-0.008909619332</v>
      </c>
      <c r="K331" s="7" t="n">
        <v>-0.1467490601</v>
      </c>
      <c r="L331" s="7" t="n">
        <v>0.9891525268</v>
      </c>
      <c r="M331" s="7" t="n">
        <v>-0.006480132323</v>
      </c>
      <c r="N331" s="7" t="n">
        <v>0.007862407018</v>
      </c>
      <c r="O331" s="7" t="n">
        <v>0.007717252584</v>
      </c>
      <c r="P331" s="7" t="n">
        <v>0.9999393114</v>
      </c>
      <c r="Q331" s="7" t="n">
        <v>25.14766067</v>
      </c>
      <c r="R331" s="7" t="n">
        <v>19.80580942</v>
      </c>
      <c r="S331" s="7" t="n">
        <v>2.283259376</v>
      </c>
    </row>
    <row r="332" customFormat="false" ht="15" hidden="false" customHeight="false" outlineLevel="0" collapsed="false">
      <c r="A332" s="5" t="s">
        <v>4</v>
      </c>
      <c r="B332" s="5" t="s">
        <v>77</v>
      </c>
      <c r="C332" s="5" t="s">
        <v>58</v>
      </c>
      <c r="D332" s="2" t="n">
        <v>14</v>
      </c>
      <c r="E332" s="5" t="s">
        <v>163</v>
      </c>
      <c r="F332" s="5" t="s">
        <v>164</v>
      </c>
      <c r="G332" s="2" t="n">
        <v>1</v>
      </c>
      <c r="H332" s="7" t="n">
        <v>-0.7184069041</v>
      </c>
      <c r="I332" s="7" t="n">
        <v>-0.6956161788</v>
      </c>
      <c r="J332" s="7" t="n">
        <v>0.003106774721</v>
      </c>
      <c r="K332" s="7" t="n">
        <v>0.6956204896</v>
      </c>
      <c r="L332" s="7" t="n">
        <v>-0.7184093001</v>
      </c>
      <c r="M332" s="7" t="n">
        <v>0.0004603649852</v>
      </c>
      <c r="N332" s="7" t="n">
        <v>0.001911698521</v>
      </c>
      <c r="O332" s="7" t="n">
        <v>0.002491865536</v>
      </c>
      <c r="P332" s="7" t="n">
        <v>0.999995068</v>
      </c>
      <c r="Q332" s="7" t="n">
        <v>-11.08168282</v>
      </c>
      <c r="R332" s="7" t="n">
        <v>-0.8748192511</v>
      </c>
      <c r="S332" s="7" t="n">
        <v>0.5735926262</v>
      </c>
    </row>
    <row r="333" customFormat="false" ht="15" hidden="false" customHeight="false" outlineLevel="0" collapsed="false">
      <c r="A333" s="5" t="s">
        <v>4</v>
      </c>
      <c r="B333" s="5" t="s">
        <v>77</v>
      </c>
      <c r="C333" s="5" t="s">
        <v>62</v>
      </c>
      <c r="D333" s="2" t="n">
        <v>14</v>
      </c>
      <c r="E333" s="5" t="s">
        <v>163</v>
      </c>
      <c r="F333" s="5" t="s">
        <v>164</v>
      </c>
      <c r="G333" s="2" t="n">
        <v>1</v>
      </c>
      <c r="H333" s="7" t="n">
        <v>-0.7184069041</v>
      </c>
      <c r="I333" s="7" t="n">
        <v>-0.6956161788</v>
      </c>
      <c r="J333" s="7" t="n">
        <v>0.003106774721</v>
      </c>
      <c r="K333" s="7" t="n">
        <v>0.6956204896</v>
      </c>
      <c r="L333" s="7" t="n">
        <v>-0.7184093001</v>
      </c>
      <c r="M333" s="7" t="n">
        <v>0.0004603649852</v>
      </c>
      <c r="N333" s="7" t="n">
        <v>0.001911698521</v>
      </c>
      <c r="O333" s="7" t="n">
        <v>0.002491865536</v>
      </c>
      <c r="P333" s="7" t="n">
        <v>0.999995068</v>
      </c>
      <c r="Q333" s="7" t="n">
        <v>-11.08168282</v>
      </c>
      <c r="R333" s="7" t="n">
        <v>-0.8748192511</v>
      </c>
      <c r="S333" s="7" t="n">
        <v>0.5735926262</v>
      </c>
    </row>
    <row r="334" customFormat="false" ht="15" hidden="false" customHeight="false" outlineLevel="0" collapsed="false">
      <c r="A334" s="5" t="s">
        <v>4</v>
      </c>
      <c r="B334" s="5" t="s">
        <v>77</v>
      </c>
      <c r="C334" s="5" t="s">
        <v>58</v>
      </c>
      <c r="D334" s="2" t="n">
        <v>14</v>
      </c>
      <c r="E334" s="5" t="s">
        <v>163</v>
      </c>
      <c r="F334" s="5" t="s">
        <v>165</v>
      </c>
      <c r="G334" s="2" t="n">
        <v>1</v>
      </c>
      <c r="H334" s="7" t="n">
        <v>0.9335016974</v>
      </c>
      <c r="I334" s="7" t="n">
        <v>0.3585085792</v>
      </c>
      <c r="J334" s="7" t="n">
        <v>-0.006795562921</v>
      </c>
      <c r="K334" s="7" t="n">
        <v>-0.3584687131</v>
      </c>
      <c r="L334" s="7" t="n">
        <v>0.9335196435</v>
      </c>
      <c r="M334" s="7" t="n">
        <v>0.006423150717</v>
      </c>
      <c r="N334" s="7" t="n">
        <v>0.008646546113</v>
      </c>
      <c r="O334" s="7" t="n">
        <v>-0.003560025402</v>
      </c>
      <c r="P334" s="7" t="n">
        <v>0.9999562808</v>
      </c>
      <c r="Q334" s="7" t="n">
        <v>8.39815067</v>
      </c>
      <c r="R334" s="7" t="n">
        <v>1.361080443</v>
      </c>
      <c r="S334" s="7" t="n">
        <v>0.6783398796</v>
      </c>
    </row>
    <row r="335" customFormat="false" ht="15" hidden="false" customHeight="false" outlineLevel="0" collapsed="false">
      <c r="A335" s="5" t="s">
        <v>4</v>
      </c>
      <c r="B335" s="5" t="s">
        <v>77</v>
      </c>
      <c r="C335" s="5" t="s">
        <v>62</v>
      </c>
      <c r="D335" s="2" t="n">
        <v>14</v>
      </c>
      <c r="E335" s="5" t="s">
        <v>163</v>
      </c>
      <c r="F335" s="5" t="s">
        <v>165</v>
      </c>
      <c r="G335" s="2" t="n">
        <v>1</v>
      </c>
      <c r="H335" s="7" t="n">
        <v>0.9335016974</v>
      </c>
      <c r="I335" s="7" t="n">
        <v>0.3585085792</v>
      </c>
      <c r="J335" s="7" t="n">
        <v>-0.006795562921</v>
      </c>
      <c r="K335" s="7" t="n">
        <v>-0.3584687131</v>
      </c>
      <c r="L335" s="7" t="n">
        <v>0.9335196435</v>
      </c>
      <c r="M335" s="7" t="n">
        <v>0.006423150717</v>
      </c>
      <c r="N335" s="7" t="n">
        <v>0.008646546113</v>
      </c>
      <c r="O335" s="7" t="n">
        <v>-0.003560025402</v>
      </c>
      <c r="P335" s="7" t="n">
        <v>0.9999562808</v>
      </c>
      <c r="Q335" s="7" t="n">
        <v>8.39815067</v>
      </c>
      <c r="R335" s="7" t="n">
        <v>1.361080443</v>
      </c>
      <c r="S335" s="7" t="n">
        <v>0.6783398796</v>
      </c>
    </row>
    <row r="336" customFormat="false" ht="15" hidden="false" customHeight="false" outlineLevel="0" collapsed="false">
      <c r="A336" s="5" t="s">
        <v>4</v>
      </c>
      <c r="B336" s="5" t="s">
        <v>77</v>
      </c>
      <c r="C336" s="5" t="s">
        <v>58</v>
      </c>
      <c r="D336" s="2" t="n">
        <v>14</v>
      </c>
      <c r="E336" s="5" t="s">
        <v>163</v>
      </c>
      <c r="F336" s="5" t="s">
        <v>166</v>
      </c>
      <c r="G336" s="2" t="n">
        <v>1</v>
      </c>
      <c r="H336" s="7" t="n">
        <v>0.902773887</v>
      </c>
      <c r="I336" s="7" t="n">
        <v>0.4298577371</v>
      </c>
      <c r="J336" s="7" t="n">
        <v>-0.01488740268</v>
      </c>
      <c r="K336" s="7" t="n">
        <v>-0.4299944259</v>
      </c>
      <c r="L336" s="7" t="n">
        <v>0.9028001313</v>
      </c>
      <c r="M336" s="7" t="n">
        <v>-0.007531047976</v>
      </c>
      <c r="N336" s="7" t="n">
        <v>0.01020306985</v>
      </c>
      <c r="O336" s="7" t="n">
        <v>0.01320033362</v>
      </c>
      <c r="P336" s="7" t="n">
        <v>0.9998608146</v>
      </c>
      <c r="Q336" s="7" t="n">
        <v>22.80227952</v>
      </c>
      <c r="R336" s="7" t="n">
        <v>6.530920253</v>
      </c>
      <c r="S336" s="7" t="n">
        <v>1.602917562</v>
      </c>
    </row>
    <row r="337" customFormat="false" ht="15" hidden="false" customHeight="false" outlineLevel="0" collapsed="false">
      <c r="A337" s="5" t="s">
        <v>4</v>
      </c>
      <c r="B337" s="5" t="s">
        <v>77</v>
      </c>
      <c r="C337" s="5" t="s">
        <v>62</v>
      </c>
      <c r="D337" s="2" t="n">
        <v>14</v>
      </c>
      <c r="E337" s="5" t="s">
        <v>163</v>
      </c>
      <c r="F337" s="5" t="s">
        <v>166</v>
      </c>
      <c r="G337" s="2" t="n">
        <v>1</v>
      </c>
      <c r="H337" s="7" t="n">
        <v>0.902773887</v>
      </c>
      <c r="I337" s="7" t="n">
        <v>0.4298577371</v>
      </c>
      <c r="J337" s="7" t="n">
        <v>-0.01488740268</v>
      </c>
      <c r="K337" s="7" t="n">
        <v>-0.4299944259</v>
      </c>
      <c r="L337" s="7" t="n">
        <v>0.9028001313</v>
      </c>
      <c r="M337" s="7" t="n">
        <v>-0.007531047976</v>
      </c>
      <c r="N337" s="7" t="n">
        <v>0.01020306985</v>
      </c>
      <c r="O337" s="7" t="n">
        <v>0.01320033362</v>
      </c>
      <c r="P337" s="7" t="n">
        <v>0.9998608146</v>
      </c>
      <c r="Q337" s="7" t="n">
        <v>22.80227952</v>
      </c>
      <c r="R337" s="7" t="n">
        <v>6.530920253</v>
      </c>
      <c r="S337" s="7" t="n">
        <v>1.602917562</v>
      </c>
    </row>
    <row r="338" customFormat="false" ht="15" hidden="false" customHeight="false" outlineLevel="0" collapsed="false">
      <c r="A338" s="5" t="s">
        <v>4</v>
      </c>
      <c r="B338" s="5" t="s">
        <v>77</v>
      </c>
      <c r="C338" s="5" t="s">
        <v>58</v>
      </c>
      <c r="D338" s="2" t="n">
        <v>14</v>
      </c>
      <c r="E338" s="5" t="s">
        <v>163</v>
      </c>
      <c r="F338" s="5" t="s">
        <v>167</v>
      </c>
      <c r="G338" s="2" t="n">
        <v>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customFormat="false" ht="15" hidden="false" customHeight="false" outlineLevel="0" collapsed="false">
      <c r="A339" s="5" t="s">
        <v>4</v>
      </c>
      <c r="B339" s="5" t="s">
        <v>77</v>
      </c>
      <c r="C339" s="5" t="s">
        <v>62</v>
      </c>
      <c r="D339" s="2" t="n">
        <v>14</v>
      </c>
      <c r="E339" s="5" t="s">
        <v>163</v>
      </c>
      <c r="F339" s="5" t="s">
        <v>167</v>
      </c>
      <c r="G339" s="2" t="n">
        <v>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customFormat="false" ht="15" hidden="false" customHeight="false" outlineLevel="0" collapsed="false">
      <c r="A340" s="5" t="s">
        <v>4</v>
      </c>
      <c r="B340" s="5" t="s">
        <v>77</v>
      </c>
      <c r="C340" s="5" t="s">
        <v>58</v>
      </c>
      <c r="D340" s="2" t="n">
        <v>14</v>
      </c>
      <c r="E340" s="5" t="s">
        <v>163</v>
      </c>
      <c r="F340" s="5" t="s">
        <v>168</v>
      </c>
      <c r="G340" s="2" t="n">
        <v>1</v>
      </c>
      <c r="H340" s="7" t="n">
        <v>0.9871650106</v>
      </c>
      <c r="I340" s="7" t="n">
        <v>0.1526641888</v>
      </c>
      <c r="J340" s="7" t="n">
        <v>-0.04689229565</v>
      </c>
      <c r="K340" s="7" t="n">
        <v>-0.1508455529</v>
      </c>
      <c r="L340" s="7" t="n">
        <v>0.9877412036</v>
      </c>
      <c r="M340" s="7" t="n">
        <v>0.04016134752</v>
      </c>
      <c r="N340" s="7" t="n">
        <v>0.05244865208</v>
      </c>
      <c r="O340" s="7" t="n">
        <v>-0.03257238278</v>
      </c>
      <c r="P340" s="7" t="n">
        <v>0.9980922697</v>
      </c>
      <c r="Q340" s="7" t="n">
        <v>25.08119022</v>
      </c>
      <c r="R340" s="7" t="n">
        <v>19.87474876</v>
      </c>
      <c r="S340" s="7" t="n">
        <v>2.275779855</v>
      </c>
    </row>
    <row r="341" customFormat="false" ht="15" hidden="false" customHeight="false" outlineLevel="0" collapsed="false">
      <c r="A341" s="5" t="s">
        <v>4</v>
      </c>
      <c r="B341" s="5" t="s">
        <v>77</v>
      </c>
      <c r="C341" s="5" t="s">
        <v>62</v>
      </c>
      <c r="D341" s="2" t="n">
        <v>14</v>
      </c>
      <c r="E341" s="5" t="s">
        <v>163</v>
      </c>
      <c r="F341" s="5" t="s">
        <v>168</v>
      </c>
      <c r="G341" s="2" t="n">
        <v>1</v>
      </c>
      <c r="H341" s="7" t="n">
        <v>0.9886101493</v>
      </c>
      <c r="I341" s="7" t="n">
        <v>0.1493637337</v>
      </c>
      <c r="J341" s="7" t="n">
        <v>-0.01845122497</v>
      </c>
      <c r="K341" s="7" t="n">
        <v>-0.1493286392</v>
      </c>
      <c r="L341" s="7" t="n">
        <v>0.9887822026</v>
      </c>
      <c r="M341" s="7" t="n">
        <v>0.003273132923</v>
      </c>
      <c r="N341" s="7" t="n">
        <v>0.01873313022</v>
      </c>
      <c r="O341" s="7" t="n">
        <v>-0.0004805561124</v>
      </c>
      <c r="P341" s="7" t="n">
        <v>0.999824404</v>
      </c>
      <c r="Q341" s="7" t="n">
        <v>25.1349786</v>
      </c>
      <c r="R341" s="7" t="n">
        <v>19.80887787</v>
      </c>
      <c r="S341" s="7" t="n">
        <v>2.151617676</v>
      </c>
    </row>
    <row r="342" customFormat="false" ht="15" hidden="false" customHeight="false" outlineLevel="0" collapsed="false">
      <c r="A342" s="5" t="s">
        <v>4</v>
      </c>
      <c r="B342" s="5" t="s">
        <v>77</v>
      </c>
      <c r="C342" s="5" t="s">
        <v>58</v>
      </c>
      <c r="D342" s="2" t="n">
        <v>15</v>
      </c>
      <c r="E342" s="5" t="s">
        <v>163</v>
      </c>
      <c r="F342" s="5" t="s">
        <v>164</v>
      </c>
      <c r="G342" s="2" t="n">
        <v>1</v>
      </c>
      <c r="H342" s="7" t="n">
        <v>-0.7185015258</v>
      </c>
      <c r="I342" s="7" t="n">
        <v>-0.6954998365</v>
      </c>
      <c r="J342" s="7" t="n">
        <v>0.005961116878</v>
      </c>
      <c r="K342" s="7" t="n">
        <v>0.6954829352</v>
      </c>
      <c r="L342" s="7" t="n">
        <v>-0.7185259754</v>
      </c>
      <c r="M342" s="7" t="n">
        <v>-0.004889733937</v>
      </c>
      <c r="N342" s="7" t="n">
        <v>0.007684026473</v>
      </c>
      <c r="O342" s="7" t="n">
        <v>0.0006325737687</v>
      </c>
      <c r="P342" s="7" t="n">
        <v>0.9999702774</v>
      </c>
      <c r="Q342" s="7" t="n">
        <v>-11.07385527</v>
      </c>
      <c r="R342" s="7" t="n">
        <v>-0.8722410922</v>
      </c>
      <c r="S342" s="7" t="n">
        <v>0.6103207131</v>
      </c>
    </row>
    <row r="343" customFormat="false" ht="15" hidden="false" customHeight="false" outlineLevel="0" collapsed="false">
      <c r="A343" s="5" t="s">
        <v>4</v>
      </c>
      <c r="B343" s="5" t="s">
        <v>77</v>
      </c>
      <c r="C343" s="5" t="s">
        <v>62</v>
      </c>
      <c r="D343" s="2" t="n">
        <v>15</v>
      </c>
      <c r="E343" s="5" t="s">
        <v>163</v>
      </c>
      <c r="F343" s="5" t="s">
        <v>164</v>
      </c>
      <c r="G343" s="2" t="n">
        <v>1</v>
      </c>
      <c r="H343" s="7" t="n">
        <v>-0.7185015258</v>
      </c>
      <c r="I343" s="7" t="n">
        <v>-0.6954998365</v>
      </c>
      <c r="J343" s="7" t="n">
        <v>0.005961116878</v>
      </c>
      <c r="K343" s="7" t="n">
        <v>0.6954829352</v>
      </c>
      <c r="L343" s="7" t="n">
        <v>-0.7185259754</v>
      </c>
      <c r="M343" s="7" t="n">
        <v>-0.004889733937</v>
      </c>
      <c r="N343" s="7" t="n">
        <v>0.007684026473</v>
      </c>
      <c r="O343" s="7" t="n">
        <v>0.0006325737687</v>
      </c>
      <c r="P343" s="7" t="n">
        <v>0.9999702774</v>
      </c>
      <c r="Q343" s="7" t="n">
        <v>-11.07385527</v>
      </c>
      <c r="R343" s="7" t="n">
        <v>-0.8722410922</v>
      </c>
      <c r="S343" s="7" t="n">
        <v>0.6103207131</v>
      </c>
    </row>
    <row r="344" customFormat="false" ht="15" hidden="false" customHeight="false" outlineLevel="0" collapsed="false">
      <c r="A344" s="5" t="s">
        <v>4</v>
      </c>
      <c r="B344" s="5" t="s">
        <v>77</v>
      </c>
      <c r="C344" s="5" t="s">
        <v>58</v>
      </c>
      <c r="D344" s="2" t="n">
        <v>15</v>
      </c>
      <c r="E344" s="5" t="s">
        <v>163</v>
      </c>
      <c r="F344" s="5" t="s">
        <v>165</v>
      </c>
      <c r="G344" s="2" t="n">
        <v>1</v>
      </c>
      <c r="H344" s="7" t="n">
        <v>0.9336371069</v>
      </c>
      <c r="I344" s="7" t="n">
        <v>0.3582191118</v>
      </c>
      <c r="J344" s="7" t="n">
        <v>-0.0009058995748</v>
      </c>
      <c r="K344" s="7" t="n">
        <v>-0.3582150031</v>
      </c>
      <c r="L344" s="7" t="n">
        <v>0.9336341243</v>
      </c>
      <c r="M344" s="7" t="n">
        <v>0.003055078158</v>
      </c>
      <c r="N344" s="7" t="n">
        <v>0.00194016614</v>
      </c>
      <c r="O344" s="7" t="n">
        <v>-0.002527827514</v>
      </c>
      <c r="P344" s="7" t="n">
        <v>0.9999949229</v>
      </c>
      <c r="Q344" s="7" t="n">
        <v>8.406986304</v>
      </c>
      <c r="R344" s="7" t="n">
        <v>1.347172142</v>
      </c>
      <c r="S344" s="7" t="n">
        <v>0.6043204586</v>
      </c>
    </row>
    <row r="345" customFormat="false" ht="15" hidden="false" customHeight="false" outlineLevel="0" collapsed="false">
      <c r="A345" s="5" t="s">
        <v>4</v>
      </c>
      <c r="B345" s="5" t="s">
        <v>77</v>
      </c>
      <c r="C345" s="5" t="s">
        <v>62</v>
      </c>
      <c r="D345" s="2" t="n">
        <v>15</v>
      </c>
      <c r="E345" s="5" t="s">
        <v>163</v>
      </c>
      <c r="F345" s="5" t="s">
        <v>165</v>
      </c>
      <c r="G345" s="2" t="n">
        <v>1</v>
      </c>
      <c r="H345" s="7" t="n">
        <v>0.9336371069</v>
      </c>
      <c r="I345" s="7" t="n">
        <v>0.3582191118</v>
      </c>
      <c r="J345" s="7" t="n">
        <v>-0.0009058995748</v>
      </c>
      <c r="K345" s="7" t="n">
        <v>-0.3582150031</v>
      </c>
      <c r="L345" s="7" t="n">
        <v>0.9336341243</v>
      </c>
      <c r="M345" s="7" t="n">
        <v>0.003055078158</v>
      </c>
      <c r="N345" s="7" t="n">
        <v>0.00194016614</v>
      </c>
      <c r="O345" s="7" t="n">
        <v>-0.002527827514</v>
      </c>
      <c r="P345" s="7" t="n">
        <v>0.9999949229</v>
      </c>
      <c r="Q345" s="7" t="n">
        <v>8.406986304</v>
      </c>
      <c r="R345" s="7" t="n">
        <v>1.347172142</v>
      </c>
      <c r="S345" s="7" t="n">
        <v>0.6043204586</v>
      </c>
    </row>
    <row r="346" customFormat="false" ht="15" hidden="false" customHeight="false" outlineLevel="0" collapsed="false">
      <c r="A346" s="5" t="s">
        <v>4</v>
      </c>
      <c r="B346" s="5" t="s">
        <v>77</v>
      </c>
      <c r="C346" s="5" t="s">
        <v>58</v>
      </c>
      <c r="D346" s="2" t="n">
        <v>15</v>
      </c>
      <c r="E346" s="5" t="s">
        <v>163</v>
      </c>
      <c r="F346" s="5" t="s">
        <v>166</v>
      </c>
      <c r="G346" s="2" t="n">
        <v>1</v>
      </c>
      <c r="H346" s="7" t="n">
        <v>0.9027657469</v>
      </c>
      <c r="I346" s="7" t="n">
        <v>0.4298699442</v>
      </c>
      <c r="J346" s="7" t="n">
        <v>-0.01502788204</v>
      </c>
      <c r="K346" s="7" t="n">
        <v>-0.4299937893</v>
      </c>
      <c r="L346" s="7" t="n">
        <v>0.9028109142</v>
      </c>
      <c r="M346" s="7" t="n">
        <v>-0.00614770783</v>
      </c>
      <c r="N346" s="7" t="n">
        <v>0.0109246211</v>
      </c>
      <c r="O346" s="7" t="n">
        <v>0.01201183599</v>
      </c>
      <c r="P346" s="7" t="n">
        <v>0.9998681755</v>
      </c>
      <c r="Q346" s="7" t="n">
        <v>22.83724855</v>
      </c>
      <c r="R346" s="7" t="n">
        <v>6.488944007</v>
      </c>
      <c r="S346" s="7" t="n">
        <v>1.601868811</v>
      </c>
    </row>
    <row r="347" customFormat="false" ht="15" hidden="false" customHeight="false" outlineLevel="0" collapsed="false">
      <c r="A347" s="5" t="s">
        <v>4</v>
      </c>
      <c r="B347" s="5" t="s">
        <v>77</v>
      </c>
      <c r="C347" s="5" t="s">
        <v>62</v>
      </c>
      <c r="D347" s="2" t="n">
        <v>15</v>
      </c>
      <c r="E347" s="5" t="s">
        <v>163</v>
      </c>
      <c r="F347" s="5" t="s">
        <v>166</v>
      </c>
      <c r="G347" s="2" t="n">
        <v>1</v>
      </c>
      <c r="H347" s="7" t="n">
        <v>0.9027657469</v>
      </c>
      <c r="I347" s="7" t="n">
        <v>0.4298699442</v>
      </c>
      <c r="J347" s="7" t="n">
        <v>-0.01502788204</v>
      </c>
      <c r="K347" s="7" t="n">
        <v>-0.4299937893</v>
      </c>
      <c r="L347" s="7" t="n">
        <v>0.9028109142</v>
      </c>
      <c r="M347" s="7" t="n">
        <v>-0.00614770783</v>
      </c>
      <c r="N347" s="7" t="n">
        <v>0.0109246211</v>
      </c>
      <c r="O347" s="7" t="n">
        <v>0.01201183599</v>
      </c>
      <c r="P347" s="7" t="n">
        <v>0.9998681755</v>
      </c>
      <c r="Q347" s="7" t="n">
        <v>22.83724855</v>
      </c>
      <c r="R347" s="7" t="n">
        <v>6.488944007</v>
      </c>
      <c r="S347" s="7" t="n">
        <v>1.601868811</v>
      </c>
    </row>
    <row r="348" customFormat="false" ht="15" hidden="false" customHeight="false" outlineLevel="0" collapsed="false">
      <c r="A348" s="5" t="s">
        <v>4</v>
      </c>
      <c r="B348" s="5" t="s">
        <v>77</v>
      </c>
      <c r="C348" s="5" t="s">
        <v>58</v>
      </c>
      <c r="D348" s="2" t="n">
        <v>15</v>
      </c>
      <c r="E348" s="5" t="s">
        <v>163</v>
      </c>
      <c r="F348" s="5" t="s">
        <v>167</v>
      </c>
      <c r="G348" s="2" t="n">
        <v>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customFormat="false" ht="15" hidden="false" customHeight="false" outlineLevel="0" collapsed="false">
      <c r="A349" s="5" t="s">
        <v>4</v>
      </c>
      <c r="B349" s="5" t="s">
        <v>77</v>
      </c>
      <c r="C349" s="5" t="s">
        <v>62</v>
      </c>
      <c r="D349" s="2" t="n">
        <v>15</v>
      </c>
      <c r="E349" s="5" t="s">
        <v>163</v>
      </c>
      <c r="F349" s="5" t="s">
        <v>167</v>
      </c>
      <c r="G349" s="2" t="n">
        <v>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customFormat="false" ht="15" hidden="false" customHeight="false" outlineLevel="0" collapsed="false">
      <c r="A350" s="5" t="s">
        <v>4</v>
      </c>
      <c r="B350" s="5" t="s">
        <v>77</v>
      </c>
      <c r="C350" s="5" t="s">
        <v>58</v>
      </c>
      <c r="D350" s="2" t="n">
        <v>15</v>
      </c>
      <c r="E350" s="5" t="s">
        <v>163</v>
      </c>
      <c r="F350" s="5" t="s">
        <v>168</v>
      </c>
      <c r="G350" s="2" t="n">
        <v>1</v>
      </c>
      <c r="H350" s="7" t="n">
        <v>0.9889795278</v>
      </c>
      <c r="I350" s="7" t="n">
        <v>0.1471039378</v>
      </c>
      <c r="J350" s="7" t="n">
        <v>-0.0167309613</v>
      </c>
      <c r="K350" s="7" t="n">
        <v>-0.1470034908</v>
      </c>
      <c r="L350" s="7" t="n">
        <v>0.9891105656</v>
      </c>
      <c r="M350" s="7" t="n">
        <v>0.007089622105</v>
      </c>
      <c r="N350" s="7" t="n">
        <v>0.01759168193</v>
      </c>
      <c r="O350" s="7" t="n">
        <v>-0.004551981405</v>
      </c>
      <c r="P350" s="7" t="n">
        <v>0.9998348925</v>
      </c>
      <c r="Q350" s="7" t="n">
        <v>25.12387496</v>
      </c>
      <c r="R350" s="7" t="n">
        <v>19.80471025</v>
      </c>
      <c r="S350" s="7" t="n">
        <v>2.187130536</v>
      </c>
    </row>
    <row r="351" customFormat="false" ht="15" hidden="false" customHeight="false" outlineLevel="0" collapsed="false">
      <c r="A351" s="5" t="s">
        <v>4</v>
      </c>
      <c r="B351" s="5" t="s">
        <v>77</v>
      </c>
      <c r="C351" s="5" t="s">
        <v>62</v>
      </c>
      <c r="D351" s="2" t="n">
        <v>15</v>
      </c>
      <c r="E351" s="5" t="s">
        <v>163</v>
      </c>
      <c r="F351" s="5" t="s">
        <v>168</v>
      </c>
      <c r="G351" s="2" t="n">
        <v>1</v>
      </c>
      <c r="H351" s="7" t="n">
        <v>0.9889795278</v>
      </c>
      <c r="I351" s="7" t="n">
        <v>0.1471039378</v>
      </c>
      <c r="J351" s="7" t="n">
        <v>-0.0167309613</v>
      </c>
      <c r="K351" s="7" t="n">
        <v>-0.1470034908</v>
      </c>
      <c r="L351" s="7" t="n">
        <v>0.9891105656</v>
      </c>
      <c r="M351" s="7" t="n">
        <v>0.007089622105</v>
      </c>
      <c r="N351" s="7" t="n">
        <v>0.01759168193</v>
      </c>
      <c r="O351" s="7" t="n">
        <v>-0.004551981405</v>
      </c>
      <c r="P351" s="7" t="n">
        <v>0.9998348925</v>
      </c>
      <c r="Q351" s="7" t="n">
        <v>25.12387496</v>
      </c>
      <c r="R351" s="7" t="n">
        <v>19.80471025</v>
      </c>
      <c r="S351" s="7" t="n">
        <v>2.187130536</v>
      </c>
    </row>
    <row r="352" customFormat="false" ht="15" hidden="false" customHeight="false" outlineLevel="0" collapsed="false">
      <c r="A352" s="5" t="s">
        <v>4</v>
      </c>
      <c r="B352" s="5" t="s">
        <v>77</v>
      </c>
      <c r="C352" s="5" t="s">
        <v>58</v>
      </c>
      <c r="D352" s="2" t="n">
        <v>16</v>
      </c>
      <c r="E352" s="5" t="s">
        <v>163</v>
      </c>
      <c r="F352" s="5" t="s">
        <v>164</v>
      </c>
      <c r="G352" s="2" t="n">
        <v>1</v>
      </c>
      <c r="H352" s="7" t="n">
        <v>-0.7181442013</v>
      </c>
      <c r="I352" s="7" t="n">
        <v>-0.6958688019</v>
      </c>
      <c r="J352" s="7" t="n">
        <v>0.005959579145</v>
      </c>
      <c r="K352" s="7" t="n">
        <v>0.6958468178</v>
      </c>
      <c r="L352" s="7" t="n">
        <v>-0.7181689082</v>
      </c>
      <c r="M352" s="7" t="n">
        <v>-0.005534031197</v>
      </c>
      <c r="N352" s="7" t="n">
        <v>0.008130944107</v>
      </c>
      <c r="O352" s="7" t="n">
        <v>0.0001727217686</v>
      </c>
      <c r="P352" s="7" t="n">
        <v>0.9999669284</v>
      </c>
      <c r="Q352" s="7" t="n">
        <v>-11.07324287</v>
      </c>
      <c r="R352" s="7" t="n">
        <v>-0.8742808673</v>
      </c>
      <c r="S352" s="7" t="n">
        <v>0.5969073602</v>
      </c>
    </row>
    <row r="353" customFormat="false" ht="15" hidden="false" customHeight="false" outlineLevel="0" collapsed="false">
      <c r="A353" s="5" t="s">
        <v>4</v>
      </c>
      <c r="B353" s="5" t="s">
        <v>77</v>
      </c>
      <c r="C353" s="5" t="s">
        <v>62</v>
      </c>
      <c r="D353" s="2" t="n">
        <v>16</v>
      </c>
      <c r="E353" s="5" t="s">
        <v>163</v>
      </c>
      <c r="F353" s="5" t="s">
        <v>164</v>
      </c>
      <c r="G353" s="2" t="n">
        <v>1</v>
      </c>
      <c r="H353" s="7" t="n">
        <v>-0.7181442013</v>
      </c>
      <c r="I353" s="7" t="n">
        <v>-0.6958688019</v>
      </c>
      <c r="J353" s="7" t="n">
        <v>0.005959579145</v>
      </c>
      <c r="K353" s="7" t="n">
        <v>0.6958468178</v>
      </c>
      <c r="L353" s="7" t="n">
        <v>-0.7181689082</v>
      </c>
      <c r="M353" s="7" t="n">
        <v>-0.005534031197</v>
      </c>
      <c r="N353" s="7" t="n">
        <v>0.008130944107</v>
      </c>
      <c r="O353" s="7" t="n">
        <v>0.0001727217686</v>
      </c>
      <c r="P353" s="7" t="n">
        <v>0.9999669284</v>
      </c>
      <c r="Q353" s="7" t="n">
        <v>-11.07324287</v>
      </c>
      <c r="R353" s="7" t="n">
        <v>-0.8742808673</v>
      </c>
      <c r="S353" s="7" t="n">
        <v>0.5969073602</v>
      </c>
    </row>
    <row r="354" customFormat="false" ht="15" hidden="false" customHeight="false" outlineLevel="0" collapsed="false">
      <c r="A354" s="5" t="s">
        <v>4</v>
      </c>
      <c r="B354" s="5" t="s">
        <v>77</v>
      </c>
      <c r="C354" s="5" t="s">
        <v>58</v>
      </c>
      <c r="D354" s="2" t="n">
        <v>16</v>
      </c>
      <c r="E354" s="5" t="s">
        <v>163</v>
      </c>
      <c r="F354" s="5" t="s">
        <v>165</v>
      </c>
      <c r="G354" s="2" t="n">
        <v>1</v>
      </c>
      <c r="H354" s="7" t="n">
        <v>0.9338284592</v>
      </c>
      <c r="I354" s="7" t="n">
        <v>0.3576565464</v>
      </c>
      <c r="J354" s="7" t="n">
        <v>-0.006797320843</v>
      </c>
      <c r="K354" s="7" t="n">
        <v>-0.3576178759</v>
      </c>
      <c r="L354" s="7" t="n">
        <v>0.933846879</v>
      </c>
      <c r="M354" s="7" t="n">
        <v>0.006281824667</v>
      </c>
      <c r="N354" s="7" t="n">
        <v>0.008594392571</v>
      </c>
      <c r="O354" s="7" t="n">
        <v>-0.003435303208</v>
      </c>
      <c r="P354" s="7" t="n">
        <v>0.9999571666</v>
      </c>
      <c r="Q354" s="7" t="n">
        <v>8.396589218</v>
      </c>
      <c r="R354" s="7" t="n">
        <v>1.380937078</v>
      </c>
      <c r="S354" s="7" t="n">
        <v>0.6756765063</v>
      </c>
    </row>
    <row r="355" customFormat="false" ht="15" hidden="false" customHeight="false" outlineLevel="0" collapsed="false">
      <c r="A355" s="5" t="s">
        <v>4</v>
      </c>
      <c r="B355" s="5" t="s">
        <v>77</v>
      </c>
      <c r="C355" s="5" t="s">
        <v>62</v>
      </c>
      <c r="D355" s="2" t="n">
        <v>16</v>
      </c>
      <c r="E355" s="5" t="s">
        <v>163</v>
      </c>
      <c r="F355" s="5" t="s">
        <v>165</v>
      </c>
      <c r="G355" s="2" t="n">
        <v>1</v>
      </c>
      <c r="H355" s="7" t="n">
        <v>0.9338284592</v>
      </c>
      <c r="I355" s="7" t="n">
        <v>0.3576565464</v>
      </c>
      <c r="J355" s="7" t="n">
        <v>-0.006797320843</v>
      </c>
      <c r="K355" s="7" t="n">
        <v>-0.3576178759</v>
      </c>
      <c r="L355" s="7" t="n">
        <v>0.933846879</v>
      </c>
      <c r="M355" s="7" t="n">
        <v>0.006281824667</v>
      </c>
      <c r="N355" s="7" t="n">
        <v>0.008594392571</v>
      </c>
      <c r="O355" s="7" t="n">
        <v>-0.003435303208</v>
      </c>
      <c r="P355" s="7" t="n">
        <v>0.9999571666</v>
      </c>
      <c r="Q355" s="7" t="n">
        <v>8.396589218</v>
      </c>
      <c r="R355" s="7" t="n">
        <v>1.380937078</v>
      </c>
      <c r="S355" s="7" t="n">
        <v>0.6756765063</v>
      </c>
    </row>
    <row r="356" customFormat="false" ht="15" hidden="false" customHeight="false" outlineLevel="0" collapsed="false">
      <c r="A356" s="5" t="s">
        <v>4</v>
      </c>
      <c r="B356" s="5" t="s">
        <v>77</v>
      </c>
      <c r="C356" s="5" t="s">
        <v>58</v>
      </c>
      <c r="D356" s="2" t="n">
        <v>16</v>
      </c>
      <c r="E356" s="5" t="s">
        <v>163</v>
      </c>
      <c r="F356" s="5" t="s">
        <v>166</v>
      </c>
      <c r="G356" s="2" t="n">
        <v>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customFormat="false" ht="15" hidden="false" customHeight="false" outlineLevel="0" collapsed="false">
      <c r="A357" s="5" t="s">
        <v>4</v>
      </c>
      <c r="B357" s="5" t="s">
        <v>77</v>
      </c>
      <c r="C357" s="5" t="s">
        <v>62</v>
      </c>
      <c r="D357" s="2" t="n">
        <v>16</v>
      </c>
      <c r="E357" s="5" t="s">
        <v>163</v>
      </c>
      <c r="F357" s="5" t="s">
        <v>166</v>
      </c>
      <c r="G357" s="2" t="n">
        <v>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customFormat="false" ht="15" hidden="false" customHeight="false" outlineLevel="0" collapsed="false">
      <c r="A358" s="5" t="s">
        <v>4</v>
      </c>
      <c r="B358" s="5" t="s">
        <v>77</v>
      </c>
      <c r="C358" s="5" t="s">
        <v>58</v>
      </c>
      <c r="D358" s="2" t="n">
        <v>16</v>
      </c>
      <c r="E358" s="5" t="s">
        <v>163</v>
      </c>
      <c r="F358" s="5" t="s">
        <v>167</v>
      </c>
      <c r="G358" s="2" t="n">
        <v>1</v>
      </c>
      <c r="H358" s="7" t="n">
        <v>0.2231074415</v>
      </c>
      <c r="I358" s="7" t="n">
        <v>-0.9747173474</v>
      </c>
      <c r="J358" s="7" t="n">
        <v>-0.01221319929</v>
      </c>
      <c r="K358" s="7" t="n">
        <v>0.9747799988</v>
      </c>
      <c r="L358" s="7" t="n">
        <v>0.2231535725</v>
      </c>
      <c r="M358" s="7" t="n">
        <v>-0.002537146098</v>
      </c>
      <c r="N358" s="7" t="n">
        <v>0.005198419368</v>
      </c>
      <c r="O358" s="7" t="n">
        <v>-0.01133912621</v>
      </c>
      <c r="P358" s="7" t="n">
        <v>0.9999221973</v>
      </c>
      <c r="Q358" s="7" t="n">
        <v>-16.50660918</v>
      </c>
      <c r="R358" s="7" t="n">
        <v>20.47130573</v>
      </c>
      <c r="S358" s="7" t="n">
        <v>0.7902011803</v>
      </c>
    </row>
    <row r="359" customFormat="false" ht="15" hidden="false" customHeight="false" outlineLevel="0" collapsed="false">
      <c r="A359" s="5" t="s">
        <v>4</v>
      </c>
      <c r="B359" s="5" t="s">
        <v>77</v>
      </c>
      <c r="C359" s="5" t="s">
        <v>62</v>
      </c>
      <c r="D359" s="2" t="n">
        <v>16</v>
      </c>
      <c r="E359" s="5" t="s">
        <v>163</v>
      </c>
      <c r="F359" s="5" t="s">
        <v>167</v>
      </c>
      <c r="G359" s="2" t="n">
        <v>1</v>
      </c>
      <c r="H359" s="7" t="n">
        <v>0.2231074415</v>
      </c>
      <c r="I359" s="7" t="n">
        <v>-0.9747173474</v>
      </c>
      <c r="J359" s="7" t="n">
        <v>-0.01221319929</v>
      </c>
      <c r="K359" s="7" t="n">
        <v>0.9747799988</v>
      </c>
      <c r="L359" s="7" t="n">
        <v>0.2231535725</v>
      </c>
      <c r="M359" s="7" t="n">
        <v>-0.002537146098</v>
      </c>
      <c r="N359" s="7" t="n">
        <v>0.005198419368</v>
      </c>
      <c r="O359" s="7" t="n">
        <v>-0.01133912621</v>
      </c>
      <c r="P359" s="7" t="n">
        <v>0.9999221973</v>
      </c>
      <c r="Q359" s="7" t="n">
        <v>-16.50660918</v>
      </c>
      <c r="R359" s="7" t="n">
        <v>20.47130573</v>
      </c>
      <c r="S359" s="7" t="n">
        <v>0.7902011803</v>
      </c>
    </row>
    <row r="360" customFormat="false" ht="15" hidden="false" customHeight="false" outlineLevel="0" collapsed="false">
      <c r="A360" s="5" t="s">
        <v>4</v>
      </c>
      <c r="B360" s="5" t="s">
        <v>77</v>
      </c>
      <c r="C360" s="5" t="s">
        <v>58</v>
      </c>
      <c r="D360" s="2" t="n">
        <v>16</v>
      </c>
      <c r="E360" s="5" t="s">
        <v>163</v>
      </c>
      <c r="F360" s="5" t="s">
        <v>168</v>
      </c>
      <c r="G360" s="2" t="n">
        <v>1</v>
      </c>
      <c r="H360" s="7" t="n">
        <v>0.9896172349</v>
      </c>
      <c r="I360" s="7" t="n">
        <v>0.143529424</v>
      </c>
      <c r="J360" s="7" t="n">
        <v>0.007552009653</v>
      </c>
      <c r="K360" s="7" t="n">
        <v>-0.1435350361</v>
      </c>
      <c r="L360" s="7" t="n">
        <v>0.9896452152</v>
      </c>
      <c r="M360" s="7" t="n">
        <v>0.000203637773</v>
      </c>
      <c r="N360" s="7" t="n">
        <v>-0.007444582206</v>
      </c>
      <c r="O360" s="7" t="n">
        <v>-0.001285501428</v>
      </c>
      <c r="P360" s="7" t="n">
        <v>0.9999714624</v>
      </c>
      <c r="Q360" s="7" t="n">
        <v>25.18493247</v>
      </c>
      <c r="R360" s="7" t="n">
        <v>19.83246277</v>
      </c>
      <c r="S360" s="7" t="n">
        <v>2.089529688</v>
      </c>
    </row>
    <row r="361" customFormat="false" ht="15" hidden="false" customHeight="false" outlineLevel="0" collapsed="false">
      <c r="A361" s="5" t="s">
        <v>4</v>
      </c>
      <c r="B361" s="5" t="s">
        <v>77</v>
      </c>
      <c r="C361" s="5" t="s">
        <v>62</v>
      </c>
      <c r="D361" s="2" t="n">
        <v>16</v>
      </c>
      <c r="E361" s="5" t="s">
        <v>163</v>
      </c>
      <c r="F361" s="5" t="s">
        <v>168</v>
      </c>
      <c r="G361" s="2" t="n">
        <v>1</v>
      </c>
      <c r="H361" s="7" t="n">
        <v>0.9896172349</v>
      </c>
      <c r="I361" s="7" t="n">
        <v>0.143529424</v>
      </c>
      <c r="J361" s="7" t="n">
        <v>0.007552009653</v>
      </c>
      <c r="K361" s="7" t="n">
        <v>-0.1435350361</v>
      </c>
      <c r="L361" s="7" t="n">
        <v>0.9896452152</v>
      </c>
      <c r="M361" s="7" t="n">
        <v>0.000203637773</v>
      </c>
      <c r="N361" s="7" t="n">
        <v>-0.007444582206</v>
      </c>
      <c r="O361" s="7" t="n">
        <v>-0.001285501428</v>
      </c>
      <c r="P361" s="7" t="n">
        <v>0.9999714624</v>
      </c>
      <c r="Q361" s="7" t="n">
        <v>25.18493247</v>
      </c>
      <c r="R361" s="7" t="n">
        <v>19.83246277</v>
      </c>
      <c r="S361" s="7" t="n">
        <v>2.089529688</v>
      </c>
    </row>
    <row r="362" customFormat="false" ht="15" hidden="false" customHeight="false" outlineLevel="0" collapsed="false">
      <c r="A362" s="5" t="s">
        <v>4</v>
      </c>
      <c r="B362" s="5" t="s">
        <v>77</v>
      </c>
      <c r="C362" s="5" t="s">
        <v>58</v>
      </c>
      <c r="D362" s="2" t="n">
        <v>17</v>
      </c>
      <c r="E362" s="5" t="s">
        <v>163</v>
      </c>
      <c r="F362" s="5" t="s">
        <v>164</v>
      </c>
      <c r="G362" s="2" t="n">
        <v>1</v>
      </c>
      <c r="H362" s="7" t="n">
        <v>-0.7191377655</v>
      </c>
      <c r="I362" s="7" t="n">
        <v>-0.6948496375</v>
      </c>
      <c r="J362" s="7" t="n">
        <v>0.004985538236</v>
      </c>
      <c r="K362" s="7" t="n">
        <v>0.6948314737</v>
      </c>
      <c r="L362" s="7" t="n">
        <v>-0.719155031</v>
      </c>
      <c r="M362" s="7" t="n">
        <v>-0.00502637747</v>
      </c>
      <c r="N362" s="7" t="n">
        <v>0.007077951468</v>
      </c>
      <c r="O362" s="7" t="n">
        <v>-0.0001505489821</v>
      </c>
      <c r="P362" s="7" t="n">
        <v>0.9999749397</v>
      </c>
      <c r="Q362" s="7" t="n">
        <v>-11.0594984</v>
      </c>
      <c r="R362" s="7" t="n">
        <v>-0.8730493765</v>
      </c>
      <c r="S362" s="7" t="n">
        <v>0.5900759989</v>
      </c>
    </row>
    <row r="363" customFormat="false" ht="15" hidden="false" customHeight="false" outlineLevel="0" collapsed="false">
      <c r="A363" s="5" t="s">
        <v>4</v>
      </c>
      <c r="B363" s="5" t="s">
        <v>77</v>
      </c>
      <c r="C363" s="5" t="s">
        <v>62</v>
      </c>
      <c r="D363" s="2" t="n">
        <v>17</v>
      </c>
      <c r="E363" s="5" t="s">
        <v>163</v>
      </c>
      <c r="F363" s="5" t="s">
        <v>164</v>
      </c>
      <c r="G363" s="2" t="n">
        <v>1</v>
      </c>
      <c r="H363" s="7" t="n">
        <v>-0.7191377655</v>
      </c>
      <c r="I363" s="7" t="n">
        <v>-0.6948496375</v>
      </c>
      <c r="J363" s="7" t="n">
        <v>0.004985538236</v>
      </c>
      <c r="K363" s="7" t="n">
        <v>0.6948314737</v>
      </c>
      <c r="L363" s="7" t="n">
        <v>-0.719155031</v>
      </c>
      <c r="M363" s="7" t="n">
        <v>-0.00502637747</v>
      </c>
      <c r="N363" s="7" t="n">
        <v>0.007077951468</v>
      </c>
      <c r="O363" s="7" t="n">
        <v>-0.0001505489821</v>
      </c>
      <c r="P363" s="7" t="n">
        <v>0.9999749397</v>
      </c>
      <c r="Q363" s="7" t="n">
        <v>-11.0594984</v>
      </c>
      <c r="R363" s="7" t="n">
        <v>-0.8730493765</v>
      </c>
      <c r="S363" s="7" t="n">
        <v>0.5900759989</v>
      </c>
    </row>
    <row r="364" customFormat="false" ht="15" hidden="false" customHeight="false" outlineLevel="0" collapsed="false">
      <c r="A364" s="5" t="s">
        <v>4</v>
      </c>
      <c r="B364" s="5" t="s">
        <v>77</v>
      </c>
      <c r="C364" s="5" t="s">
        <v>58</v>
      </c>
      <c r="D364" s="2" t="n">
        <v>17</v>
      </c>
      <c r="E364" s="5" t="s">
        <v>163</v>
      </c>
      <c r="F364" s="5" t="s">
        <v>165</v>
      </c>
      <c r="G364" s="2" t="n">
        <v>1</v>
      </c>
      <c r="H364" s="7" t="n">
        <v>0.9339268297</v>
      </c>
      <c r="I364" s="7" t="n">
        <v>0.3574264055</v>
      </c>
      <c r="J364" s="7" t="n">
        <v>-0.005200132285</v>
      </c>
      <c r="K364" s="7" t="n">
        <v>-0.3573963553</v>
      </c>
      <c r="L364" s="7" t="n">
        <v>0.9339341642</v>
      </c>
      <c r="M364" s="7" t="n">
        <v>0.005901036159</v>
      </c>
      <c r="N364" s="7" t="n">
        <v>0.006965767342</v>
      </c>
      <c r="O364" s="7" t="n">
        <v>-0.003652627667</v>
      </c>
      <c r="P364" s="7" t="n">
        <v>0.9999690677</v>
      </c>
      <c r="Q364" s="7" t="n">
        <v>8.398347259</v>
      </c>
      <c r="R364" s="7" t="n">
        <v>1.382301349</v>
      </c>
      <c r="S364" s="7" t="n">
        <v>0.6605953341</v>
      </c>
    </row>
    <row r="365" customFormat="false" ht="15" hidden="false" customHeight="false" outlineLevel="0" collapsed="false">
      <c r="A365" s="5" t="s">
        <v>4</v>
      </c>
      <c r="B365" s="5" t="s">
        <v>77</v>
      </c>
      <c r="C365" s="5" t="s">
        <v>62</v>
      </c>
      <c r="D365" s="2" t="n">
        <v>17</v>
      </c>
      <c r="E365" s="5" t="s">
        <v>163</v>
      </c>
      <c r="F365" s="5" t="s">
        <v>165</v>
      </c>
      <c r="G365" s="2" t="n">
        <v>1</v>
      </c>
      <c r="H365" s="7" t="n">
        <v>0.9339268297</v>
      </c>
      <c r="I365" s="7" t="n">
        <v>0.3574264055</v>
      </c>
      <c r="J365" s="7" t="n">
        <v>-0.005200132285</v>
      </c>
      <c r="K365" s="7" t="n">
        <v>-0.3573963553</v>
      </c>
      <c r="L365" s="7" t="n">
        <v>0.9339341642</v>
      </c>
      <c r="M365" s="7" t="n">
        <v>0.005901036159</v>
      </c>
      <c r="N365" s="7" t="n">
        <v>0.006965767342</v>
      </c>
      <c r="O365" s="7" t="n">
        <v>-0.003652627667</v>
      </c>
      <c r="P365" s="7" t="n">
        <v>0.9999690677</v>
      </c>
      <c r="Q365" s="7" t="n">
        <v>8.398347259</v>
      </c>
      <c r="R365" s="7" t="n">
        <v>1.382301349</v>
      </c>
      <c r="S365" s="7" t="n">
        <v>0.6605953341</v>
      </c>
    </row>
    <row r="366" customFormat="false" ht="15" hidden="false" customHeight="false" outlineLevel="0" collapsed="false">
      <c r="A366" s="5" t="s">
        <v>4</v>
      </c>
      <c r="B366" s="5" t="s">
        <v>77</v>
      </c>
      <c r="C366" s="5" t="s">
        <v>58</v>
      </c>
      <c r="D366" s="2" t="n">
        <v>17</v>
      </c>
      <c r="E366" s="5" t="s">
        <v>163</v>
      </c>
      <c r="F366" s="5" t="s">
        <v>166</v>
      </c>
      <c r="G366" s="2" t="n">
        <v>1</v>
      </c>
      <c r="H366" s="7" t="n">
        <v>0.9028713225</v>
      </c>
      <c r="I366" s="7" t="n">
        <v>0.4296689789</v>
      </c>
      <c r="J366" s="7" t="n">
        <v>-0.01442024889</v>
      </c>
      <c r="K366" s="7" t="n">
        <v>-0.4298011027</v>
      </c>
      <c r="L366" s="7" t="n">
        <v>0.9028908349</v>
      </c>
      <c r="M366" s="7" t="n">
        <v>-0.007691058636</v>
      </c>
      <c r="N366" s="7" t="n">
        <v>0.009715301252</v>
      </c>
      <c r="O366" s="7" t="n">
        <v>0.01314187516</v>
      </c>
      <c r="P366" s="7" t="n">
        <v>0.9998664431</v>
      </c>
      <c r="Q366" s="7" t="n">
        <v>22.82989728</v>
      </c>
      <c r="R366" s="7" t="n">
        <v>6.546133377</v>
      </c>
      <c r="S366" s="7" t="n">
        <v>1.603039231</v>
      </c>
    </row>
    <row r="367" customFormat="false" ht="15" hidden="false" customHeight="false" outlineLevel="0" collapsed="false">
      <c r="A367" s="5" t="s">
        <v>4</v>
      </c>
      <c r="B367" s="5" t="s">
        <v>77</v>
      </c>
      <c r="C367" s="5" t="s">
        <v>62</v>
      </c>
      <c r="D367" s="2" t="n">
        <v>17</v>
      </c>
      <c r="E367" s="5" t="s">
        <v>163</v>
      </c>
      <c r="F367" s="5" t="s">
        <v>166</v>
      </c>
      <c r="G367" s="2" t="n">
        <v>1</v>
      </c>
      <c r="H367" s="7" t="n">
        <v>0.9028713225</v>
      </c>
      <c r="I367" s="7" t="n">
        <v>0.4296689789</v>
      </c>
      <c r="J367" s="7" t="n">
        <v>-0.01442024889</v>
      </c>
      <c r="K367" s="7" t="n">
        <v>-0.4298011027</v>
      </c>
      <c r="L367" s="7" t="n">
        <v>0.9028908349</v>
      </c>
      <c r="M367" s="7" t="n">
        <v>-0.007691058636</v>
      </c>
      <c r="N367" s="7" t="n">
        <v>0.009715301252</v>
      </c>
      <c r="O367" s="7" t="n">
        <v>0.01314187516</v>
      </c>
      <c r="P367" s="7" t="n">
        <v>0.9998664431</v>
      </c>
      <c r="Q367" s="7" t="n">
        <v>22.82989728</v>
      </c>
      <c r="R367" s="7" t="n">
        <v>6.546133377</v>
      </c>
      <c r="S367" s="7" t="n">
        <v>1.603039231</v>
      </c>
    </row>
    <row r="368" customFormat="false" ht="15" hidden="false" customHeight="false" outlineLevel="0" collapsed="false">
      <c r="A368" s="5" t="s">
        <v>4</v>
      </c>
      <c r="B368" s="5" t="s">
        <v>77</v>
      </c>
      <c r="C368" s="5" t="s">
        <v>58</v>
      </c>
      <c r="D368" s="2" t="n">
        <v>17</v>
      </c>
      <c r="E368" s="5" t="s">
        <v>163</v>
      </c>
      <c r="F368" s="5" t="s">
        <v>167</v>
      </c>
      <c r="G368" s="2" t="n">
        <v>1</v>
      </c>
      <c r="H368" s="7" t="n">
        <v>0.2259168961</v>
      </c>
      <c r="I368" s="7" t="n">
        <v>-0.9741134897</v>
      </c>
      <c r="J368" s="7" t="n">
        <v>-0.00802902769</v>
      </c>
      <c r="K368" s="7" t="n">
        <v>0.9741053353</v>
      </c>
      <c r="L368" s="7" t="n">
        <v>0.2259755004</v>
      </c>
      <c r="M368" s="7" t="n">
        <v>-0.007339554276</v>
      </c>
      <c r="N368" s="7" t="n">
        <v>0.008963922378</v>
      </c>
      <c r="O368" s="7" t="n">
        <v>-0.006162989389</v>
      </c>
      <c r="P368" s="7" t="n">
        <v>0.9999408311</v>
      </c>
      <c r="Q368" s="7" t="n">
        <v>-16.49193139</v>
      </c>
      <c r="R368" s="7" t="n">
        <v>20.51836761</v>
      </c>
      <c r="S368" s="7" t="n">
        <v>0.8964214595</v>
      </c>
    </row>
    <row r="369" customFormat="false" ht="15" hidden="false" customHeight="false" outlineLevel="0" collapsed="false">
      <c r="A369" s="5" t="s">
        <v>4</v>
      </c>
      <c r="B369" s="5" t="s">
        <v>77</v>
      </c>
      <c r="C369" s="5" t="s">
        <v>62</v>
      </c>
      <c r="D369" s="2" t="n">
        <v>17</v>
      </c>
      <c r="E369" s="5" t="s">
        <v>163</v>
      </c>
      <c r="F369" s="5" t="s">
        <v>167</v>
      </c>
      <c r="G369" s="2" t="n">
        <v>1</v>
      </c>
      <c r="H369" s="7" t="n">
        <v>0.2259168961</v>
      </c>
      <c r="I369" s="7" t="n">
        <v>-0.9741134897</v>
      </c>
      <c r="J369" s="7" t="n">
        <v>-0.00802902769</v>
      </c>
      <c r="K369" s="7" t="n">
        <v>0.9741053353</v>
      </c>
      <c r="L369" s="7" t="n">
        <v>0.2259755004</v>
      </c>
      <c r="M369" s="7" t="n">
        <v>-0.007339554276</v>
      </c>
      <c r="N369" s="7" t="n">
        <v>0.008963922378</v>
      </c>
      <c r="O369" s="7" t="n">
        <v>-0.006162989389</v>
      </c>
      <c r="P369" s="7" t="n">
        <v>0.9999408311</v>
      </c>
      <c r="Q369" s="7" t="n">
        <v>-16.49193139</v>
      </c>
      <c r="R369" s="7" t="n">
        <v>20.51836761</v>
      </c>
      <c r="S369" s="7" t="n">
        <v>0.8964214595</v>
      </c>
    </row>
    <row r="370" customFormat="false" ht="15" hidden="false" customHeight="false" outlineLevel="0" collapsed="false">
      <c r="A370" s="5" t="s">
        <v>4</v>
      </c>
      <c r="B370" s="5" t="s">
        <v>77</v>
      </c>
      <c r="C370" s="5" t="s">
        <v>58</v>
      </c>
      <c r="D370" s="2" t="n">
        <v>17</v>
      </c>
      <c r="E370" s="5" t="s">
        <v>163</v>
      </c>
      <c r="F370" s="5" t="s">
        <v>168</v>
      </c>
      <c r="G370" s="2" t="n">
        <v>1</v>
      </c>
      <c r="H370" s="7" t="n">
        <v>0.9892992678</v>
      </c>
      <c r="I370" s="7" t="n">
        <v>0.1448701801</v>
      </c>
      <c r="J370" s="7" t="n">
        <v>-0.01730865662</v>
      </c>
      <c r="K370" s="7" t="n">
        <v>-0.1447390147</v>
      </c>
      <c r="L370" s="7" t="n">
        <v>0.9894323954</v>
      </c>
      <c r="M370" s="7" t="n">
        <v>0.008611187286</v>
      </c>
      <c r="N370" s="7" t="n">
        <v>0.01837324984</v>
      </c>
      <c r="O370" s="7" t="n">
        <v>-0.006013803372</v>
      </c>
      <c r="P370" s="7" t="n">
        <v>0.9998131115</v>
      </c>
      <c r="Q370" s="7" t="n">
        <v>25.07764029</v>
      </c>
      <c r="R370" s="7" t="n">
        <v>19.89126066</v>
      </c>
      <c r="S370" s="7" t="n">
        <v>2.284287985</v>
      </c>
    </row>
    <row r="371" customFormat="false" ht="15" hidden="false" customHeight="false" outlineLevel="0" collapsed="false">
      <c r="A371" s="5" t="s">
        <v>4</v>
      </c>
      <c r="B371" s="5" t="s">
        <v>77</v>
      </c>
      <c r="C371" s="5" t="s">
        <v>62</v>
      </c>
      <c r="D371" s="2" t="n">
        <v>17</v>
      </c>
      <c r="E371" s="5" t="s">
        <v>163</v>
      </c>
      <c r="F371" s="5" t="s">
        <v>168</v>
      </c>
      <c r="G371" s="2" t="n">
        <v>1</v>
      </c>
      <c r="H371" s="7" t="n">
        <v>0.9892992678</v>
      </c>
      <c r="I371" s="7" t="n">
        <v>0.1448701801</v>
      </c>
      <c r="J371" s="7" t="n">
        <v>-0.01730865662</v>
      </c>
      <c r="K371" s="7" t="n">
        <v>-0.1447390147</v>
      </c>
      <c r="L371" s="7" t="n">
        <v>0.9894323954</v>
      </c>
      <c r="M371" s="7" t="n">
        <v>0.008611187286</v>
      </c>
      <c r="N371" s="7" t="n">
        <v>0.01837324984</v>
      </c>
      <c r="O371" s="7" t="n">
        <v>-0.006013803372</v>
      </c>
      <c r="P371" s="7" t="n">
        <v>0.9998131115</v>
      </c>
      <c r="Q371" s="7" t="n">
        <v>25.07764029</v>
      </c>
      <c r="R371" s="7" t="n">
        <v>19.89126066</v>
      </c>
      <c r="S371" s="7" t="n">
        <v>2.284287985</v>
      </c>
    </row>
    <row r="372" customFormat="false" ht="15" hidden="false" customHeight="false" outlineLevel="0" collapsed="false">
      <c r="A372" s="5" t="s">
        <v>4</v>
      </c>
      <c r="B372" s="5" t="s">
        <v>77</v>
      </c>
      <c r="C372" s="5" t="s">
        <v>58</v>
      </c>
      <c r="D372" s="2" t="n">
        <v>18</v>
      </c>
      <c r="E372" s="5" t="s">
        <v>163</v>
      </c>
      <c r="F372" s="5" t="s">
        <v>164</v>
      </c>
      <c r="G372" s="2" t="n">
        <v>1</v>
      </c>
      <c r="H372" s="7" t="n">
        <v>-0.718696548</v>
      </c>
      <c r="I372" s="7" t="n">
        <v>-0.6953192241</v>
      </c>
      <c r="J372" s="7" t="n">
        <v>0.002539382887</v>
      </c>
      <c r="K372" s="7" t="n">
        <v>0.6953232097</v>
      </c>
      <c r="L372" s="7" t="n">
        <v>-0.718696081</v>
      </c>
      <c r="M372" s="7" t="n">
        <v>0.001255886027</v>
      </c>
      <c r="N372" s="7" t="n">
        <v>0.0009518028313</v>
      </c>
      <c r="O372" s="7" t="n">
        <v>0.002668292812</v>
      </c>
      <c r="P372" s="7" t="n">
        <v>0.9999959871</v>
      </c>
      <c r="Q372" s="7" t="n">
        <v>-11.0968563</v>
      </c>
      <c r="R372" s="7" t="n">
        <v>-0.8786654998</v>
      </c>
      <c r="S372" s="7" t="n">
        <v>0.5538708606</v>
      </c>
    </row>
    <row r="373" customFormat="false" ht="15" hidden="false" customHeight="false" outlineLevel="0" collapsed="false">
      <c r="A373" s="5" t="s">
        <v>4</v>
      </c>
      <c r="B373" s="5" t="s">
        <v>77</v>
      </c>
      <c r="C373" s="5" t="s">
        <v>62</v>
      </c>
      <c r="D373" s="2" t="n">
        <v>18</v>
      </c>
      <c r="E373" s="5" t="s">
        <v>163</v>
      </c>
      <c r="F373" s="5" t="s">
        <v>164</v>
      </c>
      <c r="G373" s="2" t="n">
        <v>1</v>
      </c>
      <c r="H373" s="7" t="n">
        <v>-0.718696548</v>
      </c>
      <c r="I373" s="7" t="n">
        <v>-0.6953192241</v>
      </c>
      <c r="J373" s="7" t="n">
        <v>0.002539382887</v>
      </c>
      <c r="K373" s="7" t="n">
        <v>0.6953232097</v>
      </c>
      <c r="L373" s="7" t="n">
        <v>-0.718696081</v>
      </c>
      <c r="M373" s="7" t="n">
        <v>0.001255886027</v>
      </c>
      <c r="N373" s="7" t="n">
        <v>0.0009518028313</v>
      </c>
      <c r="O373" s="7" t="n">
        <v>0.002668292812</v>
      </c>
      <c r="P373" s="7" t="n">
        <v>0.9999959871</v>
      </c>
      <c r="Q373" s="7" t="n">
        <v>-11.0968563</v>
      </c>
      <c r="R373" s="7" t="n">
        <v>-0.8786654998</v>
      </c>
      <c r="S373" s="7" t="n">
        <v>0.5538708606</v>
      </c>
    </row>
    <row r="374" customFormat="false" ht="15" hidden="false" customHeight="false" outlineLevel="0" collapsed="false">
      <c r="A374" s="5" t="s">
        <v>4</v>
      </c>
      <c r="B374" s="5" t="s">
        <v>77</v>
      </c>
      <c r="C374" s="5" t="s">
        <v>58</v>
      </c>
      <c r="D374" s="2" t="n">
        <v>18</v>
      </c>
      <c r="E374" s="5" t="s">
        <v>163</v>
      </c>
      <c r="F374" s="5" t="s">
        <v>165</v>
      </c>
      <c r="G374" s="2" t="n">
        <v>1</v>
      </c>
      <c r="H374" s="7" t="n">
        <v>0.9338840189</v>
      </c>
      <c r="I374" s="7" t="n">
        <v>0.3575590063</v>
      </c>
      <c r="J374" s="7" t="n">
        <v>-0.00349231235</v>
      </c>
      <c r="K374" s="7" t="n">
        <v>-0.3575417214</v>
      </c>
      <c r="L374" s="7" t="n">
        <v>0.9338851485</v>
      </c>
      <c r="M374" s="7" t="n">
        <v>0.00473781272</v>
      </c>
      <c r="N374" s="7" t="n">
        <v>0.004955466246</v>
      </c>
      <c r="O374" s="7" t="n">
        <v>-0.003175920214</v>
      </c>
      <c r="P374" s="7" t="n">
        <v>0.9999826783</v>
      </c>
      <c r="Q374" s="7" t="n">
        <v>8.394128084</v>
      </c>
      <c r="R374" s="7" t="n">
        <v>1.377617791</v>
      </c>
      <c r="S374" s="7" t="n">
        <v>0.6349826029</v>
      </c>
    </row>
    <row r="375" customFormat="false" ht="15" hidden="false" customHeight="false" outlineLevel="0" collapsed="false">
      <c r="A375" s="5" t="s">
        <v>4</v>
      </c>
      <c r="B375" s="5" t="s">
        <v>77</v>
      </c>
      <c r="C375" s="5" t="s">
        <v>62</v>
      </c>
      <c r="D375" s="2" t="n">
        <v>18</v>
      </c>
      <c r="E375" s="5" t="s">
        <v>163</v>
      </c>
      <c r="F375" s="5" t="s">
        <v>165</v>
      </c>
      <c r="G375" s="2" t="n">
        <v>1</v>
      </c>
      <c r="H375" s="7" t="n">
        <v>0.9338840189</v>
      </c>
      <c r="I375" s="7" t="n">
        <v>0.3575590063</v>
      </c>
      <c r="J375" s="7" t="n">
        <v>-0.00349231235</v>
      </c>
      <c r="K375" s="7" t="n">
        <v>-0.3575417214</v>
      </c>
      <c r="L375" s="7" t="n">
        <v>0.9338851485</v>
      </c>
      <c r="M375" s="7" t="n">
        <v>0.00473781272</v>
      </c>
      <c r="N375" s="7" t="n">
        <v>0.004955466246</v>
      </c>
      <c r="O375" s="7" t="n">
        <v>-0.003175920214</v>
      </c>
      <c r="P375" s="7" t="n">
        <v>0.9999826783</v>
      </c>
      <c r="Q375" s="7" t="n">
        <v>8.394128084</v>
      </c>
      <c r="R375" s="7" t="n">
        <v>1.377617791</v>
      </c>
      <c r="S375" s="7" t="n">
        <v>0.6349826029</v>
      </c>
    </row>
    <row r="376" customFormat="false" ht="15" hidden="false" customHeight="false" outlineLevel="0" collapsed="false">
      <c r="A376" s="5" t="s">
        <v>4</v>
      </c>
      <c r="B376" s="5" t="s">
        <v>77</v>
      </c>
      <c r="C376" s="5" t="s">
        <v>58</v>
      </c>
      <c r="D376" s="2" t="n">
        <v>18</v>
      </c>
      <c r="E376" s="5" t="s">
        <v>163</v>
      </c>
      <c r="F376" s="5" t="s">
        <v>166</v>
      </c>
      <c r="G376" s="2" t="n">
        <v>1</v>
      </c>
      <c r="H376" s="7" t="n">
        <v>0.9015536721</v>
      </c>
      <c r="I376" s="7" t="n">
        <v>0.4325190004</v>
      </c>
      <c r="J376" s="7" t="n">
        <v>-0.01132654275</v>
      </c>
      <c r="K376" s="7" t="n">
        <v>-0.4326086224</v>
      </c>
      <c r="L376" s="7" t="n">
        <v>0.9015535671</v>
      </c>
      <c r="M376" s="7" t="n">
        <v>-0.00713761384</v>
      </c>
      <c r="N376" s="7" t="n">
        <v>0.007124331416</v>
      </c>
      <c r="O376" s="7" t="n">
        <v>0.01133490202</v>
      </c>
      <c r="P376" s="7" t="n">
        <v>0.9999103779</v>
      </c>
      <c r="Q376" s="7" t="n">
        <v>22.85756821</v>
      </c>
      <c r="R376" s="7" t="n">
        <v>6.506263069</v>
      </c>
      <c r="S376" s="7" t="n">
        <v>1.546140223</v>
      </c>
    </row>
    <row r="377" customFormat="false" ht="15" hidden="false" customHeight="false" outlineLevel="0" collapsed="false">
      <c r="A377" s="5" t="s">
        <v>4</v>
      </c>
      <c r="B377" s="5" t="s">
        <v>77</v>
      </c>
      <c r="C377" s="5" t="s">
        <v>62</v>
      </c>
      <c r="D377" s="2" t="n">
        <v>18</v>
      </c>
      <c r="E377" s="5" t="s">
        <v>163</v>
      </c>
      <c r="F377" s="5" t="s">
        <v>166</v>
      </c>
      <c r="G377" s="2" t="n">
        <v>1</v>
      </c>
      <c r="H377" s="7" t="n">
        <v>0.9015536721</v>
      </c>
      <c r="I377" s="7" t="n">
        <v>0.4325190004</v>
      </c>
      <c r="J377" s="7" t="n">
        <v>-0.01132654275</v>
      </c>
      <c r="K377" s="7" t="n">
        <v>-0.4326086224</v>
      </c>
      <c r="L377" s="7" t="n">
        <v>0.9015535671</v>
      </c>
      <c r="M377" s="7" t="n">
        <v>-0.00713761384</v>
      </c>
      <c r="N377" s="7" t="n">
        <v>0.007124331416</v>
      </c>
      <c r="O377" s="7" t="n">
        <v>0.01133490202</v>
      </c>
      <c r="P377" s="7" t="n">
        <v>0.9999103779</v>
      </c>
      <c r="Q377" s="7" t="n">
        <v>22.85756821</v>
      </c>
      <c r="R377" s="7" t="n">
        <v>6.506263069</v>
      </c>
      <c r="S377" s="7" t="n">
        <v>1.546140223</v>
      </c>
    </row>
    <row r="378" customFormat="false" ht="15" hidden="false" customHeight="false" outlineLevel="0" collapsed="false">
      <c r="A378" s="5" t="s">
        <v>4</v>
      </c>
      <c r="B378" s="5" t="s">
        <v>77</v>
      </c>
      <c r="C378" s="5" t="s">
        <v>58</v>
      </c>
      <c r="D378" s="2" t="n">
        <v>18</v>
      </c>
      <c r="E378" s="5" t="s">
        <v>163</v>
      </c>
      <c r="F378" s="5" t="s">
        <v>167</v>
      </c>
      <c r="G378" s="2" t="n">
        <v>1</v>
      </c>
      <c r="H378" s="7" t="n">
        <v>0.2257174022</v>
      </c>
      <c r="I378" s="7" t="n">
        <v>-0.9741920703</v>
      </c>
      <c r="J378" s="7" t="n">
        <v>0.001210132591</v>
      </c>
      <c r="K378" s="7" t="n">
        <v>0.9741359347</v>
      </c>
      <c r="L378" s="7" t="n">
        <v>0.2256906235</v>
      </c>
      <c r="M378" s="7" t="n">
        <v>-0.01108707534</v>
      </c>
      <c r="N378" s="7" t="n">
        <v>0.0105278253</v>
      </c>
      <c r="O378" s="7" t="n">
        <v>0.003681379486</v>
      </c>
      <c r="P378" s="7" t="n">
        <v>0.9999378042</v>
      </c>
      <c r="Q378" s="7" t="n">
        <v>-16.52595036</v>
      </c>
      <c r="R378" s="7" t="n">
        <v>20.5179856</v>
      </c>
      <c r="S378" s="7" t="n">
        <v>1.130092356</v>
      </c>
    </row>
    <row r="379" customFormat="false" ht="15" hidden="false" customHeight="false" outlineLevel="0" collapsed="false">
      <c r="A379" s="5" t="s">
        <v>4</v>
      </c>
      <c r="B379" s="5" t="s">
        <v>77</v>
      </c>
      <c r="C379" s="5" t="s">
        <v>62</v>
      </c>
      <c r="D379" s="2" t="n">
        <v>18</v>
      </c>
      <c r="E379" s="5" t="s">
        <v>163</v>
      </c>
      <c r="F379" s="5" t="s">
        <v>167</v>
      </c>
      <c r="G379" s="2" t="n">
        <v>1</v>
      </c>
      <c r="H379" s="7" t="n">
        <v>0.2257174022</v>
      </c>
      <c r="I379" s="7" t="n">
        <v>-0.9741920703</v>
      </c>
      <c r="J379" s="7" t="n">
        <v>0.001210132591</v>
      </c>
      <c r="K379" s="7" t="n">
        <v>0.9741359347</v>
      </c>
      <c r="L379" s="7" t="n">
        <v>0.2256906235</v>
      </c>
      <c r="M379" s="7" t="n">
        <v>-0.01108707534</v>
      </c>
      <c r="N379" s="7" t="n">
        <v>0.0105278253</v>
      </c>
      <c r="O379" s="7" t="n">
        <v>0.003681379486</v>
      </c>
      <c r="P379" s="7" t="n">
        <v>0.9999378042</v>
      </c>
      <c r="Q379" s="7" t="n">
        <v>-16.52595036</v>
      </c>
      <c r="R379" s="7" t="n">
        <v>20.5179856</v>
      </c>
      <c r="S379" s="7" t="n">
        <v>1.130092356</v>
      </c>
    </row>
    <row r="380" customFormat="false" ht="15" hidden="false" customHeight="false" outlineLevel="0" collapsed="false">
      <c r="A380" s="5" t="s">
        <v>4</v>
      </c>
      <c r="B380" s="5" t="s">
        <v>77</v>
      </c>
      <c r="C380" s="5" t="s">
        <v>58</v>
      </c>
      <c r="D380" s="2" t="n">
        <v>18</v>
      </c>
      <c r="E380" s="5" t="s">
        <v>163</v>
      </c>
      <c r="F380" s="5" t="s">
        <v>168</v>
      </c>
      <c r="G380" s="2" t="n">
        <v>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customFormat="false" ht="15" hidden="false" customHeight="false" outlineLevel="0" collapsed="false">
      <c r="A381" s="5" t="s">
        <v>4</v>
      </c>
      <c r="B381" s="5" t="s">
        <v>77</v>
      </c>
      <c r="C381" s="5" t="s">
        <v>62</v>
      </c>
      <c r="D381" s="2" t="n">
        <v>18</v>
      </c>
      <c r="E381" s="5" t="s">
        <v>163</v>
      </c>
      <c r="F381" s="5" t="s">
        <v>168</v>
      </c>
      <c r="G381" s="2" t="n">
        <v>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customFormat="false" ht="15" hidden="false" customHeight="false" outlineLevel="0" collapsed="false">
      <c r="A382" s="5" t="s">
        <v>4</v>
      </c>
      <c r="B382" s="5" t="s">
        <v>77</v>
      </c>
      <c r="C382" s="5" t="s">
        <v>58</v>
      </c>
      <c r="D382" s="2" t="n">
        <v>19</v>
      </c>
      <c r="E382" s="5" t="s">
        <v>163</v>
      </c>
      <c r="F382" s="5" t="s">
        <v>164</v>
      </c>
      <c r="G382" s="2" t="n">
        <v>1</v>
      </c>
      <c r="H382" s="7" t="n">
        <v>-0.7181192753</v>
      </c>
      <c r="I382" s="7" t="n">
        <v>-0.6958908128</v>
      </c>
      <c r="J382" s="7" t="n">
        <v>0.006378334707</v>
      </c>
      <c r="K382" s="7" t="n">
        <v>0.6958567418</v>
      </c>
      <c r="L382" s="7" t="n">
        <v>-0.7181474121</v>
      </c>
      <c r="M382" s="7" t="n">
        <v>-0.006905751802</v>
      </c>
      <c r="N382" s="7" t="n">
        <v>0.009386233798</v>
      </c>
      <c r="O382" s="7" t="n">
        <v>-0.0005207462725</v>
      </c>
      <c r="P382" s="7" t="n">
        <v>0.9999558127</v>
      </c>
      <c r="Q382" s="7" t="n">
        <v>-11.07748154</v>
      </c>
      <c r="R382" s="7" t="n">
        <v>-0.8601500021</v>
      </c>
      <c r="S382" s="7" t="n">
        <v>0.6026974434</v>
      </c>
    </row>
    <row r="383" customFormat="false" ht="15" hidden="false" customHeight="false" outlineLevel="0" collapsed="false">
      <c r="A383" s="5" t="s">
        <v>4</v>
      </c>
      <c r="B383" s="5" t="s">
        <v>77</v>
      </c>
      <c r="C383" s="5" t="s">
        <v>62</v>
      </c>
      <c r="D383" s="2" t="n">
        <v>19</v>
      </c>
      <c r="E383" s="5" t="s">
        <v>163</v>
      </c>
      <c r="F383" s="5" t="s">
        <v>164</v>
      </c>
      <c r="G383" s="2" t="n">
        <v>1</v>
      </c>
      <c r="H383" s="7" t="n">
        <v>-0.7181192753</v>
      </c>
      <c r="I383" s="7" t="n">
        <v>-0.6958908128</v>
      </c>
      <c r="J383" s="7" t="n">
        <v>0.006378334707</v>
      </c>
      <c r="K383" s="7" t="n">
        <v>0.6958567418</v>
      </c>
      <c r="L383" s="7" t="n">
        <v>-0.7181474121</v>
      </c>
      <c r="M383" s="7" t="n">
        <v>-0.006905751802</v>
      </c>
      <c r="N383" s="7" t="n">
        <v>0.009386233798</v>
      </c>
      <c r="O383" s="7" t="n">
        <v>-0.0005207462725</v>
      </c>
      <c r="P383" s="7" t="n">
        <v>0.9999558127</v>
      </c>
      <c r="Q383" s="7" t="n">
        <v>-11.07748154</v>
      </c>
      <c r="R383" s="7" t="n">
        <v>-0.8601500021</v>
      </c>
      <c r="S383" s="7" t="n">
        <v>0.6026974434</v>
      </c>
    </row>
    <row r="384" customFormat="false" ht="15" hidden="false" customHeight="false" outlineLevel="0" collapsed="false">
      <c r="A384" s="5" t="s">
        <v>4</v>
      </c>
      <c r="B384" s="5" t="s">
        <v>77</v>
      </c>
      <c r="C384" s="5" t="s">
        <v>58</v>
      </c>
      <c r="D384" s="2" t="n">
        <v>19</v>
      </c>
      <c r="E384" s="5" t="s">
        <v>163</v>
      </c>
      <c r="F384" s="5" t="s">
        <v>165</v>
      </c>
      <c r="G384" s="2" t="n">
        <v>1</v>
      </c>
      <c r="H384" s="7" t="n">
        <v>0.9340762158</v>
      </c>
      <c r="I384" s="7" t="n">
        <v>0.3570420252</v>
      </c>
      <c r="J384" s="7" t="n">
        <v>-0.00475555359</v>
      </c>
      <c r="K384" s="7" t="n">
        <v>-0.3570153241</v>
      </c>
      <c r="L384" s="7" t="n">
        <v>0.9340814946</v>
      </c>
      <c r="M384" s="7" t="n">
        <v>0.005640904243</v>
      </c>
      <c r="N384" s="7" t="n">
        <v>0.00645611448</v>
      </c>
      <c r="O384" s="7" t="n">
        <v>-0.003571228983</v>
      </c>
      <c r="P384" s="7" t="n">
        <v>0.9999727821</v>
      </c>
      <c r="Q384" s="7" t="n">
        <v>8.406068955</v>
      </c>
      <c r="R384" s="7" t="n">
        <v>1.382356543</v>
      </c>
      <c r="S384" s="7" t="n">
        <v>0.6323403878</v>
      </c>
    </row>
    <row r="385" customFormat="false" ht="15" hidden="false" customHeight="false" outlineLevel="0" collapsed="false">
      <c r="A385" s="5" t="s">
        <v>4</v>
      </c>
      <c r="B385" s="5" t="s">
        <v>77</v>
      </c>
      <c r="C385" s="5" t="s">
        <v>62</v>
      </c>
      <c r="D385" s="2" t="n">
        <v>19</v>
      </c>
      <c r="E385" s="5" t="s">
        <v>163</v>
      </c>
      <c r="F385" s="5" t="s">
        <v>165</v>
      </c>
      <c r="G385" s="2" t="n">
        <v>1</v>
      </c>
      <c r="H385" s="7" t="n">
        <v>0.9340762158</v>
      </c>
      <c r="I385" s="7" t="n">
        <v>0.3570420252</v>
      </c>
      <c r="J385" s="7" t="n">
        <v>-0.00475555359</v>
      </c>
      <c r="K385" s="7" t="n">
        <v>-0.3570153241</v>
      </c>
      <c r="L385" s="7" t="n">
        <v>0.9340814946</v>
      </c>
      <c r="M385" s="7" t="n">
        <v>0.005640904243</v>
      </c>
      <c r="N385" s="7" t="n">
        <v>0.00645611448</v>
      </c>
      <c r="O385" s="7" t="n">
        <v>-0.003571228983</v>
      </c>
      <c r="P385" s="7" t="n">
        <v>0.9999727821</v>
      </c>
      <c r="Q385" s="7" t="n">
        <v>8.406068955</v>
      </c>
      <c r="R385" s="7" t="n">
        <v>1.382356543</v>
      </c>
      <c r="S385" s="7" t="n">
        <v>0.6323403878</v>
      </c>
    </row>
    <row r="386" customFormat="false" ht="15" hidden="false" customHeight="false" outlineLevel="0" collapsed="false">
      <c r="A386" s="5" t="s">
        <v>4</v>
      </c>
      <c r="B386" s="5" t="s">
        <v>77</v>
      </c>
      <c r="C386" s="5" t="s">
        <v>58</v>
      </c>
      <c r="D386" s="2" t="n">
        <v>19</v>
      </c>
      <c r="E386" s="5" t="s">
        <v>163</v>
      </c>
      <c r="F386" s="5" t="s">
        <v>166</v>
      </c>
      <c r="G386" s="2" t="n">
        <v>1</v>
      </c>
      <c r="H386" s="7" t="n">
        <v>0.9021918603</v>
      </c>
      <c r="I386" s="7" t="n">
        <v>0.4310623823</v>
      </c>
      <c r="J386" s="7" t="n">
        <v>-0.01533198413</v>
      </c>
      <c r="K386" s="7" t="n">
        <v>-0.4312071654</v>
      </c>
      <c r="L386" s="7" t="n">
        <v>0.9022197981</v>
      </c>
      <c r="M386" s="7" t="n">
        <v>-0.007734111911</v>
      </c>
      <c r="N386" s="7" t="n">
        <v>0.01049893492</v>
      </c>
      <c r="O386" s="7" t="n">
        <v>0.01358891423</v>
      </c>
      <c r="P386" s="7" t="n">
        <v>0.999852546</v>
      </c>
      <c r="Q386" s="7" t="n">
        <v>22.84149137</v>
      </c>
      <c r="R386" s="7" t="n">
        <v>6.516630303</v>
      </c>
      <c r="S386" s="7" t="n">
        <v>1.613650243</v>
      </c>
    </row>
    <row r="387" customFormat="false" ht="15" hidden="false" customHeight="false" outlineLevel="0" collapsed="false">
      <c r="A387" s="5" t="s">
        <v>4</v>
      </c>
      <c r="B387" s="5" t="s">
        <v>77</v>
      </c>
      <c r="C387" s="5" t="s">
        <v>62</v>
      </c>
      <c r="D387" s="2" t="n">
        <v>19</v>
      </c>
      <c r="E387" s="5" t="s">
        <v>163</v>
      </c>
      <c r="F387" s="5" t="s">
        <v>166</v>
      </c>
      <c r="G387" s="2" t="n">
        <v>1</v>
      </c>
      <c r="H387" s="7" t="n">
        <v>0.9021918603</v>
      </c>
      <c r="I387" s="7" t="n">
        <v>0.4310623823</v>
      </c>
      <c r="J387" s="7" t="n">
        <v>-0.01533198413</v>
      </c>
      <c r="K387" s="7" t="n">
        <v>-0.4312071654</v>
      </c>
      <c r="L387" s="7" t="n">
        <v>0.9022197981</v>
      </c>
      <c r="M387" s="7" t="n">
        <v>-0.007734111911</v>
      </c>
      <c r="N387" s="7" t="n">
        <v>0.01049893492</v>
      </c>
      <c r="O387" s="7" t="n">
        <v>0.01358891423</v>
      </c>
      <c r="P387" s="7" t="n">
        <v>0.999852546</v>
      </c>
      <c r="Q387" s="7" t="n">
        <v>22.84149137</v>
      </c>
      <c r="R387" s="7" t="n">
        <v>6.516630303</v>
      </c>
      <c r="S387" s="7" t="n">
        <v>1.613650243</v>
      </c>
    </row>
    <row r="388" customFormat="false" ht="15" hidden="false" customHeight="false" outlineLevel="0" collapsed="false">
      <c r="A388" s="5" t="s">
        <v>4</v>
      </c>
      <c r="B388" s="5" t="s">
        <v>77</v>
      </c>
      <c r="C388" s="5" t="s">
        <v>58</v>
      </c>
      <c r="D388" s="2" t="n">
        <v>19</v>
      </c>
      <c r="E388" s="5" t="s">
        <v>163</v>
      </c>
      <c r="F388" s="5" t="s">
        <v>167</v>
      </c>
      <c r="G388" s="2" t="n">
        <v>1</v>
      </c>
      <c r="H388" s="7" t="n">
        <v>0.2273162972</v>
      </c>
      <c r="I388" s="7" t="n">
        <v>-0.9738209781</v>
      </c>
      <c r="J388" s="7" t="n">
        <v>6.055519602E-005</v>
      </c>
      <c r="K388" s="7" t="n">
        <v>0.9738097055</v>
      </c>
      <c r="L388" s="7" t="n">
        <v>0.2273133658</v>
      </c>
      <c r="M388" s="7" t="n">
        <v>-0.004826091826</v>
      </c>
      <c r="N388" s="7" t="n">
        <v>0.004685984456</v>
      </c>
      <c r="O388" s="7" t="n">
        <v>0.001156018561</v>
      </c>
      <c r="P388" s="7" t="n">
        <v>0.9999883525</v>
      </c>
      <c r="Q388" s="7" t="n">
        <v>-16.48433143</v>
      </c>
      <c r="R388" s="7" t="n">
        <v>20.54553815</v>
      </c>
      <c r="S388" s="7" t="n">
        <v>0.9775275084</v>
      </c>
    </row>
    <row r="389" customFormat="false" ht="15" hidden="false" customHeight="false" outlineLevel="0" collapsed="false">
      <c r="A389" s="5" t="s">
        <v>4</v>
      </c>
      <c r="B389" s="5" t="s">
        <v>77</v>
      </c>
      <c r="C389" s="5" t="s">
        <v>62</v>
      </c>
      <c r="D389" s="2" t="n">
        <v>19</v>
      </c>
      <c r="E389" s="5" t="s">
        <v>163</v>
      </c>
      <c r="F389" s="5" t="s">
        <v>167</v>
      </c>
      <c r="G389" s="2" t="n">
        <v>1</v>
      </c>
      <c r="H389" s="7" t="n">
        <v>0.2273162972</v>
      </c>
      <c r="I389" s="7" t="n">
        <v>-0.9738209781</v>
      </c>
      <c r="J389" s="7" t="n">
        <v>6.055519602E-005</v>
      </c>
      <c r="K389" s="7" t="n">
        <v>0.9738097055</v>
      </c>
      <c r="L389" s="7" t="n">
        <v>0.2273133658</v>
      </c>
      <c r="M389" s="7" t="n">
        <v>-0.004826091826</v>
      </c>
      <c r="N389" s="7" t="n">
        <v>0.004685984456</v>
      </c>
      <c r="O389" s="7" t="n">
        <v>0.001156018561</v>
      </c>
      <c r="P389" s="7" t="n">
        <v>0.9999883525</v>
      </c>
      <c r="Q389" s="7" t="n">
        <v>-16.48433143</v>
      </c>
      <c r="R389" s="7" t="n">
        <v>20.54553815</v>
      </c>
      <c r="S389" s="7" t="n">
        <v>0.9775275084</v>
      </c>
    </row>
    <row r="390" customFormat="false" ht="15" hidden="false" customHeight="false" outlineLevel="0" collapsed="false">
      <c r="A390" s="5" t="s">
        <v>4</v>
      </c>
      <c r="B390" s="5" t="s">
        <v>77</v>
      </c>
      <c r="C390" s="5" t="s">
        <v>58</v>
      </c>
      <c r="D390" s="2" t="n">
        <v>19</v>
      </c>
      <c r="E390" s="5" t="s">
        <v>163</v>
      </c>
      <c r="F390" s="5" t="s">
        <v>168</v>
      </c>
      <c r="G390" s="2" t="n">
        <v>1</v>
      </c>
      <c r="H390" s="7" t="n">
        <v>0.9887510711</v>
      </c>
      <c r="I390" s="7" t="n">
        <v>0.1485349184</v>
      </c>
      <c r="J390" s="7" t="n">
        <v>-0.0175697855</v>
      </c>
      <c r="K390" s="7" t="n">
        <v>-0.1484677038</v>
      </c>
      <c r="L390" s="7" t="n">
        <v>0.9889042229</v>
      </c>
      <c r="M390" s="7" t="n">
        <v>0.005077286464</v>
      </c>
      <c r="N390" s="7" t="n">
        <v>0.0181289894</v>
      </c>
      <c r="O390" s="7" t="n">
        <v>-0.00241162672</v>
      </c>
      <c r="P390" s="7" t="n">
        <v>0.9998327479</v>
      </c>
      <c r="Q390" s="7" t="n">
        <v>25.15044283</v>
      </c>
      <c r="R390" s="7" t="n">
        <v>19.81409104</v>
      </c>
      <c r="S390" s="7" t="n">
        <v>2.225592572</v>
      </c>
    </row>
    <row r="391" customFormat="false" ht="15" hidden="false" customHeight="false" outlineLevel="0" collapsed="false">
      <c r="A391" s="5" t="s">
        <v>4</v>
      </c>
      <c r="B391" s="5" t="s">
        <v>77</v>
      </c>
      <c r="C391" s="5" t="s">
        <v>62</v>
      </c>
      <c r="D391" s="2" t="n">
        <v>19</v>
      </c>
      <c r="E391" s="5" t="s">
        <v>163</v>
      </c>
      <c r="F391" s="5" t="s">
        <v>168</v>
      </c>
      <c r="G391" s="2" t="n">
        <v>1</v>
      </c>
      <c r="H391" s="7" t="n">
        <v>0.9887510711</v>
      </c>
      <c r="I391" s="7" t="n">
        <v>0.1485349184</v>
      </c>
      <c r="J391" s="7" t="n">
        <v>-0.0175697855</v>
      </c>
      <c r="K391" s="7" t="n">
        <v>-0.1484677038</v>
      </c>
      <c r="L391" s="7" t="n">
        <v>0.9889042229</v>
      </c>
      <c r="M391" s="7" t="n">
        <v>0.005077286464</v>
      </c>
      <c r="N391" s="7" t="n">
        <v>0.0181289894</v>
      </c>
      <c r="O391" s="7" t="n">
        <v>-0.00241162672</v>
      </c>
      <c r="P391" s="7" t="n">
        <v>0.9998327479</v>
      </c>
      <c r="Q391" s="7" t="n">
        <v>25.15044283</v>
      </c>
      <c r="R391" s="7" t="n">
        <v>19.81409104</v>
      </c>
      <c r="S391" s="7" t="n">
        <v>2.225592572</v>
      </c>
    </row>
    <row r="392" customFormat="false" ht="15" hidden="false" customHeight="false" outlineLevel="0" collapsed="false">
      <c r="A392" s="5" t="s">
        <v>4</v>
      </c>
      <c r="B392" s="5" t="s">
        <v>77</v>
      </c>
      <c r="C392" s="5" t="s">
        <v>58</v>
      </c>
      <c r="D392" s="2" t="n">
        <v>20</v>
      </c>
      <c r="E392" s="5" t="s">
        <v>163</v>
      </c>
      <c r="F392" s="5" t="s">
        <v>164</v>
      </c>
      <c r="G392" s="2" t="n">
        <v>1</v>
      </c>
      <c r="H392" s="7" t="n">
        <v>-0.7188816879</v>
      </c>
      <c r="I392" s="7" t="n">
        <v>-0.6950986644</v>
      </c>
      <c r="J392" s="7" t="n">
        <v>0.00685313572</v>
      </c>
      <c r="K392" s="7" t="n">
        <v>0.6950562872</v>
      </c>
      <c r="L392" s="7" t="n">
        <v>-0.7189139264</v>
      </c>
      <c r="M392" s="7" t="n">
        <v>-0.007715177729</v>
      </c>
      <c r="N392" s="7" t="n">
        <v>0.01028962444</v>
      </c>
      <c r="O392" s="7" t="n">
        <v>-0.0007829849188</v>
      </c>
      <c r="P392" s="7" t="n">
        <v>0.9999467539</v>
      </c>
      <c r="Q392" s="7" t="n">
        <v>-11.07681471</v>
      </c>
      <c r="R392" s="7" t="n">
        <v>-0.8838785703</v>
      </c>
      <c r="S392" s="7" t="n">
        <v>0.6043344412</v>
      </c>
    </row>
    <row r="393" customFormat="false" ht="15" hidden="false" customHeight="false" outlineLevel="0" collapsed="false">
      <c r="A393" s="5" t="s">
        <v>4</v>
      </c>
      <c r="B393" s="5" t="s">
        <v>77</v>
      </c>
      <c r="C393" s="5" t="s">
        <v>62</v>
      </c>
      <c r="D393" s="2" t="n">
        <v>20</v>
      </c>
      <c r="E393" s="5" t="s">
        <v>163</v>
      </c>
      <c r="F393" s="5" t="s">
        <v>164</v>
      </c>
      <c r="G393" s="2" t="n">
        <v>1</v>
      </c>
      <c r="H393" s="7" t="n">
        <v>-0.7188816879</v>
      </c>
      <c r="I393" s="7" t="n">
        <v>-0.6950986644</v>
      </c>
      <c r="J393" s="7" t="n">
        <v>0.00685313572</v>
      </c>
      <c r="K393" s="7" t="n">
        <v>0.6950562872</v>
      </c>
      <c r="L393" s="7" t="n">
        <v>-0.7189139264</v>
      </c>
      <c r="M393" s="7" t="n">
        <v>-0.007715177729</v>
      </c>
      <c r="N393" s="7" t="n">
        <v>0.01028962444</v>
      </c>
      <c r="O393" s="7" t="n">
        <v>-0.0007829849188</v>
      </c>
      <c r="P393" s="7" t="n">
        <v>0.9999467539</v>
      </c>
      <c r="Q393" s="7" t="n">
        <v>-11.07681471</v>
      </c>
      <c r="R393" s="7" t="n">
        <v>-0.8838785703</v>
      </c>
      <c r="S393" s="7" t="n">
        <v>0.6043344412</v>
      </c>
    </row>
    <row r="394" customFormat="false" ht="15" hidden="false" customHeight="false" outlineLevel="0" collapsed="false">
      <c r="A394" s="5" t="s">
        <v>4</v>
      </c>
      <c r="B394" s="5" t="s">
        <v>77</v>
      </c>
      <c r="C394" s="5" t="s">
        <v>58</v>
      </c>
      <c r="D394" s="2" t="n">
        <v>20</v>
      </c>
      <c r="E394" s="5" t="s">
        <v>163</v>
      </c>
      <c r="F394" s="5" t="s">
        <v>165</v>
      </c>
      <c r="G394" s="2" t="n">
        <v>1</v>
      </c>
      <c r="H394" s="7" t="n">
        <v>0.9336234298</v>
      </c>
      <c r="I394" s="7" t="n">
        <v>0.3582559015</v>
      </c>
      <c r="J394" s="7" t="n">
        <v>-1.917368767E-005</v>
      </c>
      <c r="K394" s="7" t="n">
        <v>-0.3582548012</v>
      </c>
      <c r="L394" s="7" t="n">
        <v>0.9336206923</v>
      </c>
      <c r="M394" s="7" t="n">
        <v>0.002429042902</v>
      </c>
      <c r="N394" s="7" t="n">
        <v>0.0008881199062</v>
      </c>
      <c r="O394" s="7" t="n">
        <v>-0.0022609423</v>
      </c>
      <c r="P394" s="7" t="n">
        <v>0.9999970497</v>
      </c>
      <c r="Q394" s="7" t="n">
        <v>8.423456475</v>
      </c>
      <c r="R394" s="7" t="n">
        <v>1.349386009</v>
      </c>
      <c r="S394" s="7" t="n">
        <v>0.5556721654</v>
      </c>
    </row>
    <row r="395" customFormat="false" ht="15" hidden="false" customHeight="false" outlineLevel="0" collapsed="false">
      <c r="A395" s="5" t="s">
        <v>4</v>
      </c>
      <c r="B395" s="5" t="s">
        <v>77</v>
      </c>
      <c r="C395" s="5" t="s">
        <v>62</v>
      </c>
      <c r="D395" s="2" t="n">
        <v>20</v>
      </c>
      <c r="E395" s="5" t="s">
        <v>163</v>
      </c>
      <c r="F395" s="5" t="s">
        <v>165</v>
      </c>
      <c r="G395" s="2" t="n">
        <v>1</v>
      </c>
      <c r="H395" s="7" t="n">
        <v>0.9336234298</v>
      </c>
      <c r="I395" s="7" t="n">
        <v>0.3582559015</v>
      </c>
      <c r="J395" s="7" t="n">
        <v>-1.917368767E-005</v>
      </c>
      <c r="K395" s="7" t="n">
        <v>-0.3582548012</v>
      </c>
      <c r="L395" s="7" t="n">
        <v>0.9336206923</v>
      </c>
      <c r="M395" s="7" t="n">
        <v>0.002429042902</v>
      </c>
      <c r="N395" s="7" t="n">
        <v>0.0008881199062</v>
      </c>
      <c r="O395" s="7" t="n">
        <v>-0.0022609423</v>
      </c>
      <c r="P395" s="7" t="n">
        <v>0.9999970497</v>
      </c>
      <c r="Q395" s="7" t="n">
        <v>8.423456475</v>
      </c>
      <c r="R395" s="7" t="n">
        <v>1.349386009</v>
      </c>
      <c r="S395" s="7" t="n">
        <v>0.5556721654</v>
      </c>
    </row>
    <row r="396" customFormat="false" ht="15" hidden="false" customHeight="false" outlineLevel="0" collapsed="false">
      <c r="A396" s="5" t="s">
        <v>4</v>
      </c>
      <c r="B396" s="5" t="s">
        <v>77</v>
      </c>
      <c r="C396" s="5" t="s">
        <v>58</v>
      </c>
      <c r="D396" s="2" t="n">
        <v>20</v>
      </c>
      <c r="E396" s="5" t="s">
        <v>163</v>
      </c>
      <c r="F396" s="5" t="s">
        <v>166</v>
      </c>
      <c r="G396" s="2" t="n">
        <v>1</v>
      </c>
      <c r="H396" s="7" t="n">
        <v>0.9022912591</v>
      </c>
      <c r="I396" s="7" t="n">
        <v>0.4309186256</v>
      </c>
      <c r="J396" s="7" t="n">
        <v>-0.01340230914</v>
      </c>
      <c r="K396" s="7" t="n">
        <v>-0.4309166025</v>
      </c>
      <c r="L396" s="7" t="n">
        <v>0.90238613</v>
      </c>
      <c r="M396" s="7" t="n">
        <v>0.003186552324</v>
      </c>
      <c r="N396" s="7" t="n">
        <v>0.01346720263</v>
      </c>
      <c r="O396" s="7" t="n">
        <v>0.002900079211</v>
      </c>
      <c r="P396" s="7" t="n">
        <v>0.9999051075</v>
      </c>
      <c r="Q396" s="7" t="n">
        <v>22.82918308</v>
      </c>
      <c r="R396" s="7" t="n">
        <v>6.498003994</v>
      </c>
      <c r="S396" s="7" t="n">
        <v>1.514411361</v>
      </c>
    </row>
    <row r="397" customFormat="false" ht="15" hidden="false" customHeight="false" outlineLevel="0" collapsed="false">
      <c r="A397" s="5" t="s">
        <v>4</v>
      </c>
      <c r="B397" s="5" t="s">
        <v>77</v>
      </c>
      <c r="C397" s="5" t="s">
        <v>62</v>
      </c>
      <c r="D397" s="2" t="n">
        <v>20</v>
      </c>
      <c r="E397" s="5" t="s">
        <v>163</v>
      </c>
      <c r="F397" s="5" t="s">
        <v>166</v>
      </c>
      <c r="G397" s="2" t="n">
        <v>1</v>
      </c>
      <c r="H397" s="7" t="n">
        <v>0.9022912591</v>
      </c>
      <c r="I397" s="7" t="n">
        <v>0.4309186256</v>
      </c>
      <c r="J397" s="7" t="n">
        <v>-0.01340230914</v>
      </c>
      <c r="K397" s="7" t="n">
        <v>-0.4309166025</v>
      </c>
      <c r="L397" s="7" t="n">
        <v>0.90238613</v>
      </c>
      <c r="M397" s="7" t="n">
        <v>0.003186552324</v>
      </c>
      <c r="N397" s="7" t="n">
        <v>0.01346720263</v>
      </c>
      <c r="O397" s="7" t="n">
        <v>0.002900079211</v>
      </c>
      <c r="P397" s="7" t="n">
        <v>0.9999051075</v>
      </c>
      <c r="Q397" s="7" t="n">
        <v>22.82918308</v>
      </c>
      <c r="R397" s="7" t="n">
        <v>6.498003994</v>
      </c>
      <c r="S397" s="7" t="n">
        <v>1.514411361</v>
      </c>
    </row>
    <row r="398" customFormat="false" ht="15" hidden="false" customHeight="false" outlineLevel="0" collapsed="false">
      <c r="A398" s="5" t="s">
        <v>4</v>
      </c>
      <c r="B398" s="5" t="s">
        <v>77</v>
      </c>
      <c r="C398" s="5" t="s">
        <v>58</v>
      </c>
      <c r="D398" s="2" t="n">
        <v>20</v>
      </c>
      <c r="E398" s="5" t="s">
        <v>163</v>
      </c>
      <c r="F398" s="5" t="s">
        <v>167</v>
      </c>
      <c r="G398" s="2" t="n">
        <v>1</v>
      </c>
      <c r="H398" s="7" t="n">
        <v>0.2228300779</v>
      </c>
      <c r="I398" s="7" t="n">
        <v>-0.9748069622</v>
      </c>
      <c r="J398" s="7" t="n">
        <v>-0.009906706652</v>
      </c>
      <c r="K398" s="7" t="n">
        <v>0.9748333426</v>
      </c>
      <c r="L398" s="7" t="n">
        <v>0.2228843408</v>
      </c>
      <c r="M398" s="7" t="n">
        <v>-0.004746024289</v>
      </c>
      <c r="N398" s="7" t="n">
        <v>0.006834507302</v>
      </c>
      <c r="O398" s="7" t="n">
        <v>-0.008599830998</v>
      </c>
      <c r="P398" s="7" t="n">
        <v>0.9999396644</v>
      </c>
      <c r="Q398" s="7" t="n">
        <v>-16.51014684</v>
      </c>
      <c r="R398" s="7" t="n">
        <v>20.4825166</v>
      </c>
      <c r="S398" s="7" t="n">
        <v>0.8493373359</v>
      </c>
    </row>
    <row r="399" customFormat="false" ht="15" hidden="false" customHeight="false" outlineLevel="0" collapsed="false">
      <c r="A399" s="5" t="s">
        <v>4</v>
      </c>
      <c r="B399" s="5" t="s">
        <v>77</v>
      </c>
      <c r="C399" s="5" t="s">
        <v>62</v>
      </c>
      <c r="D399" s="2" t="n">
        <v>20</v>
      </c>
      <c r="E399" s="5" t="s">
        <v>163</v>
      </c>
      <c r="F399" s="5" t="s">
        <v>167</v>
      </c>
      <c r="G399" s="2" t="n">
        <v>1</v>
      </c>
      <c r="H399" s="7" t="n">
        <v>0.2228300779</v>
      </c>
      <c r="I399" s="7" t="n">
        <v>-0.9748069622</v>
      </c>
      <c r="J399" s="7" t="n">
        <v>-0.009906706652</v>
      </c>
      <c r="K399" s="7" t="n">
        <v>0.9748333426</v>
      </c>
      <c r="L399" s="7" t="n">
        <v>0.2228843408</v>
      </c>
      <c r="M399" s="7" t="n">
        <v>-0.004746024289</v>
      </c>
      <c r="N399" s="7" t="n">
        <v>0.006834507302</v>
      </c>
      <c r="O399" s="7" t="n">
        <v>-0.008599830998</v>
      </c>
      <c r="P399" s="7" t="n">
        <v>0.9999396644</v>
      </c>
      <c r="Q399" s="7" t="n">
        <v>-16.51014684</v>
      </c>
      <c r="R399" s="7" t="n">
        <v>20.4825166</v>
      </c>
      <c r="S399" s="7" t="n">
        <v>0.8493373359</v>
      </c>
    </row>
    <row r="400" customFormat="false" ht="15" hidden="false" customHeight="false" outlineLevel="0" collapsed="false">
      <c r="A400" s="5" t="s">
        <v>4</v>
      </c>
      <c r="B400" s="5" t="s">
        <v>77</v>
      </c>
      <c r="C400" s="5" t="s">
        <v>58</v>
      </c>
      <c r="D400" s="2" t="n">
        <v>20</v>
      </c>
      <c r="E400" s="5" t="s">
        <v>163</v>
      </c>
      <c r="F400" s="5" t="s">
        <v>168</v>
      </c>
      <c r="G400" s="2" t="n">
        <v>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customFormat="false" ht="15" hidden="false" customHeight="false" outlineLevel="0" collapsed="false">
      <c r="A401" s="5" t="s">
        <v>4</v>
      </c>
      <c r="B401" s="5" t="s">
        <v>77</v>
      </c>
      <c r="C401" s="5" t="s">
        <v>62</v>
      </c>
      <c r="D401" s="2" t="n">
        <v>20</v>
      </c>
      <c r="E401" s="5" t="s">
        <v>163</v>
      </c>
      <c r="F401" s="5" t="s">
        <v>168</v>
      </c>
      <c r="G401" s="2" t="n">
        <v>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customFormat="false" ht="15" hidden="false" customHeight="false" outlineLevel="0" collapsed="false">
      <c r="A402" s="5" t="s">
        <v>4</v>
      </c>
      <c r="B402" s="5" t="s">
        <v>77</v>
      </c>
      <c r="C402" s="5" t="s">
        <v>58</v>
      </c>
      <c r="D402" s="2" t="n">
        <v>11</v>
      </c>
      <c r="E402" s="5" t="s">
        <v>164</v>
      </c>
      <c r="F402" s="5" t="s">
        <v>165</v>
      </c>
      <c r="G402" s="2" t="n">
        <v>1</v>
      </c>
      <c r="H402" s="7" t="n">
        <v>-0.9185150549</v>
      </c>
      <c r="I402" s="7" t="n">
        <v>0.3945130711</v>
      </c>
      <c r="J402" s="7" t="n">
        <v>-0.02625891799</v>
      </c>
      <c r="K402" s="7" t="n">
        <v>-0.3949925594</v>
      </c>
      <c r="L402" s="7" t="n">
        <v>-0.9185372272</v>
      </c>
      <c r="M402" s="7" t="n">
        <v>0.01643898534</v>
      </c>
      <c r="N402" s="7" t="n">
        <v>-0.01763439913</v>
      </c>
      <c r="O402" s="7" t="n">
        <v>0.02547153274</v>
      </c>
      <c r="P402" s="7" t="n">
        <v>0.9995199993</v>
      </c>
      <c r="Q402" s="7" t="n">
        <v>-1.513735298</v>
      </c>
      <c r="R402" s="7" t="n">
        <v>-3.740741009</v>
      </c>
      <c r="S402" s="7" t="n">
        <v>0.2081218888</v>
      </c>
    </row>
    <row r="403" customFormat="false" ht="15" hidden="false" customHeight="false" outlineLevel="0" collapsed="false">
      <c r="A403" s="5" t="s">
        <v>4</v>
      </c>
      <c r="B403" s="5" t="s">
        <v>77</v>
      </c>
      <c r="C403" s="5" t="s">
        <v>62</v>
      </c>
      <c r="D403" s="2" t="n">
        <v>11</v>
      </c>
      <c r="E403" s="5" t="s">
        <v>164</v>
      </c>
      <c r="F403" s="5" t="s">
        <v>165</v>
      </c>
      <c r="G403" s="2" t="n">
        <v>1</v>
      </c>
      <c r="H403" s="7" t="n">
        <v>-0.918977404</v>
      </c>
      <c r="I403" s="7" t="n">
        <v>0.3942656167</v>
      </c>
      <c r="J403" s="7" t="n">
        <v>-0.005929108511</v>
      </c>
      <c r="K403" s="7" t="n">
        <v>-0.3942945702</v>
      </c>
      <c r="L403" s="7" t="n">
        <v>-0.9189709585</v>
      </c>
      <c r="M403" s="7" t="n">
        <v>0.004916226294</v>
      </c>
      <c r="N403" s="7" t="n">
        <v>-0.003510379539</v>
      </c>
      <c r="O403" s="7" t="n">
        <v>0.00685571617</v>
      </c>
      <c r="P403" s="7" t="n">
        <v>0.9999703378</v>
      </c>
      <c r="Q403" s="7" t="n">
        <v>-1.460530027</v>
      </c>
      <c r="R403" s="7" t="n">
        <v>-3.774801524</v>
      </c>
      <c r="S403" s="7" t="n">
        <v>0.1538612677</v>
      </c>
    </row>
    <row r="404" customFormat="false" ht="15" hidden="false" customHeight="false" outlineLevel="0" collapsed="false">
      <c r="A404" s="5" t="s">
        <v>4</v>
      </c>
      <c r="B404" s="5" t="s">
        <v>77</v>
      </c>
      <c r="C404" s="5" t="s">
        <v>58</v>
      </c>
      <c r="D404" s="2" t="n">
        <v>11</v>
      </c>
      <c r="E404" s="5" t="s">
        <v>164</v>
      </c>
      <c r="F404" s="5" t="s">
        <v>166</v>
      </c>
      <c r="G404" s="2" t="n">
        <v>1</v>
      </c>
      <c r="H404" s="7" t="n">
        <v>-0.9477113495</v>
      </c>
      <c r="I404" s="7" t="n">
        <v>0.3191140635</v>
      </c>
      <c r="J404" s="7" t="n">
        <v>-0.003067977954</v>
      </c>
      <c r="K404" s="7" t="n">
        <v>-0.3190847928</v>
      </c>
      <c r="L404" s="7" t="n">
        <v>-0.9476965086</v>
      </c>
      <c r="M404" s="7" t="n">
        <v>-0.007498167173</v>
      </c>
      <c r="N404" s="7" t="n">
        <v>-0.005300282591</v>
      </c>
      <c r="O404" s="7" t="n">
        <v>-0.006127153021</v>
      </c>
      <c r="P404" s="7" t="n">
        <v>0.999967182</v>
      </c>
      <c r="Q404" s="7" t="n">
        <v>12.62333241</v>
      </c>
      <c r="R404" s="7" t="n">
        <v>2.165421912</v>
      </c>
      <c r="S404" s="7" t="n">
        <v>0.8841057244</v>
      </c>
    </row>
    <row r="405" customFormat="false" ht="15" hidden="false" customHeight="false" outlineLevel="0" collapsed="false">
      <c r="A405" s="5" t="s">
        <v>4</v>
      </c>
      <c r="B405" s="5" t="s">
        <v>77</v>
      </c>
      <c r="C405" s="5" t="s">
        <v>62</v>
      </c>
      <c r="D405" s="2" t="n">
        <v>11</v>
      </c>
      <c r="E405" s="5" t="s">
        <v>164</v>
      </c>
      <c r="F405" s="5" t="s">
        <v>166</v>
      </c>
      <c r="G405" s="2" t="n">
        <v>1</v>
      </c>
      <c r="H405" s="7" t="n">
        <v>-0.9477113495</v>
      </c>
      <c r="I405" s="7" t="n">
        <v>0.3191140635</v>
      </c>
      <c r="J405" s="7" t="n">
        <v>-0.003067977954</v>
      </c>
      <c r="K405" s="7" t="n">
        <v>-0.3190847928</v>
      </c>
      <c r="L405" s="7" t="n">
        <v>-0.9476965086</v>
      </c>
      <c r="M405" s="7" t="n">
        <v>-0.007498167173</v>
      </c>
      <c r="N405" s="7" t="n">
        <v>-0.005300282591</v>
      </c>
      <c r="O405" s="7" t="n">
        <v>-0.006127153021</v>
      </c>
      <c r="P405" s="7" t="n">
        <v>0.999967182</v>
      </c>
      <c r="Q405" s="7" t="n">
        <v>12.62333241</v>
      </c>
      <c r="R405" s="7" t="n">
        <v>2.165421912</v>
      </c>
      <c r="S405" s="7" t="n">
        <v>0.8841057244</v>
      </c>
    </row>
    <row r="406" customFormat="false" ht="15" hidden="false" customHeight="false" outlineLevel="0" collapsed="false">
      <c r="A406" s="5" t="s">
        <v>4</v>
      </c>
      <c r="B406" s="5" t="s">
        <v>77</v>
      </c>
      <c r="C406" s="5" t="s">
        <v>58</v>
      </c>
      <c r="D406" s="2" t="n">
        <v>11</v>
      </c>
      <c r="E406" s="5" t="s">
        <v>164</v>
      </c>
      <c r="F406" s="5" t="s">
        <v>167</v>
      </c>
      <c r="G406" s="2" t="n">
        <v>1</v>
      </c>
      <c r="H406" s="7" t="n">
        <v>0.5141901065</v>
      </c>
      <c r="I406" s="7" t="n">
        <v>0.8576660071</v>
      </c>
      <c r="J406" s="7" t="n">
        <v>0.00418982686</v>
      </c>
      <c r="K406" s="7" t="n">
        <v>-0.8575530182</v>
      </c>
      <c r="L406" s="7" t="n">
        <v>0.5141929029</v>
      </c>
      <c r="M406" s="7" t="n">
        <v>-0.01443882342</v>
      </c>
      <c r="N406" s="7" t="n">
        <v>-0.01453806726</v>
      </c>
      <c r="O406" s="7" t="n">
        <v>0.003831301483</v>
      </c>
      <c r="P406" s="7" t="n">
        <v>0.9998869765</v>
      </c>
      <c r="Q406" s="7" t="n">
        <v>-10.03138031</v>
      </c>
      <c r="R406" s="7" t="n">
        <v>11.44396238</v>
      </c>
      <c r="S406" s="7" t="n">
        <v>0.4952726162</v>
      </c>
    </row>
    <row r="407" customFormat="false" ht="15" hidden="false" customHeight="false" outlineLevel="0" collapsed="false">
      <c r="A407" s="5" t="s">
        <v>4</v>
      </c>
      <c r="B407" s="5" t="s">
        <v>77</v>
      </c>
      <c r="C407" s="5" t="s">
        <v>62</v>
      </c>
      <c r="D407" s="2" t="n">
        <v>11</v>
      </c>
      <c r="E407" s="5" t="s">
        <v>164</v>
      </c>
      <c r="F407" s="5" t="s">
        <v>167</v>
      </c>
      <c r="G407" s="2" t="n">
        <v>1</v>
      </c>
      <c r="H407" s="7" t="n">
        <v>0.5141901065</v>
      </c>
      <c r="I407" s="7" t="n">
        <v>0.8576660071</v>
      </c>
      <c r="J407" s="7" t="n">
        <v>0.00418982686</v>
      </c>
      <c r="K407" s="7" t="n">
        <v>-0.8575530182</v>
      </c>
      <c r="L407" s="7" t="n">
        <v>0.5141929029</v>
      </c>
      <c r="M407" s="7" t="n">
        <v>-0.01443882342</v>
      </c>
      <c r="N407" s="7" t="n">
        <v>-0.01453806726</v>
      </c>
      <c r="O407" s="7" t="n">
        <v>0.003831301483</v>
      </c>
      <c r="P407" s="7" t="n">
        <v>0.9998869765</v>
      </c>
      <c r="Q407" s="7" t="n">
        <v>-10.03138031</v>
      </c>
      <c r="R407" s="7" t="n">
        <v>11.44396238</v>
      </c>
      <c r="S407" s="7" t="n">
        <v>0.4952726162</v>
      </c>
    </row>
    <row r="408" customFormat="false" ht="15" hidden="false" customHeight="false" outlineLevel="0" collapsed="false">
      <c r="A408" s="5" t="s">
        <v>4</v>
      </c>
      <c r="B408" s="5" t="s">
        <v>77</v>
      </c>
      <c r="C408" s="5" t="s">
        <v>58</v>
      </c>
      <c r="D408" s="2" t="n">
        <v>11</v>
      </c>
      <c r="E408" s="5" t="s">
        <v>164</v>
      </c>
      <c r="F408" s="5" t="s">
        <v>168</v>
      </c>
      <c r="G408" s="2" t="n">
        <v>1</v>
      </c>
      <c r="H408" s="7" t="n">
        <v>-0.8118859167</v>
      </c>
      <c r="I408" s="7" t="n">
        <v>0.5830134593</v>
      </c>
      <c r="J408" s="7" t="n">
        <v>-0.03060334009</v>
      </c>
      <c r="K408" s="7" t="n">
        <v>-0.5834535159</v>
      </c>
      <c r="L408" s="7" t="n">
        <v>-0.8121133513</v>
      </c>
      <c r="M408" s="7" t="n">
        <v>0.007341627317</v>
      </c>
      <c r="N408" s="7" t="n">
        <v>-0.02057311354</v>
      </c>
      <c r="O408" s="7" t="n">
        <v>0.0238161902</v>
      </c>
      <c r="P408" s="7" t="n">
        <v>0.9995046454</v>
      </c>
      <c r="Q408" s="7" t="n">
        <v>16.58483202</v>
      </c>
      <c r="R408" s="7" t="n">
        <v>12.67293212</v>
      </c>
      <c r="S408" s="7" t="n">
        <v>1.462109886</v>
      </c>
    </row>
    <row r="409" customFormat="false" ht="15" hidden="false" customHeight="false" outlineLevel="0" collapsed="false">
      <c r="A409" s="5" t="s">
        <v>4</v>
      </c>
      <c r="B409" s="5" t="s">
        <v>77</v>
      </c>
      <c r="C409" s="5" t="s">
        <v>62</v>
      </c>
      <c r="D409" s="2" t="n">
        <v>11</v>
      </c>
      <c r="E409" s="5" t="s">
        <v>164</v>
      </c>
      <c r="F409" s="5" t="s">
        <v>168</v>
      </c>
      <c r="G409" s="2" t="n">
        <v>1</v>
      </c>
      <c r="H409" s="7" t="n">
        <v>-0.8128643268</v>
      </c>
      <c r="I409" s="7" t="n">
        <v>0.5823414341</v>
      </c>
      <c r="J409" s="7" t="n">
        <v>-0.01140352328</v>
      </c>
      <c r="K409" s="7" t="n">
        <v>-0.5824034355</v>
      </c>
      <c r="L409" s="7" t="n">
        <v>-0.8128948625</v>
      </c>
      <c r="M409" s="7" t="n">
        <v>0.002860213982</v>
      </c>
      <c r="N409" s="7" t="n">
        <v>-0.007604244375</v>
      </c>
      <c r="O409" s="7" t="n">
        <v>0.008966417046</v>
      </c>
      <c r="P409" s="7" t="n">
        <v>0.999930887</v>
      </c>
      <c r="Q409" s="7" t="n">
        <v>16.64127953</v>
      </c>
      <c r="R409" s="7" t="n">
        <v>12.65782642</v>
      </c>
      <c r="S409" s="7" t="n">
        <v>1.518486899</v>
      </c>
    </row>
    <row r="410" customFormat="false" ht="15" hidden="false" customHeight="false" outlineLevel="0" collapsed="false">
      <c r="A410" s="5" t="s">
        <v>4</v>
      </c>
      <c r="B410" s="5" t="s">
        <v>77</v>
      </c>
      <c r="C410" s="5" t="s">
        <v>58</v>
      </c>
      <c r="D410" s="2" t="n">
        <v>12</v>
      </c>
      <c r="E410" s="5" t="s">
        <v>164</v>
      </c>
      <c r="F410" s="5" t="s">
        <v>165</v>
      </c>
      <c r="G410" s="2" t="n">
        <v>1</v>
      </c>
      <c r="H410" s="7" t="n">
        <v>-0.9191442201</v>
      </c>
      <c r="I410" s="7" t="n">
        <v>0.3935725062</v>
      </c>
      <c r="J410" s="7" t="n">
        <v>-0.01657060935</v>
      </c>
      <c r="K410" s="7" t="n">
        <v>-0.3937774689</v>
      </c>
      <c r="L410" s="7" t="n">
        <v>-0.9191317938</v>
      </c>
      <c r="M410" s="7" t="n">
        <v>0.01166407774</v>
      </c>
      <c r="N410" s="7" t="n">
        <v>-0.01063991359</v>
      </c>
      <c r="O410" s="7" t="n">
        <v>0.01724610224</v>
      </c>
      <c r="P410" s="7" t="n">
        <v>0.999794661</v>
      </c>
      <c r="Q410" s="7" t="n">
        <v>-1.472072209</v>
      </c>
      <c r="R410" s="7" t="n">
        <v>-3.767064365</v>
      </c>
      <c r="S410" s="7" t="n">
        <v>0.01001632774</v>
      </c>
    </row>
    <row r="411" customFormat="false" ht="15" hidden="false" customHeight="false" outlineLevel="0" collapsed="false">
      <c r="A411" s="5" t="s">
        <v>4</v>
      </c>
      <c r="B411" s="5" t="s">
        <v>77</v>
      </c>
      <c r="C411" s="5" t="s">
        <v>62</v>
      </c>
      <c r="D411" s="2" t="n">
        <v>12</v>
      </c>
      <c r="E411" s="5" t="s">
        <v>164</v>
      </c>
      <c r="F411" s="5" t="s">
        <v>165</v>
      </c>
      <c r="G411" s="2" t="n">
        <v>1</v>
      </c>
      <c r="H411" s="7" t="n">
        <v>-0.9194283163</v>
      </c>
      <c r="I411" s="7" t="n">
        <v>0.3932576384</v>
      </c>
      <c r="J411" s="7" t="n">
        <v>-3.277580288E-005</v>
      </c>
      <c r="K411" s="7" t="n">
        <v>-0.3932562189</v>
      </c>
      <c r="L411" s="7" t="n">
        <v>-0.9194247669</v>
      </c>
      <c r="M411" s="7" t="n">
        <v>0.002764826198</v>
      </c>
      <c r="N411" s="7" t="n">
        <v>0.001057154136</v>
      </c>
      <c r="O411" s="7" t="n">
        <v>0.002554948784</v>
      </c>
      <c r="P411" s="7" t="n">
        <v>0.9999961773</v>
      </c>
      <c r="Q411" s="7" t="n">
        <v>-1.444239669</v>
      </c>
      <c r="R411" s="7" t="n">
        <v>-3.78329735</v>
      </c>
      <c r="S411" s="7" t="n">
        <v>0.081963202</v>
      </c>
    </row>
    <row r="412" customFormat="false" ht="15" hidden="false" customHeight="false" outlineLevel="0" collapsed="false">
      <c r="A412" s="5" t="s">
        <v>4</v>
      </c>
      <c r="B412" s="5" t="s">
        <v>77</v>
      </c>
      <c r="C412" s="5" t="s">
        <v>58</v>
      </c>
      <c r="D412" s="2" t="n">
        <v>12</v>
      </c>
      <c r="E412" s="5" t="s">
        <v>164</v>
      </c>
      <c r="F412" s="5" t="s">
        <v>166</v>
      </c>
      <c r="G412" s="2" t="n">
        <v>1</v>
      </c>
      <c r="H412" s="7" t="n">
        <v>-0.9476360888</v>
      </c>
      <c r="I412" s="7" t="n">
        <v>0.3193457811</v>
      </c>
      <c r="J412" s="7" t="n">
        <v>-0.002028618008</v>
      </c>
      <c r="K412" s="7" t="n">
        <v>-0.3193068351</v>
      </c>
      <c r="L412" s="7" t="n">
        <v>-0.947589381</v>
      </c>
      <c r="M412" s="7" t="n">
        <v>-0.01084020838</v>
      </c>
      <c r="N412" s="7" t="n">
        <v>-0.005384071696</v>
      </c>
      <c r="O412" s="7" t="n">
        <v>-0.009624821079</v>
      </c>
      <c r="P412" s="7" t="n">
        <v>0.9999391854</v>
      </c>
      <c r="Q412" s="7" t="n">
        <v>12.64099772</v>
      </c>
      <c r="R412" s="7" t="n">
        <v>2.173989428</v>
      </c>
      <c r="S412" s="7" t="n">
        <v>0.8526694856</v>
      </c>
    </row>
    <row r="413" customFormat="false" ht="15" hidden="false" customHeight="false" outlineLevel="0" collapsed="false">
      <c r="A413" s="5" t="s">
        <v>4</v>
      </c>
      <c r="B413" s="5" t="s">
        <v>77</v>
      </c>
      <c r="C413" s="5" t="s">
        <v>62</v>
      </c>
      <c r="D413" s="2" t="n">
        <v>12</v>
      </c>
      <c r="E413" s="5" t="s">
        <v>164</v>
      </c>
      <c r="F413" s="5" t="s">
        <v>166</v>
      </c>
      <c r="G413" s="2" t="n">
        <v>1</v>
      </c>
      <c r="H413" s="7" t="n">
        <v>-0.9476360888</v>
      </c>
      <c r="I413" s="7" t="n">
        <v>0.3193457811</v>
      </c>
      <c r="J413" s="7" t="n">
        <v>-0.002028618008</v>
      </c>
      <c r="K413" s="7" t="n">
        <v>-0.3193068351</v>
      </c>
      <c r="L413" s="7" t="n">
        <v>-0.947589381</v>
      </c>
      <c r="M413" s="7" t="n">
        <v>-0.01084020838</v>
      </c>
      <c r="N413" s="7" t="n">
        <v>-0.005384071696</v>
      </c>
      <c r="O413" s="7" t="n">
        <v>-0.009624821079</v>
      </c>
      <c r="P413" s="7" t="n">
        <v>0.9999391854</v>
      </c>
      <c r="Q413" s="7" t="n">
        <v>12.64099772</v>
      </c>
      <c r="R413" s="7" t="n">
        <v>2.173989428</v>
      </c>
      <c r="S413" s="7" t="n">
        <v>0.8526694856</v>
      </c>
    </row>
    <row r="414" customFormat="false" ht="15" hidden="false" customHeight="false" outlineLevel="0" collapsed="false">
      <c r="A414" s="5" t="s">
        <v>4</v>
      </c>
      <c r="B414" s="5" t="s">
        <v>77</v>
      </c>
      <c r="C414" s="5" t="s">
        <v>58</v>
      </c>
      <c r="D414" s="2" t="n">
        <v>12</v>
      </c>
      <c r="E414" s="5" t="s">
        <v>164</v>
      </c>
      <c r="F414" s="5" t="s">
        <v>167</v>
      </c>
      <c r="G414" s="2" t="n">
        <v>1</v>
      </c>
      <c r="H414" s="7" t="n">
        <v>0.5197371398</v>
      </c>
      <c r="I414" s="7" t="n">
        <v>0.8541339133</v>
      </c>
      <c r="J414" s="7" t="n">
        <v>0.01812632624</v>
      </c>
      <c r="K414" s="7" t="n">
        <v>-0.8542344444</v>
      </c>
      <c r="L414" s="7" t="n">
        <v>0.5198753188</v>
      </c>
      <c r="M414" s="7" t="n">
        <v>-0.003628621215</v>
      </c>
      <c r="N414" s="7" t="n">
        <v>-0.01252275807</v>
      </c>
      <c r="O414" s="7" t="n">
        <v>-0.01359820301</v>
      </c>
      <c r="P414" s="7" t="n">
        <v>0.9998291201</v>
      </c>
      <c r="Q414" s="7" t="n">
        <v>-10.04983518</v>
      </c>
      <c r="R414" s="7" t="n">
        <v>11.45352957</v>
      </c>
      <c r="S414" s="7" t="n">
        <v>0.4755858017</v>
      </c>
    </row>
    <row r="415" customFormat="false" ht="15" hidden="false" customHeight="false" outlineLevel="0" collapsed="false">
      <c r="A415" s="5" t="s">
        <v>4</v>
      </c>
      <c r="B415" s="5" t="s">
        <v>77</v>
      </c>
      <c r="C415" s="5" t="s">
        <v>62</v>
      </c>
      <c r="D415" s="2" t="n">
        <v>12</v>
      </c>
      <c r="E415" s="5" t="s">
        <v>164</v>
      </c>
      <c r="F415" s="5" t="s">
        <v>167</v>
      </c>
      <c r="G415" s="2" t="n">
        <v>1</v>
      </c>
      <c r="H415" s="7" t="n">
        <v>0.5197371398</v>
      </c>
      <c r="I415" s="7" t="n">
        <v>0.8541339133</v>
      </c>
      <c r="J415" s="7" t="n">
        <v>0.01812632624</v>
      </c>
      <c r="K415" s="7" t="n">
        <v>-0.8542344444</v>
      </c>
      <c r="L415" s="7" t="n">
        <v>0.5198753188</v>
      </c>
      <c r="M415" s="7" t="n">
        <v>-0.003628621215</v>
      </c>
      <c r="N415" s="7" t="n">
        <v>-0.01252275807</v>
      </c>
      <c r="O415" s="7" t="n">
        <v>-0.01359820301</v>
      </c>
      <c r="P415" s="7" t="n">
        <v>0.9998291201</v>
      </c>
      <c r="Q415" s="7" t="n">
        <v>-10.04983518</v>
      </c>
      <c r="R415" s="7" t="n">
        <v>11.45352957</v>
      </c>
      <c r="S415" s="7" t="n">
        <v>0.4755858017</v>
      </c>
    </row>
    <row r="416" customFormat="false" ht="15" hidden="false" customHeight="false" outlineLevel="0" collapsed="false">
      <c r="A416" s="5" t="s">
        <v>4</v>
      </c>
      <c r="B416" s="5" t="s">
        <v>77</v>
      </c>
      <c r="C416" s="5" t="s">
        <v>58</v>
      </c>
      <c r="D416" s="2" t="n">
        <v>12</v>
      </c>
      <c r="E416" s="5" t="s">
        <v>164</v>
      </c>
      <c r="F416" s="5" t="s">
        <v>168</v>
      </c>
      <c r="G416" s="2" t="n">
        <v>1</v>
      </c>
      <c r="H416" s="7" t="n">
        <v>-0.8117817838</v>
      </c>
      <c r="I416" s="7" t="n">
        <v>0.5825818866</v>
      </c>
      <c r="J416" s="7" t="n">
        <v>-0.0401083642</v>
      </c>
      <c r="K416" s="7" t="n">
        <v>-0.5833891713</v>
      </c>
      <c r="L416" s="7" t="n">
        <v>-0.8121104006</v>
      </c>
      <c r="M416" s="7" t="n">
        <v>0.0115659859</v>
      </c>
      <c r="N416" s="7" t="n">
        <v>-0.02583428583</v>
      </c>
      <c r="O416" s="7" t="n">
        <v>0.03278784202</v>
      </c>
      <c r="P416" s="7" t="n">
        <v>0.9991283937</v>
      </c>
      <c r="Q416" s="7" t="n">
        <v>16.57304799</v>
      </c>
      <c r="R416" s="7" t="n">
        <v>12.66163587</v>
      </c>
      <c r="S416" s="7" t="n">
        <v>1.340840121</v>
      </c>
    </row>
    <row r="417" customFormat="false" ht="15" hidden="false" customHeight="false" outlineLevel="0" collapsed="false">
      <c r="A417" s="5" t="s">
        <v>4</v>
      </c>
      <c r="B417" s="5" t="s">
        <v>77</v>
      </c>
      <c r="C417" s="5" t="s">
        <v>62</v>
      </c>
      <c r="D417" s="2" t="n">
        <v>12</v>
      </c>
      <c r="E417" s="5" t="s">
        <v>164</v>
      </c>
      <c r="F417" s="5" t="s">
        <v>168</v>
      </c>
      <c r="G417" s="2" t="n">
        <v>1</v>
      </c>
      <c r="H417" s="7" t="n">
        <v>-0.8127321109</v>
      </c>
      <c r="I417" s="7" t="n">
        <v>0.5825494814</v>
      </c>
      <c r="J417" s="7" t="n">
        <v>-0.01013004154</v>
      </c>
      <c r="K417" s="7" t="n">
        <v>-0.5825700337</v>
      </c>
      <c r="L417" s="7" t="n">
        <v>-0.8127797753</v>
      </c>
      <c r="M417" s="7" t="n">
        <v>-0.001092135404</v>
      </c>
      <c r="N417" s="7" t="n">
        <v>-0.008869715797</v>
      </c>
      <c r="O417" s="7" t="n">
        <v>0.005013845126</v>
      </c>
      <c r="P417" s="7" t="n">
        <v>0.9999480934</v>
      </c>
      <c r="Q417" s="7" t="n">
        <v>16.6274493</v>
      </c>
      <c r="R417" s="7" t="n">
        <v>12.64162307</v>
      </c>
      <c r="S417" s="7" t="n">
        <v>1.504861065</v>
      </c>
    </row>
    <row r="418" customFormat="false" ht="15" hidden="false" customHeight="false" outlineLevel="0" collapsed="false">
      <c r="A418" s="5" t="s">
        <v>4</v>
      </c>
      <c r="B418" s="5" t="s">
        <v>77</v>
      </c>
      <c r="C418" s="5" t="s">
        <v>58</v>
      </c>
      <c r="D418" s="2" t="n">
        <v>13</v>
      </c>
      <c r="E418" s="5" t="s">
        <v>164</v>
      </c>
      <c r="F418" s="5" t="s">
        <v>165</v>
      </c>
      <c r="G418" s="2" t="n">
        <v>1</v>
      </c>
      <c r="H418" s="7" t="n">
        <v>-0.9196246226</v>
      </c>
      <c r="I418" s="7" t="n">
        <v>0.3927976634</v>
      </c>
      <c r="J418" s="7" t="n">
        <v>0.0007410068621</v>
      </c>
      <c r="K418" s="7" t="n">
        <v>-0.3927978645</v>
      </c>
      <c r="L418" s="7" t="n">
        <v>-0.9196188174</v>
      </c>
      <c r="M418" s="7" t="n">
        <v>-0.003326913129</v>
      </c>
      <c r="N418" s="7" t="n">
        <v>-0.0006253598492</v>
      </c>
      <c r="O418" s="7" t="n">
        <v>-0.003350577144</v>
      </c>
      <c r="P418" s="7" t="n">
        <v>0.9999941913</v>
      </c>
      <c r="Q418" s="7" t="n">
        <v>-1.426581925</v>
      </c>
      <c r="R418" s="7" t="n">
        <v>-3.800920572</v>
      </c>
      <c r="S418" s="7" t="n">
        <v>0.1237220375</v>
      </c>
    </row>
    <row r="419" customFormat="false" ht="15" hidden="false" customHeight="false" outlineLevel="0" collapsed="false">
      <c r="A419" s="5" t="s">
        <v>4</v>
      </c>
      <c r="B419" s="5" t="s">
        <v>77</v>
      </c>
      <c r="C419" s="5" t="s">
        <v>62</v>
      </c>
      <c r="D419" s="2" t="n">
        <v>13</v>
      </c>
      <c r="E419" s="5" t="s">
        <v>164</v>
      </c>
      <c r="F419" s="5" t="s">
        <v>165</v>
      </c>
      <c r="G419" s="2" t="n">
        <v>1</v>
      </c>
      <c r="H419" s="7" t="n">
        <v>-0.9196246226</v>
      </c>
      <c r="I419" s="7" t="n">
        <v>0.3927976634</v>
      </c>
      <c r="J419" s="7" t="n">
        <v>0.0007410068621</v>
      </c>
      <c r="K419" s="7" t="n">
        <v>-0.3927978645</v>
      </c>
      <c r="L419" s="7" t="n">
        <v>-0.9196188174</v>
      </c>
      <c r="M419" s="7" t="n">
        <v>-0.003326913129</v>
      </c>
      <c r="N419" s="7" t="n">
        <v>-0.0006253598492</v>
      </c>
      <c r="O419" s="7" t="n">
        <v>-0.003350577144</v>
      </c>
      <c r="P419" s="7" t="n">
        <v>0.9999941913</v>
      </c>
      <c r="Q419" s="7" t="n">
        <v>-1.426581925</v>
      </c>
      <c r="R419" s="7" t="n">
        <v>-3.800920572</v>
      </c>
      <c r="S419" s="7" t="n">
        <v>0.1237220375</v>
      </c>
    </row>
    <row r="420" customFormat="false" ht="15" hidden="false" customHeight="false" outlineLevel="0" collapsed="false">
      <c r="A420" s="5" t="s">
        <v>4</v>
      </c>
      <c r="B420" s="5" t="s">
        <v>77</v>
      </c>
      <c r="C420" s="5" t="s">
        <v>58</v>
      </c>
      <c r="D420" s="2" t="n">
        <v>13</v>
      </c>
      <c r="E420" s="5" t="s">
        <v>164</v>
      </c>
      <c r="F420" s="5" t="s">
        <v>166</v>
      </c>
      <c r="G420" s="2" t="n">
        <v>1</v>
      </c>
      <c r="H420" s="7" t="n">
        <v>-0.9484478433</v>
      </c>
      <c r="I420" s="7" t="n">
        <v>0.3168312634</v>
      </c>
      <c r="J420" s="7" t="n">
        <v>-0.008039842087</v>
      </c>
      <c r="K420" s="7" t="n">
        <v>-0.3168071798</v>
      </c>
      <c r="L420" s="7" t="n">
        <v>-0.9484809099</v>
      </c>
      <c r="M420" s="7" t="n">
        <v>-0.004144191272</v>
      </c>
      <c r="N420" s="7" t="n">
        <v>-0.008938646095</v>
      </c>
      <c r="O420" s="7" t="n">
        <v>-0.001383469577</v>
      </c>
      <c r="P420" s="7" t="n">
        <v>0.9999590925</v>
      </c>
      <c r="Q420" s="7" t="n">
        <v>12.63438792</v>
      </c>
      <c r="R420" s="7" t="n">
        <v>2.167220563</v>
      </c>
      <c r="S420" s="7" t="n">
        <v>0.8485701576</v>
      </c>
    </row>
    <row r="421" customFormat="false" ht="15" hidden="false" customHeight="false" outlineLevel="0" collapsed="false">
      <c r="A421" s="5" t="s">
        <v>4</v>
      </c>
      <c r="B421" s="5" t="s">
        <v>77</v>
      </c>
      <c r="C421" s="5" t="s">
        <v>62</v>
      </c>
      <c r="D421" s="2" t="n">
        <v>13</v>
      </c>
      <c r="E421" s="5" t="s">
        <v>164</v>
      </c>
      <c r="F421" s="5" t="s">
        <v>166</v>
      </c>
      <c r="G421" s="2" t="n">
        <v>1</v>
      </c>
      <c r="H421" s="7" t="n">
        <v>-0.9484478433</v>
      </c>
      <c r="I421" s="7" t="n">
        <v>0.3168312634</v>
      </c>
      <c r="J421" s="7" t="n">
        <v>-0.008039842087</v>
      </c>
      <c r="K421" s="7" t="n">
        <v>-0.3168071798</v>
      </c>
      <c r="L421" s="7" t="n">
        <v>-0.9484809099</v>
      </c>
      <c r="M421" s="7" t="n">
        <v>-0.004144191272</v>
      </c>
      <c r="N421" s="7" t="n">
        <v>-0.008938646095</v>
      </c>
      <c r="O421" s="7" t="n">
        <v>-0.001383469577</v>
      </c>
      <c r="P421" s="7" t="n">
        <v>0.9999590925</v>
      </c>
      <c r="Q421" s="7" t="n">
        <v>12.63438792</v>
      </c>
      <c r="R421" s="7" t="n">
        <v>2.167220563</v>
      </c>
      <c r="S421" s="7" t="n">
        <v>0.8485701576</v>
      </c>
    </row>
    <row r="422" customFormat="false" ht="15" hidden="false" customHeight="false" outlineLevel="0" collapsed="false">
      <c r="A422" s="5" t="s">
        <v>4</v>
      </c>
      <c r="B422" s="5" t="s">
        <v>77</v>
      </c>
      <c r="C422" s="5" t="s">
        <v>58</v>
      </c>
      <c r="D422" s="2" t="n">
        <v>13</v>
      </c>
      <c r="E422" s="5" t="s">
        <v>164</v>
      </c>
      <c r="F422" s="5" t="s">
        <v>167</v>
      </c>
      <c r="G422" s="2" t="n">
        <v>1</v>
      </c>
      <c r="H422" s="7" t="n">
        <v>0.5151513268</v>
      </c>
      <c r="I422" s="7" t="n">
        <v>0.8570288018</v>
      </c>
      <c r="J422" s="7" t="n">
        <v>0.01098833179</v>
      </c>
      <c r="K422" s="7" t="n">
        <v>-0.8569609104</v>
      </c>
      <c r="L422" s="7" t="n">
        <v>0.5152561795</v>
      </c>
      <c r="M422" s="7" t="n">
        <v>-0.01136078722</v>
      </c>
      <c r="N422" s="7" t="n">
        <v>-0.01539832772</v>
      </c>
      <c r="O422" s="7" t="n">
        <v>-0.003564046203</v>
      </c>
      <c r="P422" s="7" t="n">
        <v>0.9998750867</v>
      </c>
      <c r="Q422" s="7" t="n">
        <v>-10.04520299</v>
      </c>
      <c r="R422" s="7" t="n">
        <v>11.43522791</v>
      </c>
      <c r="S422" s="7" t="n">
        <v>0.4991346984</v>
      </c>
    </row>
    <row r="423" customFormat="false" ht="15" hidden="false" customHeight="false" outlineLevel="0" collapsed="false">
      <c r="A423" s="5" t="s">
        <v>4</v>
      </c>
      <c r="B423" s="5" t="s">
        <v>77</v>
      </c>
      <c r="C423" s="5" t="s">
        <v>62</v>
      </c>
      <c r="D423" s="2" t="n">
        <v>13</v>
      </c>
      <c r="E423" s="5" t="s">
        <v>164</v>
      </c>
      <c r="F423" s="5" t="s">
        <v>167</v>
      </c>
      <c r="G423" s="2" t="n">
        <v>1</v>
      </c>
      <c r="H423" s="7" t="n">
        <v>0.5151513268</v>
      </c>
      <c r="I423" s="7" t="n">
        <v>0.8570288018</v>
      </c>
      <c r="J423" s="7" t="n">
        <v>0.01098833179</v>
      </c>
      <c r="K423" s="7" t="n">
        <v>-0.8569609104</v>
      </c>
      <c r="L423" s="7" t="n">
        <v>0.5152561795</v>
      </c>
      <c r="M423" s="7" t="n">
        <v>-0.01136078722</v>
      </c>
      <c r="N423" s="7" t="n">
        <v>-0.01539832772</v>
      </c>
      <c r="O423" s="7" t="n">
        <v>-0.003564046203</v>
      </c>
      <c r="P423" s="7" t="n">
        <v>0.9998750867</v>
      </c>
      <c r="Q423" s="7" t="n">
        <v>-10.04520299</v>
      </c>
      <c r="R423" s="7" t="n">
        <v>11.43522791</v>
      </c>
      <c r="S423" s="7" t="n">
        <v>0.4991346984</v>
      </c>
    </row>
    <row r="424" customFormat="false" ht="15" hidden="false" customHeight="false" outlineLevel="0" collapsed="false">
      <c r="A424" s="5" t="s">
        <v>4</v>
      </c>
      <c r="B424" s="5" t="s">
        <v>77</v>
      </c>
      <c r="C424" s="5" t="s">
        <v>58</v>
      </c>
      <c r="D424" s="2" t="n">
        <v>13</v>
      </c>
      <c r="E424" s="5" t="s">
        <v>164</v>
      </c>
      <c r="F424" s="5" t="s">
        <v>168</v>
      </c>
      <c r="G424" s="2" t="n">
        <v>1</v>
      </c>
      <c r="H424" s="7" t="n">
        <v>-0.8132495583</v>
      </c>
      <c r="I424" s="7" t="n">
        <v>0.5818562731</v>
      </c>
      <c r="J424" s="7" t="n">
        <v>-0.008272448537</v>
      </c>
      <c r="K424" s="7" t="n">
        <v>-0.5818571549</v>
      </c>
      <c r="L424" s="7" t="n">
        <v>-0.8132870104</v>
      </c>
      <c r="M424" s="7" t="n">
        <v>-0.002547563812</v>
      </c>
      <c r="N424" s="7" t="n">
        <v>-0.008210190924</v>
      </c>
      <c r="O424" s="7" t="n">
        <v>0.002741578225</v>
      </c>
      <c r="P424" s="7" t="n">
        <v>0.9999625376</v>
      </c>
      <c r="Q424" s="7" t="n">
        <v>16.635216</v>
      </c>
      <c r="R424" s="7" t="n">
        <v>12.6368664</v>
      </c>
      <c r="S424" s="7" t="n">
        <v>1.548455</v>
      </c>
    </row>
    <row r="425" customFormat="false" ht="15" hidden="false" customHeight="false" outlineLevel="0" collapsed="false">
      <c r="A425" s="5" t="s">
        <v>4</v>
      </c>
      <c r="B425" s="5" t="s">
        <v>77</v>
      </c>
      <c r="C425" s="5" t="s">
        <v>62</v>
      </c>
      <c r="D425" s="2" t="n">
        <v>13</v>
      </c>
      <c r="E425" s="5" t="s">
        <v>164</v>
      </c>
      <c r="F425" s="5" t="s">
        <v>168</v>
      </c>
      <c r="G425" s="2" t="n">
        <v>1</v>
      </c>
      <c r="H425" s="7" t="n">
        <v>-0.8132495583</v>
      </c>
      <c r="I425" s="7" t="n">
        <v>0.5818562731</v>
      </c>
      <c r="J425" s="7" t="n">
        <v>-0.008272448537</v>
      </c>
      <c r="K425" s="7" t="n">
        <v>-0.5818571549</v>
      </c>
      <c r="L425" s="7" t="n">
        <v>-0.8132870104</v>
      </c>
      <c r="M425" s="7" t="n">
        <v>-0.002547563812</v>
      </c>
      <c r="N425" s="7" t="n">
        <v>-0.008210190924</v>
      </c>
      <c r="O425" s="7" t="n">
        <v>0.002741578225</v>
      </c>
      <c r="P425" s="7" t="n">
        <v>0.9999625376</v>
      </c>
      <c r="Q425" s="7" t="n">
        <v>16.635216</v>
      </c>
      <c r="R425" s="7" t="n">
        <v>12.6368664</v>
      </c>
      <c r="S425" s="7" t="n">
        <v>1.548455</v>
      </c>
    </row>
    <row r="426" customFormat="false" ht="15" hidden="false" customHeight="false" outlineLevel="0" collapsed="false">
      <c r="A426" s="5" t="s">
        <v>4</v>
      </c>
      <c r="B426" s="5" t="s">
        <v>77</v>
      </c>
      <c r="C426" s="5" t="s">
        <v>58</v>
      </c>
      <c r="D426" s="2" t="n">
        <v>14</v>
      </c>
      <c r="E426" s="5" t="s">
        <v>164</v>
      </c>
      <c r="F426" s="5" t="s">
        <v>165</v>
      </c>
      <c r="G426" s="2" t="n">
        <v>1</v>
      </c>
      <c r="H426" s="7" t="n">
        <v>-0.9194637687</v>
      </c>
      <c r="I426" s="7" t="n">
        <v>0.3929716001</v>
      </c>
      <c r="J426" s="7" t="n">
        <v>-0.01263722604</v>
      </c>
      <c r="K426" s="7" t="n">
        <v>-0.3931015764</v>
      </c>
      <c r="L426" s="7" t="n">
        <v>-0.9194377374</v>
      </c>
      <c r="M426" s="7" t="n">
        <v>0.01026634188</v>
      </c>
      <c r="N426" s="7" t="n">
        <v>-0.007584761724</v>
      </c>
      <c r="O426" s="7" t="n">
        <v>0.01440724287</v>
      </c>
      <c r="P426" s="7" t="n">
        <v>0.9998674426</v>
      </c>
      <c r="Q426" s="7" t="n">
        <v>-1.461098529</v>
      </c>
      <c r="R426" s="7" t="n">
        <v>-3.761454883</v>
      </c>
      <c r="S426" s="7" t="n">
        <v>-0.008867671577</v>
      </c>
    </row>
    <row r="427" customFormat="false" ht="15" hidden="false" customHeight="false" outlineLevel="0" collapsed="false">
      <c r="A427" s="5" t="s">
        <v>4</v>
      </c>
      <c r="B427" s="5" t="s">
        <v>77</v>
      </c>
      <c r="C427" s="5" t="s">
        <v>62</v>
      </c>
      <c r="D427" s="2" t="n">
        <v>14</v>
      </c>
      <c r="E427" s="5" t="s">
        <v>164</v>
      </c>
      <c r="F427" s="5" t="s">
        <v>165</v>
      </c>
      <c r="G427" s="2" t="n">
        <v>1</v>
      </c>
      <c r="H427" s="7" t="n">
        <v>-0.9195568246</v>
      </c>
      <c r="I427" s="7" t="n">
        <v>0.3929172951</v>
      </c>
      <c r="J427" s="7" t="n">
        <v>0.005589769714</v>
      </c>
      <c r="K427" s="7" t="n">
        <v>-0.3929344307</v>
      </c>
      <c r="L427" s="7" t="n">
        <v>-0.9195634878</v>
      </c>
      <c r="M427" s="7" t="n">
        <v>-0.002350558916</v>
      </c>
      <c r="N427" s="7" t="n">
        <v>0.004216572882</v>
      </c>
      <c r="O427" s="7" t="n">
        <v>-0.004357885473</v>
      </c>
      <c r="P427" s="7" t="n">
        <v>0.9999816145</v>
      </c>
      <c r="Q427" s="7" t="n">
        <v>-1.43332893</v>
      </c>
      <c r="R427" s="7" t="n">
        <v>-3.785354934</v>
      </c>
      <c r="S427" s="7" t="n">
        <v>0.1322871679</v>
      </c>
    </row>
    <row r="428" customFormat="false" ht="15" hidden="false" customHeight="false" outlineLevel="0" collapsed="false">
      <c r="A428" s="5" t="s">
        <v>4</v>
      </c>
      <c r="B428" s="5" t="s">
        <v>77</v>
      </c>
      <c r="C428" s="5" t="s">
        <v>58</v>
      </c>
      <c r="D428" s="2" t="n">
        <v>14</v>
      </c>
      <c r="E428" s="5" t="s">
        <v>164</v>
      </c>
      <c r="F428" s="5" t="s">
        <v>166</v>
      </c>
      <c r="G428" s="2" t="n">
        <v>1</v>
      </c>
      <c r="H428" s="7" t="n">
        <v>-0.9484638944</v>
      </c>
      <c r="I428" s="7" t="n">
        <v>0.316165552</v>
      </c>
      <c r="J428" s="7" t="n">
        <v>-0.0213444318</v>
      </c>
      <c r="K428" s="7" t="n">
        <v>-0.3165706495</v>
      </c>
      <c r="L428" s="7" t="n">
        <v>-0.9483710025</v>
      </c>
      <c r="M428" s="7" t="n">
        <v>0.01937693167</v>
      </c>
      <c r="N428" s="7" t="n">
        <v>-0.01411612189</v>
      </c>
      <c r="O428" s="7" t="n">
        <v>0.02513534072</v>
      </c>
      <c r="P428" s="7" t="n">
        <v>0.9995843885</v>
      </c>
      <c r="Q428" s="7" t="n">
        <v>12.54362847</v>
      </c>
      <c r="R428" s="7" t="n">
        <v>2.222061417</v>
      </c>
      <c r="S428" s="7" t="n">
        <v>0.9102056173</v>
      </c>
    </row>
    <row r="429" customFormat="false" ht="15" hidden="false" customHeight="false" outlineLevel="0" collapsed="false">
      <c r="A429" s="5" t="s">
        <v>4</v>
      </c>
      <c r="B429" s="5" t="s">
        <v>77</v>
      </c>
      <c r="C429" s="5" t="s">
        <v>62</v>
      </c>
      <c r="D429" s="2" t="n">
        <v>14</v>
      </c>
      <c r="E429" s="5" t="s">
        <v>164</v>
      </c>
      <c r="F429" s="5" t="s">
        <v>166</v>
      </c>
      <c r="G429" s="2" t="n">
        <v>1</v>
      </c>
      <c r="H429" s="7" t="n">
        <v>-0.9473221727</v>
      </c>
      <c r="I429" s="7" t="n">
        <v>0.3202812539</v>
      </c>
      <c r="J429" s="7" t="n">
        <v>0.0007870385564</v>
      </c>
      <c r="K429" s="7" t="n">
        <v>-0.320191769</v>
      </c>
      <c r="L429" s="7" t="n">
        <v>-0.9469933803</v>
      </c>
      <c r="M429" s="7" t="n">
        <v>-0.02609154551</v>
      </c>
      <c r="N429" s="7" t="n">
        <v>-0.007611312609</v>
      </c>
      <c r="O429" s="7" t="n">
        <v>-0.02496910285</v>
      </c>
      <c r="P429" s="7" t="n">
        <v>0.9996592479</v>
      </c>
      <c r="Q429" s="7" t="n">
        <v>12.62577119</v>
      </c>
      <c r="R429" s="7" t="n">
        <v>2.125106816</v>
      </c>
      <c r="S429" s="7" t="n">
        <v>0.7364876965</v>
      </c>
    </row>
    <row r="430" customFormat="false" ht="15" hidden="false" customHeight="false" outlineLevel="0" collapsed="false">
      <c r="A430" s="5" t="s">
        <v>4</v>
      </c>
      <c r="B430" s="5" t="s">
        <v>77</v>
      </c>
      <c r="C430" s="5" t="s">
        <v>58</v>
      </c>
      <c r="D430" s="2" t="n">
        <v>14</v>
      </c>
      <c r="E430" s="5" t="s">
        <v>164</v>
      </c>
      <c r="F430" s="5" t="s">
        <v>167</v>
      </c>
      <c r="G430" s="2" t="n">
        <v>1</v>
      </c>
      <c r="H430" s="7" t="n">
        <v>0.5157435597</v>
      </c>
      <c r="I430" s="7" t="n">
        <v>0.8566355441</v>
      </c>
      <c r="J430" s="7" t="n">
        <v>0.01356927708</v>
      </c>
      <c r="K430" s="7" t="n">
        <v>-0.856655327</v>
      </c>
      <c r="L430" s="7" t="n">
        <v>0.5158526809</v>
      </c>
      <c r="M430" s="7" t="n">
        <v>-0.00613696999</v>
      </c>
      <c r="N430" s="7" t="n">
        <v>-0.01225689459</v>
      </c>
      <c r="O430" s="7" t="n">
        <v>-0.008459090748</v>
      </c>
      <c r="P430" s="7" t="n">
        <v>0.9998891</v>
      </c>
      <c r="Q430" s="7" t="n">
        <v>-10.04498384</v>
      </c>
      <c r="R430" s="7" t="n">
        <v>11.44287875</v>
      </c>
      <c r="S430" s="7" t="n">
        <v>0.4989836421</v>
      </c>
    </row>
    <row r="431" customFormat="false" ht="15" hidden="false" customHeight="false" outlineLevel="0" collapsed="false">
      <c r="A431" s="5" t="s">
        <v>4</v>
      </c>
      <c r="B431" s="5" t="s">
        <v>77</v>
      </c>
      <c r="C431" s="5" t="s">
        <v>62</v>
      </c>
      <c r="D431" s="2" t="n">
        <v>14</v>
      </c>
      <c r="E431" s="5" t="s">
        <v>164</v>
      </c>
      <c r="F431" s="5" t="s">
        <v>167</v>
      </c>
      <c r="G431" s="2" t="n">
        <v>1</v>
      </c>
      <c r="H431" s="7" t="n">
        <v>0.5157435597</v>
      </c>
      <c r="I431" s="7" t="n">
        <v>0.8566355441</v>
      </c>
      <c r="J431" s="7" t="n">
        <v>0.01356927708</v>
      </c>
      <c r="K431" s="7" t="n">
        <v>-0.856655327</v>
      </c>
      <c r="L431" s="7" t="n">
        <v>0.5158526809</v>
      </c>
      <c r="M431" s="7" t="n">
        <v>-0.00613696999</v>
      </c>
      <c r="N431" s="7" t="n">
        <v>-0.01225689459</v>
      </c>
      <c r="O431" s="7" t="n">
        <v>-0.008459090748</v>
      </c>
      <c r="P431" s="7" t="n">
        <v>0.9998891</v>
      </c>
      <c r="Q431" s="7" t="n">
        <v>-10.04498384</v>
      </c>
      <c r="R431" s="7" t="n">
        <v>11.44287875</v>
      </c>
      <c r="S431" s="7" t="n">
        <v>0.4989836421</v>
      </c>
    </row>
    <row r="432" customFormat="false" ht="15" hidden="false" customHeight="false" outlineLevel="0" collapsed="false">
      <c r="A432" s="5" t="s">
        <v>4</v>
      </c>
      <c r="B432" s="5" t="s">
        <v>77</v>
      </c>
      <c r="C432" s="5" t="s">
        <v>58</v>
      </c>
      <c r="D432" s="2" t="n">
        <v>14</v>
      </c>
      <c r="E432" s="5" t="s">
        <v>164</v>
      </c>
      <c r="F432" s="5" t="s">
        <v>168</v>
      </c>
      <c r="G432" s="2" t="n">
        <v>1</v>
      </c>
      <c r="H432" s="7" t="n">
        <v>-0.812510496</v>
      </c>
      <c r="I432" s="7" t="n">
        <v>0.5819404592</v>
      </c>
      <c r="J432" s="7" t="n">
        <v>-0.03423442576</v>
      </c>
      <c r="K432" s="7" t="n">
        <v>-0.5825067214</v>
      </c>
      <c r="L432" s="7" t="n">
        <v>-0.8127770698</v>
      </c>
      <c r="M432" s="7" t="n">
        <v>0.008908106785</v>
      </c>
      <c r="N432" s="7" t="n">
        <v>-0.0226409685</v>
      </c>
      <c r="O432" s="7" t="n">
        <v>0.02717971337</v>
      </c>
      <c r="P432" s="7" t="n">
        <v>0.999374129</v>
      </c>
      <c r="Q432" s="7" t="n">
        <v>16.53144436</v>
      </c>
      <c r="R432" s="7" t="n">
        <v>12.64615235</v>
      </c>
      <c r="S432" s="7" t="n">
        <v>1.444702706</v>
      </c>
    </row>
    <row r="433" customFormat="false" ht="15" hidden="false" customHeight="false" outlineLevel="0" collapsed="false">
      <c r="A433" s="5" t="s">
        <v>4</v>
      </c>
      <c r="B433" s="5" t="s">
        <v>77</v>
      </c>
      <c r="C433" s="5" t="s">
        <v>62</v>
      </c>
      <c r="D433" s="2" t="n">
        <v>14</v>
      </c>
      <c r="E433" s="5" t="s">
        <v>164</v>
      </c>
      <c r="F433" s="5" t="s">
        <v>168</v>
      </c>
      <c r="G433" s="2" t="n">
        <v>1</v>
      </c>
      <c r="H433" s="7" t="n">
        <v>-0.8124909194</v>
      </c>
      <c r="I433" s="7" t="n">
        <v>0.5828151037</v>
      </c>
      <c r="J433" s="7" t="n">
        <v>-0.01360370893</v>
      </c>
      <c r="K433" s="7" t="n">
        <v>-0.5829011274</v>
      </c>
      <c r="L433" s="7" t="n">
        <v>-0.8125369194</v>
      </c>
      <c r="M433" s="7" t="n">
        <v>0.003167076303</v>
      </c>
      <c r="N433" s="7" t="n">
        <v>-0.009207695841</v>
      </c>
      <c r="O433" s="7" t="n">
        <v>0.01050283801</v>
      </c>
      <c r="P433" s="7" t="n">
        <v>0.9999024496</v>
      </c>
      <c r="Q433" s="7" t="n">
        <v>16.60148626</v>
      </c>
      <c r="R433" s="7" t="n">
        <v>12.62942184</v>
      </c>
      <c r="S433" s="7" t="n">
        <v>1.504388866</v>
      </c>
    </row>
    <row r="434" customFormat="false" ht="15" hidden="false" customHeight="false" outlineLevel="0" collapsed="false">
      <c r="A434" s="5" t="s">
        <v>4</v>
      </c>
      <c r="B434" s="5" t="s">
        <v>77</v>
      </c>
      <c r="C434" s="5" t="s">
        <v>58</v>
      </c>
      <c r="D434" s="2" t="n">
        <v>15</v>
      </c>
      <c r="E434" s="5" t="s">
        <v>164</v>
      </c>
      <c r="F434" s="5" t="s">
        <v>165</v>
      </c>
      <c r="G434" s="2" t="n">
        <v>1</v>
      </c>
      <c r="H434" s="7" t="n">
        <v>-0.9194677842</v>
      </c>
      <c r="I434" s="7" t="n">
        <v>0.3931652486</v>
      </c>
      <c r="J434" s="7" t="n">
        <v>0.0002848520234</v>
      </c>
      <c r="K434" s="7" t="n">
        <v>-0.3931653128</v>
      </c>
      <c r="L434" s="7" t="n">
        <v>-0.9194671291</v>
      </c>
      <c r="M434" s="7" t="n">
        <v>-0.001111443656</v>
      </c>
      <c r="N434" s="7" t="n">
        <v>-0.0001750689493</v>
      </c>
      <c r="O434" s="7" t="n">
        <v>-0.001133930571</v>
      </c>
      <c r="P434" s="7" t="n">
        <v>0.9999993418</v>
      </c>
      <c r="Q434" s="7" t="n">
        <v>-1.445092248</v>
      </c>
      <c r="R434" s="7" t="n">
        <v>-3.790878874</v>
      </c>
      <c r="S434" s="7" t="n">
        <v>0.1170622414</v>
      </c>
    </row>
    <row r="435" customFormat="false" ht="15" hidden="false" customHeight="false" outlineLevel="0" collapsed="false">
      <c r="A435" s="5" t="s">
        <v>4</v>
      </c>
      <c r="B435" s="5" t="s">
        <v>77</v>
      </c>
      <c r="C435" s="5" t="s">
        <v>62</v>
      </c>
      <c r="D435" s="2" t="n">
        <v>15</v>
      </c>
      <c r="E435" s="5" t="s">
        <v>164</v>
      </c>
      <c r="F435" s="5" t="s">
        <v>165</v>
      </c>
      <c r="G435" s="2" t="n">
        <v>1</v>
      </c>
      <c r="H435" s="7" t="n">
        <v>-0.9194677842</v>
      </c>
      <c r="I435" s="7" t="n">
        <v>0.3931652486</v>
      </c>
      <c r="J435" s="7" t="n">
        <v>0.0002848520234</v>
      </c>
      <c r="K435" s="7" t="n">
        <v>-0.3931653128</v>
      </c>
      <c r="L435" s="7" t="n">
        <v>-0.9194671291</v>
      </c>
      <c r="M435" s="7" t="n">
        <v>-0.001111443656</v>
      </c>
      <c r="N435" s="7" t="n">
        <v>-0.0001750689493</v>
      </c>
      <c r="O435" s="7" t="n">
        <v>-0.001133930571</v>
      </c>
      <c r="P435" s="7" t="n">
        <v>0.9999993418</v>
      </c>
      <c r="Q435" s="7" t="n">
        <v>-1.445092248</v>
      </c>
      <c r="R435" s="7" t="n">
        <v>-3.790878874</v>
      </c>
      <c r="S435" s="7" t="n">
        <v>0.1170622414</v>
      </c>
    </row>
    <row r="436" customFormat="false" ht="15" hidden="false" customHeight="false" outlineLevel="0" collapsed="false">
      <c r="A436" s="5" t="s">
        <v>4</v>
      </c>
      <c r="B436" s="5" t="s">
        <v>77</v>
      </c>
      <c r="C436" s="5" t="s">
        <v>58</v>
      </c>
      <c r="D436" s="2" t="n">
        <v>15</v>
      </c>
      <c r="E436" s="5" t="s">
        <v>164</v>
      </c>
      <c r="F436" s="5" t="s">
        <v>166</v>
      </c>
      <c r="G436" s="2" t="n">
        <v>1</v>
      </c>
      <c r="H436" s="7" t="n">
        <v>-0.9483426531</v>
      </c>
      <c r="I436" s="7" t="n">
        <v>0.3172390921</v>
      </c>
      <c r="J436" s="7" t="n">
        <v>-0.002360257006</v>
      </c>
      <c r="K436" s="7" t="n">
        <v>-0.3172165797</v>
      </c>
      <c r="L436" s="7" t="n">
        <v>-0.9483273604</v>
      </c>
      <c r="M436" s="7" t="n">
        <v>-0.00698993343</v>
      </c>
      <c r="N436" s="7" t="n">
        <v>-0.004455776432</v>
      </c>
      <c r="O436" s="7" t="n">
        <v>-0.005880139359</v>
      </c>
      <c r="P436" s="7" t="n">
        <v>0.9999727846</v>
      </c>
      <c r="Q436" s="7" t="n">
        <v>12.63003241</v>
      </c>
      <c r="R436" s="7" t="n">
        <v>2.163943247</v>
      </c>
      <c r="S436" s="7" t="n">
        <v>0.8704082683</v>
      </c>
    </row>
    <row r="437" customFormat="false" ht="15" hidden="false" customHeight="false" outlineLevel="0" collapsed="false">
      <c r="A437" s="5" t="s">
        <v>4</v>
      </c>
      <c r="B437" s="5" t="s">
        <v>77</v>
      </c>
      <c r="C437" s="5" t="s">
        <v>62</v>
      </c>
      <c r="D437" s="2" t="n">
        <v>15</v>
      </c>
      <c r="E437" s="5" t="s">
        <v>164</v>
      </c>
      <c r="F437" s="5" t="s">
        <v>166</v>
      </c>
      <c r="G437" s="2" t="n">
        <v>1</v>
      </c>
      <c r="H437" s="7" t="n">
        <v>-0.9483426531</v>
      </c>
      <c r="I437" s="7" t="n">
        <v>0.3172390921</v>
      </c>
      <c r="J437" s="7" t="n">
        <v>-0.002360257006</v>
      </c>
      <c r="K437" s="7" t="n">
        <v>-0.3172165797</v>
      </c>
      <c r="L437" s="7" t="n">
        <v>-0.9483273604</v>
      </c>
      <c r="M437" s="7" t="n">
        <v>-0.00698993343</v>
      </c>
      <c r="N437" s="7" t="n">
        <v>-0.004455776432</v>
      </c>
      <c r="O437" s="7" t="n">
        <v>-0.005880139359</v>
      </c>
      <c r="P437" s="7" t="n">
        <v>0.9999727846</v>
      </c>
      <c r="Q437" s="7" t="n">
        <v>12.63003241</v>
      </c>
      <c r="R437" s="7" t="n">
        <v>2.163943247</v>
      </c>
      <c r="S437" s="7" t="n">
        <v>0.8704082683</v>
      </c>
    </row>
    <row r="438" customFormat="false" ht="15" hidden="false" customHeight="false" outlineLevel="0" collapsed="false">
      <c r="A438" s="5" t="s">
        <v>4</v>
      </c>
      <c r="B438" s="5" t="s">
        <v>77</v>
      </c>
      <c r="C438" s="5" t="s">
        <v>58</v>
      </c>
      <c r="D438" s="2" t="n">
        <v>15</v>
      </c>
      <c r="E438" s="5" t="s">
        <v>164</v>
      </c>
      <c r="F438" s="5" t="s">
        <v>167</v>
      </c>
      <c r="G438" s="2" t="n">
        <v>1</v>
      </c>
      <c r="H438" s="7" t="n">
        <v>0.5156125185</v>
      </c>
      <c r="I438" s="7" t="n">
        <v>0.8567942586</v>
      </c>
      <c r="J438" s="7" t="n">
        <v>0.006879620519</v>
      </c>
      <c r="K438" s="7" t="n">
        <v>-0.8567231387</v>
      </c>
      <c r="L438" s="7" t="n">
        <v>0.5156583734</v>
      </c>
      <c r="M438" s="7" t="n">
        <v>-0.01104108829</v>
      </c>
      <c r="N438" s="7" t="n">
        <v>-0.01300747498</v>
      </c>
      <c r="O438" s="7" t="n">
        <v>-0.0002010067447</v>
      </c>
      <c r="P438" s="7" t="n">
        <v>0.999915379</v>
      </c>
      <c r="Q438" s="7" t="n">
        <v>-10.0533377</v>
      </c>
      <c r="R438" s="7" t="n">
        <v>11.45106187</v>
      </c>
      <c r="S438" s="7" t="n">
        <v>0.5152080559</v>
      </c>
    </row>
    <row r="439" customFormat="false" ht="15" hidden="false" customHeight="false" outlineLevel="0" collapsed="false">
      <c r="A439" s="5" t="s">
        <v>4</v>
      </c>
      <c r="B439" s="5" t="s">
        <v>77</v>
      </c>
      <c r="C439" s="5" t="s">
        <v>62</v>
      </c>
      <c r="D439" s="2" t="n">
        <v>15</v>
      </c>
      <c r="E439" s="5" t="s">
        <v>164</v>
      </c>
      <c r="F439" s="5" t="s">
        <v>167</v>
      </c>
      <c r="G439" s="2" t="n">
        <v>1</v>
      </c>
      <c r="H439" s="7" t="n">
        <v>0.5156125185</v>
      </c>
      <c r="I439" s="7" t="n">
        <v>0.8567942586</v>
      </c>
      <c r="J439" s="7" t="n">
        <v>0.006879620519</v>
      </c>
      <c r="K439" s="7" t="n">
        <v>-0.8567231387</v>
      </c>
      <c r="L439" s="7" t="n">
        <v>0.5156583734</v>
      </c>
      <c r="M439" s="7" t="n">
        <v>-0.01104108829</v>
      </c>
      <c r="N439" s="7" t="n">
        <v>-0.01300747498</v>
      </c>
      <c r="O439" s="7" t="n">
        <v>-0.0002010067447</v>
      </c>
      <c r="P439" s="7" t="n">
        <v>0.999915379</v>
      </c>
      <c r="Q439" s="7" t="n">
        <v>-10.0533377</v>
      </c>
      <c r="R439" s="7" t="n">
        <v>11.45106187</v>
      </c>
      <c r="S439" s="7" t="n">
        <v>0.5152080559</v>
      </c>
    </row>
    <row r="440" customFormat="false" ht="15" hidden="false" customHeight="false" outlineLevel="0" collapsed="false">
      <c r="A440" s="5" t="s">
        <v>4</v>
      </c>
      <c r="B440" s="5" t="s">
        <v>77</v>
      </c>
      <c r="C440" s="5" t="s">
        <v>58</v>
      </c>
      <c r="D440" s="2" t="n">
        <v>15</v>
      </c>
      <c r="E440" s="5" t="s">
        <v>164</v>
      </c>
      <c r="F440" s="5" t="s">
        <v>168</v>
      </c>
      <c r="G440" s="2" t="n">
        <v>1</v>
      </c>
      <c r="H440" s="7" t="n">
        <v>-0.8134680758</v>
      </c>
      <c r="I440" s="7" t="n">
        <v>0.5816022429</v>
      </c>
      <c r="J440" s="7" t="n">
        <v>-0.002919010899</v>
      </c>
      <c r="K440" s="7" t="n">
        <v>-0.5815932488</v>
      </c>
      <c r="L440" s="7" t="n">
        <v>-0.8134726027</v>
      </c>
      <c r="M440" s="7" t="n">
        <v>-0.003408444801</v>
      </c>
      <c r="N440" s="7" t="n">
        <v>-0.004356894535</v>
      </c>
      <c r="O440" s="7" t="n">
        <v>-0.001074984002</v>
      </c>
      <c r="P440" s="7" t="n">
        <v>0.9999899309</v>
      </c>
      <c r="Q440" s="7" t="n">
        <v>16.63115677</v>
      </c>
      <c r="R440" s="7" t="n">
        <v>12.65199321</v>
      </c>
      <c r="S440" s="7" t="n">
        <v>1.533994947</v>
      </c>
    </row>
    <row r="441" customFormat="false" ht="15" hidden="false" customHeight="false" outlineLevel="0" collapsed="false">
      <c r="A441" s="5" t="s">
        <v>4</v>
      </c>
      <c r="B441" s="5" t="s">
        <v>77</v>
      </c>
      <c r="C441" s="5" t="s">
        <v>62</v>
      </c>
      <c r="D441" s="2" t="n">
        <v>15</v>
      </c>
      <c r="E441" s="5" t="s">
        <v>164</v>
      </c>
      <c r="F441" s="5" t="s">
        <v>168</v>
      </c>
      <c r="G441" s="2" t="n">
        <v>1</v>
      </c>
      <c r="H441" s="7" t="n">
        <v>-0.8131654282</v>
      </c>
      <c r="I441" s="7" t="n">
        <v>0.5818278589</v>
      </c>
      <c r="J441" s="7" t="n">
        <v>-0.01543790817</v>
      </c>
      <c r="K441" s="7" t="n">
        <v>-0.5819202436</v>
      </c>
      <c r="L441" s="7" t="n">
        <v>-0.8132435937</v>
      </c>
      <c r="M441" s="7" t="n">
        <v>0.001920286781</v>
      </c>
      <c r="N441" s="7" t="n">
        <v>-0.01143750357</v>
      </c>
      <c r="O441" s="7" t="n">
        <v>0.01054514211</v>
      </c>
      <c r="P441" s="7" t="n">
        <v>0.9998789844</v>
      </c>
      <c r="Q441" s="7" t="n">
        <v>16.61817312</v>
      </c>
      <c r="R441" s="7" t="n">
        <v>12.65734463</v>
      </c>
      <c r="S441" s="7" t="n">
        <v>1.46610433</v>
      </c>
    </row>
    <row r="442" customFormat="false" ht="15" hidden="false" customHeight="false" outlineLevel="0" collapsed="false">
      <c r="A442" s="5" t="s">
        <v>4</v>
      </c>
      <c r="B442" s="5" t="s">
        <v>77</v>
      </c>
      <c r="C442" s="5" t="s">
        <v>58</v>
      </c>
      <c r="D442" s="2" t="n">
        <v>16</v>
      </c>
      <c r="E442" s="5" t="s">
        <v>164</v>
      </c>
      <c r="F442" s="5" t="s">
        <v>165</v>
      </c>
      <c r="G442" s="2" t="n">
        <v>1</v>
      </c>
      <c r="H442" s="7" t="n">
        <v>-0.919362388</v>
      </c>
      <c r="I442" s="7" t="n">
        <v>0.3931779138</v>
      </c>
      <c r="J442" s="7" t="n">
        <v>-0.01356199142</v>
      </c>
      <c r="K442" s="7" t="n">
        <v>-0.393362402</v>
      </c>
      <c r="L442" s="7" t="n">
        <v>-0.9192466735</v>
      </c>
      <c r="M442" s="7" t="n">
        <v>0.01586108143</v>
      </c>
      <c r="N442" s="7" t="n">
        <v>-0.006230588588</v>
      </c>
      <c r="O442" s="7" t="n">
        <v>0.01991685922</v>
      </c>
      <c r="P442" s="7" t="n">
        <v>0.9997822255</v>
      </c>
      <c r="Q442" s="7" t="n">
        <v>-1.461757622</v>
      </c>
      <c r="R442" s="7" t="n">
        <v>-3.76133036</v>
      </c>
      <c r="S442" s="7" t="n">
        <v>0.02164649504</v>
      </c>
    </row>
    <row r="443" customFormat="false" ht="15" hidden="false" customHeight="false" outlineLevel="0" collapsed="false">
      <c r="A443" s="5" t="s">
        <v>4</v>
      </c>
      <c r="B443" s="5" t="s">
        <v>77</v>
      </c>
      <c r="C443" s="5" t="s">
        <v>62</v>
      </c>
      <c r="D443" s="2" t="n">
        <v>16</v>
      </c>
      <c r="E443" s="5" t="s">
        <v>164</v>
      </c>
      <c r="F443" s="5" t="s">
        <v>165</v>
      </c>
      <c r="G443" s="2" t="n">
        <v>1</v>
      </c>
      <c r="H443" s="7" t="n">
        <v>-0.9191399841</v>
      </c>
      <c r="I443" s="7" t="n">
        <v>0.3939309274</v>
      </c>
      <c r="J443" s="7" t="n">
        <v>-0.0003376293719</v>
      </c>
      <c r="K443" s="7" t="n">
        <v>-0.3939310099</v>
      </c>
      <c r="L443" s="7" t="n">
        <v>-0.91913902</v>
      </c>
      <c r="M443" s="7" t="n">
        <v>0.001349548529</v>
      </c>
      <c r="N443" s="7" t="n">
        <v>0.0002213005735</v>
      </c>
      <c r="O443" s="7" t="n">
        <v>0.001373426693</v>
      </c>
      <c r="P443" s="7" t="n">
        <v>0.9999990324</v>
      </c>
      <c r="Q443" s="7" t="n">
        <v>-1.437650993</v>
      </c>
      <c r="R443" s="7" t="n">
        <v>-3.785394484</v>
      </c>
      <c r="S443" s="7" t="n">
        <v>0.1075228766</v>
      </c>
    </row>
    <row r="444" customFormat="false" ht="15" hidden="false" customHeight="false" outlineLevel="0" collapsed="false">
      <c r="A444" s="5" t="s">
        <v>4</v>
      </c>
      <c r="B444" s="5" t="s">
        <v>77</v>
      </c>
      <c r="C444" s="5" t="s">
        <v>58</v>
      </c>
      <c r="D444" s="2" t="n">
        <v>16</v>
      </c>
      <c r="E444" s="5" t="s">
        <v>164</v>
      </c>
      <c r="F444" s="5" t="s">
        <v>166</v>
      </c>
      <c r="G444" s="2" t="n">
        <v>1</v>
      </c>
      <c r="H444" s="7" t="n">
        <v>-0.9483246235</v>
      </c>
      <c r="I444" s="7" t="n">
        <v>0.3172794289</v>
      </c>
      <c r="J444" s="7" t="n">
        <v>-0.003764629896</v>
      </c>
      <c r="K444" s="7" t="n">
        <v>-0.3172038168</v>
      </c>
      <c r="L444" s="7" t="n">
        <v>-0.9482599369</v>
      </c>
      <c r="M444" s="7" t="n">
        <v>-0.01359524661</v>
      </c>
      <c r="N444" s="7" t="n">
        <v>-0.007883339788</v>
      </c>
      <c r="O444" s="7" t="n">
        <v>-0.01169855215</v>
      </c>
      <c r="P444" s="7" t="n">
        <v>0.9999004935</v>
      </c>
      <c r="Q444" s="7" t="n">
        <v>12.62376715</v>
      </c>
      <c r="R444" s="7" t="n">
        <v>2.130624204</v>
      </c>
      <c r="S444" s="7" t="n">
        <v>0.8404439034</v>
      </c>
    </row>
    <row r="445" customFormat="false" ht="15" hidden="false" customHeight="false" outlineLevel="0" collapsed="false">
      <c r="A445" s="5" t="s">
        <v>4</v>
      </c>
      <c r="B445" s="5" t="s">
        <v>77</v>
      </c>
      <c r="C445" s="5" t="s">
        <v>62</v>
      </c>
      <c r="D445" s="2" t="n">
        <v>16</v>
      </c>
      <c r="E445" s="5" t="s">
        <v>164</v>
      </c>
      <c r="F445" s="5" t="s">
        <v>166</v>
      </c>
      <c r="G445" s="2" t="n">
        <v>1</v>
      </c>
      <c r="H445" s="7" t="n">
        <v>-0.9483246235</v>
      </c>
      <c r="I445" s="7" t="n">
        <v>0.3172794289</v>
      </c>
      <c r="J445" s="7" t="n">
        <v>-0.003764629896</v>
      </c>
      <c r="K445" s="7" t="n">
        <v>-0.3172038168</v>
      </c>
      <c r="L445" s="7" t="n">
        <v>-0.9482599369</v>
      </c>
      <c r="M445" s="7" t="n">
        <v>-0.01359524661</v>
      </c>
      <c r="N445" s="7" t="n">
        <v>-0.007883339788</v>
      </c>
      <c r="O445" s="7" t="n">
        <v>-0.01169855215</v>
      </c>
      <c r="P445" s="7" t="n">
        <v>0.9999004935</v>
      </c>
      <c r="Q445" s="7" t="n">
        <v>12.62376715</v>
      </c>
      <c r="R445" s="7" t="n">
        <v>2.130624204</v>
      </c>
      <c r="S445" s="7" t="n">
        <v>0.8404439034</v>
      </c>
    </row>
    <row r="446" customFormat="false" ht="15" hidden="false" customHeight="false" outlineLevel="0" collapsed="false">
      <c r="A446" s="5" t="s">
        <v>4</v>
      </c>
      <c r="B446" s="5" t="s">
        <v>77</v>
      </c>
      <c r="C446" s="5" t="s">
        <v>58</v>
      </c>
      <c r="D446" s="2" t="n">
        <v>16</v>
      </c>
      <c r="E446" s="5" t="s">
        <v>164</v>
      </c>
      <c r="F446" s="5" t="s">
        <v>167</v>
      </c>
      <c r="G446" s="2" t="n">
        <v>1</v>
      </c>
      <c r="H446" s="7" t="n">
        <v>0.5177647834</v>
      </c>
      <c r="I446" s="7" t="n">
        <v>0.8553993898</v>
      </c>
      <c r="J446" s="7" t="n">
        <v>0.01454348802</v>
      </c>
      <c r="K446" s="7" t="n">
        <v>-0.8554447468</v>
      </c>
      <c r="L446" s="7" t="n">
        <v>0.5178725461</v>
      </c>
      <c r="M446" s="7" t="n">
        <v>-0.004723477175</v>
      </c>
      <c r="N446" s="7" t="n">
        <v>-0.01157213266</v>
      </c>
      <c r="O446" s="7" t="n">
        <v>-0.009995500288</v>
      </c>
      <c r="P446" s="7" t="n">
        <v>0.999883081</v>
      </c>
      <c r="Q446" s="7" t="n">
        <v>-10.04033932</v>
      </c>
      <c r="R446" s="7" t="n">
        <v>11.44042347</v>
      </c>
      <c r="S446" s="7" t="n">
        <v>0.5070432208</v>
      </c>
    </row>
    <row r="447" customFormat="false" ht="15" hidden="false" customHeight="false" outlineLevel="0" collapsed="false">
      <c r="A447" s="5" t="s">
        <v>4</v>
      </c>
      <c r="B447" s="5" t="s">
        <v>77</v>
      </c>
      <c r="C447" s="5" t="s">
        <v>62</v>
      </c>
      <c r="D447" s="2" t="n">
        <v>16</v>
      </c>
      <c r="E447" s="5" t="s">
        <v>164</v>
      </c>
      <c r="F447" s="5" t="s">
        <v>167</v>
      </c>
      <c r="G447" s="2" t="n">
        <v>1</v>
      </c>
      <c r="H447" s="7" t="n">
        <v>0.5177647834</v>
      </c>
      <c r="I447" s="7" t="n">
        <v>0.8553993898</v>
      </c>
      <c r="J447" s="7" t="n">
        <v>0.01454348802</v>
      </c>
      <c r="K447" s="7" t="n">
        <v>-0.8554447468</v>
      </c>
      <c r="L447" s="7" t="n">
        <v>0.5178725461</v>
      </c>
      <c r="M447" s="7" t="n">
        <v>-0.004723477175</v>
      </c>
      <c r="N447" s="7" t="n">
        <v>-0.01157213266</v>
      </c>
      <c r="O447" s="7" t="n">
        <v>-0.009995500288</v>
      </c>
      <c r="P447" s="7" t="n">
        <v>0.999883081</v>
      </c>
      <c r="Q447" s="7" t="n">
        <v>-10.04033932</v>
      </c>
      <c r="R447" s="7" t="n">
        <v>11.44042347</v>
      </c>
      <c r="S447" s="7" t="n">
        <v>0.5070432208</v>
      </c>
    </row>
    <row r="448" customFormat="false" ht="15" hidden="false" customHeight="false" outlineLevel="0" collapsed="false">
      <c r="A448" s="5" t="s">
        <v>4</v>
      </c>
      <c r="B448" s="5" t="s">
        <v>77</v>
      </c>
      <c r="C448" s="5" t="s">
        <v>58</v>
      </c>
      <c r="D448" s="2" t="n">
        <v>16</v>
      </c>
      <c r="E448" s="5" t="s">
        <v>164</v>
      </c>
      <c r="F448" s="5" t="s">
        <v>168</v>
      </c>
      <c r="G448" s="2" t="n">
        <v>1</v>
      </c>
      <c r="H448" s="7" t="n">
        <v>-0.8133398354</v>
      </c>
      <c r="I448" s="7" t="n">
        <v>0.5817609832</v>
      </c>
      <c r="J448" s="7" t="n">
        <v>-0.005698295013</v>
      </c>
      <c r="K448" s="7" t="n">
        <v>-0.5817504448</v>
      </c>
      <c r="L448" s="7" t="n">
        <v>-0.8133596752</v>
      </c>
      <c r="M448" s="7" t="n">
        <v>-0.003529691144</v>
      </c>
      <c r="N448" s="7" t="n">
        <v>-0.006688199971</v>
      </c>
      <c r="O448" s="7" t="n">
        <v>0.0004441472439</v>
      </c>
      <c r="P448" s="7" t="n">
        <v>0.9999775351</v>
      </c>
      <c r="Q448" s="7" t="n">
        <v>16.62334891</v>
      </c>
      <c r="R448" s="7" t="n">
        <v>12.63305968</v>
      </c>
      <c r="S448" s="7" t="n">
        <v>1.548927783</v>
      </c>
    </row>
    <row r="449" customFormat="false" ht="15" hidden="false" customHeight="false" outlineLevel="0" collapsed="false">
      <c r="A449" s="5" t="s">
        <v>4</v>
      </c>
      <c r="B449" s="5" t="s">
        <v>77</v>
      </c>
      <c r="C449" s="5" t="s">
        <v>62</v>
      </c>
      <c r="D449" s="2" t="n">
        <v>16</v>
      </c>
      <c r="E449" s="5" t="s">
        <v>164</v>
      </c>
      <c r="F449" s="5" t="s">
        <v>168</v>
      </c>
      <c r="G449" s="2" t="n">
        <v>1</v>
      </c>
      <c r="H449" s="7" t="n">
        <v>-0.8133398354</v>
      </c>
      <c r="I449" s="7" t="n">
        <v>0.5817609832</v>
      </c>
      <c r="J449" s="7" t="n">
        <v>-0.005698295013</v>
      </c>
      <c r="K449" s="7" t="n">
        <v>-0.5817504448</v>
      </c>
      <c r="L449" s="7" t="n">
        <v>-0.8133596752</v>
      </c>
      <c r="M449" s="7" t="n">
        <v>-0.003529691144</v>
      </c>
      <c r="N449" s="7" t="n">
        <v>-0.006688199971</v>
      </c>
      <c r="O449" s="7" t="n">
        <v>0.0004441472439</v>
      </c>
      <c r="P449" s="7" t="n">
        <v>0.9999775351</v>
      </c>
      <c r="Q449" s="7" t="n">
        <v>16.62334891</v>
      </c>
      <c r="R449" s="7" t="n">
        <v>12.63305968</v>
      </c>
      <c r="S449" s="7" t="n">
        <v>1.548927783</v>
      </c>
    </row>
    <row r="450" customFormat="false" ht="15" hidden="false" customHeight="false" outlineLevel="0" collapsed="false">
      <c r="A450" s="5" t="s">
        <v>4</v>
      </c>
      <c r="B450" s="5" t="s">
        <v>77</v>
      </c>
      <c r="C450" s="5" t="s">
        <v>58</v>
      </c>
      <c r="D450" s="2" t="n">
        <v>17</v>
      </c>
      <c r="E450" s="5" t="s">
        <v>164</v>
      </c>
      <c r="F450" s="5" t="s">
        <v>165</v>
      </c>
      <c r="G450" s="2" t="n">
        <v>1</v>
      </c>
      <c r="H450" s="7" t="n">
        <v>-0.9195165756</v>
      </c>
      <c r="I450" s="7" t="n">
        <v>0.3930463275</v>
      </c>
      <c r="J450" s="7" t="n">
        <v>-0.00196254083</v>
      </c>
      <c r="K450" s="7" t="n">
        <v>-0.3930499127</v>
      </c>
      <c r="L450" s="7" t="n">
        <v>-0.9195149515</v>
      </c>
      <c r="M450" s="7" t="n">
        <v>0.002005039362</v>
      </c>
      <c r="N450" s="7" t="n">
        <v>-0.001016512278</v>
      </c>
      <c r="O450" s="7" t="n">
        <v>0.00261504343</v>
      </c>
      <c r="P450" s="7" t="n">
        <v>0.9999960641</v>
      </c>
      <c r="Q450" s="7" t="n">
        <v>-1.446324948</v>
      </c>
      <c r="R450" s="7" t="n">
        <v>-3.764890939</v>
      </c>
      <c r="S450" s="7" t="n">
        <v>0.1275846986</v>
      </c>
    </row>
    <row r="451" customFormat="false" ht="15" hidden="false" customHeight="false" outlineLevel="0" collapsed="false">
      <c r="A451" s="5" t="s">
        <v>4</v>
      </c>
      <c r="B451" s="5" t="s">
        <v>77</v>
      </c>
      <c r="C451" s="5" t="s">
        <v>62</v>
      </c>
      <c r="D451" s="2" t="n">
        <v>17</v>
      </c>
      <c r="E451" s="5" t="s">
        <v>164</v>
      </c>
      <c r="F451" s="5" t="s">
        <v>165</v>
      </c>
      <c r="G451" s="2" t="n">
        <v>1</v>
      </c>
      <c r="H451" s="7" t="n">
        <v>-0.9195165756</v>
      </c>
      <c r="I451" s="7" t="n">
        <v>0.3930463275</v>
      </c>
      <c r="J451" s="7" t="n">
        <v>-0.00196254083</v>
      </c>
      <c r="K451" s="7" t="n">
        <v>-0.3930499127</v>
      </c>
      <c r="L451" s="7" t="n">
        <v>-0.9195149515</v>
      </c>
      <c r="M451" s="7" t="n">
        <v>0.002005039362</v>
      </c>
      <c r="N451" s="7" t="n">
        <v>-0.001016512278</v>
      </c>
      <c r="O451" s="7" t="n">
        <v>0.00261504343</v>
      </c>
      <c r="P451" s="7" t="n">
        <v>0.9999960641</v>
      </c>
      <c r="Q451" s="7" t="n">
        <v>-1.446324948</v>
      </c>
      <c r="R451" s="7" t="n">
        <v>-3.764890939</v>
      </c>
      <c r="S451" s="7" t="n">
        <v>0.1275846986</v>
      </c>
    </row>
    <row r="452" customFormat="false" ht="15" hidden="false" customHeight="false" outlineLevel="0" collapsed="false">
      <c r="A452" s="5" t="s">
        <v>4</v>
      </c>
      <c r="B452" s="5" t="s">
        <v>77</v>
      </c>
      <c r="C452" s="5" t="s">
        <v>58</v>
      </c>
      <c r="D452" s="2" t="n">
        <v>17</v>
      </c>
      <c r="E452" s="5" t="s">
        <v>164</v>
      </c>
      <c r="F452" s="5" t="s">
        <v>166</v>
      </c>
      <c r="G452" s="2" t="n">
        <v>1</v>
      </c>
      <c r="H452" s="7" t="n">
        <v>-0.9481020927</v>
      </c>
      <c r="I452" s="7" t="n">
        <v>0.3179658615</v>
      </c>
      <c r="J452" s="7" t="n">
        <v>-0.0003642678029</v>
      </c>
      <c r="K452" s="7" t="n">
        <v>-0.3179411918</v>
      </c>
      <c r="L452" s="7" t="n">
        <v>-0.9480416197</v>
      </c>
      <c r="M452" s="7" t="n">
        <v>-0.01142304416</v>
      </c>
      <c r="N452" s="7" t="n">
        <v>-0.003977479117</v>
      </c>
      <c r="O452" s="7" t="n">
        <v>-0.01071439634</v>
      </c>
      <c r="P452" s="7" t="n">
        <v>0.9999346886</v>
      </c>
      <c r="Q452" s="7" t="n">
        <v>12.62955088</v>
      </c>
      <c r="R452" s="7" t="n">
        <v>2.151707746</v>
      </c>
      <c r="S452" s="7" t="n">
        <v>0.8326343396</v>
      </c>
    </row>
    <row r="453" customFormat="false" ht="15" hidden="false" customHeight="false" outlineLevel="0" collapsed="false">
      <c r="A453" s="5" t="s">
        <v>4</v>
      </c>
      <c r="B453" s="5" t="s">
        <v>77</v>
      </c>
      <c r="C453" s="5" t="s">
        <v>62</v>
      </c>
      <c r="D453" s="2" t="n">
        <v>17</v>
      </c>
      <c r="E453" s="5" t="s">
        <v>164</v>
      </c>
      <c r="F453" s="5" t="s">
        <v>166</v>
      </c>
      <c r="G453" s="2" t="n">
        <v>1</v>
      </c>
      <c r="H453" s="7" t="n">
        <v>-0.9481020927</v>
      </c>
      <c r="I453" s="7" t="n">
        <v>0.3179658615</v>
      </c>
      <c r="J453" s="7" t="n">
        <v>-0.0003642678029</v>
      </c>
      <c r="K453" s="7" t="n">
        <v>-0.3179411918</v>
      </c>
      <c r="L453" s="7" t="n">
        <v>-0.9480416197</v>
      </c>
      <c r="M453" s="7" t="n">
        <v>-0.01142304416</v>
      </c>
      <c r="N453" s="7" t="n">
        <v>-0.003977479117</v>
      </c>
      <c r="O453" s="7" t="n">
        <v>-0.01071439634</v>
      </c>
      <c r="P453" s="7" t="n">
        <v>0.9999346886</v>
      </c>
      <c r="Q453" s="7" t="n">
        <v>12.62955088</v>
      </c>
      <c r="R453" s="7" t="n">
        <v>2.151707746</v>
      </c>
      <c r="S453" s="7" t="n">
        <v>0.8326343396</v>
      </c>
    </row>
    <row r="454" customFormat="false" ht="15" hidden="false" customHeight="false" outlineLevel="0" collapsed="false">
      <c r="A454" s="5" t="s">
        <v>4</v>
      </c>
      <c r="B454" s="5" t="s">
        <v>77</v>
      </c>
      <c r="C454" s="5" t="s">
        <v>58</v>
      </c>
      <c r="D454" s="2" t="n">
        <v>17</v>
      </c>
      <c r="E454" s="5" t="s">
        <v>164</v>
      </c>
      <c r="F454" s="5" t="s">
        <v>167</v>
      </c>
      <c r="G454" s="2" t="n">
        <v>1</v>
      </c>
      <c r="H454" s="7" t="n">
        <v>0.5150834661</v>
      </c>
      <c r="I454" s="7" t="n">
        <v>0.8571000559</v>
      </c>
      <c r="J454" s="7" t="n">
        <v>0.008277510308</v>
      </c>
      <c r="K454" s="7" t="n">
        <v>-0.8570750613</v>
      </c>
      <c r="L454" s="7" t="n">
        <v>0.5151393055</v>
      </c>
      <c r="M454" s="7" t="n">
        <v>-0.007337250189</v>
      </c>
      <c r="N454" s="7" t="n">
        <v>-0.01055282846</v>
      </c>
      <c r="O454" s="7" t="n">
        <v>-0.003315151395</v>
      </c>
      <c r="P454" s="7" t="n">
        <v>0.9999388219</v>
      </c>
      <c r="Q454" s="7" t="n">
        <v>-10.01104324</v>
      </c>
      <c r="R454" s="7" t="n">
        <v>11.45550799</v>
      </c>
      <c r="S454" s="7" t="n">
        <v>0.5248187274</v>
      </c>
    </row>
    <row r="455" customFormat="false" ht="15" hidden="false" customHeight="false" outlineLevel="0" collapsed="false">
      <c r="A455" s="5" t="s">
        <v>4</v>
      </c>
      <c r="B455" s="5" t="s">
        <v>77</v>
      </c>
      <c r="C455" s="5" t="s">
        <v>62</v>
      </c>
      <c r="D455" s="2" t="n">
        <v>17</v>
      </c>
      <c r="E455" s="5" t="s">
        <v>164</v>
      </c>
      <c r="F455" s="5" t="s">
        <v>167</v>
      </c>
      <c r="G455" s="2" t="n">
        <v>1</v>
      </c>
      <c r="H455" s="7" t="n">
        <v>0.5150834661</v>
      </c>
      <c r="I455" s="7" t="n">
        <v>0.8571000559</v>
      </c>
      <c r="J455" s="7" t="n">
        <v>0.008277510308</v>
      </c>
      <c r="K455" s="7" t="n">
        <v>-0.8570750613</v>
      </c>
      <c r="L455" s="7" t="n">
        <v>0.5151393055</v>
      </c>
      <c r="M455" s="7" t="n">
        <v>-0.007337250189</v>
      </c>
      <c r="N455" s="7" t="n">
        <v>-0.01055282846</v>
      </c>
      <c r="O455" s="7" t="n">
        <v>-0.003315151395</v>
      </c>
      <c r="P455" s="7" t="n">
        <v>0.9999388219</v>
      </c>
      <c r="Q455" s="7" t="n">
        <v>-10.01104324</v>
      </c>
      <c r="R455" s="7" t="n">
        <v>11.45550799</v>
      </c>
      <c r="S455" s="7" t="n">
        <v>0.5248187274</v>
      </c>
    </row>
    <row r="456" customFormat="false" ht="15" hidden="false" customHeight="false" outlineLevel="0" collapsed="false">
      <c r="A456" s="5" t="s">
        <v>4</v>
      </c>
      <c r="B456" s="5" t="s">
        <v>77</v>
      </c>
      <c r="C456" s="5" t="s">
        <v>58</v>
      </c>
      <c r="D456" s="2" t="n">
        <v>17</v>
      </c>
      <c r="E456" s="5" t="s">
        <v>164</v>
      </c>
      <c r="F456" s="5" t="s">
        <v>168</v>
      </c>
      <c r="G456" s="2" t="n">
        <v>1</v>
      </c>
      <c r="H456" s="7" t="n">
        <v>-0.8133365225</v>
      </c>
      <c r="I456" s="7" t="n">
        <v>0.5817602668</v>
      </c>
      <c r="J456" s="7" t="n">
        <v>-0.006220386953</v>
      </c>
      <c r="K456" s="7" t="n">
        <v>-0.5817546542</v>
      </c>
      <c r="L456" s="7" t="n">
        <v>-0.8133592853</v>
      </c>
      <c r="M456" s="7" t="n">
        <v>-0.002862752675</v>
      </c>
      <c r="N456" s="7" t="n">
        <v>-0.006724845246</v>
      </c>
      <c r="O456" s="7" t="n">
        <v>0.001290357755</v>
      </c>
      <c r="P456" s="7" t="n">
        <v>0.9999765554</v>
      </c>
      <c r="Q456" s="7" t="n">
        <v>16.64933764</v>
      </c>
      <c r="R456" s="7" t="n">
        <v>12.65323739</v>
      </c>
      <c r="S456" s="7" t="n">
        <v>1.553145358</v>
      </c>
    </row>
    <row r="457" customFormat="false" ht="15" hidden="false" customHeight="false" outlineLevel="0" collapsed="false">
      <c r="A457" s="5" t="s">
        <v>4</v>
      </c>
      <c r="B457" s="5" t="s">
        <v>77</v>
      </c>
      <c r="C457" s="5" t="s">
        <v>62</v>
      </c>
      <c r="D457" s="2" t="n">
        <v>17</v>
      </c>
      <c r="E457" s="5" t="s">
        <v>164</v>
      </c>
      <c r="F457" s="5" t="s">
        <v>168</v>
      </c>
      <c r="G457" s="2" t="n">
        <v>1</v>
      </c>
      <c r="H457" s="7" t="n">
        <v>-0.8133365225</v>
      </c>
      <c r="I457" s="7" t="n">
        <v>0.5817602668</v>
      </c>
      <c r="J457" s="7" t="n">
        <v>-0.006220386953</v>
      </c>
      <c r="K457" s="7" t="n">
        <v>-0.5817546542</v>
      </c>
      <c r="L457" s="7" t="n">
        <v>-0.8133592853</v>
      </c>
      <c r="M457" s="7" t="n">
        <v>-0.002862752675</v>
      </c>
      <c r="N457" s="7" t="n">
        <v>-0.006724845246</v>
      </c>
      <c r="O457" s="7" t="n">
        <v>0.001290357755</v>
      </c>
      <c r="P457" s="7" t="n">
        <v>0.9999765554</v>
      </c>
      <c r="Q457" s="7" t="n">
        <v>16.64933764</v>
      </c>
      <c r="R457" s="7" t="n">
        <v>12.65323739</v>
      </c>
      <c r="S457" s="7" t="n">
        <v>1.553145358</v>
      </c>
    </row>
    <row r="458" customFormat="false" ht="15" hidden="false" customHeight="false" outlineLevel="0" collapsed="false">
      <c r="A458" s="5" t="s">
        <v>4</v>
      </c>
      <c r="B458" s="5" t="s">
        <v>77</v>
      </c>
      <c r="C458" s="5" t="s">
        <v>58</v>
      </c>
      <c r="D458" s="2" t="n">
        <v>18</v>
      </c>
      <c r="E458" s="5" t="s">
        <v>164</v>
      </c>
      <c r="F458" s="5" t="s">
        <v>165</v>
      </c>
      <c r="G458" s="2" t="n">
        <v>1</v>
      </c>
      <c r="H458" s="7" t="n">
        <v>-0.9202088289</v>
      </c>
      <c r="I458" s="7" t="n">
        <v>0.3913967881</v>
      </c>
      <c r="J458" s="7" t="n">
        <v>-0.004926002619</v>
      </c>
      <c r="K458" s="7" t="n">
        <v>-0.3914272898</v>
      </c>
      <c r="L458" s="7" t="n">
        <v>-0.9201147642</v>
      </c>
      <c r="M458" s="7" t="n">
        <v>0.01317184395</v>
      </c>
      <c r="N458" s="7" t="n">
        <v>0.000622929676</v>
      </c>
      <c r="O458" s="7" t="n">
        <v>0.01404901895</v>
      </c>
      <c r="P458" s="7" t="n">
        <v>0.9999011136</v>
      </c>
      <c r="Q458" s="7" t="n">
        <v>-1.465080386</v>
      </c>
      <c r="R458" s="7" t="n">
        <v>-3.776473556</v>
      </c>
      <c r="S458" s="7" t="n">
        <v>0.07239146605</v>
      </c>
    </row>
    <row r="459" customFormat="false" ht="15" hidden="false" customHeight="false" outlineLevel="0" collapsed="false">
      <c r="A459" s="5" t="s">
        <v>4</v>
      </c>
      <c r="B459" s="5" t="s">
        <v>77</v>
      </c>
      <c r="C459" s="5" t="s">
        <v>62</v>
      </c>
      <c r="D459" s="2" t="n">
        <v>18</v>
      </c>
      <c r="E459" s="5" t="s">
        <v>164</v>
      </c>
      <c r="F459" s="5" t="s">
        <v>165</v>
      </c>
      <c r="G459" s="2" t="n">
        <v>1</v>
      </c>
      <c r="H459" s="7" t="n">
        <v>-0.9202088289</v>
      </c>
      <c r="I459" s="7" t="n">
        <v>0.3913967881</v>
      </c>
      <c r="J459" s="7" t="n">
        <v>-0.004926002619</v>
      </c>
      <c r="K459" s="7" t="n">
        <v>-0.3914272898</v>
      </c>
      <c r="L459" s="7" t="n">
        <v>-0.9201147642</v>
      </c>
      <c r="M459" s="7" t="n">
        <v>0.01317184395</v>
      </c>
      <c r="N459" s="7" t="n">
        <v>0.000622929676</v>
      </c>
      <c r="O459" s="7" t="n">
        <v>0.01404901895</v>
      </c>
      <c r="P459" s="7" t="n">
        <v>0.9999011136</v>
      </c>
      <c r="Q459" s="7" t="n">
        <v>-1.465080386</v>
      </c>
      <c r="R459" s="7" t="n">
        <v>-3.776473556</v>
      </c>
      <c r="S459" s="7" t="n">
        <v>0.07239146605</v>
      </c>
    </row>
    <row r="460" customFormat="false" ht="15" hidden="false" customHeight="false" outlineLevel="0" collapsed="false">
      <c r="A460" s="5" t="s">
        <v>4</v>
      </c>
      <c r="B460" s="5" t="s">
        <v>77</v>
      </c>
      <c r="C460" s="5" t="s">
        <v>58</v>
      </c>
      <c r="D460" s="2" t="n">
        <v>18</v>
      </c>
      <c r="E460" s="5" t="s">
        <v>164</v>
      </c>
      <c r="F460" s="5" t="s">
        <v>166</v>
      </c>
      <c r="G460" s="2" t="n">
        <v>1</v>
      </c>
      <c r="H460" s="7" t="n">
        <v>-0.9485972959</v>
      </c>
      <c r="I460" s="7" t="n">
        <v>0.3164601532</v>
      </c>
      <c r="J460" s="7" t="n">
        <v>-0.004017677469</v>
      </c>
      <c r="K460" s="7" t="n">
        <v>-0.3164243716</v>
      </c>
      <c r="L460" s="7" t="n">
        <v>-0.9485869976</v>
      </c>
      <c r="M460" s="7" t="n">
        <v>-0.007637085585</v>
      </c>
      <c r="N460" s="7" t="n">
        <v>-0.006227949882</v>
      </c>
      <c r="O460" s="7" t="n">
        <v>-0.005973227665</v>
      </c>
      <c r="P460" s="7" t="n">
        <v>0.9999627659</v>
      </c>
      <c r="Q460" s="7" t="n">
        <v>12.64265004</v>
      </c>
      <c r="R460" s="7" t="n">
        <v>2.172427562</v>
      </c>
      <c r="S460" s="7" t="n">
        <v>0.8500656247</v>
      </c>
    </row>
    <row r="461" customFormat="false" ht="15" hidden="false" customHeight="false" outlineLevel="0" collapsed="false">
      <c r="A461" s="5" t="s">
        <v>4</v>
      </c>
      <c r="B461" s="5" t="s">
        <v>77</v>
      </c>
      <c r="C461" s="5" t="s">
        <v>62</v>
      </c>
      <c r="D461" s="2" t="n">
        <v>18</v>
      </c>
      <c r="E461" s="5" t="s">
        <v>164</v>
      </c>
      <c r="F461" s="5" t="s">
        <v>166</v>
      </c>
      <c r="G461" s="2" t="n">
        <v>1</v>
      </c>
      <c r="H461" s="7" t="n">
        <v>-0.9485972959</v>
      </c>
      <c r="I461" s="7" t="n">
        <v>0.3164601532</v>
      </c>
      <c r="J461" s="7" t="n">
        <v>-0.004017677469</v>
      </c>
      <c r="K461" s="7" t="n">
        <v>-0.3164243716</v>
      </c>
      <c r="L461" s="7" t="n">
        <v>-0.9485869976</v>
      </c>
      <c r="M461" s="7" t="n">
        <v>-0.007637085585</v>
      </c>
      <c r="N461" s="7" t="n">
        <v>-0.006227949882</v>
      </c>
      <c r="O461" s="7" t="n">
        <v>-0.005973227665</v>
      </c>
      <c r="P461" s="7" t="n">
        <v>0.9999627659</v>
      </c>
      <c r="Q461" s="7" t="n">
        <v>12.64265004</v>
      </c>
      <c r="R461" s="7" t="n">
        <v>2.172427562</v>
      </c>
      <c r="S461" s="7" t="n">
        <v>0.8500656247</v>
      </c>
    </row>
    <row r="462" customFormat="false" ht="15" hidden="false" customHeight="false" outlineLevel="0" collapsed="false">
      <c r="A462" s="5" t="s">
        <v>4</v>
      </c>
      <c r="B462" s="5" t="s">
        <v>77</v>
      </c>
      <c r="C462" s="5" t="s">
        <v>58</v>
      </c>
      <c r="D462" s="2" t="n">
        <v>18</v>
      </c>
      <c r="E462" s="5" t="s">
        <v>164</v>
      </c>
      <c r="F462" s="5" t="s">
        <v>167</v>
      </c>
      <c r="G462" s="2" t="n">
        <v>1</v>
      </c>
      <c r="H462" s="7" t="n">
        <v>0.5145880859</v>
      </c>
      <c r="I462" s="7" t="n">
        <v>0.8574095349</v>
      </c>
      <c r="J462" s="7" t="n">
        <v>0.00692757543</v>
      </c>
      <c r="K462" s="7" t="n">
        <v>-0.8573379187</v>
      </c>
      <c r="L462" s="7" t="n">
        <v>0.5146346607</v>
      </c>
      <c r="M462" s="7" t="n">
        <v>-0.01108418556</v>
      </c>
      <c r="N462" s="7" t="n">
        <v>-0.01306885682</v>
      </c>
      <c r="O462" s="7" t="n">
        <v>-0.0002354832694</v>
      </c>
      <c r="P462" s="7" t="n">
        <v>0.9999145711</v>
      </c>
      <c r="Q462" s="7" t="n">
        <v>-10.03779655</v>
      </c>
      <c r="R462" s="7" t="n">
        <v>11.44230201</v>
      </c>
      <c r="S462" s="7" t="n">
        <v>0.5149401346</v>
      </c>
    </row>
    <row r="463" customFormat="false" ht="15" hidden="false" customHeight="false" outlineLevel="0" collapsed="false">
      <c r="A463" s="5" t="s">
        <v>4</v>
      </c>
      <c r="B463" s="5" t="s">
        <v>77</v>
      </c>
      <c r="C463" s="5" t="s">
        <v>62</v>
      </c>
      <c r="D463" s="2" t="n">
        <v>18</v>
      </c>
      <c r="E463" s="5" t="s">
        <v>164</v>
      </c>
      <c r="F463" s="5" t="s">
        <v>167</v>
      </c>
      <c r="G463" s="2" t="n">
        <v>1</v>
      </c>
      <c r="H463" s="7" t="n">
        <v>0.5145880859</v>
      </c>
      <c r="I463" s="7" t="n">
        <v>0.8574095349</v>
      </c>
      <c r="J463" s="7" t="n">
        <v>0.00692757543</v>
      </c>
      <c r="K463" s="7" t="n">
        <v>-0.8573379187</v>
      </c>
      <c r="L463" s="7" t="n">
        <v>0.5146346607</v>
      </c>
      <c r="M463" s="7" t="n">
        <v>-0.01108418556</v>
      </c>
      <c r="N463" s="7" t="n">
        <v>-0.01306885682</v>
      </c>
      <c r="O463" s="7" t="n">
        <v>-0.0002354832694</v>
      </c>
      <c r="P463" s="7" t="n">
        <v>0.9999145711</v>
      </c>
      <c r="Q463" s="7" t="n">
        <v>-10.03779655</v>
      </c>
      <c r="R463" s="7" t="n">
        <v>11.44230201</v>
      </c>
      <c r="S463" s="7" t="n">
        <v>0.5149401346</v>
      </c>
    </row>
    <row r="464" customFormat="false" ht="15" hidden="false" customHeight="false" outlineLevel="0" collapsed="false">
      <c r="A464" s="5" t="s">
        <v>4</v>
      </c>
      <c r="B464" s="5" t="s">
        <v>77</v>
      </c>
      <c r="C464" s="5" t="s">
        <v>58</v>
      </c>
      <c r="D464" s="2" t="n">
        <v>18</v>
      </c>
      <c r="E464" s="5" t="s">
        <v>164</v>
      </c>
      <c r="F464" s="5" t="s">
        <v>168</v>
      </c>
      <c r="G464" s="2" t="n">
        <v>1</v>
      </c>
      <c r="H464" s="7" t="n">
        <v>-0.813004753</v>
      </c>
      <c r="I464" s="7" t="n">
        <v>0.582242602</v>
      </c>
      <c r="J464" s="7" t="n">
        <v>-0.004101713965</v>
      </c>
      <c r="K464" s="7" t="n">
        <v>-0.5822437456</v>
      </c>
      <c r="L464" s="7" t="n">
        <v>-0.8130136249</v>
      </c>
      <c r="M464" s="7" t="n">
        <v>-0.001032705182</v>
      </c>
      <c r="N464" s="7" t="n">
        <v>-0.003936034292</v>
      </c>
      <c r="O464" s="7" t="n">
        <v>0.001548603081</v>
      </c>
      <c r="P464" s="7" t="n">
        <v>0.9999910547</v>
      </c>
      <c r="Q464" s="7" t="n">
        <v>16.63324369</v>
      </c>
      <c r="R464" s="7" t="n">
        <v>12.63030734</v>
      </c>
      <c r="S464" s="7" t="n">
        <v>1.497068912</v>
      </c>
    </row>
    <row r="465" customFormat="false" ht="15" hidden="false" customHeight="false" outlineLevel="0" collapsed="false">
      <c r="A465" s="5" t="s">
        <v>4</v>
      </c>
      <c r="B465" s="5" t="s">
        <v>77</v>
      </c>
      <c r="C465" s="5" t="s">
        <v>62</v>
      </c>
      <c r="D465" s="2" t="n">
        <v>18</v>
      </c>
      <c r="E465" s="5" t="s">
        <v>164</v>
      </c>
      <c r="F465" s="5" t="s">
        <v>168</v>
      </c>
      <c r="G465" s="2" t="n">
        <v>1</v>
      </c>
      <c r="H465" s="7" t="n">
        <v>-0.8129953054</v>
      </c>
      <c r="I465" s="7" t="n">
        <v>0.5821856914</v>
      </c>
      <c r="J465" s="7" t="n">
        <v>-0.009922407148</v>
      </c>
      <c r="K465" s="7" t="n">
        <v>-0.5822185215</v>
      </c>
      <c r="L465" s="7" t="n">
        <v>-0.8130321739</v>
      </c>
      <c r="M465" s="7" t="n">
        <v>0.0005267251237</v>
      </c>
      <c r="N465" s="7" t="n">
        <v>-0.007760584424</v>
      </c>
      <c r="O465" s="7" t="n">
        <v>0.006205234272</v>
      </c>
      <c r="P465" s="7" t="n">
        <v>0.999950633</v>
      </c>
      <c r="Q465" s="7" t="n">
        <v>16.63113842</v>
      </c>
      <c r="R465" s="7" t="n">
        <v>12.63502325</v>
      </c>
      <c r="S465" s="7" t="n">
        <v>1.488123442</v>
      </c>
    </row>
    <row r="466" customFormat="false" ht="15" hidden="false" customHeight="false" outlineLevel="0" collapsed="false">
      <c r="A466" s="5" t="s">
        <v>4</v>
      </c>
      <c r="B466" s="5" t="s">
        <v>77</v>
      </c>
      <c r="C466" s="5" t="s">
        <v>58</v>
      </c>
      <c r="D466" s="2" t="n">
        <v>19</v>
      </c>
      <c r="E466" s="5" t="s">
        <v>164</v>
      </c>
      <c r="F466" s="5" t="s">
        <v>165</v>
      </c>
      <c r="G466" s="2" t="n">
        <v>1</v>
      </c>
      <c r="H466" s="7" t="n">
        <v>-0.9198010012</v>
      </c>
      <c r="I466" s="7" t="n">
        <v>0.392167573</v>
      </c>
      <c r="J466" s="7" t="n">
        <v>-0.01306571694</v>
      </c>
      <c r="K466" s="7" t="n">
        <v>-0.3923173818</v>
      </c>
      <c r="L466" s="7" t="n">
        <v>-0.919751035</v>
      </c>
      <c r="M466" s="7" t="n">
        <v>0.01204598076</v>
      </c>
      <c r="N466" s="7" t="n">
        <v>-0.007293163636</v>
      </c>
      <c r="O466" s="7" t="n">
        <v>0.01620581303</v>
      </c>
      <c r="P466" s="7" t="n">
        <v>0.9998420782</v>
      </c>
      <c r="Q466" s="7" t="n">
        <v>-1.456268458</v>
      </c>
      <c r="R466" s="7" t="n">
        <v>-3.770361447</v>
      </c>
      <c r="S466" s="7" t="n">
        <v>0.07912621476</v>
      </c>
    </row>
    <row r="467" customFormat="false" ht="15" hidden="false" customHeight="false" outlineLevel="0" collapsed="false">
      <c r="A467" s="5" t="s">
        <v>4</v>
      </c>
      <c r="B467" s="5" t="s">
        <v>77</v>
      </c>
      <c r="C467" s="5" t="s">
        <v>62</v>
      </c>
      <c r="D467" s="2" t="n">
        <v>19</v>
      </c>
      <c r="E467" s="5" t="s">
        <v>164</v>
      </c>
      <c r="F467" s="5" t="s">
        <v>165</v>
      </c>
      <c r="G467" s="2" t="n">
        <v>1</v>
      </c>
      <c r="H467" s="7" t="n">
        <v>-0.9200107916</v>
      </c>
      <c r="I467" s="7" t="n">
        <v>0.3918716477</v>
      </c>
      <c r="J467" s="7" t="n">
        <v>0.004093302543</v>
      </c>
      <c r="K467" s="7" t="n">
        <v>-0.3918799745</v>
      </c>
      <c r="L467" s="7" t="n">
        <v>-0.9200152104</v>
      </c>
      <c r="M467" s="7" t="n">
        <v>-0.001448501848</v>
      </c>
      <c r="N467" s="7" t="n">
        <v>0.003198273794</v>
      </c>
      <c r="O467" s="7" t="n">
        <v>-0.002936720628</v>
      </c>
      <c r="P467" s="7" t="n">
        <v>0.9999905733</v>
      </c>
      <c r="Q467" s="7" t="n">
        <v>-1.418736307</v>
      </c>
      <c r="R467" s="7" t="n">
        <v>-3.797327733</v>
      </c>
      <c r="S467" s="7" t="n">
        <v>0.1275117209</v>
      </c>
    </row>
    <row r="468" customFormat="false" ht="15" hidden="false" customHeight="false" outlineLevel="0" collapsed="false">
      <c r="A468" s="5" t="s">
        <v>4</v>
      </c>
      <c r="B468" s="5" t="s">
        <v>77</v>
      </c>
      <c r="C468" s="5" t="s">
        <v>58</v>
      </c>
      <c r="D468" s="2" t="n">
        <v>19</v>
      </c>
      <c r="E468" s="5" t="s">
        <v>164</v>
      </c>
      <c r="F468" s="5" t="s">
        <v>166</v>
      </c>
      <c r="G468" s="2" t="n">
        <v>1</v>
      </c>
      <c r="H468" s="7" t="n">
        <v>-0.9482701522</v>
      </c>
      <c r="I468" s="7" t="n">
        <v>0.3174482447</v>
      </c>
      <c r="J468" s="7" t="n">
        <v>-0.003214100846</v>
      </c>
      <c r="K468" s="7" t="n">
        <v>-0.3174286692</v>
      </c>
      <c r="L468" s="7" t="n">
        <v>-0.9482666233</v>
      </c>
      <c r="M468" s="7" t="n">
        <v>-0.005426889824</v>
      </c>
      <c r="N468" s="7" t="n">
        <v>-0.004770581205</v>
      </c>
      <c r="O468" s="7" t="n">
        <v>-0.004125909885</v>
      </c>
      <c r="P468" s="7" t="n">
        <v>0.999980109</v>
      </c>
      <c r="Q468" s="7" t="n">
        <v>12.62801327</v>
      </c>
      <c r="R468" s="7" t="n">
        <v>2.161287569</v>
      </c>
      <c r="S468" s="7" t="n">
        <v>0.8692449718</v>
      </c>
    </row>
    <row r="469" customFormat="false" ht="15" hidden="false" customHeight="false" outlineLevel="0" collapsed="false">
      <c r="A469" s="5" t="s">
        <v>4</v>
      </c>
      <c r="B469" s="5" t="s">
        <v>77</v>
      </c>
      <c r="C469" s="5" t="s">
        <v>62</v>
      </c>
      <c r="D469" s="2" t="n">
        <v>19</v>
      </c>
      <c r="E469" s="5" t="s">
        <v>164</v>
      </c>
      <c r="F469" s="5" t="s">
        <v>166</v>
      </c>
      <c r="G469" s="2" t="n">
        <v>1</v>
      </c>
      <c r="H469" s="7" t="n">
        <v>-0.9482701522</v>
      </c>
      <c r="I469" s="7" t="n">
        <v>0.3174482447</v>
      </c>
      <c r="J469" s="7" t="n">
        <v>-0.003214100846</v>
      </c>
      <c r="K469" s="7" t="n">
        <v>-0.3174286692</v>
      </c>
      <c r="L469" s="7" t="n">
        <v>-0.9482666233</v>
      </c>
      <c r="M469" s="7" t="n">
        <v>-0.005426889824</v>
      </c>
      <c r="N469" s="7" t="n">
        <v>-0.004770581205</v>
      </c>
      <c r="O469" s="7" t="n">
        <v>-0.004125909885</v>
      </c>
      <c r="P469" s="7" t="n">
        <v>0.999980109</v>
      </c>
      <c r="Q469" s="7" t="n">
        <v>12.62801327</v>
      </c>
      <c r="R469" s="7" t="n">
        <v>2.161287569</v>
      </c>
      <c r="S469" s="7" t="n">
        <v>0.8692449718</v>
      </c>
    </row>
    <row r="470" customFormat="false" ht="15" hidden="false" customHeight="false" outlineLevel="0" collapsed="false">
      <c r="A470" s="5" t="s">
        <v>4</v>
      </c>
      <c r="B470" s="5" t="s">
        <v>77</v>
      </c>
      <c r="C470" s="5" t="s">
        <v>58</v>
      </c>
      <c r="D470" s="2" t="n">
        <v>19</v>
      </c>
      <c r="E470" s="5" t="s">
        <v>164</v>
      </c>
      <c r="F470" s="5" t="s">
        <v>167</v>
      </c>
      <c r="G470" s="2" t="n">
        <v>1</v>
      </c>
      <c r="H470" s="7" t="n">
        <v>0.5158552708</v>
      </c>
      <c r="I470" s="7" t="n">
        <v>0.8566274237</v>
      </c>
      <c r="J470" s="7" t="n">
        <v>0.009099266722</v>
      </c>
      <c r="K470" s="7" t="n">
        <v>-0.8565995489</v>
      </c>
      <c r="L470" s="7" t="n">
        <v>0.5159219548</v>
      </c>
      <c r="M470" s="7" t="n">
        <v>-0.00785807694</v>
      </c>
      <c r="N470" s="7" t="n">
        <v>-0.01142595568</v>
      </c>
      <c r="O470" s="7" t="n">
        <v>-0.003740797362</v>
      </c>
      <c r="P470" s="7" t="n">
        <v>0.9999277244</v>
      </c>
      <c r="Q470" s="7" t="n">
        <v>-10.00925572</v>
      </c>
      <c r="R470" s="7" t="n">
        <v>11.44136174</v>
      </c>
      <c r="S470" s="7" t="n">
        <v>0.534498393</v>
      </c>
    </row>
    <row r="471" customFormat="false" ht="15" hidden="false" customHeight="false" outlineLevel="0" collapsed="false">
      <c r="A471" s="5" t="s">
        <v>4</v>
      </c>
      <c r="B471" s="5" t="s">
        <v>77</v>
      </c>
      <c r="C471" s="5" t="s">
        <v>62</v>
      </c>
      <c r="D471" s="2" t="n">
        <v>19</v>
      </c>
      <c r="E471" s="5" t="s">
        <v>164</v>
      </c>
      <c r="F471" s="5" t="s">
        <v>167</v>
      </c>
      <c r="G471" s="2" t="n">
        <v>1</v>
      </c>
      <c r="H471" s="7" t="n">
        <v>0.5158552708</v>
      </c>
      <c r="I471" s="7" t="n">
        <v>0.8566274237</v>
      </c>
      <c r="J471" s="7" t="n">
        <v>0.009099266722</v>
      </c>
      <c r="K471" s="7" t="n">
        <v>-0.8565995489</v>
      </c>
      <c r="L471" s="7" t="n">
        <v>0.5159219548</v>
      </c>
      <c r="M471" s="7" t="n">
        <v>-0.00785807694</v>
      </c>
      <c r="N471" s="7" t="n">
        <v>-0.01142595568</v>
      </c>
      <c r="O471" s="7" t="n">
        <v>-0.003740797362</v>
      </c>
      <c r="P471" s="7" t="n">
        <v>0.9999277244</v>
      </c>
      <c r="Q471" s="7" t="n">
        <v>-10.00925572</v>
      </c>
      <c r="R471" s="7" t="n">
        <v>11.44136174</v>
      </c>
      <c r="S471" s="7" t="n">
        <v>0.534498393</v>
      </c>
    </row>
    <row r="472" customFormat="false" ht="15" hidden="false" customHeight="false" outlineLevel="0" collapsed="false">
      <c r="A472" s="5" t="s">
        <v>4</v>
      </c>
      <c r="B472" s="5" t="s">
        <v>77</v>
      </c>
      <c r="C472" s="5" t="s">
        <v>58</v>
      </c>
      <c r="D472" s="2" t="n">
        <v>19</v>
      </c>
      <c r="E472" s="5" t="s">
        <v>164</v>
      </c>
      <c r="F472" s="5" t="s">
        <v>168</v>
      </c>
      <c r="G472" s="2" t="n">
        <v>1</v>
      </c>
      <c r="H472" s="7" t="n">
        <v>-0.8129847045</v>
      </c>
      <c r="I472" s="7" t="n">
        <v>0.5813400059</v>
      </c>
      <c r="J472" s="7" t="n">
        <v>-0.03316123938</v>
      </c>
      <c r="K472" s="7" t="n">
        <v>-0.5819390095</v>
      </c>
      <c r="L472" s="7" t="n">
        <v>-0.8131459743</v>
      </c>
      <c r="M472" s="7" t="n">
        <v>0.0118580681</v>
      </c>
      <c r="N472" s="7" t="n">
        <v>-0.02007135892</v>
      </c>
      <c r="O472" s="7" t="n">
        <v>0.02893824679</v>
      </c>
      <c r="P472" s="7" t="n">
        <v>0.9993796668</v>
      </c>
      <c r="Q472" s="7" t="n">
        <v>16.58993257</v>
      </c>
      <c r="R472" s="7" t="n">
        <v>12.65300055</v>
      </c>
      <c r="S472" s="7" t="n">
        <v>1.389651119</v>
      </c>
    </row>
    <row r="473" customFormat="false" ht="15" hidden="false" customHeight="false" outlineLevel="0" collapsed="false">
      <c r="A473" s="5" t="s">
        <v>4</v>
      </c>
      <c r="B473" s="5" t="s">
        <v>77</v>
      </c>
      <c r="C473" s="5" t="s">
        <v>62</v>
      </c>
      <c r="D473" s="2" t="n">
        <v>19</v>
      </c>
      <c r="E473" s="5" t="s">
        <v>164</v>
      </c>
      <c r="F473" s="5" t="s">
        <v>168</v>
      </c>
      <c r="G473" s="2" t="n">
        <v>1</v>
      </c>
      <c r="H473" s="7" t="n">
        <v>-0.8134499792</v>
      </c>
      <c r="I473" s="7" t="n">
        <v>0.5815726935</v>
      </c>
      <c r="J473" s="7" t="n">
        <v>-0.008504911196</v>
      </c>
      <c r="K473" s="7" t="n">
        <v>-0.5815769097</v>
      </c>
      <c r="L473" s="7" t="n">
        <v>-0.8134883871</v>
      </c>
      <c r="M473" s="7" t="n">
        <v>-0.002223109808</v>
      </c>
      <c r="N473" s="7" t="n">
        <v>-0.00821154645</v>
      </c>
      <c r="O473" s="7" t="n">
        <v>0.003137871344</v>
      </c>
      <c r="P473" s="7" t="n">
        <v>0.9999613614</v>
      </c>
      <c r="Q473" s="7" t="n">
        <v>16.63381169</v>
      </c>
      <c r="R473" s="7" t="n">
        <v>12.63607131</v>
      </c>
      <c r="S473" s="7" t="n">
        <v>1.538554991</v>
      </c>
    </row>
    <row r="474" customFormat="false" ht="15" hidden="false" customHeight="false" outlineLevel="0" collapsed="false">
      <c r="A474" s="5" t="s">
        <v>4</v>
      </c>
      <c r="B474" s="5" t="s">
        <v>77</v>
      </c>
      <c r="C474" s="5" t="s">
        <v>58</v>
      </c>
      <c r="D474" s="2" t="n">
        <v>20</v>
      </c>
      <c r="E474" s="5" t="s">
        <v>164</v>
      </c>
      <c r="F474" s="5" t="s">
        <v>165</v>
      </c>
      <c r="G474" s="2" t="n">
        <v>1</v>
      </c>
      <c r="H474" s="7" t="n">
        <v>-0.9174748753</v>
      </c>
      <c r="I474" s="7" t="n">
        <v>0.3952161188</v>
      </c>
      <c r="J474" s="7" t="n">
        <v>-0.04521142103</v>
      </c>
      <c r="K474" s="7" t="n">
        <v>-0.3962985426</v>
      </c>
      <c r="L474" s="7" t="n">
        <v>-0.9179486778</v>
      </c>
      <c r="M474" s="7" t="n">
        <v>0.01782386408</v>
      </c>
      <c r="N474" s="7" t="n">
        <v>-0.03445748578</v>
      </c>
      <c r="O474" s="7" t="n">
        <v>0.03427016774</v>
      </c>
      <c r="P474" s="7" t="n">
        <v>0.9988184206</v>
      </c>
      <c r="Q474" s="7" t="n">
        <v>-1.556878329</v>
      </c>
      <c r="R474" s="7" t="n">
        <v>-3.72190223</v>
      </c>
      <c r="S474" s="7" t="n">
        <v>0.2658130764</v>
      </c>
    </row>
    <row r="475" customFormat="false" ht="15" hidden="false" customHeight="false" outlineLevel="0" collapsed="false">
      <c r="A475" s="5" t="s">
        <v>4</v>
      </c>
      <c r="B475" s="5" t="s">
        <v>77</v>
      </c>
      <c r="C475" s="5" t="s">
        <v>62</v>
      </c>
      <c r="D475" s="2" t="n">
        <v>20</v>
      </c>
      <c r="E475" s="5" t="s">
        <v>164</v>
      </c>
      <c r="F475" s="5" t="s">
        <v>165</v>
      </c>
      <c r="G475" s="2" t="n">
        <v>1</v>
      </c>
      <c r="H475" s="7" t="n">
        <v>-0.9192966063</v>
      </c>
      <c r="I475" s="7" t="n">
        <v>0.3935497902</v>
      </c>
      <c r="J475" s="7" t="n">
        <v>-0.003508874387</v>
      </c>
      <c r="K475" s="7" t="n">
        <v>-0.3935609544</v>
      </c>
      <c r="L475" s="7" t="n">
        <v>-0.91929214</v>
      </c>
      <c r="M475" s="7" t="n">
        <v>0.003425869136</v>
      </c>
      <c r="N475" s="7" t="n">
        <v>-0.001877430564</v>
      </c>
      <c r="O475" s="7" t="n">
        <v>0.004530345823</v>
      </c>
      <c r="P475" s="7" t="n">
        <v>0.9999879755</v>
      </c>
      <c r="Q475" s="7" t="n">
        <v>-1.458855156</v>
      </c>
      <c r="R475" s="7" t="n">
        <v>-3.775056926</v>
      </c>
      <c r="S475" s="7" t="n">
        <v>0.1430723331</v>
      </c>
    </row>
    <row r="476" customFormat="false" ht="15" hidden="false" customHeight="false" outlineLevel="0" collapsed="false">
      <c r="A476" s="5" t="s">
        <v>4</v>
      </c>
      <c r="B476" s="5" t="s">
        <v>77</v>
      </c>
      <c r="C476" s="5" t="s">
        <v>58</v>
      </c>
      <c r="D476" s="2" t="n">
        <v>20</v>
      </c>
      <c r="E476" s="5" t="s">
        <v>164</v>
      </c>
      <c r="F476" s="5" t="s">
        <v>166</v>
      </c>
      <c r="G476" s="2" t="n">
        <v>1</v>
      </c>
      <c r="H476" s="7" t="n">
        <v>-0.9480415475</v>
      </c>
      <c r="I476" s="7" t="n">
        <v>0.3181226867</v>
      </c>
      <c r="J476" s="7" t="n">
        <v>-0.00389621785</v>
      </c>
      <c r="K476" s="7" t="n">
        <v>-0.3180319848</v>
      </c>
      <c r="L476" s="7" t="n">
        <v>-0.9479577206</v>
      </c>
      <c r="M476" s="7" t="n">
        <v>-0.01522552583</v>
      </c>
      <c r="N476" s="7" t="n">
        <v>-0.008537034976</v>
      </c>
      <c r="O476" s="7" t="n">
        <v>-0.01319530918</v>
      </c>
      <c r="P476" s="7" t="n">
        <v>0.9998764938</v>
      </c>
      <c r="Q476" s="7" t="n">
        <v>12.60452232</v>
      </c>
      <c r="R476" s="7" t="n">
        <v>2.158567588</v>
      </c>
      <c r="S476" s="7" t="n">
        <v>0.8082498523</v>
      </c>
    </row>
    <row r="477" customFormat="false" ht="15" hidden="false" customHeight="false" outlineLevel="0" collapsed="false">
      <c r="A477" s="5" t="s">
        <v>4</v>
      </c>
      <c r="B477" s="5" t="s">
        <v>77</v>
      </c>
      <c r="C477" s="5" t="s">
        <v>62</v>
      </c>
      <c r="D477" s="2" t="n">
        <v>20</v>
      </c>
      <c r="E477" s="5" t="s">
        <v>164</v>
      </c>
      <c r="F477" s="5" t="s">
        <v>166</v>
      </c>
      <c r="G477" s="2" t="n">
        <v>1</v>
      </c>
      <c r="H477" s="7" t="n">
        <v>-0.9480415475</v>
      </c>
      <c r="I477" s="7" t="n">
        <v>0.3181226867</v>
      </c>
      <c r="J477" s="7" t="n">
        <v>-0.00389621785</v>
      </c>
      <c r="K477" s="7" t="n">
        <v>-0.3180319848</v>
      </c>
      <c r="L477" s="7" t="n">
        <v>-0.9479577206</v>
      </c>
      <c r="M477" s="7" t="n">
        <v>-0.01522552583</v>
      </c>
      <c r="N477" s="7" t="n">
        <v>-0.008537034976</v>
      </c>
      <c r="O477" s="7" t="n">
        <v>-0.01319530918</v>
      </c>
      <c r="P477" s="7" t="n">
        <v>0.9998764938</v>
      </c>
      <c r="Q477" s="7" t="n">
        <v>12.60452232</v>
      </c>
      <c r="R477" s="7" t="n">
        <v>2.158567588</v>
      </c>
      <c r="S477" s="7" t="n">
        <v>0.8082498523</v>
      </c>
    </row>
    <row r="478" customFormat="false" ht="15" hidden="false" customHeight="false" outlineLevel="0" collapsed="false">
      <c r="A478" s="5" t="s">
        <v>4</v>
      </c>
      <c r="B478" s="5" t="s">
        <v>77</v>
      </c>
      <c r="C478" s="5" t="s">
        <v>58</v>
      </c>
      <c r="D478" s="2" t="n">
        <v>20</v>
      </c>
      <c r="E478" s="5" t="s">
        <v>164</v>
      </c>
      <c r="F478" s="5" t="s">
        <v>167</v>
      </c>
      <c r="G478" s="2" t="n">
        <v>1</v>
      </c>
      <c r="H478" s="7" t="n">
        <v>0.5142792784</v>
      </c>
      <c r="I478" s="7" t="n">
        <v>0.8576202377</v>
      </c>
      <c r="J478" s="7" t="n">
        <v>0.002086070487</v>
      </c>
      <c r="K478" s="7" t="n">
        <v>-0.8576174435</v>
      </c>
      <c r="L478" s="7" t="n">
        <v>0.5142831367</v>
      </c>
      <c r="M478" s="7" t="n">
        <v>-0.002275068161</v>
      </c>
      <c r="N478" s="7" t="n">
        <v>-0.00302397537</v>
      </c>
      <c r="O478" s="7" t="n">
        <v>-0.0006190300258</v>
      </c>
      <c r="P478" s="7" t="n">
        <v>0.9999952362</v>
      </c>
      <c r="Q478" s="7" t="n">
        <v>-10.02746026</v>
      </c>
      <c r="R478" s="7" t="n">
        <v>11.46734209</v>
      </c>
      <c r="S478" s="7" t="n">
        <v>0.4267100505</v>
      </c>
    </row>
    <row r="479" customFormat="false" ht="15" hidden="false" customHeight="false" outlineLevel="0" collapsed="false">
      <c r="A479" s="5" t="s">
        <v>4</v>
      </c>
      <c r="B479" s="5" t="s">
        <v>77</v>
      </c>
      <c r="C479" s="5" t="s">
        <v>62</v>
      </c>
      <c r="D479" s="2" t="n">
        <v>20</v>
      </c>
      <c r="E479" s="5" t="s">
        <v>164</v>
      </c>
      <c r="F479" s="5" t="s">
        <v>167</v>
      </c>
      <c r="G479" s="2" t="n">
        <v>1</v>
      </c>
      <c r="H479" s="7" t="n">
        <v>0.5142792784</v>
      </c>
      <c r="I479" s="7" t="n">
        <v>0.8576202377</v>
      </c>
      <c r="J479" s="7" t="n">
        <v>0.002086070487</v>
      </c>
      <c r="K479" s="7" t="n">
        <v>-0.8576174435</v>
      </c>
      <c r="L479" s="7" t="n">
        <v>0.5142831367</v>
      </c>
      <c r="M479" s="7" t="n">
        <v>-0.002275068161</v>
      </c>
      <c r="N479" s="7" t="n">
        <v>-0.00302397537</v>
      </c>
      <c r="O479" s="7" t="n">
        <v>-0.0006190300258</v>
      </c>
      <c r="P479" s="7" t="n">
        <v>0.9999952362</v>
      </c>
      <c r="Q479" s="7" t="n">
        <v>-10.02746026</v>
      </c>
      <c r="R479" s="7" t="n">
        <v>11.46734209</v>
      </c>
      <c r="S479" s="7" t="n">
        <v>0.4267100505</v>
      </c>
    </row>
    <row r="480" customFormat="false" ht="15" hidden="false" customHeight="false" outlineLevel="0" collapsed="false">
      <c r="A480" s="5" t="s">
        <v>4</v>
      </c>
      <c r="B480" s="5" t="s">
        <v>77</v>
      </c>
      <c r="C480" s="5" t="s">
        <v>58</v>
      </c>
      <c r="D480" s="2" t="n">
        <v>20</v>
      </c>
      <c r="E480" s="5" t="s">
        <v>164</v>
      </c>
      <c r="F480" s="5" t="s">
        <v>168</v>
      </c>
      <c r="G480" s="2" t="n">
        <v>1</v>
      </c>
      <c r="H480" s="7" t="n">
        <v>-0.812590584</v>
      </c>
      <c r="I480" s="7" t="n">
        <v>0.5824796343</v>
      </c>
      <c r="J480" s="7" t="n">
        <v>-0.02034744247</v>
      </c>
      <c r="K480" s="7" t="n">
        <v>-0.582597265</v>
      </c>
      <c r="L480" s="7" t="n">
        <v>-0.81276097</v>
      </c>
      <c r="M480" s="7" t="n">
        <v>-0.0001799152423</v>
      </c>
      <c r="N480" s="7" t="n">
        <v>-0.01664240405</v>
      </c>
      <c r="O480" s="7" t="n">
        <v>0.0117081669</v>
      </c>
      <c r="P480" s="7" t="n">
        <v>0.9997929532</v>
      </c>
      <c r="Q480" s="7" t="n">
        <v>16.57752609</v>
      </c>
      <c r="R480" s="7" t="n">
        <v>12.6278331</v>
      </c>
      <c r="S480" s="7" t="n">
        <v>1.563369198</v>
      </c>
    </row>
    <row r="481" customFormat="false" ht="15" hidden="false" customHeight="false" outlineLevel="0" collapsed="false">
      <c r="A481" s="5" t="s">
        <v>4</v>
      </c>
      <c r="B481" s="5" t="s">
        <v>77</v>
      </c>
      <c r="C481" s="5" t="s">
        <v>62</v>
      </c>
      <c r="D481" s="2" t="n">
        <v>20</v>
      </c>
      <c r="E481" s="5" t="s">
        <v>164</v>
      </c>
      <c r="F481" s="5" t="s">
        <v>168</v>
      </c>
      <c r="G481" s="2" t="n">
        <v>1</v>
      </c>
      <c r="H481" s="7" t="n">
        <v>-0.8132695319</v>
      </c>
      <c r="I481" s="7" t="n">
        <v>0.5818145325</v>
      </c>
      <c r="J481" s="7" t="n">
        <v>-0.009193377802</v>
      </c>
      <c r="K481" s="7" t="n">
        <v>-0.5818356208</v>
      </c>
      <c r="L481" s="7" t="n">
        <v>-0.8133062762</v>
      </c>
      <c r="M481" s="7" t="n">
        <v>-0.000459884803</v>
      </c>
      <c r="N481" s="7" t="n">
        <v>-0.007744599527</v>
      </c>
      <c r="O481" s="7" t="n">
        <v>0.004975024382</v>
      </c>
      <c r="P481" s="7" t="n">
        <v>0.9999576343</v>
      </c>
      <c r="Q481" s="7" t="n">
        <v>16.61609928</v>
      </c>
      <c r="R481" s="7" t="n">
        <v>12.61933526</v>
      </c>
      <c r="S481" s="7" t="n">
        <v>1.559631163</v>
      </c>
    </row>
    <row r="482" customFormat="false" ht="15" hidden="false" customHeight="false" outlineLevel="0" collapsed="false">
      <c r="A482" s="5" t="s">
        <v>4</v>
      </c>
      <c r="B482" s="5" t="s">
        <v>77</v>
      </c>
      <c r="C482" s="5" t="s">
        <v>58</v>
      </c>
      <c r="D482" s="2" t="n">
        <v>11</v>
      </c>
      <c r="E482" s="5" t="s">
        <v>165</v>
      </c>
      <c r="F482" s="5" t="s">
        <v>166</v>
      </c>
      <c r="G482" s="2" t="n">
        <v>1</v>
      </c>
      <c r="H482" s="7" t="n">
        <v>0.9968044271</v>
      </c>
      <c r="I482" s="7" t="n">
        <v>0.07933880488</v>
      </c>
      <c r="J482" s="7" t="n">
        <v>-0.009289145702</v>
      </c>
      <c r="K482" s="7" t="n">
        <v>-0.07931683792</v>
      </c>
      <c r="L482" s="7" t="n">
        <v>0.996845772</v>
      </c>
      <c r="M482" s="7" t="n">
        <v>0.002710370547</v>
      </c>
      <c r="N482" s="7" t="n">
        <v>0.009474883179</v>
      </c>
      <c r="O482" s="7" t="n">
        <v>-0.001964923697</v>
      </c>
      <c r="P482" s="7" t="n">
        <v>0.9999531817</v>
      </c>
      <c r="Q482" s="7" t="n">
        <v>14.38172831</v>
      </c>
      <c r="R482" s="7" t="n">
        <v>5.84846772</v>
      </c>
      <c r="S482" s="7" t="n">
        <v>0.7755105301</v>
      </c>
    </row>
    <row r="483" customFormat="false" ht="15" hidden="false" customHeight="false" outlineLevel="0" collapsed="false">
      <c r="A483" s="5" t="s">
        <v>4</v>
      </c>
      <c r="B483" s="5" t="s">
        <v>77</v>
      </c>
      <c r="C483" s="5" t="s">
        <v>62</v>
      </c>
      <c r="D483" s="2" t="n">
        <v>11</v>
      </c>
      <c r="E483" s="5" t="s">
        <v>165</v>
      </c>
      <c r="F483" s="5" t="s">
        <v>166</v>
      </c>
      <c r="G483" s="2" t="n">
        <v>1</v>
      </c>
      <c r="H483" s="7" t="n">
        <v>0.9968044271</v>
      </c>
      <c r="I483" s="7" t="n">
        <v>0.07933880488</v>
      </c>
      <c r="J483" s="7" t="n">
        <v>-0.009289145702</v>
      </c>
      <c r="K483" s="7" t="n">
        <v>-0.07931683792</v>
      </c>
      <c r="L483" s="7" t="n">
        <v>0.996845772</v>
      </c>
      <c r="M483" s="7" t="n">
        <v>0.002710370547</v>
      </c>
      <c r="N483" s="7" t="n">
        <v>0.009474883179</v>
      </c>
      <c r="O483" s="7" t="n">
        <v>-0.001964923697</v>
      </c>
      <c r="P483" s="7" t="n">
        <v>0.9999531817</v>
      </c>
      <c r="Q483" s="7" t="n">
        <v>14.38172831</v>
      </c>
      <c r="R483" s="7" t="n">
        <v>5.84846772</v>
      </c>
      <c r="S483" s="7" t="n">
        <v>0.7755105301</v>
      </c>
    </row>
    <row r="484" customFormat="false" ht="15" hidden="false" customHeight="false" outlineLevel="0" collapsed="false">
      <c r="A484" s="5" t="s">
        <v>4</v>
      </c>
      <c r="B484" s="5" t="s">
        <v>77</v>
      </c>
      <c r="C484" s="5" t="s">
        <v>58</v>
      </c>
      <c r="D484" s="2" t="n">
        <v>11</v>
      </c>
      <c r="E484" s="5" t="s">
        <v>165</v>
      </c>
      <c r="F484" s="5" t="s">
        <v>167</v>
      </c>
      <c r="G484" s="2" t="n">
        <v>1</v>
      </c>
      <c r="H484" s="7" t="n">
        <v>-0.1375562654</v>
      </c>
      <c r="I484" s="7" t="n">
        <v>-0.9904868519</v>
      </c>
      <c r="J484" s="7" t="n">
        <v>0.003751012212</v>
      </c>
      <c r="K484" s="7" t="n">
        <v>0.9904799416</v>
      </c>
      <c r="L484" s="7" t="n">
        <v>-0.1375734771</v>
      </c>
      <c r="M484" s="7" t="n">
        <v>-0.004798310215</v>
      </c>
      <c r="N484" s="7" t="n">
        <v>0.005268702972</v>
      </c>
      <c r="O484" s="7" t="n">
        <v>0.003055264723</v>
      </c>
      <c r="P484" s="7" t="n">
        <v>0.9999814529</v>
      </c>
      <c r="Q484" s="7" t="n">
        <v>-13.9969645</v>
      </c>
      <c r="R484" s="7" t="n">
        <v>12.38297443</v>
      </c>
      <c r="S484" s="7" t="n">
        <v>0.3427310078</v>
      </c>
    </row>
    <row r="485" customFormat="false" ht="15" hidden="false" customHeight="false" outlineLevel="0" collapsed="false">
      <c r="A485" s="5" t="s">
        <v>4</v>
      </c>
      <c r="B485" s="5" t="s">
        <v>77</v>
      </c>
      <c r="C485" s="5" t="s">
        <v>62</v>
      </c>
      <c r="D485" s="2" t="n">
        <v>11</v>
      </c>
      <c r="E485" s="5" t="s">
        <v>165</v>
      </c>
      <c r="F485" s="5" t="s">
        <v>167</v>
      </c>
      <c r="G485" s="2" t="n">
        <v>1</v>
      </c>
      <c r="H485" s="7" t="n">
        <v>-0.1375562654</v>
      </c>
      <c r="I485" s="7" t="n">
        <v>-0.9904868519</v>
      </c>
      <c r="J485" s="7" t="n">
        <v>0.003751012212</v>
      </c>
      <c r="K485" s="7" t="n">
        <v>0.9904799416</v>
      </c>
      <c r="L485" s="7" t="n">
        <v>-0.1375734771</v>
      </c>
      <c r="M485" s="7" t="n">
        <v>-0.004798310215</v>
      </c>
      <c r="N485" s="7" t="n">
        <v>0.005268702972</v>
      </c>
      <c r="O485" s="7" t="n">
        <v>0.003055264723</v>
      </c>
      <c r="P485" s="7" t="n">
        <v>0.9999814529</v>
      </c>
      <c r="Q485" s="7" t="n">
        <v>-13.9969645</v>
      </c>
      <c r="R485" s="7" t="n">
        <v>12.38297443</v>
      </c>
      <c r="S485" s="7" t="n">
        <v>0.3427310078</v>
      </c>
    </row>
    <row r="486" customFormat="false" ht="15" hidden="false" customHeight="false" outlineLevel="0" collapsed="false">
      <c r="A486" s="5" t="s">
        <v>4</v>
      </c>
      <c r="B486" s="5" t="s">
        <v>77</v>
      </c>
      <c r="C486" s="5" t="s">
        <v>58</v>
      </c>
      <c r="D486" s="2" t="n">
        <v>11</v>
      </c>
      <c r="E486" s="5" t="s">
        <v>165</v>
      </c>
      <c r="F486" s="5" t="s">
        <v>168</v>
      </c>
      <c r="G486" s="2" t="n">
        <v>1</v>
      </c>
      <c r="H486" s="7" t="n">
        <v>0.9767480395</v>
      </c>
      <c r="I486" s="7" t="n">
        <v>-0.2143297793</v>
      </c>
      <c r="J486" s="7" t="n">
        <v>-0.005100293897</v>
      </c>
      <c r="K486" s="7" t="n">
        <v>0.2143198215</v>
      </c>
      <c r="L486" s="7" t="n">
        <v>0.9767605147</v>
      </c>
      <c r="M486" s="7" t="n">
        <v>-0.002431248638</v>
      </c>
      <c r="N486" s="7" t="n">
        <v>0.005502854676</v>
      </c>
      <c r="O486" s="7" t="n">
        <v>0.001281623263</v>
      </c>
      <c r="P486" s="7" t="n">
        <v>0.9999840379</v>
      </c>
      <c r="Q486" s="7" t="n">
        <v>17.24713475</v>
      </c>
      <c r="R486" s="7" t="n">
        <v>16.6225578</v>
      </c>
      <c r="S486" s="7" t="n">
        <v>1.497392815</v>
      </c>
    </row>
    <row r="487" customFormat="false" ht="15" hidden="false" customHeight="false" outlineLevel="0" collapsed="false">
      <c r="A487" s="5" t="s">
        <v>4</v>
      </c>
      <c r="B487" s="5" t="s">
        <v>77</v>
      </c>
      <c r="C487" s="5" t="s">
        <v>62</v>
      </c>
      <c r="D487" s="2" t="n">
        <v>11</v>
      </c>
      <c r="E487" s="5" t="s">
        <v>165</v>
      </c>
      <c r="F487" s="5" t="s">
        <v>168</v>
      </c>
      <c r="G487" s="2" t="n">
        <v>1</v>
      </c>
      <c r="H487" s="7" t="n">
        <v>0.9767480395</v>
      </c>
      <c r="I487" s="7" t="n">
        <v>-0.2143297793</v>
      </c>
      <c r="J487" s="7" t="n">
        <v>-0.005100293897</v>
      </c>
      <c r="K487" s="7" t="n">
        <v>0.2143198215</v>
      </c>
      <c r="L487" s="7" t="n">
        <v>0.9767605147</v>
      </c>
      <c r="M487" s="7" t="n">
        <v>-0.002431248638</v>
      </c>
      <c r="N487" s="7" t="n">
        <v>0.005502854676</v>
      </c>
      <c r="O487" s="7" t="n">
        <v>0.001281623263</v>
      </c>
      <c r="P487" s="7" t="n">
        <v>0.9999840379</v>
      </c>
      <c r="Q487" s="7" t="n">
        <v>17.24713475</v>
      </c>
      <c r="R487" s="7" t="n">
        <v>16.6225578</v>
      </c>
      <c r="S487" s="7" t="n">
        <v>1.497392815</v>
      </c>
    </row>
    <row r="488" customFormat="false" ht="15" hidden="false" customHeight="false" outlineLevel="0" collapsed="false">
      <c r="A488" s="5" t="s">
        <v>4</v>
      </c>
      <c r="B488" s="5" t="s">
        <v>77</v>
      </c>
      <c r="C488" s="5" t="s">
        <v>58</v>
      </c>
      <c r="D488" s="2" t="n">
        <v>12</v>
      </c>
      <c r="E488" s="5" t="s">
        <v>165</v>
      </c>
      <c r="F488" s="5" t="s">
        <v>166</v>
      </c>
      <c r="G488" s="2" t="n">
        <v>1</v>
      </c>
      <c r="H488" s="7" t="n">
        <v>0.9967272848</v>
      </c>
      <c r="I488" s="7" t="n">
        <v>0.08040904187</v>
      </c>
      <c r="J488" s="7" t="n">
        <v>-0.008312983817</v>
      </c>
      <c r="K488" s="7" t="n">
        <v>-0.08037839846</v>
      </c>
      <c r="L488" s="7" t="n">
        <v>0.9967565662</v>
      </c>
      <c r="M488" s="7" t="n">
        <v>0.003957377002</v>
      </c>
      <c r="N488" s="7" t="n">
        <v>0.008604230097</v>
      </c>
      <c r="O488" s="7" t="n">
        <v>-0.003276241308</v>
      </c>
      <c r="P488" s="7" t="n">
        <v>0.9999576158</v>
      </c>
      <c r="Q488" s="7" t="n">
        <v>14.36206944</v>
      </c>
      <c r="R488" s="7" t="n">
        <v>5.835472058</v>
      </c>
      <c r="S488" s="7" t="n">
        <v>0.7294132103</v>
      </c>
    </row>
    <row r="489" customFormat="false" ht="15" hidden="false" customHeight="false" outlineLevel="0" collapsed="false">
      <c r="A489" s="5" t="s">
        <v>4</v>
      </c>
      <c r="B489" s="5" t="s">
        <v>77</v>
      </c>
      <c r="C489" s="5" t="s">
        <v>62</v>
      </c>
      <c r="D489" s="2" t="n">
        <v>12</v>
      </c>
      <c r="E489" s="5" t="s">
        <v>165</v>
      </c>
      <c r="F489" s="5" t="s">
        <v>166</v>
      </c>
      <c r="G489" s="2" t="n">
        <v>1</v>
      </c>
      <c r="H489" s="7" t="n">
        <v>0.9967272848</v>
      </c>
      <c r="I489" s="7" t="n">
        <v>0.08040904187</v>
      </c>
      <c r="J489" s="7" t="n">
        <v>-0.008312983817</v>
      </c>
      <c r="K489" s="7" t="n">
        <v>-0.08037839846</v>
      </c>
      <c r="L489" s="7" t="n">
        <v>0.9967565662</v>
      </c>
      <c r="M489" s="7" t="n">
        <v>0.003957377002</v>
      </c>
      <c r="N489" s="7" t="n">
        <v>0.008604230097</v>
      </c>
      <c r="O489" s="7" t="n">
        <v>-0.003276241308</v>
      </c>
      <c r="P489" s="7" t="n">
        <v>0.9999576158</v>
      </c>
      <c r="Q489" s="7" t="n">
        <v>14.36206944</v>
      </c>
      <c r="R489" s="7" t="n">
        <v>5.835472058</v>
      </c>
      <c r="S489" s="7" t="n">
        <v>0.7294132103</v>
      </c>
    </row>
    <row r="490" customFormat="false" ht="15" hidden="false" customHeight="false" outlineLevel="0" collapsed="false">
      <c r="A490" s="5" t="s">
        <v>4</v>
      </c>
      <c r="B490" s="5" t="s">
        <v>77</v>
      </c>
      <c r="C490" s="5" t="s">
        <v>58</v>
      </c>
      <c r="D490" s="2" t="n">
        <v>12</v>
      </c>
      <c r="E490" s="5" t="s">
        <v>165</v>
      </c>
      <c r="F490" s="5" t="s">
        <v>167</v>
      </c>
      <c r="G490" s="2" t="n">
        <v>1</v>
      </c>
      <c r="H490" s="7" t="n">
        <v>-0.1376932377</v>
      </c>
      <c r="I490" s="7" t="n">
        <v>-0.9904746271</v>
      </c>
      <c r="J490" s="7" t="n">
        <v>0.0007650800011</v>
      </c>
      <c r="K490" s="7" t="n">
        <v>0.9904716239</v>
      </c>
      <c r="L490" s="7" t="n">
        <v>-0.1376947315</v>
      </c>
      <c r="M490" s="7" t="n">
        <v>-0.002474489237</v>
      </c>
      <c r="N490" s="7" t="n">
        <v>0.002556266289</v>
      </c>
      <c r="O490" s="7" t="n">
        <v>0.0004170695966</v>
      </c>
      <c r="P490" s="7" t="n">
        <v>0.9999966458</v>
      </c>
      <c r="Q490" s="7" t="n">
        <v>-14.02262157</v>
      </c>
      <c r="R490" s="7" t="n">
        <v>12.40165758</v>
      </c>
      <c r="S490" s="7" t="n">
        <v>0.2790919895</v>
      </c>
    </row>
    <row r="491" customFormat="false" ht="15" hidden="false" customHeight="false" outlineLevel="0" collapsed="false">
      <c r="A491" s="5" t="s">
        <v>4</v>
      </c>
      <c r="B491" s="5" t="s">
        <v>77</v>
      </c>
      <c r="C491" s="5" t="s">
        <v>62</v>
      </c>
      <c r="D491" s="2" t="n">
        <v>12</v>
      </c>
      <c r="E491" s="5" t="s">
        <v>165</v>
      </c>
      <c r="F491" s="5" t="s">
        <v>167</v>
      </c>
      <c r="G491" s="2" t="n">
        <v>1</v>
      </c>
      <c r="H491" s="7" t="n">
        <v>-0.1376932377</v>
      </c>
      <c r="I491" s="7" t="n">
        <v>-0.9904746271</v>
      </c>
      <c r="J491" s="7" t="n">
        <v>0.0007650800011</v>
      </c>
      <c r="K491" s="7" t="n">
        <v>0.9904716239</v>
      </c>
      <c r="L491" s="7" t="n">
        <v>-0.1376947315</v>
      </c>
      <c r="M491" s="7" t="n">
        <v>-0.002474489237</v>
      </c>
      <c r="N491" s="7" t="n">
        <v>0.002556266289</v>
      </c>
      <c r="O491" s="7" t="n">
        <v>0.0004170695966</v>
      </c>
      <c r="P491" s="7" t="n">
        <v>0.9999966458</v>
      </c>
      <c r="Q491" s="7" t="n">
        <v>-14.02262157</v>
      </c>
      <c r="R491" s="7" t="n">
        <v>12.40165758</v>
      </c>
      <c r="S491" s="7" t="n">
        <v>0.2790919895</v>
      </c>
    </row>
    <row r="492" customFormat="false" ht="15" hidden="false" customHeight="false" outlineLevel="0" collapsed="false">
      <c r="A492" s="5" t="s">
        <v>4</v>
      </c>
      <c r="B492" s="5" t="s">
        <v>77</v>
      </c>
      <c r="C492" s="5" t="s">
        <v>58</v>
      </c>
      <c r="D492" s="2" t="n">
        <v>12</v>
      </c>
      <c r="E492" s="5" t="s">
        <v>165</v>
      </c>
      <c r="F492" s="5" t="s">
        <v>168</v>
      </c>
      <c r="G492" s="2" t="n">
        <v>1</v>
      </c>
      <c r="H492" s="7" t="n">
        <v>0.9761274804</v>
      </c>
      <c r="I492" s="7" t="n">
        <v>-0.2171978337</v>
      </c>
      <c r="J492" s="7" t="n">
        <v>-0.0004929237135</v>
      </c>
      <c r="K492" s="7" t="n">
        <v>0.2171900884</v>
      </c>
      <c r="L492" s="7" t="n">
        <v>0.9761074898</v>
      </c>
      <c r="M492" s="7" t="n">
        <v>-0.006529465392</v>
      </c>
      <c r="N492" s="7" t="n">
        <v>0.001899332267</v>
      </c>
      <c r="O492" s="7" t="n">
        <v>0.006266532457</v>
      </c>
      <c r="P492" s="7" t="n">
        <v>0.9999785613</v>
      </c>
      <c r="Q492" s="7" t="n">
        <v>17.23110014</v>
      </c>
      <c r="R492" s="7" t="n">
        <v>16.64733053</v>
      </c>
      <c r="S492" s="7" t="n">
        <v>1.510144467</v>
      </c>
    </row>
    <row r="493" customFormat="false" ht="15" hidden="false" customHeight="false" outlineLevel="0" collapsed="false">
      <c r="A493" s="5" t="s">
        <v>4</v>
      </c>
      <c r="B493" s="5" t="s">
        <v>77</v>
      </c>
      <c r="C493" s="5" t="s">
        <v>62</v>
      </c>
      <c r="D493" s="2" t="n">
        <v>12</v>
      </c>
      <c r="E493" s="5" t="s">
        <v>165</v>
      </c>
      <c r="F493" s="5" t="s">
        <v>168</v>
      </c>
      <c r="G493" s="2" t="n">
        <v>1</v>
      </c>
      <c r="H493" s="7" t="n">
        <v>0.9761274804</v>
      </c>
      <c r="I493" s="7" t="n">
        <v>-0.2171978337</v>
      </c>
      <c r="J493" s="7" t="n">
        <v>-0.0004929237135</v>
      </c>
      <c r="K493" s="7" t="n">
        <v>0.2171900884</v>
      </c>
      <c r="L493" s="7" t="n">
        <v>0.9761074898</v>
      </c>
      <c r="M493" s="7" t="n">
        <v>-0.006529465392</v>
      </c>
      <c r="N493" s="7" t="n">
        <v>0.001899332267</v>
      </c>
      <c r="O493" s="7" t="n">
        <v>0.006266532457</v>
      </c>
      <c r="P493" s="7" t="n">
        <v>0.9999785613</v>
      </c>
      <c r="Q493" s="7" t="n">
        <v>17.23110014</v>
      </c>
      <c r="R493" s="7" t="n">
        <v>16.64733053</v>
      </c>
      <c r="S493" s="7" t="n">
        <v>1.510144467</v>
      </c>
    </row>
    <row r="494" customFormat="false" ht="15" hidden="false" customHeight="false" outlineLevel="0" collapsed="false">
      <c r="A494" s="5" t="s">
        <v>4</v>
      </c>
      <c r="B494" s="5" t="s">
        <v>77</v>
      </c>
      <c r="C494" s="5" t="s">
        <v>58</v>
      </c>
      <c r="D494" s="2" t="n">
        <v>13</v>
      </c>
      <c r="E494" s="5" t="s">
        <v>165</v>
      </c>
      <c r="F494" s="5" t="s">
        <v>166</v>
      </c>
      <c r="G494" s="2" t="n">
        <v>1</v>
      </c>
      <c r="H494" s="7" t="n">
        <v>0.9967213963</v>
      </c>
      <c r="I494" s="7" t="n">
        <v>0.08050787073</v>
      </c>
      <c r="J494" s="7" t="n">
        <v>-0.008058594128</v>
      </c>
      <c r="K494" s="7" t="n">
        <v>-0.08051592142</v>
      </c>
      <c r="L494" s="7" t="n">
        <v>0.9967530914</v>
      </c>
      <c r="M494" s="7" t="n">
        <v>-0.0006790993916</v>
      </c>
      <c r="N494" s="7" t="n">
        <v>0.007977755764</v>
      </c>
      <c r="O494" s="7" t="n">
        <v>0.001325718025</v>
      </c>
      <c r="P494" s="7" t="n">
        <v>0.9999672984</v>
      </c>
      <c r="Q494" s="7" t="n">
        <v>14.36904715</v>
      </c>
      <c r="R494" s="7" t="n">
        <v>5.820724607</v>
      </c>
      <c r="S494" s="7" t="n">
        <v>0.7678773108</v>
      </c>
    </row>
    <row r="495" customFormat="false" ht="15" hidden="false" customHeight="false" outlineLevel="0" collapsed="false">
      <c r="A495" s="5" t="s">
        <v>4</v>
      </c>
      <c r="B495" s="5" t="s">
        <v>77</v>
      </c>
      <c r="C495" s="5" t="s">
        <v>62</v>
      </c>
      <c r="D495" s="2" t="n">
        <v>13</v>
      </c>
      <c r="E495" s="5" t="s">
        <v>165</v>
      </c>
      <c r="F495" s="5" t="s">
        <v>166</v>
      </c>
      <c r="G495" s="2" t="n">
        <v>1</v>
      </c>
      <c r="H495" s="7" t="n">
        <v>0.9967213963</v>
      </c>
      <c r="I495" s="7" t="n">
        <v>0.08050787073</v>
      </c>
      <c r="J495" s="7" t="n">
        <v>-0.008058594128</v>
      </c>
      <c r="K495" s="7" t="n">
        <v>-0.08051592142</v>
      </c>
      <c r="L495" s="7" t="n">
        <v>0.9967530914</v>
      </c>
      <c r="M495" s="7" t="n">
        <v>-0.0006790993916</v>
      </c>
      <c r="N495" s="7" t="n">
        <v>0.007977755764</v>
      </c>
      <c r="O495" s="7" t="n">
        <v>0.001325718025</v>
      </c>
      <c r="P495" s="7" t="n">
        <v>0.9999672984</v>
      </c>
      <c r="Q495" s="7" t="n">
        <v>14.36904715</v>
      </c>
      <c r="R495" s="7" t="n">
        <v>5.820724607</v>
      </c>
      <c r="S495" s="7" t="n">
        <v>0.7678773108</v>
      </c>
    </row>
    <row r="496" customFormat="false" ht="15" hidden="false" customHeight="false" outlineLevel="0" collapsed="false">
      <c r="A496" s="5" t="s">
        <v>4</v>
      </c>
      <c r="B496" s="5" t="s">
        <v>77</v>
      </c>
      <c r="C496" s="5" t="s">
        <v>58</v>
      </c>
      <c r="D496" s="2" t="n">
        <v>13</v>
      </c>
      <c r="E496" s="5" t="s">
        <v>165</v>
      </c>
      <c r="F496" s="5" t="s">
        <v>167</v>
      </c>
      <c r="G496" s="2" t="n">
        <v>1</v>
      </c>
      <c r="H496" s="7" t="n">
        <v>-0.1389914555</v>
      </c>
      <c r="I496" s="7" t="n">
        <v>-0.9902626376</v>
      </c>
      <c r="J496" s="7" t="n">
        <v>0.007828396897</v>
      </c>
      <c r="K496" s="7" t="n">
        <v>0.9902631949</v>
      </c>
      <c r="L496" s="7" t="n">
        <v>-0.1390447738</v>
      </c>
      <c r="M496" s="7" t="n">
        <v>-0.006734668821</v>
      </c>
      <c r="N496" s="7" t="n">
        <v>0.007757588586</v>
      </c>
      <c r="O496" s="7" t="n">
        <v>0.0068161119</v>
      </c>
      <c r="P496" s="7" t="n">
        <v>0.9999466788</v>
      </c>
      <c r="Q496" s="7" t="n">
        <v>-13.971312</v>
      </c>
      <c r="R496" s="7" t="n">
        <v>12.3302859</v>
      </c>
      <c r="S496" s="7" t="n">
        <v>0.4016959173</v>
      </c>
    </row>
    <row r="497" customFormat="false" ht="15" hidden="false" customHeight="false" outlineLevel="0" collapsed="false">
      <c r="A497" s="5" t="s">
        <v>4</v>
      </c>
      <c r="B497" s="5" t="s">
        <v>77</v>
      </c>
      <c r="C497" s="5" t="s">
        <v>62</v>
      </c>
      <c r="D497" s="2" t="n">
        <v>13</v>
      </c>
      <c r="E497" s="5" t="s">
        <v>165</v>
      </c>
      <c r="F497" s="5" t="s">
        <v>167</v>
      </c>
      <c r="G497" s="2" t="n">
        <v>1</v>
      </c>
      <c r="H497" s="7" t="n">
        <v>-0.1389914555</v>
      </c>
      <c r="I497" s="7" t="n">
        <v>-0.9902626376</v>
      </c>
      <c r="J497" s="7" t="n">
        <v>0.007828396897</v>
      </c>
      <c r="K497" s="7" t="n">
        <v>0.9902631949</v>
      </c>
      <c r="L497" s="7" t="n">
        <v>-0.1390447738</v>
      </c>
      <c r="M497" s="7" t="n">
        <v>-0.006734668821</v>
      </c>
      <c r="N497" s="7" t="n">
        <v>0.007757588586</v>
      </c>
      <c r="O497" s="7" t="n">
        <v>0.0068161119</v>
      </c>
      <c r="P497" s="7" t="n">
        <v>0.9999466788</v>
      </c>
      <c r="Q497" s="7" t="n">
        <v>-13.971312</v>
      </c>
      <c r="R497" s="7" t="n">
        <v>12.3302859</v>
      </c>
      <c r="S497" s="7" t="n">
        <v>0.4016959173</v>
      </c>
    </row>
    <row r="498" customFormat="false" ht="15" hidden="false" customHeight="false" outlineLevel="0" collapsed="false">
      <c r="A498" s="5" t="s">
        <v>4</v>
      </c>
      <c r="B498" s="5" t="s">
        <v>77</v>
      </c>
      <c r="C498" s="5" t="s">
        <v>58</v>
      </c>
      <c r="D498" s="2" t="n">
        <v>13</v>
      </c>
      <c r="E498" s="5" t="s">
        <v>165</v>
      </c>
      <c r="F498" s="5" t="s">
        <v>168</v>
      </c>
      <c r="G498" s="2" t="n">
        <v>1</v>
      </c>
      <c r="H498" s="7" t="n">
        <v>0.9743245774</v>
      </c>
      <c r="I498" s="7" t="n">
        <v>-0.2231815623</v>
      </c>
      <c r="J498" s="7" t="n">
        <v>-0.0296918859</v>
      </c>
      <c r="K498" s="7" t="n">
        <v>0.2229319077</v>
      </c>
      <c r="L498" s="7" t="n">
        <v>0.974766058</v>
      </c>
      <c r="M498" s="7" t="n">
        <v>-0.01151072049</v>
      </c>
      <c r="N498" s="7" t="n">
        <v>0.03151162315</v>
      </c>
      <c r="O498" s="7" t="n">
        <v>0.004595909112</v>
      </c>
      <c r="P498" s="7" t="n">
        <v>0.999492819</v>
      </c>
      <c r="Q498" s="7" t="n">
        <v>17.07874993</v>
      </c>
      <c r="R498" s="7" t="n">
        <v>16.73768894</v>
      </c>
      <c r="S498" s="7" t="n">
        <v>1.823724737</v>
      </c>
    </row>
    <row r="499" customFormat="false" ht="15" hidden="false" customHeight="false" outlineLevel="0" collapsed="false">
      <c r="A499" s="5" t="s">
        <v>4</v>
      </c>
      <c r="B499" s="5" t="s">
        <v>77</v>
      </c>
      <c r="C499" s="5" t="s">
        <v>62</v>
      </c>
      <c r="D499" s="2" t="n">
        <v>13</v>
      </c>
      <c r="E499" s="5" t="s">
        <v>165</v>
      </c>
      <c r="F499" s="5" t="s">
        <v>168</v>
      </c>
      <c r="G499" s="2" t="n">
        <v>1</v>
      </c>
      <c r="H499" s="7" t="n">
        <v>0.9743245774</v>
      </c>
      <c r="I499" s="7" t="n">
        <v>-0.2231815623</v>
      </c>
      <c r="J499" s="7" t="n">
        <v>-0.0296918859</v>
      </c>
      <c r="K499" s="7" t="n">
        <v>0.2229319077</v>
      </c>
      <c r="L499" s="7" t="n">
        <v>0.974766058</v>
      </c>
      <c r="M499" s="7" t="n">
        <v>-0.01151072049</v>
      </c>
      <c r="N499" s="7" t="n">
        <v>0.03151162315</v>
      </c>
      <c r="O499" s="7" t="n">
        <v>0.004595909112</v>
      </c>
      <c r="P499" s="7" t="n">
        <v>0.999492819</v>
      </c>
      <c r="Q499" s="7" t="n">
        <v>17.07874993</v>
      </c>
      <c r="R499" s="7" t="n">
        <v>16.73768894</v>
      </c>
      <c r="S499" s="7" t="n">
        <v>1.823724737</v>
      </c>
    </row>
    <row r="500" customFormat="false" ht="15" hidden="false" customHeight="false" outlineLevel="0" collapsed="false">
      <c r="A500" s="5" t="s">
        <v>4</v>
      </c>
      <c r="B500" s="5" t="s">
        <v>77</v>
      </c>
      <c r="C500" s="5" t="s">
        <v>58</v>
      </c>
      <c r="D500" s="2" t="n">
        <v>14</v>
      </c>
      <c r="E500" s="5" t="s">
        <v>165</v>
      </c>
      <c r="F500" s="5" t="s">
        <v>166</v>
      </c>
      <c r="G500" s="2" t="n">
        <v>1</v>
      </c>
      <c r="H500" s="7" t="n">
        <v>0.996780076</v>
      </c>
      <c r="I500" s="7" t="n">
        <v>0.07966883482</v>
      </c>
      <c r="J500" s="7" t="n">
        <v>-0.009075072753</v>
      </c>
      <c r="K500" s="7" t="n">
        <v>-0.07964102078</v>
      </c>
      <c r="L500" s="7" t="n">
        <v>0.9968178561</v>
      </c>
      <c r="M500" s="7" t="n">
        <v>0.003386680723</v>
      </c>
      <c r="N500" s="7" t="n">
        <v>0.009316007473</v>
      </c>
      <c r="O500" s="7" t="n">
        <v>-0.002653027811</v>
      </c>
      <c r="P500" s="7" t="n">
        <v>0.9999530856</v>
      </c>
      <c r="Q500" s="7" t="n">
        <v>14.33996878</v>
      </c>
      <c r="R500" s="7" t="n">
        <v>5.836395343</v>
      </c>
      <c r="S500" s="7" t="n">
        <v>0.7372250879</v>
      </c>
    </row>
    <row r="501" customFormat="false" ht="15" hidden="false" customHeight="false" outlineLevel="0" collapsed="false">
      <c r="A501" s="5" t="s">
        <v>4</v>
      </c>
      <c r="B501" s="5" t="s">
        <v>77</v>
      </c>
      <c r="C501" s="5" t="s">
        <v>62</v>
      </c>
      <c r="D501" s="2" t="n">
        <v>14</v>
      </c>
      <c r="E501" s="5" t="s">
        <v>165</v>
      </c>
      <c r="F501" s="5" t="s">
        <v>166</v>
      </c>
      <c r="G501" s="2" t="n">
        <v>1</v>
      </c>
      <c r="H501" s="7" t="n">
        <v>0.996780076</v>
      </c>
      <c r="I501" s="7" t="n">
        <v>0.07966883482</v>
      </c>
      <c r="J501" s="7" t="n">
        <v>-0.009075072753</v>
      </c>
      <c r="K501" s="7" t="n">
        <v>-0.07964102078</v>
      </c>
      <c r="L501" s="7" t="n">
        <v>0.9968178561</v>
      </c>
      <c r="M501" s="7" t="n">
        <v>0.003386680723</v>
      </c>
      <c r="N501" s="7" t="n">
        <v>0.009316007473</v>
      </c>
      <c r="O501" s="7" t="n">
        <v>-0.002653027811</v>
      </c>
      <c r="P501" s="7" t="n">
        <v>0.9999530856</v>
      </c>
      <c r="Q501" s="7" t="n">
        <v>14.33996878</v>
      </c>
      <c r="R501" s="7" t="n">
        <v>5.836395343</v>
      </c>
      <c r="S501" s="7" t="n">
        <v>0.7372250879</v>
      </c>
    </row>
    <row r="502" customFormat="false" ht="15" hidden="false" customHeight="false" outlineLevel="0" collapsed="false">
      <c r="A502" s="5" t="s">
        <v>4</v>
      </c>
      <c r="B502" s="5" t="s">
        <v>77</v>
      </c>
      <c r="C502" s="5" t="s">
        <v>58</v>
      </c>
      <c r="D502" s="2" t="n">
        <v>14</v>
      </c>
      <c r="E502" s="5" t="s">
        <v>165</v>
      </c>
      <c r="F502" s="5" t="s">
        <v>167</v>
      </c>
      <c r="G502" s="2" t="n">
        <v>1</v>
      </c>
      <c r="H502" s="7" t="n">
        <v>-0.1365338802</v>
      </c>
      <c r="I502" s="7" t="n">
        <v>-0.9906323947</v>
      </c>
      <c r="J502" s="7" t="n">
        <v>-0.002440938502</v>
      </c>
      <c r="K502" s="7" t="n">
        <v>0.9906183374</v>
      </c>
      <c r="L502" s="7" t="n">
        <v>-0.1365166512</v>
      </c>
      <c r="M502" s="7" t="n">
        <v>-0.00620593587</v>
      </c>
      <c r="N502" s="7" t="n">
        <v>0.005814572362</v>
      </c>
      <c r="O502" s="7" t="n">
        <v>-0.003265358945</v>
      </c>
      <c r="P502" s="7" t="n">
        <v>0.9999777638</v>
      </c>
      <c r="Q502" s="7" t="n">
        <v>-13.98145095</v>
      </c>
      <c r="R502" s="7" t="n">
        <v>12.39334201</v>
      </c>
      <c r="S502" s="7" t="n">
        <v>0.2869595928</v>
      </c>
    </row>
    <row r="503" customFormat="false" ht="15" hidden="false" customHeight="false" outlineLevel="0" collapsed="false">
      <c r="A503" s="5" t="s">
        <v>4</v>
      </c>
      <c r="B503" s="5" t="s">
        <v>77</v>
      </c>
      <c r="C503" s="5" t="s">
        <v>62</v>
      </c>
      <c r="D503" s="2" t="n">
        <v>14</v>
      </c>
      <c r="E503" s="5" t="s">
        <v>165</v>
      </c>
      <c r="F503" s="5" t="s">
        <v>167</v>
      </c>
      <c r="G503" s="2" t="n">
        <v>1</v>
      </c>
      <c r="H503" s="7" t="n">
        <v>-0.1365338802</v>
      </c>
      <c r="I503" s="7" t="n">
        <v>-0.9906323947</v>
      </c>
      <c r="J503" s="7" t="n">
        <v>-0.002440938502</v>
      </c>
      <c r="K503" s="7" t="n">
        <v>0.9906183374</v>
      </c>
      <c r="L503" s="7" t="n">
        <v>-0.1365166512</v>
      </c>
      <c r="M503" s="7" t="n">
        <v>-0.00620593587</v>
      </c>
      <c r="N503" s="7" t="n">
        <v>0.005814572362</v>
      </c>
      <c r="O503" s="7" t="n">
        <v>-0.003265358945</v>
      </c>
      <c r="P503" s="7" t="n">
        <v>0.9999777638</v>
      </c>
      <c r="Q503" s="7" t="n">
        <v>-13.98145095</v>
      </c>
      <c r="R503" s="7" t="n">
        <v>12.39334201</v>
      </c>
      <c r="S503" s="7" t="n">
        <v>0.2869595928</v>
      </c>
    </row>
    <row r="504" customFormat="false" ht="15" hidden="false" customHeight="false" outlineLevel="0" collapsed="false">
      <c r="A504" s="5" t="s">
        <v>4</v>
      </c>
      <c r="B504" s="5" t="s">
        <v>77</v>
      </c>
      <c r="C504" s="5" t="s">
        <v>58</v>
      </c>
      <c r="D504" s="2" t="n">
        <v>14</v>
      </c>
      <c r="E504" s="5" t="s">
        <v>165</v>
      </c>
      <c r="F504" s="5" t="s">
        <v>168</v>
      </c>
      <c r="G504" s="2" t="n">
        <v>1</v>
      </c>
      <c r="H504" s="7" t="n">
        <v>0.976658572</v>
      </c>
      <c r="I504" s="7" t="n">
        <v>-0.2146170624</v>
      </c>
      <c r="J504" s="7" t="n">
        <v>0.008806263261</v>
      </c>
      <c r="K504" s="7" t="n">
        <v>0.2145676756</v>
      </c>
      <c r="L504" s="7" t="n">
        <v>0.976689282</v>
      </c>
      <c r="M504" s="7" t="n">
        <v>0.006225676827</v>
      </c>
      <c r="N504" s="7" t="n">
        <v>-0.009937119414</v>
      </c>
      <c r="O504" s="7" t="n">
        <v>-0.004190821202</v>
      </c>
      <c r="P504" s="7" t="n">
        <v>0.9999418436</v>
      </c>
      <c r="Q504" s="7" t="n">
        <v>17.28826692</v>
      </c>
      <c r="R504" s="7" t="n">
        <v>16.64858672</v>
      </c>
      <c r="S504" s="7" t="n">
        <v>1.033701618</v>
      </c>
    </row>
    <row r="505" customFormat="false" ht="15" hidden="false" customHeight="false" outlineLevel="0" collapsed="false">
      <c r="A505" s="5" t="s">
        <v>4</v>
      </c>
      <c r="B505" s="5" t="s">
        <v>77</v>
      </c>
      <c r="C505" s="5" t="s">
        <v>62</v>
      </c>
      <c r="D505" s="2" t="n">
        <v>14</v>
      </c>
      <c r="E505" s="5" t="s">
        <v>165</v>
      </c>
      <c r="F505" s="5" t="s">
        <v>168</v>
      </c>
      <c r="G505" s="2" t="n">
        <v>1</v>
      </c>
      <c r="H505" s="7" t="n">
        <v>0.976658572</v>
      </c>
      <c r="I505" s="7" t="n">
        <v>-0.2146170624</v>
      </c>
      <c r="J505" s="7" t="n">
        <v>0.008806263261</v>
      </c>
      <c r="K505" s="7" t="n">
        <v>0.2145676756</v>
      </c>
      <c r="L505" s="7" t="n">
        <v>0.976689282</v>
      </c>
      <c r="M505" s="7" t="n">
        <v>0.006225676827</v>
      </c>
      <c r="N505" s="7" t="n">
        <v>-0.009937119414</v>
      </c>
      <c r="O505" s="7" t="n">
        <v>-0.004190821202</v>
      </c>
      <c r="P505" s="7" t="n">
        <v>0.9999418436</v>
      </c>
      <c r="Q505" s="7" t="n">
        <v>17.28826692</v>
      </c>
      <c r="R505" s="7" t="n">
        <v>16.64858672</v>
      </c>
      <c r="S505" s="7" t="n">
        <v>1.033701618</v>
      </c>
    </row>
    <row r="506" customFormat="false" ht="15" hidden="false" customHeight="false" outlineLevel="0" collapsed="false">
      <c r="A506" s="5" t="s">
        <v>4</v>
      </c>
      <c r="B506" s="5" t="s">
        <v>77</v>
      </c>
      <c r="C506" s="5" t="s">
        <v>58</v>
      </c>
      <c r="D506" s="2" t="n">
        <v>15</v>
      </c>
      <c r="E506" s="5" t="s">
        <v>165</v>
      </c>
      <c r="F506" s="5" t="s">
        <v>166</v>
      </c>
      <c r="G506" s="2" t="n">
        <v>1</v>
      </c>
      <c r="H506" s="7" t="n">
        <v>0.9966962671</v>
      </c>
      <c r="I506" s="7" t="n">
        <v>0.08091041035</v>
      </c>
      <c r="J506" s="7" t="n">
        <v>-0.007075070396</v>
      </c>
      <c r="K506" s="7" t="n">
        <v>-0.08090985804</v>
      </c>
      <c r="L506" s="7" t="n">
        <v>0.9967213562</v>
      </c>
      <c r="M506" s="7" t="n">
        <v>0.0003647254489</v>
      </c>
      <c r="N506" s="7" t="n">
        <v>0.007081383846</v>
      </c>
      <c r="O506" s="7" t="n">
        <v>0.0002089224479</v>
      </c>
      <c r="P506" s="7" t="n">
        <v>0.9999749049</v>
      </c>
      <c r="Q506" s="7" t="n">
        <v>14.37497669</v>
      </c>
      <c r="R506" s="7" t="n">
        <v>5.831929354</v>
      </c>
      <c r="S506" s="7" t="n">
        <v>0.7683158211</v>
      </c>
    </row>
    <row r="507" customFormat="false" ht="15" hidden="false" customHeight="false" outlineLevel="0" collapsed="false">
      <c r="A507" s="5" t="s">
        <v>4</v>
      </c>
      <c r="B507" s="5" t="s">
        <v>77</v>
      </c>
      <c r="C507" s="5" t="s">
        <v>62</v>
      </c>
      <c r="D507" s="2" t="n">
        <v>15</v>
      </c>
      <c r="E507" s="5" t="s">
        <v>165</v>
      </c>
      <c r="F507" s="5" t="s">
        <v>166</v>
      </c>
      <c r="G507" s="2" t="n">
        <v>1</v>
      </c>
      <c r="H507" s="7" t="n">
        <v>0.9966962671</v>
      </c>
      <c r="I507" s="7" t="n">
        <v>0.08091041035</v>
      </c>
      <c r="J507" s="7" t="n">
        <v>-0.007075070396</v>
      </c>
      <c r="K507" s="7" t="n">
        <v>-0.08090985804</v>
      </c>
      <c r="L507" s="7" t="n">
        <v>0.9967213562</v>
      </c>
      <c r="M507" s="7" t="n">
        <v>0.0003647254489</v>
      </c>
      <c r="N507" s="7" t="n">
        <v>0.007081383846</v>
      </c>
      <c r="O507" s="7" t="n">
        <v>0.0002089224479</v>
      </c>
      <c r="P507" s="7" t="n">
        <v>0.9999749049</v>
      </c>
      <c r="Q507" s="7" t="n">
        <v>14.37497669</v>
      </c>
      <c r="R507" s="7" t="n">
        <v>5.831929354</v>
      </c>
      <c r="S507" s="7" t="n">
        <v>0.7683158211</v>
      </c>
    </row>
    <row r="508" customFormat="false" ht="15" hidden="false" customHeight="false" outlineLevel="0" collapsed="false">
      <c r="A508" s="5" t="s">
        <v>4</v>
      </c>
      <c r="B508" s="5" t="s">
        <v>77</v>
      </c>
      <c r="C508" s="5" t="s">
        <v>58</v>
      </c>
      <c r="D508" s="2" t="n">
        <v>15</v>
      </c>
      <c r="E508" s="5" t="s">
        <v>165</v>
      </c>
      <c r="F508" s="5" t="s">
        <v>167</v>
      </c>
      <c r="G508" s="2" t="n">
        <v>1</v>
      </c>
      <c r="H508" s="7" t="n">
        <v>-0.1366791218</v>
      </c>
      <c r="I508" s="7" t="n">
        <v>-0.9905989959</v>
      </c>
      <c r="J508" s="7" t="n">
        <v>0.005696224508</v>
      </c>
      <c r="K508" s="7" t="n">
        <v>0.9906152574</v>
      </c>
      <c r="L508" s="7" t="n">
        <v>-0.1366796271</v>
      </c>
      <c r="M508" s="7" t="n">
        <v>0.0003023098706</v>
      </c>
      <c r="N508" s="7" t="n">
        <v>0.0004790899876</v>
      </c>
      <c r="O508" s="7" t="n">
        <v>0.005684086355</v>
      </c>
      <c r="P508" s="7" t="n">
        <v>0.9999837307</v>
      </c>
      <c r="Q508" s="7" t="n">
        <v>-13.97244109</v>
      </c>
      <c r="R508" s="7" t="n">
        <v>12.39515723</v>
      </c>
      <c r="S508" s="7" t="n">
        <v>0.297887406</v>
      </c>
    </row>
    <row r="509" customFormat="false" ht="15" hidden="false" customHeight="false" outlineLevel="0" collapsed="false">
      <c r="A509" s="5" t="s">
        <v>4</v>
      </c>
      <c r="B509" s="5" t="s">
        <v>77</v>
      </c>
      <c r="C509" s="5" t="s">
        <v>62</v>
      </c>
      <c r="D509" s="2" t="n">
        <v>15</v>
      </c>
      <c r="E509" s="5" t="s">
        <v>165</v>
      </c>
      <c r="F509" s="5" t="s">
        <v>167</v>
      </c>
      <c r="G509" s="2" t="n">
        <v>1</v>
      </c>
      <c r="H509" s="7" t="n">
        <v>-0.1366791218</v>
      </c>
      <c r="I509" s="7" t="n">
        <v>-0.9905989959</v>
      </c>
      <c r="J509" s="7" t="n">
        <v>0.005696224508</v>
      </c>
      <c r="K509" s="7" t="n">
        <v>0.9906152574</v>
      </c>
      <c r="L509" s="7" t="n">
        <v>-0.1366796271</v>
      </c>
      <c r="M509" s="7" t="n">
        <v>0.0003023098706</v>
      </c>
      <c r="N509" s="7" t="n">
        <v>0.0004790899876</v>
      </c>
      <c r="O509" s="7" t="n">
        <v>0.005684086355</v>
      </c>
      <c r="P509" s="7" t="n">
        <v>0.9999837307</v>
      </c>
      <c r="Q509" s="7" t="n">
        <v>-13.97244109</v>
      </c>
      <c r="R509" s="7" t="n">
        <v>12.39515723</v>
      </c>
      <c r="S509" s="7" t="n">
        <v>0.297887406</v>
      </c>
    </row>
    <row r="510" customFormat="false" ht="15" hidden="false" customHeight="false" outlineLevel="0" collapsed="false">
      <c r="A510" s="5" t="s">
        <v>4</v>
      </c>
      <c r="B510" s="5" t="s">
        <v>77</v>
      </c>
      <c r="C510" s="5" t="s">
        <v>58</v>
      </c>
      <c r="D510" s="2" t="n">
        <v>15</v>
      </c>
      <c r="E510" s="5" t="s">
        <v>165</v>
      </c>
      <c r="F510" s="5" t="s">
        <v>168</v>
      </c>
      <c r="G510" s="2" t="n">
        <v>1</v>
      </c>
      <c r="H510" s="7" t="n">
        <v>0.9764526297</v>
      </c>
      <c r="I510" s="7" t="n">
        <v>-0.2156913399</v>
      </c>
      <c r="J510" s="7" t="n">
        <v>-0.004184231826</v>
      </c>
      <c r="K510" s="7" t="n">
        <v>0.215675672</v>
      </c>
      <c r="L510" s="7" t="n">
        <v>0.9764572824</v>
      </c>
      <c r="M510" s="7" t="n">
        <v>-0.003896174874</v>
      </c>
      <c r="N510" s="7" t="n">
        <v>0.004926094817</v>
      </c>
      <c r="O510" s="7" t="n">
        <v>0.00290199319</v>
      </c>
      <c r="P510" s="7" t="n">
        <v>0.9999836559</v>
      </c>
      <c r="Q510" s="7" t="n">
        <v>17.2303859</v>
      </c>
      <c r="R510" s="7" t="n">
        <v>16.62417691</v>
      </c>
      <c r="S510" s="7" t="n">
        <v>1.502977119</v>
      </c>
    </row>
    <row r="511" customFormat="false" ht="15" hidden="false" customHeight="false" outlineLevel="0" collapsed="false">
      <c r="A511" s="5" t="s">
        <v>4</v>
      </c>
      <c r="B511" s="5" t="s">
        <v>77</v>
      </c>
      <c r="C511" s="5" t="s">
        <v>62</v>
      </c>
      <c r="D511" s="2" t="n">
        <v>15</v>
      </c>
      <c r="E511" s="5" t="s">
        <v>165</v>
      </c>
      <c r="F511" s="5" t="s">
        <v>168</v>
      </c>
      <c r="G511" s="2" t="n">
        <v>1</v>
      </c>
      <c r="H511" s="7" t="n">
        <v>0.9766234572</v>
      </c>
      <c r="I511" s="7" t="n">
        <v>-0.2149567336</v>
      </c>
      <c r="J511" s="7" t="n">
        <v>-0.0004749739047</v>
      </c>
      <c r="K511" s="7" t="n">
        <v>0.21495173</v>
      </c>
      <c r="L511" s="7" t="n">
        <v>0.976611803</v>
      </c>
      <c r="M511" s="7" t="n">
        <v>-0.005013984191</v>
      </c>
      <c r="N511" s="7" t="n">
        <v>0.001541654786</v>
      </c>
      <c r="O511" s="7" t="n">
        <v>0.004794678112</v>
      </c>
      <c r="P511" s="7" t="n">
        <v>0.9999873171</v>
      </c>
      <c r="Q511" s="7" t="n">
        <v>17.25028289</v>
      </c>
      <c r="R511" s="7" t="n">
        <v>16.6230906</v>
      </c>
      <c r="S511" s="7" t="n">
        <v>1.495973425</v>
      </c>
    </row>
    <row r="512" customFormat="false" ht="15" hidden="false" customHeight="false" outlineLevel="0" collapsed="false">
      <c r="A512" s="5" t="s">
        <v>4</v>
      </c>
      <c r="B512" s="5" t="s">
        <v>77</v>
      </c>
      <c r="C512" s="5" t="s">
        <v>58</v>
      </c>
      <c r="D512" s="2" t="n">
        <v>16</v>
      </c>
      <c r="E512" s="5" t="s">
        <v>165</v>
      </c>
      <c r="F512" s="5" t="s">
        <v>166</v>
      </c>
      <c r="G512" s="2" t="n">
        <v>1</v>
      </c>
      <c r="H512" s="7" t="n">
        <v>0.9966962133</v>
      </c>
      <c r="I512" s="7" t="n">
        <v>0.08106141649</v>
      </c>
      <c r="J512" s="7" t="n">
        <v>-0.005070016582</v>
      </c>
      <c r="K512" s="7" t="n">
        <v>-0.08106748524</v>
      </c>
      <c r="L512" s="7" t="n">
        <v>0.9967081103</v>
      </c>
      <c r="M512" s="7" t="n">
        <v>-0.001002820168</v>
      </c>
      <c r="N512" s="7" t="n">
        <v>0.004972036624</v>
      </c>
      <c r="O512" s="7" t="n">
        <v>0.001410520559</v>
      </c>
      <c r="P512" s="7" t="n">
        <v>0.9999866446</v>
      </c>
      <c r="Q512" s="7" t="n">
        <v>14.36243638</v>
      </c>
      <c r="R512" s="7" t="n">
        <v>5.818860621</v>
      </c>
      <c r="S512" s="7" t="n">
        <v>0.754030172</v>
      </c>
    </row>
    <row r="513" customFormat="false" ht="15" hidden="false" customHeight="false" outlineLevel="0" collapsed="false">
      <c r="A513" s="5" t="s">
        <v>4</v>
      </c>
      <c r="B513" s="5" t="s">
        <v>77</v>
      </c>
      <c r="C513" s="5" t="s">
        <v>62</v>
      </c>
      <c r="D513" s="2" t="n">
        <v>16</v>
      </c>
      <c r="E513" s="5" t="s">
        <v>165</v>
      </c>
      <c r="F513" s="5" t="s">
        <v>166</v>
      </c>
      <c r="G513" s="2" t="n">
        <v>1</v>
      </c>
      <c r="H513" s="7" t="n">
        <v>0.9966962133</v>
      </c>
      <c r="I513" s="7" t="n">
        <v>0.08106141649</v>
      </c>
      <c r="J513" s="7" t="n">
        <v>-0.005070016582</v>
      </c>
      <c r="K513" s="7" t="n">
        <v>-0.08106748524</v>
      </c>
      <c r="L513" s="7" t="n">
        <v>0.9967081103</v>
      </c>
      <c r="M513" s="7" t="n">
        <v>-0.001002820168</v>
      </c>
      <c r="N513" s="7" t="n">
        <v>0.004972036624</v>
      </c>
      <c r="O513" s="7" t="n">
        <v>0.001410520559</v>
      </c>
      <c r="P513" s="7" t="n">
        <v>0.9999866446</v>
      </c>
      <c r="Q513" s="7" t="n">
        <v>14.36243638</v>
      </c>
      <c r="R513" s="7" t="n">
        <v>5.818860621</v>
      </c>
      <c r="S513" s="7" t="n">
        <v>0.754030172</v>
      </c>
    </row>
    <row r="514" customFormat="false" ht="15" hidden="false" customHeight="false" outlineLevel="0" collapsed="false">
      <c r="A514" s="5" t="s">
        <v>4</v>
      </c>
      <c r="B514" s="5" t="s">
        <v>77</v>
      </c>
      <c r="C514" s="5" t="s">
        <v>58</v>
      </c>
      <c r="D514" s="2" t="n">
        <v>16</v>
      </c>
      <c r="E514" s="5" t="s">
        <v>165</v>
      </c>
      <c r="F514" s="5" t="s">
        <v>167</v>
      </c>
      <c r="G514" s="2" t="n">
        <v>1</v>
      </c>
      <c r="H514" s="7" t="n">
        <v>-0.1333918421</v>
      </c>
      <c r="I514" s="7" t="n">
        <v>-0.9910360345</v>
      </c>
      <c r="J514" s="7" t="n">
        <v>0.007361717126</v>
      </c>
      <c r="K514" s="7" t="n">
        <v>0.9910391592</v>
      </c>
      <c r="L514" s="7" t="n">
        <v>-0.1334368307</v>
      </c>
      <c r="M514" s="7" t="n">
        <v>-0.005999764114</v>
      </c>
      <c r="N514" s="7" t="n">
        <v>0.006928306637</v>
      </c>
      <c r="O514" s="7" t="n">
        <v>0.006495430363</v>
      </c>
      <c r="P514" s="7" t="n">
        <v>0.999954903</v>
      </c>
      <c r="Q514" s="7" t="n">
        <v>-13.98888287</v>
      </c>
      <c r="R514" s="7" t="n">
        <v>12.40617315</v>
      </c>
      <c r="S514" s="7" t="n">
        <v>0.3903182787</v>
      </c>
    </row>
    <row r="515" customFormat="false" ht="15" hidden="false" customHeight="false" outlineLevel="0" collapsed="false">
      <c r="A515" s="5" t="s">
        <v>4</v>
      </c>
      <c r="B515" s="5" t="s">
        <v>77</v>
      </c>
      <c r="C515" s="5" t="s">
        <v>62</v>
      </c>
      <c r="D515" s="2" t="n">
        <v>16</v>
      </c>
      <c r="E515" s="5" t="s">
        <v>165</v>
      </c>
      <c r="F515" s="5" t="s">
        <v>167</v>
      </c>
      <c r="G515" s="2" t="n">
        <v>1</v>
      </c>
      <c r="H515" s="7" t="n">
        <v>-0.1333918421</v>
      </c>
      <c r="I515" s="7" t="n">
        <v>-0.9910360345</v>
      </c>
      <c r="J515" s="7" t="n">
        <v>0.007361717126</v>
      </c>
      <c r="K515" s="7" t="n">
        <v>0.9910391592</v>
      </c>
      <c r="L515" s="7" t="n">
        <v>-0.1334368307</v>
      </c>
      <c r="M515" s="7" t="n">
        <v>-0.005999764114</v>
      </c>
      <c r="N515" s="7" t="n">
        <v>0.006928306637</v>
      </c>
      <c r="O515" s="7" t="n">
        <v>0.006495430363</v>
      </c>
      <c r="P515" s="7" t="n">
        <v>0.999954903</v>
      </c>
      <c r="Q515" s="7" t="n">
        <v>-13.98888287</v>
      </c>
      <c r="R515" s="7" t="n">
        <v>12.40617315</v>
      </c>
      <c r="S515" s="7" t="n">
        <v>0.3903182787</v>
      </c>
    </row>
    <row r="516" customFormat="false" ht="15" hidden="false" customHeight="false" outlineLevel="0" collapsed="false">
      <c r="A516" s="5" t="s">
        <v>4</v>
      </c>
      <c r="B516" s="5" t="s">
        <v>77</v>
      </c>
      <c r="C516" s="5" t="s">
        <v>58</v>
      </c>
      <c r="D516" s="2" t="n">
        <v>16</v>
      </c>
      <c r="E516" s="5" t="s">
        <v>165</v>
      </c>
      <c r="F516" s="5" t="s">
        <v>168</v>
      </c>
      <c r="G516" s="2" t="n">
        <v>1</v>
      </c>
      <c r="H516" s="7" t="n">
        <v>0.9773461709</v>
      </c>
      <c r="I516" s="7" t="n">
        <v>-0.2116285201</v>
      </c>
      <c r="J516" s="7" t="n">
        <v>0.002798523819</v>
      </c>
      <c r="K516" s="7" t="n">
        <v>0.211646993</v>
      </c>
      <c r="L516" s="7" t="n">
        <v>0.9772535704</v>
      </c>
      <c r="M516" s="7" t="n">
        <v>-0.01345397487</v>
      </c>
      <c r="N516" s="7" t="n">
        <v>0.0001123773975</v>
      </c>
      <c r="O516" s="7" t="n">
        <v>0.01374148997</v>
      </c>
      <c r="P516" s="7" t="n">
        <v>0.999905575</v>
      </c>
      <c r="Q516" s="7" t="n">
        <v>17.29036192</v>
      </c>
      <c r="R516" s="7" t="n">
        <v>16.65276904</v>
      </c>
      <c r="S516" s="7" t="n">
        <v>1.666234711</v>
      </c>
    </row>
    <row r="517" customFormat="false" ht="15" hidden="false" customHeight="false" outlineLevel="0" collapsed="false">
      <c r="A517" s="5" t="s">
        <v>4</v>
      </c>
      <c r="B517" s="5" t="s">
        <v>77</v>
      </c>
      <c r="C517" s="5" t="s">
        <v>62</v>
      </c>
      <c r="D517" s="2" t="n">
        <v>16</v>
      </c>
      <c r="E517" s="5" t="s">
        <v>165</v>
      </c>
      <c r="F517" s="5" t="s">
        <v>168</v>
      </c>
      <c r="G517" s="2" t="n">
        <v>1</v>
      </c>
      <c r="H517" s="7" t="n">
        <v>0.9773461709</v>
      </c>
      <c r="I517" s="7" t="n">
        <v>-0.2116285201</v>
      </c>
      <c r="J517" s="7" t="n">
        <v>0.002798523819</v>
      </c>
      <c r="K517" s="7" t="n">
        <v>0.211646993</v>
      </c>
      <c r="L517" s="7" t="n">
        <v>0.9772535704</v>
      </c>
      <c r="M517" s="7" t="n">
        <v>-0.01345397487</v>
      </c>
      <c r="N517" s="7" t="n">
        <v>0.0001123773975</v>
      </c>
      <c r="O517" s="7" t="n">
        <v>0.01374148997</v>
      </c>
      <c r="P517" s="7" t="n">
        <v>0.999905575</v>
      </c>
      <c r="Q517" s="7" t="n">
        <v>17.29036192</v>
      </c>
      <c r="R517" s="7" t="n">
        <v>16.65276904</v>
      </c>
      <c r="S517" s="7" t="n">
        <v>1.666234711</v>
      </c>
    </row>
    <row r="518" customFormat="false" ht="15" hidden="false" customHeight="false" outlineLevel="0" collapsed="false">
      <c r="A518" s="5" t="s">
        <v>4</v>
      </c>
      <c r="B518" s="5" t="s">
        <v>77</v>
      </c>
      <c r="C518" s="5" t="s">
        <v>58</v>
      </c>
      <c r="D518" s="2" t="n">
        <v>17</v>
      </c>
      <c r="E518" s="5" t="s">
        <v>165</v>
      </c>
      <c r="F518" s="5" t="s">
        <v>166</v>
      </c>
      <c r="G518" s="2" t="n">
        <v>1</v>
      </c>
      <c r="H518" s="7" t="n">
        <v>0.9966794121</v>
      </c>
      <c r="I518" s="7" t="n">
        <v>0.08099182521</v>
      </c>
      <c r="J518" s="7" t="n">
        <v>-0.008394863068</v>
      </c>
      <c r="K518" s="7" t="n">
        <v>-0.08099090396</v>
      </c>
      <c r="L518" s="7" t="n">
        <v>0.9967147389</v>
      </c>
      <c r="M518" s="7" t="n">
        <v>0.0004502011799</v>
      </c>
      <c r="N518" s="7" t="n">
        <v>0.008403746366</v>
      </c>
      <c r="O518" s="7" t="n">
        <v>0.0002312013011</v>
      </c>
      <c r="P518" s="7" t="n">
        <v>0.9999646612</v>
      </c>
      <c r="Q518" s="7" t="n">
        <v>14.3578402</v>
      </c>
      <c r="R518" s="7" t="n">
        <v>5.823527893</v>
      </c>
      <c r="S518" s="7" t="n">
        <v>0.7835460378</v>
      </c>
    </row>
    <row r="519" customFormat="false" ht="15" hidden="false" customHeight="false" outlineLevel="0" collapsed="false">
      <c r="A519" s="5" t="s">
        <v>4</v>
      </c>
      <c r="B519" s="5" t="s">
        <v>77</v>
      </c>
      <c r="C519" s="5" t="s">
        <v>62</v>
      </c>
      <c r="D519" s="2" t="n">
        <v>17</v>
      </c>
      <c r="E519" s="5" t="s">
        <v>165</v>
      </c>
      <c r="F519" s="5" t="s">
        <v>166</v>
      </c>
      <c r="G519" s="2" t="n">
        <v>1</v>
      </c>
      <c r="H519" s="7" t="n">
        <v>0.9966794121</v>
      </c>
      <c r="I519" s="7" t="n">
        <v>0.08099182521</v>
      </c>
      <c r="J519" s="7" t="n">
        <v>-0.008394863068</v>
      </c>
      <c r="K519" s="7" t="n">
        <v>-0.08099090396</v>
      </c>
      <c r="L519" s="7" t="n">
        <v>0.9967147389</v>
      </c>
      <c r="M519" s="7" t="n">
        <v>0.0004502011799</v>
      </c>
      <c r="N519" s="7" t="n">
        <v>0.008403746366</v>
      </c>
      <c r="O519" s="7" t="n">
        <v>0.0002312013011</v>
      </c>
      <c r="P519" s="7" t="n">
        <v>0.9999646612</v>
      </c>
      <c r="Q519" s="7" t="n">
        <v>14.3578402</v>
      </c>
      <c r="R519" s="7" t="n">
        <v>5.823527893</v>
      </c>
      <c r="S519" s="7" t="n">
        <v>0.7835460378</v>
      </c>
    </row>
    <row r="520" customFormat="false" ht="15" hidden="false" customHeight="false" outlineLevel="0" collapsed="false">
      <c r="A520" s="5" t="s">
        <v>4</v>
      </c>
      <c r="B520" s="5" t="s">
        <v>77</v>
      </c>
      <c r="C520" s="5" t="s">
        <v>58</v>
      </c>
      <c r="D520" s="2" t="n">
        <v>17</v>
      </c>
      <c r="E520" s="5" t="s">
        <v>165</v>
      </c>
      <c r="F520" s="5" t="s">
        <v>167</v>
      </c>
      <c r="G520" s="2" t="n">
        <v>1</v>
      </c>
      <c r="H520" s="7" t="n">
        <v>-0.1370911328</v>
      </c>
      <c r="I520" s="7" t="n">
        <v>-0.9904999829</v>
      </c>
      <c r="J520" s="7" t="n">
        <v>0.01076127954</v>
      </c>
      <c r="K520" s="7" t="n">
        <v>0.9904908863</v>
      </c>
      <c r="L520" s="7" t="n">
        <v>-0.137200568</v>
      </c>
      <c r="M520" s="7" t="n">
        <v>-0.01018863101</v>
      </c>
      <c r="N520" s="7" t="n">
        <v>0.01156829251</v>
      </c>
      <c r="O520" s="7" t="n">
        <v>0.009262178347</v>
      </c>
      <c r="P520" s="7" t="n">
        <v>0.9998901873</v>
      </c>
      <c r="Q520" s="7" t="n">
        <v>-13.97116018</v>
      </c>
      <c r="R520" s="7" t="n">
        <v>12.37549079</v>
      </c>
      <c r="S520" s="7" t="n">
        <v>0.462478862</v>
      </c>
    </row>
    <row r="521" customFormat="false" ht="15" hidden="false" customHeight="false" outlineLevel="0" collapsed="false">
      <c r="A521" s="5" t="s">
        <v>4</v>
      </c>
      <c r="B521" s="5" t="s">
        <v>77</v>
      </c>
      <c r="C521" s="5" t="s">
        <v>62</v>
      </c>
      <c r="D521" s="2" t="n">
        <v>17</v>
      </c>
      <c r="E521" s="5" t="s">
        <v>165</v>
      </c>
      <c r="F521" s="5" t="s">
        <v>167</v>
      </c>
      <c r="G521" s="2" t="n">
        <v>1</v>
      </c>
      <c r="H521" s="7" t="n">
        <v>-0.1370911328</v>
      </c>
      <c r="I521" s="7" t="n">
        <v>-0.9904999829</v>
      </c>
      <c r="J521" s="7" t="n">
        <v>0.01076127954</v>
      </c>
      <c r="K521" s="7" t="n">
        <v>0.9904908863</v>
      </c>
      <c r="L521" s="7" t="n">
        <v>-0.137200568</v>
      </c>
      <c r="M521" s="7" t="n">
        <v>-0.01018863101</v>
      </c>
      <c r="N521" s="7" t="n">
        <v>0.01156829251</v>
      </c>
      <c r="O521" s="7" t="n">
        <v>0.009262178347</v>
      </c>
      <c r="P521" s="7" t="n">
        <v>0.9998901873</v>
      </c>
      <c r="Q521" s="7" t="n">
        <v>-13.97116018</v>
      </c>
      <c r="R521" s="7" t="n">
        <v>12.37549079</v>
      </c>
      <c r="S521" s="7" t="n">
        <v>0.462478862</v>
      </c>
    </row>
    <row r="522" customFormat="false" ht="15" hidden="false" customHeight="false" outlineLevel="0" collapsed="false">
      <c r="A522" s="5" t="s">
        <v>4</v>
      </c>
      <c r="B522" s="5" t="s">
        <v>77</v>
      </c>
      <c r="C522" s="5" t="s">
        <v>58</v>
      </c>
      <c r="D522" s="2" t="n">
        <v>17</v>
      </c>
      <c r="E522" s="5" t="s">
        <v>165</v>
      </c>
      <c r="F522" s="5" t="s">
        <v>168</v>
      </c>
      <c r="G522" s="2" t="n">
        <v>1</v>
      </c>
      <c r="H522" s="7" t="n">
        <v>0.9752539699</v>
      </c>
      <c r="I522" s="7" t="n">
        <v>-0.2210839111</v>
      </c>
      <c r="J522" s="7" t="n">
        <v>-0.001264320451</v>
      </c>
      <c r="K522" s="7" t="n">
        <v>0.2210870413</v>
      </c>
      <c r="L522" s="7" t="n">
        <v>0.9752239073</v>
      </c>
      <c r="M522" s="7" t="n">
        <v>0.007671424966</v>
      </c>
      <c r="N522" s="7" t="n">
        <v>-0.0004630331042</v>
      </c>
      <c r="O522" s="7" t="n">
        <v>-0.007761112521</v>
      </c>
      <c r="P522" s="7" t="n">
        <v>0.9999697749</v>
      </c>
      <c r="Q522" s="7" t="n">
        <v>17.20185525</v>
      </c>
      <c r="R522" s="7" t="n">
        <v>16.65940812</v>
      </c>
      <c r="S522" s="7" t="n">
        <v>1.505138737</v>
      </c>
    </row>
    <row r="523" customFormat="false" ht="15" hidden="false" customHeight="false" outlineLevel="0" collapsed="false">
      <c r="A523" s="5" t="s">
        <v>4</v>
      </c>
      <c r="B523" s="5" t="s">
        <v>77</v>
      </c>
      <c r="C523" s="5" t="s">
        <v>62</v>
      </c>
      <c r="D523" s="2" t="n">
        <v>17</v>
      </c>
      <c r="E523" s="5" t="s">
        <v>165</v>
      </c>
      <c r="F523" s="5" t="s">
        <v>168</v>
      </c>
      <c r="G523" s="2" t="n">
        <v>1</v>
      </c>
      <c r="H523" s="7" t="n">
        <v>0.9752539699</v>
      </c>
      <c r="I523" s="7" t="n">
        <v>-0.2210839111</v>
      </c>
      <c r="J523" s="7" t="n">
        <v>-0.001264320451</v>
      </c>
      <c r="K523" s="7" t="n">
        <v>0.2210870413</v>
      </c>
      <c r="L523" s="7" t="n">
        <v>0.9752239073</v>
      </c>
      <c r="M523" s="7" t="n">
        <v>0.007671424966</v>
      </c>
      <c r="N523" s="7" t="n">
        <v>-0.0004630331042</v>
      </c>
      <c r="O523" s="7" t="n">
        <v>-0.007761112521</v>
      </c>
      <c r="P523" s="7" t="n">
        <v>0.9999697749</v>
      </c>
      <c r="Q523" s="7" t="n">
        <v>17.20185525</v>
      </c>
      <c r="R523" s="7" t="n">
        <v>16.65940812</v>
      </c>
      <c r="S523" s="7" t="n">
        <v>1.505138737</v>
      </c>
    </row>
    <row r="524" customFormat="false" ht="15" hidden="false" customHeight="false" outlineLevel="0" collapsed="false">
      <c r="A524" s="5" t="s">
        <v>4</v>
      </c>
      <c r="B524" s="5" t="s">
        <v>77</v>
      </c>
      <c r="C524" s="5" t="s">
        <v>58</v>
      </c>
      <c r="D524" s="2" t="n">
        <v>18</v>
      </c>
      <c r="E524" s="5" t="s">
        <v>165</v>
      </c>
      <c r="F524" s="5" t="s">
        <v>166</v>
      </c>
      <c r="G524" s="2" t="n">
        <v>1</v>
      </c>
      <c r="H524" s="7" t="n">
        <v>0.9967356585</v>
      </c>
      <c r="I524" s="7" t="n">
        <v>0.08019313953</v>
      </c>
      <c r="J524" s="7" t="n">
        <v>-0.009332062733</v>
      </c>
      <c r="K524" s="7" t="n">
        <v>-0.08016230194</v>
      </c>
      <c r="L524" s="7" t="n">
        <v>0.9967752019</v>
      </c>
      <c r="M524" s="7" t="n">
        <v>0.003633498358</v>
      </c>
      <c r="N524" s="7" t="n">
        <v>0.009593350355</v>
      </c>
      <c r="O524" s="7" t="n">
        <v>-0.002873557748</v>
      </c>
      <c r="P524" s="7" t="n">
        <v>0.9999498539</v>
      </c>
      <c r="Q524" s="7" t="n">
        <v>14.36521565</v>
      </c>
      <c r="R524" s="7" t="n">
        <v>5.846628894</v>
      </c>
      <c r="S524" s="7" t="n">
        <v>0.7289996035</v>
      </c>
    </row>
    <row r="525" customFormat="false" ht="15" hidden="false" customHeight="false" outlineLevel="0" collapsed="false">
      <c r="A525" s="5" t="s">
        <v>4</v>
      </c>
      <c r="B525" s="5" t="s">
        <v>77</v>
      </c>
      <c r="C525" s="5" t="s">
        <v>62</v>
      </c>
      <c r="D525" s="2" t="n">
        <v>18</v>
      </c>
      <c r="E525" s="5" t="s">
        <v>165</v>
      </c>
      <c r="F525" s="5" t="s">
        <v>166</v>
      </c>
      <c r="G525" s="2" t="n">
        <v>1</v>
      </c>
      <c r="H525" s="7" t="n">
        <v>0.9967356585</v>
      </c>
      <c r="I525" s="7" t="n">
        <v>0.08019313953</v>
      </c>
      <c r="J525" s="7" t="n">
        <v>-0.009332062733</v>
      </c>
      <c r="K525" s="7" t="n">
        <v>-0.08016230194</v>
      </c>
      <c r="L525" s="7" t="n">
        <v>0.9967752019</v>
      </c>
      <c r="M525" s="7" t="n">
        <v>0.003633498358</v>
      </c>
      <c r="N525" s="7" t="n">
        <v>0.009593350355</v>
      </c>
      <c r="O525" s="7" t="n">
        <v>-0.002873557748</v>
      </c>
      <c r="P525" s="7" t="n">
        <v>0.9999498539</v>
      </c>
      <c r="Q525" s="7" t="n">
        <v>14.36521565</v>
      </c>
      <c r="R525" s="7" t="n">
        <v>5.846628894</v>
      </c>
      <c r="S525" s="7" t="n">
        <v>0.7289996035</v>
      </c>
    </row>
    <row r="526" customFormat="false" ht="15" hidden="false" customHeight="false" outlineLevel="0" collapsed="false">
      <c r="A526" s="5" t="s">
        <v>4</v>
      </c>
      <c r="B526" s="5" t="s">
        <v>77</v>
      </c>
      <c r="C526" s="5" t="s">
        <v>58</v>
      </c>
      <c r="D526" s="2" t="n">
        <v>18</v>
      </c>
      <c r="E526" s="5" t="s">
        <v>165</v>
      </c>
      <c r="F526" s="5" t="s">
        <v>167</v>
      </c>
      <c r="G526" s="2" t="n">
        <v>1</v>
      </c>
      <c r="H526" s="7" t="n">
        <v>-0.1354307361</v>
      </c>
      <c r="I526" s="7" t="n">
        <v>-0.9907425985</v>
      </c>
      <c r="J526" s="7" t="n">
        <v>-0.009360517801</v>
      </c>
      <c r="K526" s="7" t="n">
        <v>0.9907811243</v>
      </c>
      <c r="L526" s="7" t="n">
        <v>-0.1353918893</v>
      </c>
      <c r="M526" s="7" t="n">
        <v>-0.004669055498</v>
      </c>
      <c r="N526" s="7" t="n">
        <v>0.003358493987</v>
      </c>
      <c r="O526" s="7" t="n">
        <v>-0.009906557973</v>
      </c>
      <c r="P526" s="7" t="n">
        <v>0.9999452888</v>
      </c>
      <c r="Q526" s="7" t="n">
        <v>-14.00058813</v>
      </c>
      <c r="R526" s="7" t="n">
        <v>12.40587687</v>
      </c>
      <c r="S526" s="7" t="n">
        <v>0.1902281042</v>
      </c>
    </row>
    <row r="527" customFormat="false" ht="15" hidden="false" customHeight="false" outlineLevel="0" collapsed="false">
      <c r="A527" s="5" t="s">
        <v>4</v>
      </c>
      <c r="B527" s="5" t="s">
        <v>77</v>
      </c>
      <c r="C527" s="5" t="s">
        <v>62</v>
      </c>
      <c r="D527" s="2" t="n">
        <v>18</v>
      </c>
      <c r="E527" s="5" t="s">
        <v>165</v>
      </c>
      <c r="F527" s="5" t="s">
        <v>167</v>
      </c>
      <c r="G527" s="2" t="n">
        <v>1</v>
      </c>
      <c r="H527" s="7" t="n">
        <v>-0.1354307361</v>
      </c>
      <c r="I527" s="7" t="n">
        <v>-0.9907425985</v>
      </c>
      <c r="J527" s="7" t="n">
        <v>-0.009360517801</v>
      </c>
      <c r="K527" s="7" t="n">
        <v>0.9907811243</v>
      </c>
      <c r="L527" s="7" t="n">
        <v>-0.1353918893</v>
      </c>
      <c r="M527" s="7" t="n">
        <v>-0.004669055498</v>
      </c>
      <c r="N527" s="7" t="n">
        <v>0.003358493987</v>
      </c>
      <c r="O527" s="7" t="n">
        <v>-0.009906557973</v>
      </c>
      <c r="P527" s="7" t="n">
        <v>0.9999452888</v>
      </c>
      <c r="Q527" s="7" t="n">
        <v>-14.00058813</v>
      </c>
      <c r="R527" s="7" t="n">
        <v>12.40587687</v>
      </c>
      <c r="S527" s="7" t="n">
        <v>0.1902281042</v>
      </c>
    </row>
    <row r="528" customFormat="false" ht="15" hidden="false" customHeight="false" outlineLevel="0" collapsed="false">
      <c r="A528" s="5" t="s">
        <v>4</v>
      </c>
      <c r="B528" s="5" t="s">
        <v>77</v>
      </c>
      <c r="C528" s="5" t="s">
        <v>58</v>
      </c>
      <c r="D528" s="2" t="n">
        <v>18</v>
      </c>
      <c r="E528" s="5" t="s">
        <v>165</v>
      </c>
      <c r="F528" s="5" t="s">
        <v>168</v>
      </c>
      <c r="G528" s="2" t="n">
        <v>1</v>
      </c>
      <c r="H528" s="7" t="n">
        <v>0.9759983279</v>
      </c>
      <c r="I528" s="7" t="n">
        <v>-0.2171843526</v>
      </c>
      <c r="J528" s="7" t="n">
        <v>-0.01606925716</v>
      </c>
      <c r="K528" s="7" t="n">
        <v>0.2170105234</v>
      </c>
      <c r="L528" s="7" t="n">
        <v>0.9760968559</v>
      </c>
      <c r="M528" s="7" t="n">
        <v>-0.01188952064</v>
      </c>
      <c r="N528" s="7" t="n">
        <v>0.01826736923</v>
      </c>
      <c r="O528" s="7" t="n">
        <v>0.008116954353</v>
      </c>
      <c r="P528" s="7" t="n">
        <v>0.9998001892</v>
      </c>
      <c r="Q528" s="7" t="n">
        <v>17.2014711</v>
      </c>
      <c r="R528" s="7" t="n">
        <v>16.63610126</v>
      </c>
      <c r="S528" s="7" t="n">
        <v>1.704422527</v>
      </c>
    </row>
    <row r="529" customFormat="false" ht="15" hidden="false" customHeight="false" outlineLevel="0" collapsed="false">
      <c r="A529" s="5" t="s">
        <v>4</v>
      </c>
      <c r="B529" s="5" t="s">
        <v>77</v>
      </c>
      <c r="C529" s="5" t="s">
        <v>62</v>
      </c>
      <c r="D529" s="2" t="n">
        <v>18</v>
      </c>
      <c r="E529" s="5" t="s">
        <v>165</v>
      </c>
      <c r="F529" s="5" t="s">
        <v>168</v>
      </c>
      <c r="G529" s="2" t="n">
        <v>1</v>
      </c>
      <c r="H529" s="7" t="n">
        <v>0.9759983279</v>
      </c>
      <c r="I529" s="7" t="n">
        <v>-0.2171843526</v>
      </c>
      <c r="J529" s="7" t="n">
        <v>-0.01606925716</v>
      </c>
      <c r="K529" s="7" t="n">
        <v>0.2170105234</v>
      </c>
      <c r="L529" s="7" t="n">
        <v>0.9760968559</v>
      </c>
      <c r="M529" s="7" t="n">
        <v>-0.01188952064</v>
      </c>
      <c r="N529" s="7" t="n">
        <v>0.01826736923</v>
      </c>
      <c r="O529" s="7" t="n">
        <v>0.008116954353</v>
      </c>
      <c r="P529" s="7" t="n">
        <v>0.9998001892</v>
      </c>
      <c r="Q529" s="7" t="n">
        <v>17.2014711</v>
      </c>
      <c r="R529" s="7" t="n">
        <v>16.63610126</v>
      </c>
      <c r="S529" s="7" t="n">
        <v>1.704422527</v>
      </c>
    </row>
    <row r="530" customFormat="false" ht="15" hidden="false" customHeight="false" outlineLevel="0" collapsed="false">
      <c r="A530" s="5" t="s">
        <v>4</v>
      </c>
      <c r="B530" s="5" t="s">
        <v>77</v>
      </c>
      <c r="C530" s="5" t="s">
        <v>58</v>
      </c>
      <c r="D530" s="2" t="n">
        <v>19</v>
      </c>
      <c r="E530" s="5" t="s">
        <v>165</v>
      </c>
      <c r="F530" s="5" t="s">
        <v>166</v>
      </c>
      <c r="G530" s="2" t="n">
        <v>1</v>
      </c>
      <c r="H530" s="7" t="n">
        <v>0.9967184514</v>
      </c>
      <c r="I530" s="7" t="n">
        <v>0.08044442908</v>
      </c>
      <c r="J530" s="7" t="n">
        <v>-0.009001246899</v>
      </c>
      <c r="K530" s="7" t="n">
        <v>-0.08044976302</v>
      </c>
      <c r="L530" s="7" t="n">
        <v>0.9967586378</v>
      </c>
      <c r="M530" s="7" t="n">
        <v>-0.0002314862092</v>
      </c>
      <c r="N530" s="7" t="n">
        <v>0.008953448821</v>
      </c>
      <c r="O530" s="7" t="n">
        <v>0.0009548747558</v>
      </c>
      <c r="P530" s="7" t="n">
        <v>0.9999594612</v>
      </c>
      <c r="Q530" s="7" t="n">
        <v>14.38046721</v>
      </c>
      <c r="R530" s="7" t="n">
        <v>5.82343161</v>
      </c>
      <c r="S530" s="7" t="n">
        <v>0.7596593819</v>
      </c>
    </row>
    <row r="531" customFormat="false" ht="15" hidden="false" customHeight="false" outlineLevel="0" collapsed="false">
      <c r="A531" s="5" t="s">
        <v>4</v>
      </c>
      <c r="B531" s="5" t="s">
        <v>77</v>
      </c>
      <c r="C531" s="5" t="s">
        <v>62</v>
      </c>
      <c r="D531" s="2" t="n">
        <v>19</v>
      </c>
      <c r="E531" s="5" t="s">
        <v>165</v>
      </c>
      <c r="F531" s="5" t="s">
        <v>166</v>
      </c>
      <c r="G531" s="2" t="n">
        <v>1</v>
      </c>
      <c r="H531" s="7" t="n">
        <v>0.9967184514</v>
      </c>
      <c r="I531" s="7" t="n">
        <v>0.08044442908</v>
      </c>
      <c r="J531" s="7" t="n">
        <v>-0.009001246899</v>
      </c>
      <c r="K531" s="7" t="n">
        <v>-0.08044976302</v>
      </c>
      <c r="L531" s="7" t="n">
        <v>0.9967586378</v>
      </c>
      <c r="M531" s="7" t="n">
        <v>-0.0002314862092</v>
      </c>
      <c r="N531" s="7" t="n">
        <v>0.008953448821</v>
      </c>
      <c r="O531" s="7" t="n">
        <v>0.0009548747558</v>
      </c>
      <c r="P531" s="7" t="n">
        <v>0.9999594612</v>
      </c>
      <c r="Q531" s="7" t="n">
        <v>14.38046721</v>
      </c>
      <c r="R531" s="7" t="n">
        <v>5.82343161</v>
      </c>
      <c r="S531" s="7" t="n">
        <v>0.7596593819</v>
      </c>
    </row>
    <row r="532" customFormat="false" ht="15" hidden="false" customHeight="false" outlineLevel="0" collapsed="false">
      <c r="A532" s="5" t="s">
        <v>4</v>
      </c>
      <c r="B532" s="5" t="s">
        <v>77</v>
      </c>
      <c r="C532" s="5" t="s">
        <v>58</v>
      </c>
      <c r="D532" s="2" t="n">
        <v>19</v>
      </c>
      <c r="E532" s="5" t="s">
        <v>165</v>
      </c>
      <c r="F532" s="5" t="s">
        <v>167</v>
      </c>
      <c r="G532" s="2" t="n">
        <v>1</v>
      </c>
      <c r="H532" s="7" t="n">
        <v>-0.1363740984</v>
      </c>
      <c r="I532" s="7" t="n">
        <v>-0.9906157234</v>
      </c>
      <c r="J532" s="7" t="n">
        <v>-0.009088112171</v>
      </c>
      <c r="K532" s="7" t="n">
        <v>0.990621478</v>
      </c>
      <c r="L532" s="7" t="n">
        <v>-0.1362852787</v>
      </c>
      <c r="M532" s="7" t="n">
        <v>-0.00976781088</v>
      </c>
      <c r="N532" s="7" t="n">
        <v>0.008437571142</v>
      </c>
      <c r="O532" s="7" t="n">
        <v>-0.01033495551</v>
      </c>
      <c r="P532" s="7" t="n">
        <v>0.9999109941</v>
      </c>
      <c r="Q532" s="7" t="n">
        <v>-14.01831249</v>
      </c>
      <c r="R532" s="7" t="n">
        <v>12.39269683</v>
      </c>
      <c r="S532" s="7" t="n">
        <v>0.2347997302</v>
      </c>
    </row>
    <row r="533" customFormat="false" ht="15" hidden="false" customHeight="false" outlineLevel="0" collapsed="false">
      <c r="A533" s="5" t="s">
        <v>4</v>
      </c>
      <c r="B533" s="5" t="s">
        <v>77</v>
      </c>
      <c r="C533" s="5" t="s">
        <v>62</v>
      </c>
      <c r="D533" s="2" t="n">
        <v>19</v>
      </c>
      <c r="E533" s="5" t="s">
        <v>165</v>
      </c>
      <c r="F533" s="5" t="s">
        <v>167</v>
      </c>
      <c r="G533" s="2" t="n">
        <v>1</v>
      </c>
      <c r="H533" s="7" t="n">
        <v>-0.1363740984</v>
      </c>
      <c r="I533" s="7" t="n">
        <v>-0.9906157234</v>
      </c>
      <c r="J533" s="7" t="n">
        <v>-0.009088112171</v>
      </c>
      <c r="K533" s="7" t="n">
        <v>0.990621478</v>
      </c>
      <c r="L533" s="7" t="n">
        <v>-0.1362852787</v>
      </c>
      <c r="M533" s="7" t="n">
        <v>-0.00976781088</v>
      </c>
      <c r="N533" s="7" t="n">
        <v>0.008437571142</v>
      </c>
      <c r="O533" s="7" t="n">
        <v>-0.01033495551</v>
      </c>
      <c r="P533" s="7" t="n">
        <v>0.9999109941</v>
      </c>
      <c r="Q533" s="7" t="n">
        <v>-14.01831249</v>
      </c>
      <c r="R533" s="7" t="n">
        <v>12.39269683</v>
      </c>
      <c r="S533" s="7" t="n">
        <v>0.2347997302</v>
      </c>
    </row>
    <row r="534" customFormat="false" ht="15" hidden="false" customHeight="false" outlineLevel="0" collapsed="false">
      <c r="A534" s="5" t="s">
        <v>4</v>
      </c>
      <c r="B534" s="5" t="s">
        <v>77</v>
      </c>
      <c r="C534" s="5" t="s">
        <v>58</v>
      </c>
      <c r="D534" s="2" t="n">
        <v>19</v>
      </c>
      <c r="E534" s="5" t="s">
        <v>165</v>
      </c>
      <c r="F534" s="5" t="s">
        <v>168</v>
      </c>
      <c r="G534" s="2" t="n">
        <v>1</v>
      </c>
      <c r="H534" s="7" t="n">
        <v>0.9764469128</v>
      </c>
      <c r="I534" s="7" t="n">
        <v>-0.2157268594</v>
      </c>
      <c r="J534" s="7" t="n">
        <v>-0.003653574533</v>
      </c>
      <c r="K534" s="7" t="n">
        <v>0.2157100039</v>
      </c>
      <c r="L534" s="7" t="n">
        <v>0.9764470447</v>
      </c>
      <c r="M534" s="7" t="n">
        <v>-0.004512550533</v>
      </c>
      <c r="N534" s="7" t="n">
        <v>0.00454100041</v>
      </c>
      <c r="O534" s="7" t="n">
        <v>0.00361815346</v>
      </c>
      <c r="P534" s="7" t="n">
        <v>0.999983144</v>
      </c>
      <c r="Q534" s="7" t="n">
        <v>17.23103693</v>
      </c>
      <c r="R534" s="7" t="n">
        <v>16.65973133</v>
      </c>
      <c r="S534" s="7" t="n">
        <v>1.503901568</v>
      </c>
    </row>
    <row r="535" customFormat="false" ht="15" hidden="false" customHeight="false" outlineLevel="0" collapsed="false">
      <c r="A535" s="5" t="s">
        <v>4</v>
      </c>
      <c r="B535" s="5" t="s">
        <v>77</v>
      </c>
      <c r="C535" s="5" t="s">
        <v>62</v>
      </c>
      <c r="D535" s="2" t="n">
        <v>19</v>
      </c>
      <c r="E535" s="5" t="s">
        <v>165</v>
      </c>
      <c r="F535" s="5" t="s">
        <v>168</v>
      </c>
      <c r="G535" s="2" t="n">
        <v>1</v>
      </c>
      <c r="H535" s="7" t="n">
        <v>0.9764821023</v>
      </c>
      <c r="I535" s="7" t="n">
        <v>-0.215594569</v>
      </c>
      <c r="J535" s="7" t="n">
        <v>0.001298357049</v>
      </c>
      <c r="K535" s="7" t="n">
        <v>0.2155976265</v>
      </c>
      <c r="L535" s="7" t="n">
        <v>0.9764436073</v>
      </c>
      <c r="M535" s="7" t="n">
        <v>-0.008691669897</v>
      </c>
      <c r="N535" s="7" t="n">
        <v>0.0006061043855</v>
      </c>
      <c r="O535" s="7" t="n">
        <v>0.008767182792</v>
      </c>
      <c r="P535" s="7" t="n">
        <v>0.9999613838</v>
      </c>
      <c r="Q535" s="7" t="n">
        <v>17.24279991</v>
      </c>
      <c r="R535" s="7" t="n">
        <v>16.65841795</v>
      </c>
      <c r="S535" s="7" t="n">
        <v>1.552699199</v>
      </c>
    </row>
    <row r="536" customFormat="false" ht="15" hidden="false" customHeight="false" outlineLevel="0" collapsed="false">
      <c r="A536" s="5" t="s">
        <v>4</v>
      </c>
      <c r="B536" s="5" t="s">
        <v>77</v>
      </c>
      <c r="C536" s="5" t="s">
        <v>58</v>
      </c>
      <c r="D536" s="2" t="n">
        <v>20</v>
      </c>
      <c r="E536" s="5" t="s">
        <v>165</v>
      </c>
      <c r="F536" s="5" t="s">
        <v>166</v>
      </c>
      <c r="G536" s="2" t="n">
        <v>1</v>
      </c>
      <c r="H536" s="7" t="n">
        <v>0.9966749775</v>
      </c>
      <c r="I536" s="7" t="n">
        <v>0.08096774284</v>
      </c>
      <c r="J536" s="7" t="n">
        <v>-0.009122162863</v>
      </c>
      <c r="K536" s="7" t="n">
        <v>-0.08097456722</v>
      </c>
      <c r="L536" s="7" t="n">
        <v>0.9967160953</v>
      </c>
      <c r="M536" s="7" t="n">
        <v>-0.0003806636636</v>
      </c>
      <c r="N536" s="7" t="n">
        <v>0.009061385072</v>
      </c>
      <c r="O536" s="7" t="n">
        <v>0.001118061138</v>
      </c>
      <c r="P536" s="7" t="n">
        <v>0.9999583198</v>
      </c>
      <c r="Q536" s="7" t="n">
        <v>14.37403417</v>
      </c>
      <c r="R536" s="7" t="n">
        <v>5.82602616</v>
      </c>
      <c r="S536" s="7" t="n">
        <v>0.7643159594</v>
      </c>
    </row>
    <row r="537" customFormat="false" ht="15" hidden="false" customHeight="false" outlineLevel="0" collapsed="false">
      <c r="A537" s="5" t="s">
        <v>4</v>
      </c>
      <c r="B537" s="5" t="s">
        <v>77</v>
      </c>
      <c r="C537" s="5" t="s">
        <v>62</v>
      </c>
      <c r="D537" s="2" t="n">
        <v>20</v>
      </c>
      <c r="E537" s="5" t="s">
        <v>165</v>
      </c>
      <c r="F537" s="5" t="s">
        <v>166</v>
      </c>
      <c r="G537" s="2" t="n">
        <v>1</v>
      </c>
      <c r="H537" s="7" t="n">
        <v>0.9966749775</v>
      </c>
      <c r="I537" s="7" t="n">
        <v>0.08096774284</v>
      </c>
      <c r="J537" s="7" t="n">
        <v>-0.009122162863</v>
      </c>
      <c r="K537" s="7" t="n">
        <v>-0.08097456722</v>
      </c>
      <c r="L537" s="7" t="n">
        <v>0.9967160953</v>
      </c>
      <c r="M537" s="7" t="n">
        <v>-0.0003806636636</v>
      </c>
      <c r="N537" s="7" t="n">
        <v>0.009061385072</v>
      </c>
      <c r="O537" s="7" t="n">
        <v>0.001118061138</v>
      </c>
      <c r="P537" s="7" t="n">
        <v>0.9999583198</v>
      </c>
      <c r="Q537" s="7" t="n">
        <v>14.37403417</v>
      </c>
      <c r="R537" s="7" t="n">
        <v>5.82602616</v>
      </c>
      <c r="S537" s="7" t="n">
        <v>0.7643159594</v>
      </c>
    </row>
    <row r="538" customFormat="false" ht="15" hidden="false" customHeight="false" outlineLevel="0" collapsed="false">
      <c r="A538" s="5" t="s">
        <v>4</v>
      </c>
      <c r="B538" s="5" t="s">
        <v>77</v>
      </c>
      <c r="C538" s="5" t="s">
        <v>58</v>
      </c>
      <c r="D538" s="2" t="n">
        <v>20</v>
      </c>
      <c r="E538" s="5" t="s">
        <v>165</v>
      </c>
      <c r="F538" s="5" t="s">
        <v>167</v>
      </c>
      <c r="G538" s="2" t="n">
        <v>1</v>
      </c>
      <c r="H538" s="7" t="n">
        <v>-0.136299583</v>
      </c>
      <c r="I538" s="7" t="n">
        <v>-0.9906447369</v>
      </c>
      <c r="J538" s="7" t="n">
        <v>-0.006740097782</v>
      </c>
      <c r="K538" s="7" t="n">
        <v>0.9906616536</v>
      </c>
      <c r="L538" s="7" t="n">
        <v>-0.1362718986</v>
      </c>
      <c r="M538" s="7" t="n">
        <v>-0.004411089387</v>
      </c>
      <c r="N538" s="7" t="n">
        <v>0.003451336564</v>
      </c>
      <c r="O538" s="7" t="n">
        <v>-0.007278386058</v>
      </c>
      <c r="P538" s="7" t="n">
        <v>0.9999675562</v>
      </c>
      <c r="Q538" s="7" t="n">
        <v>-14.02029788</v>
      </c>
      <c r="R538" s="7" t="n">
        <v>12.40875503</v>
      </c>
      <c r="S538" s="7" t="n">
        <v>0.1673535476</v>
      </c>
    </row>
    <row r="539" customFormat="false" ht="15" hidden="false" customHeight="false" outlineLevel="0" collapsed="false">
      <c r="A539" s="5" t="s">
        <v>4</v>
      </c>
      <c r="B539" s="5" t="s">
        <v>77</v>
      </c>
      <c r="C539" s="5" t="s">
        <v>62</v>
      </c>
      <c r="D539" s="2" t="n">
        <v>20</v>
      </c>
      <c r="E539" s="5" t="s">
        <v>165</v>
      </c>
      <c r="F539" s="5" t="s">
        <v>167</v>
      </c>
      <c r="G539" s="2" t="n">
        <v>1</v>
      </c>
      <c r="H539" s="7" t="n">
        <v>-0.136299583</v>
      </c>
      <c r="I539" s="7" t="n">
        <v>-0.9906447369</v>
      </c>
      <c r="J539" s="7" t="n">
        <v>-0.006740097782</v>
      </c>
      <c r="K539" s="7" t="n">
        <v>0.9906616536</v>
      </c>
      <c r="L539" s="7" t="n">
        <v>-0.1362718986</v>
      </c>
      <c r="M539" s="7" t="n">
        <v>-0.004411089387</v>
      </c>
      <c r="N539" s="7" t="n">
        <v>0.003451336564</v>
      </c>
      <c r="O539" s="7" t="n">
        <v>-0.007278386058</v>
      </c>
      <c r="P539" s="7" t="n">
        <v>0.9999675562</v>
      </c>
      <c r="Q539" s="7" t="n">
        <v>-14.02029788</v>
      </c>
      <c r="R539" s="7" t="n">
        <v>12.40875503</v>
      </c>
      <c r="S539" s="7" t="n">
        <v>0.1673535476</v>
      </c>
    </row>
    <row r="540" customFormat="false" ht="15" hidden="false" customHeight="false" outlineLevel="0" collapsed="false">
      <c r="A540" s="5" t="s">
        <v>4</v>
      </c>
      <c r="B540" s="5" t="s">
        <v>77</v>
      </c>
      <c r="C540" s="5" t="s">
        <v>58</v>
      </c>
      <c r="D540" s="2" t="n">
        <v>20</v>
      </c>
      <c r="E540" s="5" t="s">
        <v>165</v>
      </c>
      <c r="F540" s="5" t="s">
        <v>168</v>
      </c>
      <c r="G540" s="2" t="n">
        <v>1</v>
      </c>
      <c r="H540" s="7" t="n">
        <v>0.9764661145</v>
      </c>
      <c r="I540" s="7" t="n">
        <v>-0.2156672363</v>
      </c>
      <c r="J540" s="7" t="n">
        <v>0.001253192682</v>
      </c>
      <c r="K540" s="7" t="n">
        <v>0.2156702537</v>
      </c>
      <c r="L540" s="7" t="n">
        <v>0.9764328333</v>
      </c>
      <c r="M540" s="7" t="n">
        <v>-0.00807860206</v>
      </c>
      <c r="N540" s="7" t="n">
        <v>0.0005186312985</v>
      </c>
      <c r="O540" s="7" t="n">
        <v>0.008158757547</v>
      </c>
      <c r="P540" s="7" t="n">
        <v>0.9999665823</v>
      </c>
      <c r="Q540" s="7" t="n">
        <v>17.2500017</v>
      </c>
      <c r="R540" s="7" t="n">
        <v>16.64033303</v>
      </c>
      <c r="S540" s="7" t="n">
        <v>1.520700037</v>
      </c>
    </row>
    <row r="541" customFormat="false" ht="15" hidden="false" customHeight="false" outlineLevel="0" collapsed="false">
      <c r="A541" s="5" t="s">
        <v>4</v>
      </c>
      <c r="B541" s="5" t="s">
        <v>77</v>
      </c>
      <c r="C541" s="5" t="s">
        <v>62</v>
      </c>
      <c r="D541" s="2" t="n">
        <v>20</v>
      </c>
      <c r="E541" s="5" t="s">
        <v>165</v>
      </c>
      <c r="F541" s="5" t="s">
        <v>168</v>
      </c>
      <c r="G541" s="2" t="n">
        <v>1</v>
      </c>
      <c r="H541" s="7" t="n">
        <v>0.9764661145</v>
      </c>
      <c r="I541" s="7" t="n">
        <v>-0.2156672363</v>
      </c>
      <c r="J541" s="7" t="n">
        <v>0.001253192682</v>
      </c>
      <c r="K541" s="7" t="n">
        <v>0.2156702537</v>
      </c>
      <c r="L541" s="7" t="n">
        <v>0.9764328333</v>
      </c>
      <c r="M541" s="7" t="n">
        <v>-0.00807860206</v>
      </c>
      <c r="N541" s="7" t="n">
        <v>0.0005186312985</v>
      </c>
      <c r="O541" s="7" t="n">
        <v>0.008158757547</v>
      </c>
      <c r="P541" s="7" t="n">
        <v>0.9999665823</v>
      </c>
      <c r="Q541" s="7" t="n">
        <v>17.2500017</v>
      </c>
      <c r="R541" s="7" t="n">
        <v>16.64033303</v>
      </c>
      <c r="S541" s="7" t="n">
        <v>1.520700037</v>
      </c>
    </row>
    <row r="542" customFormat="false" ht="15" hidden="false" customHeight="false" outlineLevel="0" collapsed="false">
      <c r="A542" s="5" t="s">
        <v>4</v>
      </c>
      <c r="B542" s="5" t="s">
        <v>77</v>
      </c>
      <c r="C542" s="5" t="s">
        <v>58</v>
      </c>
      <c r="D542" s="2" t="n">
        <v>11</v>
      </c>
      <c r="E542" s="5" t="s">
        <v>166</v>
      </c>
      <c r="F542" s="5" t="s">
        <v>167</v>
      </c>
      <c r="G542" s="2" t="n">
        <v>1</v>
      </c>
      <c r="H542" s="7" t="n">
        <v>-0.2160574921</v>
      </c>
      <c r="I542" s="7" t="n">
        <v>-0.9763499707</v>
      </c>
      <c r="J542" s="7" t="n">
        <v>0.007739180897</v>
      </c>
      <c r="K542" s="7" t="n">
        <v>0.9763754802</v>
      </c>
      <c r="L542" s="7" t="n">
        <v>-0.216075339</v>
      </c>
      <c r="M542" s="7" t="n">
        <v>-0.001539348196</v>
      </c>
      <c r="N542" s="7" t="n">
        <v>0.003175188702</v>
      </c>
      <c r="O542" s="7" t="n">
        <v>0.007223758754</v>
      </c>
      <c r="P542" s="7" t="n">
        <v>0.9999688673</v>
      </c>
      <c r="Q542" s="7" t="n">
        <v>-5.187218766</v>
      </c>
      <c r="R542" s="7" t="n">
        <v>-0.3965667589</v>
      </c>
      <c r="S542" s="7" t="n">
        <v>-0.384472591</v>
      </c>
    </row>
    <row r="543" customFormat="false" ht="15" hidden="false" customHeight="false" outlineLevel="0" collapsed="false">
      <c r="A543" s="5" t="s">
        <v>4</v>
      </c>
      <c r="B543" s="5" t="s">
        <v>77</v>
      </c>
      <c r="C543" s="5" t="s">
        <v>62</v>
      </c>
      <c r="D543" s="2" t="n">
        <v>11</v>
      </c>
      <c r="E543" s="5" t="s">
        <v>166</v>
      </c>
      <c r="F543" s="5" t="s">
        <v>167</v>
      </c>
      <c r="G543" s="2" t="n">
        <v>1</v>
      </c>
      <c r="H543" s="7" t="n">
        <v>-0.2160574921</v>
      </c>
      <c r="I543" s="7" t="n">
        <v>-0.9763499707</v>
      </c>
      <c r="J543" s="7" t="n">
        <v>0.007739180897</v>
      </c>
      <c r="K543" s="7" t="n">
        <v>0.9763754802</v>
      </c>
      <c r="L543" s="7" t="n">
        <v>-0.216075339</v>
      </c>
      <c r="M543" s="7" t="n">
        <v>-0.001539348196</v>
      </c>
      <c r="N543" s="7" t="n">
        <v>0.003175188702</v>
      </c>
      <c r="O543" s="7" t="n">
        <v>0.007223758754</v>
      </c>
      <c r="P543" s="7" t="n">
        <v>0.9999688673</v>
      </c>
      <c r="Q543" s="7" t="n">
        <v>-5.187218766</v>
      </c>
      <c r="R543" s="7" t="n">
        <v>-0.3965667589</v>
      </c>
      <c r="S543" s="7" t="n">
        <v>-0.384472591</v>
      </c>
    </row>
    <row r="544" customFormat="false" ht="15" hidden="false" customHeight="false" outlineLevel="0" collapsed="false">
      <c r="A544" s="5" t="s">
        <v>4</v>
      </c>
      <c r="B544" s="5" t="s">
        <v>77</v>
      </c>
      <c r="C544" s="5" t="s">
        <v>58</v>
      </c>
      <c r="D544" s="2" t="n">
        <v>11</v>
      </c>
      <c r="E544" s="5" t="s">
        <v>166</v>
      </c>
      <c r="F544" s="5" t="s">
        <v>168</v>
      </c>
      <c r="G544" s="2" t="n">
        <v>1</v>
      </c>
      <c r="H544" s="7" t="n">
        <v>0.9558691918</v>
      </c>
      <c r="I544" s="7" t="n">
        <v>-0.2937761332</v>
      </c>
      <c r="J544" s="7" t="n">
        <v>0.003109929389</v>
      </c>
      <c r="K544" s="7" t="n">
        <v>0.2937708985</v>
      </c>
      <c r="L544" s="7" t="n">
        <v>0.955873695</v>
      </c>
      <c r="M544" s="7" t="n">
        <v>0.002034320397</v>
      </c>
      <c r="N544" s="7" t="n">
        <v>-0.003570334476</v>
      </c>
      <c r="O544" s="7" t="n">
        <v>-0.001030937443</v>
      </c>
      <c r="P544" s="7" t="n">
        <v>0.9999930949</v>
      </c>
      <c r="Q544" s="7" t="n">
        <v>5.218763701</v>
      </c>
      <c r="R544" s="7" t="n">
        <v>6.855730646</v>
      </c>
      <c r="S544" s="7" t="n">
        <v>0.7710393041</v>
      </c>
    </row>
    <row r="545" customFormat="false" ht="15" hidden="false" customHeight="false" outlineLevel="0" collapsed="false">
      <c r="A545" s="5" t="s">
        <v>4</v>
      </c>
      <c r="B545" s="5" t="s">
        <v>77</v>
      </c>
      <c r="C545" s="5" t="s">
        <v>62</v>
      </c>
      <c r="D545" s="2" t="n">
        <v>11</v>
      </c>
      <c r="E545" s="5" t="s">
        <v>166</v>
      </c>
      <c r="F545" s="5" t="s">
        <v>168</v>
      </c>
      <c r="G545" s="2" t="n">
        <v>1</v>
      </c>
      <c r="H545" s="7" t="n">
        <v>0.9558691918</v>
      </c>
      <c r="I545" s="7" t="n">
        <v>-0.2937761332</v>
      </c>
      <c r="J545" s="7" t="n">
        <v>0.003109929389</v>
      </c>
      <c r="K545" s="7" t="n">
        <v>0.2937708985</v>
      </c>
      <c r="L545" s="7" t="n">
        <v>0.955873695</v>
      </c>
      <c r="M545" s="7" t="n">
        <v>0.002034320397</v>
      </c>
      <c r="N545" s="7" t="n">
        <v>-0.003570334476</v>
      </c>
      <c r="O545" s="7" t="n">
        <v>-0.001030937443</v>
      </c>
      <c r="P545" s="7" t="n">
        <v>0.9999930949</v>
      </c>
      <c r="Q545" s="7" t="n">
        <v>5.218763701</v>
      </c>
      <c r="R545" s="7" t="n">
        <v>6.855730646</v>
      </c>
      <c r="S545" s="7" t="n">
        <v>0.7710393041</v>
      </c>
    </row>
    <row r="546" customFormat="false" ht="15" hidden="false" customHeight="false" outlineLevel="0" collapsed="false">
      <c r="A546" s="5" t="s">
        <v>4</v>
      </c>
      <c r="B546" s="5" t="s">
        <v>77</v>
      </c>
      <c r="C546" s="5" t="s">
        <v>58</v>
      </c>
      <c r="D546" s="2" t="n">
        <v>12</v>
      </c>
      <c r="E546" s="5" t="s">
        <v>166</v>
      </c>
      <c r="F546" s="5" t="s">
        <v>167</v>
      </c>
      <c r="G546" s="2" t="n">
        <v>1</v>
      </c>
      <c r="H546" s="7" t="n">
        <v>-0.2159658191</v>
      </c>
      <c r="I546" s="7" t="n">
        <v>-0.9763873257</v>
      </c>
      <c r="J546" s="7" t="n">
        <v>0.00515316574</v>
      </c>
      <c r="K546" s="7" t="n">
        <v>0.9763951491</v>
      </c>
      <c r="L546" s="7" t="n">
        <v>-0.2159796862</v>
      </c>
      <c r="M546" s="7" t="n">
        <v>-0.002299557258</v>
      </c>
      <c r="N546" s="7" t="n">
        <v>0.003358237681</v>
      </c>
      <c r="O546" s="7" t="n">
        <v>0.004534900264</v>
      </c>
      <c r="P546" s="7" t="n">
        <v>0.9999840783</v>
      </c>
      <c r="Q546" s="7" t="n">
        <v>-5.199276205</v>
      </c>
      <c r="R546" s="7" t="n">
        <v>-0.3703620185</v>
      </c>
      <c r="S546" s="7" t="n">
        <v>-0.3879001956</v>
      </c>
    </row>
    <row r="547" customFormat="false" ht="15" hidden="false" customHeight="false" outlineLevel="0" collapsed="false">
      <c r="A547" s="5" t="s">
        <v>4</v>
      </c>
      <c r="B547" s="5" t="s">
        <v>77</v>
      </c>
      <c r="C547" s="5" t="s">
        <v>62</v>
      </c>
      <c r="D547" s="2" t="n">
        <v>12</v>
      </c>
      <c r="E547" s="5" t="s">
        <v>166</v>
      </c>
      <c r="F547" s="5" t="s">
        <v>167</v>
      </c>
      <c r="G547" s="2" t="n">
        <v>1</v>
      </c>
      <c r="H547" s="7" t="n">
        <v>-0.2159658191</v>
      </c>
      <c r="I547" s="7" t="n">
        <v>-0.9763873257</v>
      </c>
      <c r="J547" s="7" t="n">
        <v>0.00515316574</v>
      </c>
      <c r="K547" s="7" t="n">
        <v>0.9763951491</v>
      </c>
      <c r="L547" s="7" t="n">
        <v>-0.2159796862</v>
      </c>
      <c r="M547" s="7" t="n">
        <v>-0.002299557258</v>
      </c>
      <c r="N547" s="7" t="n">
        <v>0.003358237681</v>
      </c>
      <c r="O547" s="7" t="n">
        <v>0.004534900264</v>
      </c>
      <c r="P547" s="7" t="n">
        <v>0.9999840783</v>
      </c>
      <c r="Q547" s="7" t="n">
        <v>-5.199276205</v>
      </c>
      <c r="R547" s="7" t="n">
        <v>-0.3703620185</v>
      </c>
      <c r="S547" s="7" t="n">
        <v>-0.3879001956</v>
      </c>
    </row>
    <row r="548" customFormat="false" ht="15" hidden="false" customHeight="false" outlineLevel="0" collapsed="false">
      <c r="A548" s="5" t="s">
        <v>4</v>
      </c>
      <c r="B548" s="5" t="s">
        <v>77</v>
      </c>
      <c r="C548" s="5" t="s">
        <v>58</v>
      </c>
      <c r="D548" s="2" t="n">
        <v>12</v>
      </c>
      <c r="E548" s="5" t="s">
        <v>166</v>
      </c>
      <c r="F548" s="5" t="s">
        <v>168</v>
      </c>
      <c r="G548" s="2" t="n">
        <v>1</v>
      </c>
      <c r="H548" s="7" t="n">
        <v>0.9557884805</v>
      </c>
      <c r="I548" s="7" t="n">
        <v>-0.2940549429</v>
      </c>
      <c r="J548" s="7" t="n">
        <v>0.0002666267071</v>
      </c>
      <c r="K548" s="7" t="n">
        <v>0.2940534561</v>
      </c>
      <c r="L548" s="7" t="n">
        <v>0.9557858603</v>
      </c>
      <c r="M548" s="7" t="n">
        <v>0.002440135613</v>
      </c>
      <c r="N548" s="7" t="n">
        <v>-0.0009723719752</v>
      </c>
      <c r="O548" s="7" t="n">
        <v>-0.002253851005</v>
      </c>
      <c r="P548" s="7" t="n">
        <v>0.9999969873</v>
      </c>
      <c r="Q548" s="7" t="n">
        <v>5.21877361</v>
      </c>
      <c r="R548" s="7" t="n">
        <v>6.858168104</v>
      </c>
      <c r="S548" s="7" t="n">
        <v>0.7564824916</v>
      </c>
    </row>
    <row r="549" customFormat="false" ht="15" hidden="false" customHeight="false" outlineLevel="0" collapsed="false">
      <c r="A549" s="5" t="s">
        <v>4</v>
      </c>
      <c r="B549" s="5" t="s">
        <v>77</v>
      </c>
      <c r="C549" s="5" t="s">
        <v>62</v>
      </c>
      <c r="D549" s="2" t="n">
        <v>12</v>
      </c>
      <c r="E549" s="5" t="s">
        <v>166</v>
      </c>
      <c r="F549" s="5" t="s">
        <v>168</v>
      </c>
      <c r="G549" s="2" t="n">
        <v>1</v>
      </c>
      <c r="H549" s="7" t="n">
        <v>0.9557884805</v>
      </c>
      <c r="I549" s="7" t="n">
        <v>-0.2940549429</v>
      </c>
      <c r="J549" s="7" t="n">
        <v>0.0002666267071</v>
      </c>
      <c r="K549" s="7" t="n">
        <v>0.2940534561</v>
      </c>
      <c r="L549" s="7" t="n">
        <v>0.9557858603</v>
      </c>
      <c r="M549" s="7" t="n">
        <v>0.002440135613</v>
      </c>
      <c r="N549" s="7" t="n">
        <v>-0.0009723719752</v>
      </c>
      <c r="O549" s="7" t="n">
        <v>-0.002253851005</v>
      </c>
      <c r="P549" s="7" t="n">
        <v>0.9999969873</v>
      </c>
      <c r="Q549" s="7" t="n">
        <v>5.21877361</v>
      </c>
      <c r="R549" s="7" t="n">
        <v>6.858168104</v>
      </c>
      <c r="S549" s="7" t="n">
        <v>0.7564824916</v>
      </c>
    </row>
    <row r="550" customFormat="false" ht="15" hidden="false" customHeight="false" outlineLevel="0" collapsed="false">
      <c r="A550" s="5" t="s">
        <v>4</v>
      </c>
      <c r="B550" s="5" t="s">
        <v>77</v>
      </c>
      <c r="C550" s="5" t="s">
        <v>58</v>
      </c>
      <c r="D550" s="2" t="n">
        <v>13</v>
      </c>
      <c r="E550" s="5" t="s">
        <v>166</v>
      </c>
      <c r="F550" s="5" t="s">
        <v>167</v>
      </c>
      <c r="G550" s="2" t="n">
        <v>1</v>
      </c>
      <c r="H550" s="7" t="n">
        <v>-0.214799483</v>
      </c>
      <c r="I550" s="7" t="n">
        <v>-0.9766550627</v>
      </c>
      <c r="J550" s="7" t="n">
        <v>0.002463839606</v>
      </c>
      <c r="K550" s="7" t="n">
        <v>0.9766581705</v>
      </c>
      <c r="L550" s="7" t="n">
        <v>-0.2147988036</v>
      </c>
      <c r="M550" s="7" t="n">
        <v>0.0005402888192</v>
      </c>
      <c r="N550" s="7" t="n">
        <v>1.553989003E-006</v>
      </c>
      <c r="O550" s="7" t="n">
        <v>0.002522382842</v>
      </c>
      <c r="P550" s="7" t="n">
        <v>0.9999968188</v>
      </c>
      <c r="Q550" s="7" t="n">
        <v>-5.20045494</v>
      </c>
      <c r="R550" s="7" t="n">
        <v>-0.3605899001</v>
      </c>
      <c r="S550" s="7" t="n">
        <v>-0.4252152576</v>
      </c>
    </row>
    <row r="551" customFormat="false" ht="15" hidden="false" customHeight="false" outlineLevel="0" collapsed="false">
      <c r="A551" s="5" t="s">
        <v>4</v>
      </c>
      <c r="B551" s="5" t="s">
        <v>77</v>
      </c>
      <c r="C551" s="5" t="s">
        <v>62</v>
      </c>
      <c r="D551" s="2" t="n">
        <v>13</v>
      </c>
      <c r="E551" s="5" t="s">
        <v>166</v>
      </c>
      <c r="F551" s="5" t="s">
        <v>167</v>
      </c>
      <c r="G551" s="2" t="n">
        <v>1</v>
      </c>
      <c r="H551" s="7" t="n">
        <v>-0.214799483</v>
      </c>
      <c r="I551" s="7" t="n">
        <v>-0.9766550627</v>
      </c>
      <c r="J551" s="7" t="n">
        <v>0.002463839606</v>
      </c>
      <c r="K551" s="7" t="n">
        <v>0.9766581705</v>
      </c>
      <c r="L551" s="7" t="n">
        <v>-0.2147988036</v>
      </c>
      <c r="M551" s="7" t="n">
        <v>0.0005402888192</v>
      </c>
      <c r="N551" s="7" t="n">
        <v>1.553989003E-006</v>
      </c>
      <c r="O551" s="7" t="n">
        <v>0.002522382842</v>
      </c>
      <c r="P551" s="7" t="n">
        <v>0.9999968188</v>
      </c>
      <c r="Q551" s="7" t="n">
        <v>-5.20045494</v>
      </c>
      <c r="R551" s="7" t="n">
        <v>-0.3605899001</v>
      </c>
      <c r="S551" s="7" t="n">
        <v>-0.4252152576</v>
      </c>
    </row>
    <row r="552" customFormat="false" ht="15" hidden="false" customHeight="false" outlineLevel="0" collapsed="false">
      <c r="A552" s="5" t="s">
        <v>4</v>
      </c>
      <c r="B552" s="5" t="s">
        <v>77</v>
      </c>
      <c r="C552" s="5" t="s">
        <v>58</v>
      </c>
      <c r="D552" s="2" t="n">
        <v>13</v>
      </c>
      <c r="E552" s="5" t="s">
        <v>166</v>
      </c>
      <c r="F552" s="5" t="s">
        <v>168</v>
      </c>
      <c r="G552" s="2" t="n">
        <v>1</v>
      </c>
      <c r="H552" s="7" t="n">
        <v>0.9555830025</v>
      </c>
      <c r="I552" s="7" t="n">
        <v>-0.2947124458</v>
      </c>
      <c r="J552" s="7" t="n">
        <v>0.002387404299</v>
      </c>
      <c r="K552" s="7" t="n">
        <v>0.2947181045</v>
      </c>
      <c r="L552" s="7" t="n">
        <v>0.9555809072</v>
      </c>
      <c r="M552" s="7" t="n">
        <v>-0.002523633022</v>
      </c>
      <c r="N552" s="7" t="n">
        <v>-0.001537611906</v>
      </c>
      <c r="O552" s="7" t="n">
        <v>0.00311515209</v>
      </c>
      <c r="P552" s="7" t="n">
        <v>0.9999939658</v>
      </c>
      <c r="Q552" s="7" t="n">
        <v>5.219914828</v>
      </c>
      <c r="R552" s="7" t="n">
        <v>6.842714196</v>
      </c>
      <c r="S552" s="7" t="n">
        <v>0.7630712855</v>
      </c>
    </row>
    <row r="553" customFormat="false" ht="15" hidden="false" customHeight="false" outlineLevel="0" collapsed="false">
      <c r="A553" s="5" t="s">
        <v>4</v>
      </c>
      <c r="B553" s="5" t="s">
        <v>77</v>
      </c>
      <c r="C553" s="5" t="s">
        <v>62</v>
      </c>
      <c r="D553" s="2" t="n">
        <v>13</v>
      </c>
      <c r="E553" s="5" t="s">
        <v>166</v>
      </c>
      <c r="F553" s="5" t="s">
        <v>168</v>
      </c>
      <c r="G553" s="2" t="n">
        <v>1</v>
      </c>
      <c r="H553" s="7" t="n">
        <v>0.9555830025</v>
      </c>
      <c r="I553" s="7" t="n">
        <v>-0.2947124458</v>
      </c>
      <c r="J553" s="7" t="n">
        <v>0.002387404299</v>
      </c>
      <c r="K553" s="7" t="n">
        <v>0.2947181045</v>
      </c>
      <c r="L553" s="7" t="n">
        <v>0.9555809072</v>
      </c>
      <c r="M553" s="7" t="n">
        <v>-0.002523633022</v>
      </c>
      <c r="N553" s="7" t="n">
        <v>-0.001537611906</v>
      </c>
      <c r="O553" s="7" t="n">
        <v>0.00311515209</v>
      </c>
      <c r="P553" s="7" t="n">
        <v>0.9999939658</v>
      </c>
      <c r="Q553" s="7" t="n">
        <v>5.219914828</v>
      </c>
      <c r="R553" s="7" t="n">
        <v>6.842714196</v>
      </c>
      <c r="S553" s="7" t="n">
        <v>0.7630712855</v>
      </c>
    </row>
    <row r="554" customFormat="false" ht="15" hidden="false" customHeight="false" outlineLevel="0" collapsed="false">
      <c r="A554" s="5" t="s">
        <v>4</v>
      </c>
      <c r="B554" s="5" t="s">
        <v>77</v>
      </c>
      <c r="C554" s="5" t="s">
        <v>58</v>
      </c>
      <c r="D554" s="2" t="n">
        <v>14</v>
      </c>
      <c r="E554" s="5" t="s">
        <v>166</v>
      </c>
      <c r="F554" s="5" t="s">
        <v>167</v>
      </c>
      <c r="G554" s="2" t="n">
        <v>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customFormat="false" ht="15" hidden="false" customHeight="false" outlineLevel="0" collapsed="false">
      <c r="A555" s="5" t="s">
        <v>4</v>
      </c>
      <c r="B555" s="5" t="s">
        <v>77</v>
      </c>
      <c r="C555" s="5" t="s">
        <v>62</v>
      </c>
      <c r="D555" s="2" t="n">
        <v>14</v>
      </c>
      <c r="E555" s="5" t="s">
        <v>166</v>
      </c>
      <c r="F555" s="5" t="s">
        <v>167</v>
      </c>
      <c r="G555" s="2" t="n">
        <v>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customFormat="false" ht="15" hidden="false" customHeight="false" outlineLevel="0" collapsed="false">
      <c r="A556" s="5" t="s">
        <v>4</v>
      </c>
      <c r="B556" s="5" t="s">
        <v>77</v>
      </c>
      <c r="C556" s="5" t="s">
        <v>58</v>
      </c>
      <c r="D556" s="2" t="n">
        <v>14</v>
      </c>
      <c r="E556" s="5" t="s">
        <v>166</v>
      </c>
      <c r="F556" s="5" t="s">
        <v>168</v>
      </c>
      <c r="G556" s="2" t="n">
        <v>1</v>
      </c>
      <c r="H556" s="7" t="n">
        <v>0.955983662</v>
      </c>
      <c r="I556" s="7" t="n">
        <v>-0.293408494</v>
      </c>
      <c r="J556" s="7" t="n">
        <v>-0.002587191748</v>
      </c>
      <c r="K556" s="7" t="n">
        <v>0.2934196789</v>
      </c>
      <c r="L556" s="7" t="n">
        <v>0.9559566106</v>
      </c>
      <c r="M556" s="7" t="n">
        <v>0.007200735838</v>
      </c>
      <c r="N556" s="7" t="n">
        <v>0.0003604859968</v>
      </c>
      <c r="O556" s="7" t="n">
        <v>-0.007642918788</v>
      </c>
      <c r="P556" s="7" t="n">
        <v>0.9999707275</v>
      </c>
      <c r="Q556" s="7" t="n">
        <v>5.200176519</v>
      </c>
      <c r="R556" s="7" t="n">
        <v>6.865536372</v>
      </c>
      <c r="S556" s="7" t="n">
        <v>0.81112095</v>
      </c>
    </row>
    <row r="557" customFormat="false" ht="15" hidden="false" customHeight="false" outlineLevel="0" collapsed="false">
      <c r="A557" s="5" t="s">
        <v>4</v>
      </c>
      <c r="B557" s="5" t="s">
        <v>77</v>
      </c>
      <c r="C557" s="5" t="s">
        <v>62</v>
      </c>
      <c r="D557" s="2" t="n">
        <v>14</v>
      </c>
      <c r="E557" s="5" t="s">
        <v>166</v>
      </c>
      <c r="F557" s="5" t="s">
        <v>168</v>
      </c>
      <c r="G557" s="2" t="n">
        <v>1</v>
      </c>
      <c r="H557" s="7" t="n">
        <v>0.9557658564</v>
      </c>
      <c r="I557" s="7" t="n">
        <v>-0.2941098698</v>
      </c>
      <c r="J557" s="7" t="n">
        <v>0.003318467641</v>
      </c>
      <c r="K557" s="7" t="n">
        <v>0.2941271603</v>
      </c>
      <c r="L557" s="7" t="n">
        <v>0.955735561</v>
      </c>
      <c r="M557" s="7" t="n">
        <v>-0.007664927282</v>
      </c>
      <c r="N557" s="7" t="n">
        <v>-0.0009172467675</v>
      </c>
      <c r="O557" s="7" t="n">
        <v>0.008301927252</v>
      </c>
      <c r="P557" s="7" t="n">
        <v>0.9999651177</v>
      </c>
      <c r="Q557" s="7" t="n">
        <v>5.208419275</v>
      </c>
      <c r="R557" s="7" t="n">
        <v>6.84592164</v>
      </c>
      <c r="S557" s="7" t="n">
        <v>0.7495774825</v>
      </c>
    </row>
    <row r="558" customFormat="false" ht="15" hidden="false" customHeight="false" outlineLevel="0" collapsed="false">
      <c r="A558" s="5" t="s">
        <v>4</v>
      </c>
      <c r="B558" s="5" t="s">
        <v>77</v>
      </c>
      <c r="C558" s="5" t="s">
        <v>58</v>
      </c>
      <c r="D558" s="2" t="n">
        <v>15</v>
      </c>
      <c r="E558" s="5" t="s">
        <v>166</v>
      </c>
      <c r="F558" s="5" t="s">
        <v>167</v>
      </c>
      <c r="G558" s="2" t="n">
        <v>1</v>
      </c>
      <c r="H558" s="7" t="n">
        <v>-0.2167080537</v>
      </c>
      <c r="I558" s="7" t="n">
        <v>-0.9762283478</v>
      </c>
      <c r="J558" s="7" t="n">
        <v>0.003978989619</v>
      </c>
      <c r="K558" s="7" t="n">
        <v>0.9762327209</v>
      </c>
      <c r="L558" s="7" t="n">
        <v>-0.2167167003</v>
      </c>
      <c r="M558" s="7" t="n">
        <v>-0.001883228566</v>
      </c>
      <c r="N558" s="7" t="n">
        <v>0.002700774612</v>
      </c>
      <c r="O558" s="7" t="n">
        <v>0.003476309065</v>
      </c>
      <c r="P558" s="7" t="n">
        <v>0.9999903105</v>
      </c>
      <c r="Q558" s="7" t="n">
        <v>-5.195641692</v>
      </c>
      <c r="R558" s="7" t="n">
        <v>-0.4001815125</v>
      </c>
      <c r="S558" s="7" t="n">
        <v>-0.4197283888</v>
      </c>
    </row>
    <row r="559" customFormat="false" ht="15" hidden="false" customHeight="false" outlineLevel="0" collapsed="false">
      <c r="A559" s="5" t="s">
        <v>4</v>
      </c>
      <c r="B559" s="5" t="s">
        <v>77</v>
      </c>
      <c r="C559" s="5" t="s">
        <v>62</v>
      </c>
      <c r="D559" s="2" t="n">
        <v>15</v>
      </c>
      <c r="E559" s="5" t="s">
        <v>166</v>
      </c>
      <c r="F559" s="5" t="s">
        <v>167</v>
      </c>
      <c r="G559" s="2" t="n">
        <v>1</v>
      </c>
      <c r="H559" s="7" t="n">
        <v>-0.2167080537</v>
      </c>
      <c r="I559" s="7" t="n">
        <v>-0.9762283478</v>
      </c>
      <c r="J559" s="7" t="n">
        <v>0.003978989619</v>
      </c>
      <c r="K559" s="7" t="n">
        <v>0.9762327209</v>
      </c>
      <c r="L559" s="7" t="n">
        <v>-0.2167167003</v>
      </c>
      <c r="M559" s="7" t="n">
        <v>-0.001883228566</v>
      </c>
      <c r="N559" s="7" t="n">
        <v>0.002700774612</v>
      </c>
      <c r="O559" s="7" t="n">
        <v>0.003476309065</v>
      </c>
      <c r="P559" s="7" t="n">
        <v>0.9999903105</v>
      </c>
      <c r="Q559" s="7" t="n">
        <v>-5.195641692</v>
      </c>
      <c r="R559" s="7" t="n">
        <v>-0.4001815125</v>
      </c>
      <c r="S559" s="7" t="n">
        <v>-0.4197283888</v>
      </c>
    </row>
    <row r="560" customFormat="false" ht="15" hidden="false" customHeight="false" outlineLevel="0" collapsed="false">
      <c r="A560" s="5" t="s">
        <v>4</v>
      </c>
      <c r="B560" s="5" t="s">
        <v>77</v>
      </c>
      <c r="C560" s="5" t="s">
        <v>58</v>
      </c>
      <c r="D560" s="2" t="n">
        <v>15</v>
      </c>
      <c r="E560" s="5" t="s">
        <v>166</v>
      </c>
      <c r="F560" s="5" t="s">
        <v>168</v>
      </c>
      <c r="G560" s="2" t="n">
        <v>1</v>
      </c>
      <c r="H560" s="7" t="n">
        <v>0.9556728772</v>
      </c>
      <c r="I560" s="7" t="n">
        <v>-0.294422244</v>
      </c>
      <c r="J560" s="7" t="n">
        <v>-0.002212230067</v>
      </c>
      <c r="K560" s="7" t="n">
        <v>0.2944252846</v>
      </c>
      <c r="L560" s="7" t="n">
        <v>0.9555838387</v>
      </c>
      <c r="M560" s="7" t="n">
        <v>0.01316354796</v>
      </c>
      <c r="N560" s="7" t="n">
        <v>-0.001761670028</v>
      </c>
      <c r="O560" s="7" t="n">
        <v>-0.01323138222</v>
      </c>
      <c r="P560" s="7" t="n">
        <v>0.9999109096</v>
      </c>
      <c r="Q560" s="7" t="n">
        <v>5.205618133</v>
      </c>
      <c r="R560" s="7" t="n">
        <v>6.87291187</v>
      </c>
      <c r="S560" s="7" t="n">
        <v>0.8294591205</v>
      </c>
    </row>
    <row r="561" customFormat="false" ht="15" hidden="false" customHeight="false" outlineLevel="0" collapsed="false">
      <c r="A561" s="5" t="s">
        <v>4</v>
      </c>
      <c r="B561" s="5" t="s">
        <v>77</v>
      </c>
      <c r="C561" s="5" t="s">
        <v>62</v>
      </c>
      <c r="D561" s="2" t="n">
        <v>15</v>
      </c>
      <c r="E561" s="5" t="s">
        <v>166</v>
      </c>
      <c r="F561" s="5" t="s">
        <v>168</v>
      </c>
      <c r="G561" s="2" t="n">
        <v>1</v>
      </c>
      <c r="H561" s="7" t="n">
        <v>0.9555058422</v>
      </c>
      <c r="I561" s="7" t="n">
        <v>-0.294971498</v>
      </c>
      <c r="J561" s="7" t="n">
        <v>0.0006331963343</v>
      </c>
      <c r="K561" s="7" t="n">
        <v>0.2949721398</v>
      </c>
      <c r="L561" s="7" t="n">
        <v>0.9555024318</v>
      </c>
      <c r="M561" s="7" t="n">
        <v>-0.002557257508</v>
      </c>
      <c r="N561" s="7" t="n">
        <v>0.0001492974408</v>
      </c>
      <c r="O561" s="7" t="n">
        <v>0.002630249767</v>
      </c>
      <c r="P561" s="7" t="n">
        <v>0.9999965297</v>
      </c>
      <c r="Q561" s="7" t="n">
        <v>5.210422668</v>
      </c>
      <c r="R561" s="7" t="n">
        <v>6.859086292</v>
      </c>
      <c r="S561" s="7" t="n">
        <v>0.7389960153</v>
      </c>
    </row>
    <row r="562" customFormat="false" ht="15" hidden="false" customHeight="false" outlineLevel="0" collapsed="false">
      <c r="A562" s="5" t="s">
        <v>4</v>
      </c>
      <c r="B562" s="5" t="s">
        <v>77</v>
      </c>
      <c r="C562" s="5" t="s">
        <v>58</v>
      </c>
      <c r="D562" s="2" t="n">
        <v>16</v>
      </c>
      <c r="E562" s="5" t="s">
        <v>166</v>
      </c>
      <c r="F562" s="5" t="s">
        <v>167</v>
      </c>
      <c r="G562" s="2" t="n">
        <v>1</v>
      </c>
      <c r="H562" s="7" t="n">
        <v>-0.2162825485</v>
      </c>
      <c r="I562" s="7" t="n">
        <v>-0.9763282788</v>
      </c>
      <c r="J562" s="7" t="n">
        <v>0.002225153718</v>
      </c>
      <c r="K562" s="7" t="n">
        <v>0.9763308034</v>
      </c>
      <c r="L562" s="7" t="n">
        <v>-0.2162816426</v>
      </c>
      <c r="M562" s="7" t="n">
        <v>0.0006429056646</v>
      </c>
      <c r="N562" s="7" t="n">
        <v>-0.0001464270797</v>
      </c>
      <c r="O562" s="7" t="n">
        <v>0.002311535393</v>
      </c>
      <c r="P562" s="7" t="n">
        <v>0.9999973177</v>
      </c>
      <c r="Q562" s="7" t="n">
        <v>-5.199842089</v>
      </c>
      <c r="R562" s="7" t="n">
        <v>-0.3928145905</v>
      </c>
      <c r="S562" s="7" t="n">
        <v>-0.3835152674</v>
      </c>
    </row>
    <row r="563" customFormat="false" ht="15" hidden="false" customHeight="false" outlineLevel="0" collapsed="false">
      <c r="A563" s="5" t="s">
        <v>4</v>
      </c>
      <c r="B563" s="5" t="s">
        <v>77</v>
      </c>
      <c r="C563" s="5" t="s">
        <v>62</v>
      </c>
      <c r="D563" s="2" t="n">
        <v>16</v>
      </c>
      <c r="E563" s="5" t="s">
        <v>166</v>
      </c>
      <c r="F563" s="5" t="s">
        <v>167</v>
      </c>
      <c r="G563" s="2" t="n">
        <v>1</v>
      </c>
      <c r="H563" s="7" t="n">
        <v>-0.2162825485</v>
      </c>
      <c r="I563" s="7" t="n">
        <v>-0.9763282788</v>
      </c>
      <c r="J563" s="7" t="n">
        <v>0.002225153718</v>
      </c>
      <c r="K563" s="7" t="n">
        <v>0.9763308034</v>
      </c>
      <c r="L563" s="7" t="n">
        <v>-0.2162816426</v>
      </c>
      <c r="M563" s="7" t="n">
        <v>0.0006429056646</v>
      </c>
      <c r="N563" s="7" t="n">
        <v>-0.0001464270797</v>
      </c>
      <c r="O563" s="7" t="n">
        <v>0.002311535393</v>
      </c>
      <c r="P563" s="7" t="n">
        <v>0.9999973177</v>
      </c>
      <c r="Q563" s="7" t="n">
        <v>-5.199842089</v>
      </c>
      <c r="R563" s="7" t="n">
        <v>-0.3928145905</v>
      </c>
      <c r="S563" s="7" t="n">
        <v>-0.3835152674</v>
      </c>
    </row>
    <row r="564" customFormat="false" ht="15" hidden="false" customHeight="false" outlineLevel="0" collapsed="false">
      <c r="A564" s="5" t="s">
        <v>4</v>
      </c>
      <c r="B564" s="5" t="s">
        <v>77</v>
      </c>
      <c r="C564" s="5" t="s">
        <v>58</v>
      </c>
      <c r="D564" s="2" t="n">
        <v>16</v>
      </c>
      <c r="E564" s="5" t="s">
        <v>166</v>
      </c>
      <c r="F564" s="5" t="s">
        <v>168</v>
      </c>
      <c r="G564" s="2" t="n">
        <v>1</v>
      </c>
      <c r="H564" s="7" t="n">
        <v>0.9557308585</v>
      </c>
      <c r="I564" s="7" t="n">
        <v>-0.2942092921</v>
      </c>
      <c r="J564" s="7" t="n">
        <v>-0.00440664239</v>
      </c>
      <c r="K564" s="7" t="n">
        <v>0.2942407759</v>
      </c>
      <c r="L564" s="7" t="n">
        <v>0.9556668177</v>
      </c>
      <c r="M564" s="7" t="n">
        <v>0.01110402548</v>
      </c>
      <c r="N564" s="7" t="n">
        <v>0.0009443744337</v>
      </c>
      <c r="O564" s="7" t="n">
        <v>-0.01190907368</v>
      </c>
      <c r="P564" s="7" t="n">
        <v>0.9999286385</v>
      </c>
      <c r="Q564" s="7" t="n">
        <v>5.206331999</v>
      </c>
      <c r="R564" s="7" t="n">
        <v>6.86777294</v>
      </c>
      <c r="S564" s="7" t="n">
        <v>0.7933201953</v>
      </c>
    </row>
    <row r="565" customFormat="false" ht="15" hidden="false" customHeight="false" outlineLevel="0" collapsed="false">
      <c r="A565" s="5" t="s">
        <v>4</v>
      </c>
      <c r="B565" s="5" t="s">
        <v>77</v>
      </c>
      <c r="C565" s="5" t="s">
        <v>62</v>
      </c>
      <c r="D565" s="2" t="n">
        <v>16</v>
      </c>
      <c r="E565" s="5" t="s">
        <v>166</v>
      </c>
      <c r="F565" s="5" t="s">
        <v>168</v>
      </c>
      <c r="G565" s="2" t="n">
        <v>1</v>
      </c>
      <c r="H565" s="7" t="n">
        <v>0.9556231525</v>
      </c>
      <c r="I565" s="7" t="n">
        <v>-0.2945852418</v>
      </c>
      <c r="J565" s="7" t="n">
        <v>-0.001981344501</v>
      </c>
      <c r="K565" s="7" t="n">
        <v>0.2945851906</v>
      </c>
      <c r="L565" s="7" t="n">
        <v>0.9556251673</v>
      </c>
      <c r="M565" s="7" t="n">
        <v>-0.0003242511846</v>
      </c>
      <c r="N565" s="7" t="n">
        <v>0.001988942284</v>
      </c>
      <c r="O565" s="7" t="n">
        <v>-0.0002738128083</v>
      </c>
      <c r="P565" s="7" t="n">
        <v>0.9999979846</v>
      </c>
      <c r="Q565" s="7" t="n">
        <v>5.209323477</v>
      </c>
      <c r="R565" s="7" t="n">
        <v>6.854671306</v>
      </c>
      <c r="S565" s="7" t="n">
        <v>0.7224210316</v>
      </c>
    </row>
    <row r="566" customFormat="false" ht="15" hidden="false" customHeight="false" outlineLevel="0" collapsed="false">
      <c r="A566" s="5" t="s">
        <v>4</v>
      </c>
      <c r="B566" s="5" t="s">
        <v>77</v>
      </c>
      <c r="C566" s="5" t="s">
        <v>58</v>
      </c>
      <c r="D566" s="2" t="n">
        <v>17</v>
      </c>
      <c r="E566" s="5" t="s">
        <v>166</v>
      </c>
      <c r="F566" s="5" t="s">
        <v>167</v>
      </c>
      <c r="G566" s="2" t="n">
        <v>1</v>
      </c>
      <c r="H566" s="7" t="n">
        <v>-0.2139420992</v>
      </c>
      <c r="I566" s="7" t="n">
        <v>-0.9768414865</v>
      </c>
      <c r="J566" s="7" t="n">
        <v>0.003080346807</v>
      </c>
      <c r="K566" s="7" t="n">
        <v>0.9768416416</v>
      </c>
      <c r="L566" s="7" t="n">
        <v>-0.2139497894</v>
      </c>
      <c r="M566" s="7" t="n">
        <v>-0.002427946829</v>
      </c>
      <c r="N566" s="7" t="n">
        <v>0.00303075874</v>
      </c>
      <c r="O566" s="7" t="n">
        <v>0.00248957099</v>
      </c>
      <c r="P566" s="7" t="n">
        <v>0.9999923082</v>
      </c>
      <c r="Q566" s="7" t="n">
        <v>-5.166154856</v>
      </c>
      <c r="R566" s="7" t="n">
        <v>-0.3850539099</v>
      </c>
      <c r="S566" s="7" t="n">
        <v>-0.4455992149</v>
      </c>
    </row>
    <row r="567" customFormat="false" ht="15" hidden="false" customHeight="false" outlineLevel="0" collapsed="false">
      <c r="A567" s="5" t="s">
        <v>4</v>
      </c>
      <c r="B567" s="5" t="s">
        <v>77</v>
      </c>
      <c r="C567" s="5" t="s">
        <v>62</v>
      </c>
      <c r="D567" s="2" t="n">
        <v>17</v>
      </c>
      <c r="E567" s="5" t="s">
        <v>166</v>
      </c>
      <c r="F567" s="5" t="s">
        <v>167</v>
      </c>
      <c r="G567" s="2" t="n">
        <v>1</v>
      </c>
      <c r="H567" s="7" t="n">
        <v>-0.2139420992</v>
      </c>
      <c r="I567" s="7" t="n">
        <v>-0.9768414865</v>
      </c>
      <c r="J567" s="7" t="n">
        <v>0.003080346807</v>
      </c>
      <c r="K567" s="7" t="n">
        <v>0.9768416416</v>
      </c>
      <c r="L567" s="7" t="n">
        <v>-0.2139497894</v>
      </c>
      <c r="M567" s="7" t="n">
        <v>-0.002427946829</v>
      </c>
      <c r="N567" s="7" t="n">
        <v>0.00303075874</v>
      </c>
      <c r="O567" s="7" t="n">
        <v>0.00248957099</v>
      </c>
      <c r="P567" s="7" t="n">
        <v>0.9999923082</v>
      </c>
      <c r="Q567" s="7" t="n">
        <v>-5.166154856</v>
      </c>
      <c r="R567" s="7" t="n">
        <v>-0.3850539099</v>
      </c>
      <c r="S567" s="7" t="n">
        <v>-0.4455992149</v>
      </c>
    </row>
    <row r="568" customFormat="false" ht="15" hidden="false" customHeight="false" outlineLevel="0" collapsed="false">
      <c r="A568" s="5" t="s">
        <v>4</v>
      </c>
      <c r="B568" s="5" t="s">
        <v>77</v>
      </c>
      <c r="C568" s="5" t="s">
        <v>58</v>
      </c>
      <c r="D568" s="2" t="n">
        <v>17</v>
      </c>
      <c r="E568" s="5" t="s">
        <v>166</v>
      </c>
      <c r="F568" s="5" t="s">
        <v>168</v>
      </c>
      <c r="G568" s="2" t="n">
        <v>1</v>
      </c>
      <c r="H568" s="7" t="n">
        <v>0.9555513478</v>
      </c>
      <c r="I568" s="7" t="n">
        <v>-0.2948239079</v>
      </c>
      <c r="J568" s="7" t="n">
        <v>-0.0006964632428</v>
      </c>
      <c r="K568" s="7" t="n">
        <v>0.2948178935</v>
      </c>
      <c r="L568" s="7" t="n">
        <v>0.9555426101</v>
      </c>
      <c r="M568" s="7" t="n">
        <v>-0.004553019665</v>
      </c>
      <c r="N568" s="7" t="n">
        <v>0.002007839355</v>
      </c>
      <c r="O568" s="7" t="n">
        <v>0.004145314251</v>
      </c>
      <c r="P568" s="7" t="n">
        <v>0.9999893924</v>
      </c>
      <c r="Q568" s="7" t="n">
        <v>5.207589012</v>
      </c>
      <c r="R568" s="7" t="n">
        <v>6.832869348</v>
      </c>
      <c r="S568" s="7" t="n">
        <v>0.7259776997</v>
      </c>
    </row>
    <row r="569" customFormat="false" ht="15" hidden="false" customHeight="false" outlineLevel="0" collapsed="false">
      <c r="A569" s="5" t="s">
        <v>4</v>
      </c>
      <c r="B569" s="5" t="s">
        <v>77</v>
      </c>
      <c r="C569" s="5" t="s">
        <v>62</v>
      </c>
      <c r="D569" s="2" t="n">
        <v>17</v>
      </c>
      <c r="E569" s="5" t="s">
        <v>166</v>
      </c>
      <c r="F569" s="5" t="s">
        <v>168</v>
      </c>
      <c r="G569" s="2" t="n">
        <v>1</v>
      </c>
      <c r="H569" s="7" t="n">
        <v>0.9555513478</v>
      </c>
      <c r="I569" s="7" t="n">
        <v>-0.2948239079</v>
      </c>
      <c r="J569" s="7" t="n">
        <v>-0.0006964632428</v>
      </c>
      <c r="K569" s="7" t="n">
        <v>0.2948178935</v>
      </c>
      <c r="L569" s="7" t="n">
        <v>0.9555426101</v>
      </c>
      <c r="M569" s="7" t="n">
        <v>-0.004553019665</v>
      </c>
      <c r="N569" s="7" t="n">
        <v>0.002007839355</v>
      </c>
      <c r="O569" s="7" t="n">
        <v>0.004145314251</v>
      </c>
      <c r="P569" s="7" t="n">
        <v>0.9999893924</v>
      </c>
      <c r="Q569" s="7" t="n">
        <v>5.207589012</v>
      </c>
      <c r="R569" s="7" t="n">
        <v>6.832869348</v>
      </c>
      <c r="S569" s="7" t="n">
        <v>0.7259776997</v>
      </c>
    </row>
    <row r="570" customFormat="false" ht="15" hidden="false" customHeight="false" outlineLevel="0" collapsed="false">
      <c r="A570" s="5" t="s">
        <v>4</v>
      </c>
      <c r="B570" s="5" t="s">
        <v>77</v>
      </c>
      <c r="C570" s="5" t="s">
        <v>58</v>
      </c>
      <c r="D570" s="2" t="n">
        <v>18</v>
      </c>
      <c r="E570" s="5" t="s">
        <v>166</v>
      </c>
      <c r="F570" s="5" t="s">
        <v>167</v>
      </c>
      <c r="G570" s="2" t="n">
        <v>1</v>
      </c>
      <c r="H570" s="7" t="n">
        <v>-0.2158186541</v>
      </c>
      <c r="I570" s="7" t="n">
        <v>-0.9764289237</v>
      </c>
      <c r="J570" s="7" t="n">
        <v>0.002977499435</v>
      </c>
      <c r="K570" s="7" t="n">
        <v>0.9764311091</v>
      </c>
      <c r="L570" s="7" t="n">
        <v>-0.2158238267</v>
      </c>
      <c r="M570" s="7" t="n">
        <v>-0.001537875685</v>
      </c>
      <c r="N570" s="7" t="n">
        <v>0.002144241622</v>
      </c>
      <c r="O570" s="7" t="n">
        <v>0.002575420815</v>
      </c>
      <c r="P570" s="7" t="n">
        <v>0.9999943847</v>
      </c>
      <c r="Q570" s="7" t="n">
        <v>-5.199786299</v>
      </c>
      <c r="R570" s="7" t="n">
        <v>-0.3694806894</v>
      </c>
      <c r="S570" s="7" t="n">
        <v>-0.4079677497</v>
      </c>
    </row>
    <row r="571" customFormat="false" ht="15" hidden="false" customHeight="false" outlineLevel="0" collapsed="false">
      <c r="A571" s="5" t="s">
        <v>4</v>
      </c>
      <c r="B571" s="5" t="s">
        <v>77</v>
      </c>
      <c r="C571" s="5" t="s">
        <v>62</v>
      </c>
      <c r="D571" s="2" t="n">
        <v>18</v>
      </c>
      <c r="E571" s="5" t="s">
        <v>166</v>
      </c>
      <c r="F571" s="5" t="s">
        <v>167</v>
      </c>
      <c r="G571" s="2" t="n">
        <v>1</v>
      </c>
      <c r="H571" s="7" t="n">
        <v>-0.2158186541</v>
      </c>
      <c r="I571" s="7" t="n">
        <v>-0.9764289237</v>
      </c>
      <c r="J571" s="7" t="n">
        <v>0.002977499435</v>
      </c>
      <c r="K571" s="7" t="n">
        <v>0.9764311091</v>
      </c>
      <c r="L571" s="7" t="n">
        <v>-0.2158238267</v>
      </c>
      <c r="M571" s="7" t="n">
        <v>-0.001537875685</v>
      </c>
      <c r="N571" s="7" t="n">
        <v>0.002144241622</v>
      </c>
      <c r="O571" s="7" t="n">
        <v>0.002575420815</v>
      </c>
      <c r="P571" s="7" t="n">
        <v>0.9999943847</v>
      </c>
      <c r="Q571" s="7" t="n">
        <v>-5.199786299</v>
      </c>
      <c r="R571" s="7" t="n">
        <v>-0.3694806894</v>
      </c>
      <c r="S571" s="7" t="n">
        <v>-0.4079677497</v>
      </c>
    </row>
    <row r="572" customFormat="false" ht="15" hidden="false" customHeight="false" outlineLevel="0" collapsed="false">
      <c r="A572" s="5" t="s">
        <v>4</v>
      </c>
      <c r="B572" s="5" t="s">
        <v>77</v>
      </c>
      <c r="C572" s="5" t="s">
        <v>58</v>
      </c>
      <c r="D572" s="2" t="n">
        <v>18</v>
      </c>
      <c r="E572" s="5" t="s">
        <v>166</v>
      </c>
      <c r="F572" s="5" t="s">
        <v>168</v>
      </c>
      <c r="G572" s="2" t="n">
        <v>1</v>
      </c>
      <c r="H572" s="7" t="n">
        <v>0.9557591679</v>
      </c>
      <c r="I572" s="7" t="n">
        <v>-0.2941502873</v>
      </c>
      <c r="J572" s="7" t="n">
        <v>-0.0001463573849</v>
      </c>
      <c r="K572" s="7" t="n">
        <v>0.2941503229</v>
      </c>
      <c r="L572" s="7" t="n">
        <v>0.9557590101</v>
      </c>
      <c r="M572" s="7" t="n">
        <v>0.0005497122597</v>
      </c>
      <c r="N572" s="7" t="n">
        <v>-2.181562979E-005</v>
      </c>
      <c r="O572" s="7" t="n">
        <v>-0.0005684436039</v>
      </c>
      <c r="P572" s="7" t="n">
        <v>0.9999998382</v>
      </c>
      <c r="Q572" s="7" t="n">
        <v>5.218291662</v>
      </c>
      <c r="R572" s="7" t="n">
        <v>6.857520407</v>
      </c>
      <c r="S572" s="7" t="n">
        <v>0.7555628539</v>
      </c>
    </row>
    <row r="573" customFormat="false" ht="15" hidden="false" customHeight="false" outlineLevel="0" collapsed="false">
      <c r="A573" s="5" t="s">
        <v>4</v>
      </c>
      <c r="B573" s="5" t="s">
        <v>77</v>
      </c>
      <c r="C573" s="5" t="s">
        <v>62</v>
      </c>
      <c r="D573" s="2" t="n">
        <v>18</v>
      </c>
      <c r="E573" s="5" t="s">
        <v>166</v>
      </c>
      <c r="F573" s="5" t="s">
        <v>168</v>
      </c>
      <c r="G573" s="2" t="n">
        <v>1</v>
      </c>
      <c r="H573" s="7" t="n">
        <v>0.9556291861</v>
      </c>
      <c r="I573" s="7" t="n">
        <v>-0.2945639001</v>
      </c>
      <c r="J573" s="7" t="n">
        <v>-0.002228773127</v>
      </c>
      <c r="K573" s="7" t="n">
        <v>0.294561346</v>
      </c>
      <c r="L573" s="7" t="n">
        <v>0.9556315382</v>
      </c>
      <c r="M573" s="7" t="n">
        <v>-0.001405949439</v>
      </c>
      <c r="N573" s="7" t="n">
        <v>0.002544027841</v>
      </c>
      <c r="O573" s="7" t="n">
        <v>0.0006870559056</v>
      </c>
      <c r="P573" s="7" t="n">
        <v>0.9999965279</v>
      </c>
      <c r="Q573" s="7" t="n">
        <v>5.220940132</v>
      </c>
      <c r="R573" s="7" t="n">
        <v>6.850376992</v>
      </c>
      <c r="S573" s="7" t="n">
        <v>0.7081920791</v>
      </c>
    </row>
    <row r="574" customFormat="false" ht="15" hidden="false" customHeight="false" outlineLevel="0" collapsed="false">
      <c r="A574" s="5" t="s">
        <v>4</v>
      </c>
      <c r="B574" s="5" t="s">
        <v>77</v>
      </c>
      <c r="C574" s="5" t="s">
        <v>58</v>
      </c>
      <c r="D574" s="2" t="n">
        <v>19</v>
      </c>
      <c r="E574" s="5" t="s">
        <v>166</v>
      </c>
      <c r="F574" s="5" t="s">
        <v>167</v>
      </c>
      <c r="G574" s="2" t="n">
        <v>1</v>
      </c>
      <c r="H574" s="7" t="n">
        <v>-0.2161582627</v>
      </c>
      <c r="I574" s="7" t="n">
        <v>-0.9763541607</v>
      </c>
      <c r="J574" s="7" t="n">
        <v>0.002856281253</v>
      </c>
      <c r="K574" s="7" t="n">
        <v>0.9763512448</v>
      </c>
      <c r="L574" s="7" t="n">
        <v>-0.2161669189</v>
      </c>
      <c r="M574" s="7" t="n">
        <v>-0.003179606301</v>
      </c>
      <c r="N574" s="7" t="n">
        <v>0.003721855359</v>
      </c>
      <c r="O574" s="7" t="n">
        <v>0.002101435583</v>
      </c>
      <c r="P574" s="7" t="n">
        <v>0.9999908658</v>
      </c>
      <c r="Q574" s="7" t="n">
        <v>-5.201266598</v>
      </c>
      <c r="R574" s="7" t="n">
        <v>-0.3868551418</v>
      </c>
      <c r="S574" s="7" t="n">
        <v>-0.4155276852</v>
      </c>
    </row>
    <row r="575" customFormat="false" ht="15" hidden="false" customHeight="false" outlineLevel="0" collapsed="false">
      <c r="A575" s="5" t="s">
        <v>4</v>
      </c>
      <c r="B575" s="5" t="s">
        <v>77</v>
      </c>
      <c r="C575" s="5" t="s">
        <v>62</v>
      </c>
      <c r="D575" s="2" t="n">
        <v>19</v>
      </c>
      <c r="E575" s="5" t="s">
        <v>166</v>
      </c>
      <c r="F575" s="5" t="s">
        <v>167</v>
      </c>
      <c r="G575" s="2" t="n">
        <v>1</v>
      </c>
      <c r="H575" s="7" t="n">
        <v>-0.2161582627</v>
      </c>
      <c r="I575" s="7" t="n">
        <v>-0.9763541607</v>
      </c>
      <c r="J575" s="7" t="n">
        <v>0.002856281253</v>
      </c>
      <c r="K575" s="7" t="n">
        <v>0.9763512448</v>
      </c>
      <c r="L575" s="7" t="n">
        <v>-0.2161669189</v>
      </c>
      <c r="M575" s="7" t="n">
        <v>-0.003179606301</v>
      </c>
      <c r="N575" s="7" t="n">
        <v>0.003721855359</v>
      </c>
      <c r="O575" s="7" t="n">
        <v>0.002101435583</v>
      </c>
      <c r="P575" s="7" t="n">
        <v>0.9999908658</v>
      </c>
      <c r="Q575" s="7" t="n">
        <v>-5.201266598</v>
      </c>
      <c r="R575" s="7" t="n">
        <v>-0.3868551418</v>
      </c>
      <c r="S575" s="7" t="n">
        <v>-0.4155276852</v>
      </c>
    </row>
    <row r="576" customFormat="false" ht="15" hidden="false" customHeight="false" outlineLevel="0" collapsed="false">
      <c r="A576" s="5" t="s">
        <v>4</v>
      </c>
      <c r="B576" s="5" t="s">
        <v>77</v>
      </c>
      <c r="C576" s="5" t="s">
        <v>58</v>
      </c>
      <c r="D576" s="2" t="n">
        <v>19</v>
      </c>
      <c r="E576" s="5" t="s">
        <v>166</v>
      </c>
      <c r="F576" s="5" t="s">
        <v>168</v>
      </c>
      <c r="G576" s="2" t="n">
        <v>1</v>
      </c>
      <c r="H576" s="7" t="n">
        <v>0.9557207653</v>
      </c>
      <c r="I576" s="7" t="n">
        <v>-0.2942748841</v>
      </c>
      <c r="J576" s="7" t="n">
        <v>-0.0003337125164</v>
      </c>
      <c r="K576" s="7" t="n">
        <v>0.2942733298</v>
      </c>
      <c r="L576" s="7" t="n">
        <v>0.9557183919</v>
      </c>
      <c r="M576" s="7" t="n">
        <v>-0.002358567616</v>
      </c>
      <c r="N576" s="7" t="n">
        <v>0.001013002401</v>
      </c>
      <c r="O576" s="7" t="n">
        <v>0.002155929353</v>
      </c>
      <c r="P576" s="7" t="n">
        <v>0.9999971629</v>
      </c>
      <c r="Q576" s="7" t="n">
        <v>5.228817611</v>
      </c>
      <c r="R576" s="7" t="n">
        <v>6.85047025</v>
      </c>
      <c r="S576" s="7" t="n">
        <v>0.7266098728</v>
      </c>
    </row>
    <row r="577" customFormat="false" ht="15" hidden="false" customHeight="false" outlineLevel="0" collapsed="false">
      <c r="A577" s="5" t="s">
        <v>4</v>
      </c>
      <c r="B577" s="5" t="s">
        <v>77</v>
      </c>
      <c r="C577" s="5" t="s">
        <v>62</v>
      </c>
      <c r="D577" s="2" t="n">
        <v>19</v>
      </c>
      <c r="E577" s="5" t="s">
        <v>166</v>
      </c>
      <c r="F577" s="5" t="s">
        <v>168</v>
      </c>
      <c r="G577" s="2" t="n">
        <v>1</v>
      </c>
      <c r="H577" s="7" t="n">
        <v>0.9557207653</v>
      </c>
      <c r="I577" s="7" t="n">
        <v>-0.2942748841</v>
      </c>
      <c r="J577" s="7" t="n">
        <v>-0.0003337125164</v>
      </c>
      <c r="K577" s="7" t="n">
        <v>0.2942733298</v>
      </c>
      <c r="L577" s="7" t="n">
        <v>0.9557183919</v>
      </c>
      <c r="M577" s="7" t="n">
        <v>-0.002358567616</v>
      </c>
      <c r="N577" s="7" t="n">
        <v>0.001013002401</v>
      </c>
      <c r="O577" s="7" t="n">
        <v>0.002155929353</v>
      </c>
      <c r="P577" s="7" t="n">
        <v>0.9999971629</v>
      </c>
      <c r="Q577" s="7" t="n">
        <v>5.228817611</v>
      </c>
      <c r="R577" s="7" t="n">
        <v>6.85047025</v>
      </c>
      <c r="S577" s="7" t="n">
        <v>0.7266098728</v>
      </c>
    </row>
    <row r="578" customFormat="false" ht="15" hidden="false" customHeight="false" outlineLevel="0" collapsed="false">
      <c r="A578" s="5" t="s">
        <v>4</v>
      </c>
      <c r="B578" s="5" t="s">
        <v>77</v>
      </c>
      <c r="C578" s="5" t="s">
        <v>58</v>
      </c>
      <c r="D578" s="2" t="n">
        <v>20</v>
      </c>
      <c r="E578" s="5" t="s">
        <v>166</v>
      </c>
      <c r="F578" s="5" t="s">
        <v>167</v>
      </c>
      <c r="G578" s="2" t="n">
        <v>1</v>
      </c>
      <c r="H578" s="7" t="n">
        <v>-0.2163947637</v>
      </c>
      <c r="I578" s="7" t="n">
        <v>-0.9763030652</v>
      </c>
      <c r="J578" s="7" t="n">
        <v>0.00237300707</v>
      </c>
      <c r="K578" s="7" t="n">
        <v>0.9762996574</v>
      </c>
      <c r="L578" s="7" t="n">
        <v>-0.216401456</v>
      </c>
      <c r="M578" s="7" t="n">
        <v>-0.003064126488</v>
      </c>
      <c r="N578" s="7" t="n">
        <v>0.003505038267</v>
      </c>
      <c r="O578" s="7" t="n">
        <v>0.001653705062</v>
      </c>
      <c r="P578" s="7" t="n">
        <v>0.99999249</v>
      </c>
      <c r="Q578" s="7" t="n">
        <v>-5.210010434</v>
      </c>
      <c r="R578" s="7" t="n">
        <v>-0.3743972212</v>
      </c>
      <c r="S578" s="7" t="n">
        <v>-0.4257169473</v>
      </c>
    </row>
    <row r="579" customFormat="false" ht="15" hidden="false" customHeight="false" outlineLevel="0" collapsed="false">
      <c r="A579" s="5" t="s">
        <v>4</v>
      </c>
      <c r="B579" s="5" t="s">
        <v>77</v>
      </c>
      <c r="C579" s="5" t="s">
        <v>62</v>
      </c>
      <c r="D579" s="2" t="n">
        <v>20</v>
      </c>
      <c r="E579" s="5" t="s">
        <v>166</v>
      </c>
      <c r="F579" s="5" t="s">
        <v>167</v>
      </c>
      <c r="G579" s="2" t="n">
        <v>1</v>
      </c>
      <c r="H579" s="7" t="n">
        <v>-0.2163947637</v>
      </c>
      <c r="I579" s="7" t="n">
        <v>-0.9763030652</v>
      </c>
      <c r="J579" s="7" t="n">
        <v>0.00237300707</v>
      </c>
      <c r="K579" s="7" t="n">
        <v>0.9762996574</v>
      </c>
      <c r="L579" s="7" t="n">
        <v>-0.216401456</v>
      </c>
      <c r="M579" s="7" t="n">
        <v>-0.003064126488</v>
      </c>
      <c r="N579" s="7" t="n">
        <v>0.003505038267</v>
      </c>
      <c r="O579" s="7" t="n">
        <v>0.001653705062</v>
      </c>
      <c r="P579" s="7" t="n">
        <v>0.99999249</v>
      </c>
      <c r="Q579" s="7" t="n">
        <v>-5.210010434</v>
      </c>
      <c r="R579" s="7" t="n">
        <v>-0.3743972212</v>
      </c>
      <c r="S579" s="7" t="n">
        <v>-0.4257169473</v>
      </c>
    </row>
    <row r="580" customFormat="false" ht="15" hidden="false" customHeight="false" outlineLevel="0" collapsed="false">
      <c r="A580" s="5" t="s">
        <v>4</v>
      </c>
      <c r="B580" s="5" t="s">
        <v>77</v>
      </c>
      <c r="C580" s="5" t="s">
        <v>58</v>
      </c>
      <c r="D580" s="2" t="n">
        <v>20</v>
      </c>
      <c r="E580" s="5" t="s">
        <v>166</v>
      </c>
      <c r="F580" s="5" t="s">
        <v>168</v>
      </c>
      <c r="G580" s="2" t="n">
        <v>1</v>
      </c>
      <c r="H580" s="7" t="n">
        <v>0.956162085</v>
      </c>
      <c r="I580" s="7" t="n">
        <v>-0.2924807903</v>
      </c>
      <c r="J580" s="7" t="n">
        <v>-0.01445871948</v>
      </c>
      <c r="K580" s="7" t="n">
        <v>0.2927848585</v>
      </c>
      <c r="L580" s="7" t="n">
        <v>0.9557629194</v>
      </c>
      <c r="M580" s="7" t="n">
        <v>0.02818277027</v>
      </c>
      <c r="N580" s="7" t="n">
        <v>0.005576189025</v>
      </c>
      <c r="O580" s="7" t="n">
        <v>-0.03118059052</v>
      </c>
      <c r="P580" s="7" t="n">
        <v>0.9994982126</v>
      </c>
      <c r="Q580" s="7" t="n">
        <v>5.214744537</v>
      </c>
      <c r="R580" s="7" t="n">
        <v>6.878016804</v>
      </c>
      <c r="S580" s="7" t="n">
        <v>0.7972338214</v>
      </c>
    </row>
    <row r="581" customFormat="false" ht="15" hidden="false" customHeight="false" outlineLevel="0" collapsed="false">
      <c r="A581" s="5" t="s">
        <v>4</v>
      </c>
      <c r="B581" s="5" t="s">
        <v>77</v>
      </c>
      <c r="C581" s="5" t="s">
        <v>62</v>
      </c>
      <c r="D581" s="2" t="n">
        <v>20</v>
      </c>
      <c r="E581" s="5" t="s">
        <v>166</v>
      </c>
      <c r="F581" s="5" t="s">
        <v>168</v>
      </c>
      <c r="G581" s="2" t="n">
        <v>1</v>
      </c>
      <c r="H581" s="7" t="n">
        <v>0.9560230816</v>
      </c>
      <c r="I581" s="7" t="n">
        <v>-0.2932911074</v>
      </c>
      <c r="J581" s="7" t="n">
        <v>0.0004403131095</v>
      </c>
      <c r="K581" s="7" t="n">
        <v>0.2932900865</v>
      </c>
      <c r="L581" s="7" t="n">
        <v>0.9560221566</v>
      </c>
      <c r="M581" s="7" t="n">
        <v>0.001600391951</v>
      </c>
      <c r="N581" s="7" t="n">
        <v>-0.000890329816</v>
      </c>
      <c r="O581" s="7" t="n">
        <v>-0.001400872175</v>
      </c>
      <c r="P581" s="7" t="n">
        <v>0.9999986224</v>
      </c>
      <c r="Q581" s="7" t="n">
        <v>5.233088994</v>
      </c>
      <c r="R581" s="7" t="n">
        <v>6.851824961</v>
      </c>
      <c r="S581" s="7" t="n">
        <v>0.7433878774</v>
      </c>
    </row>
    <row r="582" customFormat="false" ht="15" hidden="false" customHeight="false" outlineLevel="0" collapsed="false">
      <c r="A582" s="5" t="s">
        <v>4</v>
      </c>
      <c r="B582" s="5" t="s">
        <v>77</v>
      </c>
      <c r="C582" s="5" t="s">
        <v>58</v>
      </c>
      <c r="D582" s="2" t="n">
        <v>11</v>
      </c>
      <c r="E582" s="5" t="s">
        <v>167</v>
      </c>
      <c r="F582" s="5" t="s">
        <v>168</v>
      </c>
      <c r="G582" s="2" t="n">
        <v>1</v>
      </c>
      <c r="H582" s="7" t="n">
        <v>0.0809952836</v>
      </c>
      <c r="I582" s="7" t="n">
        <v>0.9967053637</v>
      </c>
      <c r="J582" s="7" t="n">
        <v>-0.004264033093</v>
      </c>
      <c r="K582" s="7" t="n">
        <v>-0.9966981073</v>
      </c>
      <c r="L582" s="7" t="n">
        <v>0.08101773608</v>
      </c>
      <c r="M582" s="7" t="n">
        <v>0.005386037436</v>
      </c>
      <c r="N582" s="7" t="n">
        <v>0.005713754709</v>
      </c>
      <c r="O582" s="7" t="n">
        <v>0.003813710084</v>
      </c>
      <c r="P582" s="7" t="n">
        <v>0.999976404</v>
      </c>
      <c r="Q582" s="7" t="n">
        <v>6.009827732</v>
      </c>
      <c r="R582" s="7" t="n">
        <v>1.705358789</v>
      </c>
      <c r="S582" s="7" t="n">
        <v>1.126332321</v>
      </c>
    </row>
    <row r="583" customFormat="false" ht="15" hidden="false" customHeight="false" outlineLevel="0" collapsed="false">
      <c r="A583" s="5" t="s">
        <v>4</v>
      </c>
      <c r="B583" s="5" t="s">
        <v>77</v>
      </c>
      <c r="C583" s="5" t="s">
        <v>62</v>
      </c>
      <c r="D583" s="2" t="n">
        <v>11</v>
      </c>
      <c r="E583" s="5" t="s">
        <v>167</v>
      </c>
      <c r="F583" s="5" t="s">
        <v>168</v>
      </c>
      <c r="G583" s="2" t="n">
        <v>1</v>
      </c>
      <c r="H583" s="7" t="n">
        <v>0.0809952836</v>
      </c>
      <c r="I583" s="7" t="n">
        <v>0.9967053637</v>
      </c>
      <c r="J583" s="7" t="n">
        <v>-0.004264033093</v>
      </c>
      <c r="K583" s="7" t="n">
        <v>-0.9966981073</v>
      </c>
      <c r="L583" s="7" t="n">
        <v>0.08101773608</v>
      </c>
      <c r="M583" s="7" t="n">
        <v>0.005386037436</v>
      </c>
      <c r="N583" s="7" t="n">
        <v>0.005713754709</v>
      </c>
      <c r="O583" s="7" t="n">
        <v>0.003813710084</v>
      </c>
      <c r="P583" s="7" t="n">
        <v>0.999976404</v>
      </c>
      <c r="Q583" s="7" t="n">
        <v>6.009827732</v>
      </c>
      <c r="R583" s="7" t="n">
        <v>1.705358789</v>
      </c>
      <c r="S583" s="7" t="n">
        <v>1.126332321</v>
      </c>
    </row>
    <row r="584" customFormat="false" ht="15" hidden="false" customHeight="false" outlineLevel="0" collapsed="false">
      <c r="A584" s="5" t="s">
        <v>4</v>
      </c>
      <c r="B584" s="5" t="s">
        <v>77</v>
      </c>
      <c r="C584" s="5" t="s">
        <v>58</v>
      </c>
      <c r="D584" s="2" t="n">
        <v>12</v>
      </c>
      <c r="E584" s="5" t="s">
        <v>167</v>
      </c>
      <c r="F584" s="5" t="s">
        <v>168</v>
      </c>
      <c r="G584" s="2" t="n">
        <v>1</v>
      </c>
      <c r="H584" s="7" t="n">
        <v>0.08006031718</v>
      </c>
      <c r="I584" s="7" t="n">
        <v>0.9967900208</v>
      </c>
      <c r="J584" s="7" t="n">
        <v>-4.897637008E-006</v>
      </c>
      <c r="K584" s="7" t="n">
        <v>-0.9967875619</v>
      </c>
      <c r="L584" s="7" t="n">
        <v>0.08006013059</v>
      </c>
      <c r="M584" s="7" t="n">
        <v>0.002220790325</v>
      </c>
      <c r="N584" s="7" t="n">
        <v>0.00221405374</v>
      </c>
      <c r="O584" s="7" t="n">
        <v>-0.0001729152741</v>
      </c>
      <c r="P584" s="7" t="n">
        <v>0.999997534</v>
      </c>
      <c r="Q584" s="7" t="n">
        <v>6.003424209</v>
      </c>
      <c r="R584" s="7" t="n">
        <v>1.713895611</v>
      </c>
      <c r="S584" s="7" t="n">
        <v>1.161435538</v>
      </c>
    </row>
    <row r="585" customFormat="false" ht="15" hidden="false" customHeight="false" outlineLevel="0" collapsed="false">
      <c r="A585" s="5" t="s">
        <v>4</v>
      </c>
      <c r="B585" s="5" t="s">
        <v>77</v>
      </c>
      <c r="C585" s="5" t="s">
        <v>62</v>
      </c>
      <c r="D585" s="2" t="n">
        <v>12</v>
      </c>
      <c r="E585" s="5" t="s">
        <v>167</v>
      </c>
      <c r="F585" s="5" t="s">
        <v>168</v>
      </c>
      <c r="G585" s="2" t="n">
        <v>1</v>
      </c>
      <c r="H585" s="7" t="n">
        <v>0.08006031718</v>
      </c>
      <c r="I585" s="7" t="n">
        <v>0.9967900208</v>
      </c>
      <c r="J585" s="7" t="n">
        <v>-4.897637008E-006</v>
      </c>
      <c r="K585" s="7" t="n">
        <v>-0.9967875619</v>
      </c>
      <c r="L585" s="7" t="n">
        <v>0.08006013059</v>
      </c>
      <c r="M585" s="7" t="n">
        <v>0.002220790325</v>
      </c>
      <c r="N585" s="7" t="n">
        <v>0.00221405374</v>
      </c>
      <c r="O585" s="7" t="n">
        <v>-0.0001729152741</v>
      </c>
      <c r="P585" s="7" t="n">
        <v>0.999997534</v>
      </c>
      <c r="Q585" s="7" t="n">
        <v>6.003424209</v>
      </c>
      <c r="R585" s="7" t="n">
        <v>1.713895611</v>
      </c>
      <c r="S585" s="7" t="n">
        <v>1.161435538</v>
      </c>
    </row>
    <row r="586" customFormat="false" ht="15" hidden="false" customHeight="false" outlineLevel="0" collapsed="false">
      <c r="A586" s="5" t="s">
        <v>4</v>
      </c>
      <c r="B586" s="5" t="s">
        <v>77</v>
      </c>
      <c r="C586" s="5" t="s">
        <v>58</v>
      </c>
      <c r="D586" s="2" t="n">
        <v>13</v>
      </c>
      <c r="E586" s="5" t="s">
        <v>167</v>
      </c>
      <c r="F586" s="5" t="s">
        <v>168</v>
      </c>
      <c r="G586" s="2" t="n">
        <v>1</v>
      </c>
      <c r="H586" s="7" t="n">
        <v>0.07887581933</v>
      </c>
      <c r="I586" s="7" t="n">
        <v>0.996883182</v>
      </c>
      <c r="J586" s="7" t="n">
        <v>-0.00158954014</v>
      </c>
      <c r="K586" s="7" t="n">
        <v>-0.996872145</v>
      </c>
      <c r="L586" s="7" t="n">
        <v>0.0788826677</v>
      </c>
      <c r="M586" s="7" t="n">
        <v>0.004842645</v>
      </c>
      <c r="N586" s="7" t="n">
        <v>0.004952938524</v>
      </c>
      <c r="O586" s="7" t="n">
        <v>0.001202600697</v>
      </c>
      <c r="P586" s="7" t="n">
        <v>0.999987011</v>
      </c>
      <c r="Q586" s="7" t="n">
        <v>6.025159076</v>
      </c>
      <c r="R586" s="7" t="n">
        <v>1.708038115</v>
      </c>
      <c r="S586" s="7" t="n">
        <v>1.14184615</v>
      </c>
    </row>
    <row r="587" customFormat="false" ht="15" hidden="false" customHeight="false" outlineLevel="0" collapsed="false">
      <c r="A587" s="5" t="s">
        <v>4</v>
      </c>
      <c r="B587" s="5" t="s">
        <v>77</v>
      </c>
      <c r="C587" s="5" t="s">
        <v>62</v>
      </c>
      <c r="D587" s="2" t="n">
        <v>13</v>
      </c>
      <c r="E587" s="5" t="s">
        <v>167</v>
      </c>
      <c r="F587" s="5" t="s">
        <v>168</v>
      </c>
      <c r="G587" s="2" t="n">
        <v>1</v>
      </c>
      <c r="H587" s="7" t="n">
        <v>0.07887581933</v>
      </c>
      <c r="I587" s="7" t="n">
        <v>0.996883182</v>
      </c>
      <c r="J587" s="7" t="n">
        <v>-0.00158954014</v>
      </c>
      <c r="K587" s="7" t="n">
        <v>-0.996872145</v>
      </c>
      <c r="L587" s="7" t="n">
        <v>0.0788826677</v>
      </c>
      <c r="M587" s="7" t="n">
        <v>0.004842645</v>
      </c>
      <c r="N587" s="7" t="n">
        <v>0.004952938524</v>
      </c>
      <c r="O587" s="7" t="n">
        <v>0.001202600697</v>
      </c>
      <c r="P587" s="7" t="n">
        <v>0.999987011</v>
      </c>
      <c r="Q587" s="7" t="n">
        <v>6.025159076</v>
      </c>
      <c r="R587" s="7" t="n">
        <v>1.708038115</v>
      </c>
      <c r="S587" s="7" t="n">
        <v>1.14184615</v>
      </c>
    </row>
    <row r="588" customFormat="false" ht="15" hidden="false" customHeight="false" outlineLevel="0" collapsed="false">
      <c r="A588" s="5" t="s">
        <v>4</v>
      </c>
      <c r="B588" s="5" t="s">
        <v>77</v>
      </c>
      <c r="C588" s="5" t="s">
        <v>58</v>
      </c>
      <c r="D588" s="2" t="n">
        <v>14</v>
      </c>
      <c r="E588" s="5" t="s">
        <v>167</v>
      </c>
      <c r="F588" s="5" t="s">
        <v>168</v>
      </c>
      <c r="G588" s="2" t="n">
        <v>1</v>
      </c>
      <c r="H588" s="7" t="n">
        <v>0.08070068475</v>
      </c>
      <c r="I588" s="7" t="n">
        <v>0.9967375183</v>
      </c>
      <c r="J588" s="7" t="n">
        <v>-0.001311129386</v>
      </c>
      <c r="K588" s="7" t="n">
        <v>-0.9967177988</v>
      </c>
      <c r="L588" s="7" t="n">
        <v>0.08070740188</v>
      </c>
      <c r="M588" s="7" t="n">
        <v>0.006320197937</v>
      </c>
      <c r="N588" s="7" t="n">
        <v>0.006405396254</v>
      </c>
      <c r="O588" s="7" t="n">
        <v>0.0007967816941</v>
      </c>
      <c r="P588" s="7" t="n">
        <v>0.9999791678</v>
      </c>
      <c r="Q588" s="7" t="n">
        <v>5.996865817</v>
      </c>
      <c r="R588" s="7" t="n">
        <v>1.718472261</v>
      </c>
      <c r="S588" s="7" t="n">
        <v>1.09891636</v>
      </c>
    </row>
    <row r="589" customFormat="false" ht="15" hidden="false" customHeight="false" outlineLevel="0" collapsed="false">
      <c r="A589" s="5" t="s">
        <v>4</v>
      </c>
      <c r="B589" s="5" t="s">
        <v>77</v>
      </c>
      <c r="C589" s="5" t="s">
        <v>62</v>
      </c>
      <c r="D589" s="2" t="n">
        <v>14</v>
      </c>
      <c r="E589" s="5" t="s">
        <v>167</v>
      </c>
      <c r="F589" s="5" t="s">
        <v>168</v>
      </c>
      <c r="G589" s="2" t="n">
        <v>1</v>
      </c>
      <c r="H589" s="7" t="n">
        <v>0.08070068475</v>
      </c>
      <c r="I589" s="7" t="n">
        <v>0.9967375183</v>
      </c>
      <c r="J589" s="7" t="n">
        <v>-0.001311129386</v>
      </c>
      <c r="K589" s="7" t="n">
        <v>-0.9967177988</v>
      </c>
      <c r="L589" s="7" t="n">
        <v>0.08070740188</v>
      </c>
      <c r="M589" s="7" t="n">
        <v>0.006320197937</v>
      </c>
      <c r="N589" s="7" t="n">
        <v>0.006405396254</v>
      </c>
      <c r="O589" s="7" t="n">
        <v>0.0007967816941</v>
      </c>
      <c r="P589" s="7" t="n">
        <v>0.9999791678</v>
      </c>
      <c r="Q589" s="7" t="n">
        <v>5.996865817</v>
      </c>
      <c r="R589" s="7" t="n">
        <v>1.718472261</v>
      </c>
      <c r="S589" s="7" t="n">
        <v>1.09891636</v>
      </c>
    </row>
    <row r="590" customFormat="false" ht="15" hidden="false" customHeight="false" outlineLevel="0" collapsed="false">
      <c r="A590" s="5" t="s">
        <v>4</v>
      </c>
      <c r="B590" s="5" t="s">
        <v>77</v>
      </c>
      <c r="C590" s="5" t="s">
        <v>58</v>
      </c>
      <c r="D590" s="2" t="n">
        <v>15</v>
      </c>
      <c r="E590" s="5" t="s">
        <v>167</v>
      </c>
      <c r="F590" s="5" t="s">
        <v>168</v>
      </c>
      <c r="G590" s="2" t="n">
        <v>1</v>
      </c>
      <c r="H590" s="7" t="n">
        <v>0.08169746267</v>
      </c>
      <c r="I590" s="7" t="n">
        <v>0.9966569548</v>
      </c>
      <c r="J590" s="7" t="n">
        <v>-0.0006625471524</v>
      </c>
      <c r="K590" s="7" t="n">
        <v>-0.9966559163</v>
      </c>
      <c r="L590" s="7" t="n">
        <v>0.08169628492</v>
      </c>
      <c r="M590" s="7" t="n">
        <v>-0.001643623056</v>
      </c>
      <c r="N590" s="7" t="n">
        <v>-0.001584000709</v>
      </c>
      <c r="O590" s="7" t="n">
        <v>0.0007946113726</v>
      </c>
      <c r="P590" s="7" t="n">
        <v>0.9999984298</v>
      </c>
      <c r="Q590" s="7" t="n">
        <v>6.003989325</v>
      </c>
      <c r="R590" s="7" t="n">
        <v>1.704516602</v>
      </c>
      <c r="S590" s="7" t="n">
        <v>1.16699475</v>
      </c>
    </row>
    <row r="591" customFormat="false" ht="15" hidden="false" customHeight="false" outlineLevel="0" collapsed="false">
      <c r="A591" s="5" t="s">
        <v>4</v>
      </c>
      <c r="B591" s="5" t="s">
        <v>77</v>
      </c>
      <c r="C591" s="5" t="s">
        <v>62</v>
      </c>
      <c r="D591" s="2" t="n">
        <v>15</v>
      </c>
      <c r="E591" s="5" t="s">
        <v>167</v>
      </c>
      <c r="F591" s="5" t="s">
        <v>168</v>
      </c>
      <c r="G591" s="2" t="n">
        <v>1</v>
      </c>
      <c r="H591" s="7" t="n">
        <v>0.08169746267</v>
      </c>
      <c r="I591" s="7" t="n">
        <v>0.9966569548</v>
      </c>
      <c r="J591" s="7" t="n">
        <v>-0.0006625471524</v>
      </c>
      <c r="K591" s="7" t="n">
        <v>-0.9966559163</v>
      </c>
      <c r="L591" s="7" t="n">
        <v>0.08169628492</v>
      </c>
      <c r="M591" s="7" t="n">
        <v>-0.001643623056</v>
      </c>
      <c r="N591" s="7" t="n">
        <v>-0.001584000709</v>
      </c>
      <c r="O591" s="7" t="n">
        <v>0.0007946113726</v>
      </c>
      <c r="P591" s="7" t="n">
        <v>0.9999984298</v>
      </c>
      <c r="Q591" s="7" t="n">
        <v>6.003989325</v>
      </c>
      <c r="R591" s="7" t="n">
        <v>1.704516602</v>
      </c>
      <c r="S591" s="7" t="n">
        <v>1.16699475</v>
      </c>
    </row>
    <row r="592" customFormat="false" ht="15" hidden="false" customHeight="false" outlineLevel="0" collapsed="false">
      <c r="A592" s="5" t="s">
        <v>4</v>
      </c>
      <c r="B592" s="5" t="s">
        <v>77</v>
      </c>
      <c r="C592" s="5" t="s">
        <v>58</v>
      </c>
      <c r="D592" s="2" t="n">
        <v>16</v>
      </c>
      <c r="E592" s="5" t="s">
        <v>167</v>
      </c>
      <c r="F592" s="5" t="s">
        <v>168</v>
      </c>
      <c r="G592" s="2" t="n">
        <v>1</v>
      </c>
      <c r="H592" s="7" t="n">
        <v>0.08129099258</v>
      </c>
      <c r="I592" s="7" t="n">
        <v>0.9966858773</v>
      </c>
      <c r="J592" s="7" t="n">
        <v>-0.003006071305</v>
      </c>
      <c r="K592" s="7" t="n">
        <v>-0.9966844244</v>
      </c>
      <c r="L592" s="7" t="n">
        <v>0.08130058775</v>
      </c>
      <c r="M592" s="7" t="n">
        <v>0.003220641144</v>
      </c>
      <c r="N592" s="7" t="n">
        <v>0.003454362908</v>
      </c>
      <c r="O592" s="7" t="n">
        <v>0.002734295333</v>
      </c>
      <c r="P592" s="7" t="n">
        <v>0.9999902955</v>
      </c>
      <c r="Q592" s="7" t="n">
        <v>5.999937313</v>
      </c>
      <c r="R592" s="7" t="n">
        <v>1.719019951</v>
      </c>
      <c r="S592" s="7" t="n">
        <v>1.165297174</v>
      </c>
    </row>
    <row r="593" customFormat="false" ht="15" hidden="false" customHeight="false" outlineLevel="0" collapsed="false">
      <c r="A593" s="5" t="s">
        <v>4</v>
      </c>
      <c r="B593" s="5" t="s">
        <v>77</v>
      </c>
      <c r="C593" s="5" t="s">
        <v>62</v>
      </c>
      <c r="D593" s="2" t="n">
        <v>16</v>
      </c>
      <c r="E593" s="5" t="s">
        <v>167</v>
      </c>
      <c r="F593" s="5" t="s">
        <v>168</v>
      </c>
      <c r="G593" s="2" t="n">
        <v>1</v>
      </c>
      <c r="H593" s="7" t="n">
        <v>0.08129099258</v>
      </c>
      <c r="I593" s="7" t="n">
        <v>0.9966858773</v>
      </c>
      <c r="J593" s="7" t="n">
        <v>-0.003006071305</v>
      </c>
      <c r="K593" s="7" t="n">
        <v>-0.9966844244</v>
      </c>
      <c r="L593" s="7" t="n">
        <v>0.08130058775</v>
      </c>
      <c r="M593" s="7" t="n">
        <v>0.003220641144</v>
      </c>
      <c r="N593" s="7" t="n">
        <v>0.003454362908</v>
      </c>
      <c r="O593" s="7" t="n">
        <v>0.002734295333</v>
      </c>
      <c r="P593" s="7" t="n">
        <v>0.9999902955</v>
      </c>
      <c r="Q593" s="7" t="n">
        <v>5.999937313</v>
      </c>
      <c r="R593" s="7" t="n">
        <v>1.719019951</v>
      </c>
      <c r="S593" s="7" t="n">
        <v>1.165297174</v>
      </c>
    </row>
    <row r="594" customFormat="false" ht="15" hidden="false" customHeight="false" outlineLevel="0" collapsed="false">
      <c r="A594" s="5" t="s">
        <v>4</v>
      </c>
      <c r="B594" s="5" t="s">
        <v>77</v>
      </c>
      <c r="C594" s="5" t="s">
        <v>58</v>
      </c>
      <c r="D594" s="2" t="n">
        <v>17</v>
      </c>
      <c r="E594" s="5" t="s">
        <v>167</v>
      </c>
      <c r="F594" s="5" t="s">
        <v>168</v>
      </c>
      <c r="G594" s="2" t="n">
        <v>1</v>
      </c>
      <c r="H594" s="7" t="n">
        <v>0.0815147344</v>
      </c>
      <c r="I594" s="7" t="n">
        <v>0.9965737796</v>
      </c>
      <c r="J594" s="7" t="n">
        <v>0.0140017833</v>
      </c>
      <c r="K594" s="7" t="n">
        <v>-0.9966432455</v>
      </c>
      <c r="L594" s="7" t="n">
        <v>0.08161129426</v>
      </c>
      <c r="M594" s="7" t="n">
        <v>-0.00646821308</v>
      </c>
      <c r="N594" s="7" t="n">
        <v>-0.007588755214</v>
      </c>
      <c r="O594" s="7" t="n">
        <v>-0.01342752808</v>
      </c>
      <c r="P594" s="7" t="n">
        <v>0.9998810491</v>
      </c>
      <c r="Q594" s="7" t="n">
        <v>6.045749778</v>
      </c>
      <c r="R594" s="7" t="n">
        <v>1.718715706</v>
      </c>
      <c r="S594" s="7" t="n">
        <v>1.059576904</v>
      </c>
    </row>
    <row r="595" customFormat="false" ht="15" hidden="false" customHeight="false" outlineLevel="0" collapsed="false">
      <c r="A595" s="5" t="s">
        <v>4</v>
      </c>
      <c r="B595" s="5" t="s">
        <v>77</v>
      </c>
      <c r="C595" s="5" t="s">
        <v>62</v>
      </c>
      <c r="D595" s="2" t="n">
        <v>17</v>
      </c>
      <c r="E595" s="5" t="s">
        <v>167</v>
      </c>
      <c r="F595" s="5" t="s">
        <v>168</v>
      </c>
      <c r="G595" s="2" t="n">
        <v>1</v>
      </c>
      <c r="H595" s="7" t="n">
        <v>0.0815147344</v>
      </c>
      <c r="I595" s="7" t="n">
        <v>0.9965737796</v>
      </c>
      <c r="J595" s="7" t="n">
        <v>0.0140017833</v>
      </c>
      <c r="K595" s="7" t="n">
        <v>-0.9966432455</v>
      </c>
      <c r="L595" s="7" t="n">
        <v>0.08161129426</v>
      </c>
      <c r="M595" s="7" t="n">
        <v>-0.00646821308</v>
      </c>
      <c r="N595" s="7" t="n">
        <v>-0.007588755214</v>
      </c>
      <c r="O595" s="7" t="n">
        <v>-0.01342752808</v>
      </c>
      <c r="P595" s="7" t="n">
        <v>0.9998810491</v>
      </c>
      <c r="Q595" s="7" t="n">
        <v>6.045749778</v>
      </c>
      <c r="R595" s="7" t="n">
        <v>1.718715706</v>
      </c>
      <c r="S595" s="7" t="n">
        <v>1.059576904</v>
      </c>
    </row>
    <row r="596" customFormat="false" ht="15" hidden="false" customHeight="false" outlineLevel="0" collapsed="false">
      <c r="A596" s="5" t="s">
        <v>4</v>
      </c>
      <c r="B596" s="5" t="s">
        <v>77</v>
      </c>
      <c r="C596" s="5" t="s">
        <v>58</v>
      </c>
      <c r="D596" s="2" t="n">
        <v>18</v>
      </c>
      <c r="E596" s="5" t="s">
        <v>167</v>
      </c>
      <c r="F596" s="5" t="s">
        <v>168</v>
      </c>
      <c r="G596" s="2" t="n">
        <v>1</v>
      </c>
      <c r="H596" s="7" t="n">
        <v>0.07833466971</v>
      </c>
      <c r="I596" s="7" t="n">
        <v>0.9969169476</v>
      </c>
      <c r="J596" s="7" t="n">
        <v>0.004503235704</v>
      </c>
      <c r="K596" s="7" t="n">
        <v>-0.9968403224</v>
      </c>
      <c r="L596" s="7" t="n">
        <v>0.07826744516</v>
      </c>
      <c r="M596" s="7" t="n">
        <v>0.01354911946</v>
      </c>
      <c r="N596" s="7" t="n">
        <v>0.01315489006</v>
      </c>
      <c r="O596" s="7" t="n">
        <v>-0.005550372729</v>
      </c>
      <c r="P596" s="7" t="n">
        <v>0.9998980659</v>
      </c>
      <c r="Q596" s="7" t="n">
        <v>6.013583714</v>
      </c>
      <c r="R596" s="7" t="n">
        <v>1.713484832</v>
      </c>
      <c r="S596" s="7" t="n">
        <v>1.186820216</v>
      </c>
    </row>
    <row r="597" customFormat="false" ht="15" hidden="false" customHeight="false" outlineLevel="0" collapsed="false">
      <c r="A597" s="5" t="s">
        <v>4</v>
      </c>
      <c r="B597" s="5" t="s">
        <v>77</v>
      </c>
      <c r="C597" s="5" t="s">
        <v>62</v>
      </c>
      <c r="D597" s="2" t="n">
        <v>18</v>
      </c>
      <c r="E597" s="5" t="s">
        <v>167</v>
      </c>
      <c r="F597" s="5" t="s">
        <v>168</v>
      </c>
      <c r="G597" s="2" t="n">
        <v>1</v>
      </c>
      <c r="H597" s="7" t="n">
        <v>0.0796851186</v>
      </c>
      <c r="I597" s="7" t="n">
        <v>0.9968182583</v>
      </c>
      <c r="J597" s="7" t="n">
        <v>-0.00190832995</v>
      </c>
      <c r="K597" s="7" t="n">
        <v>-0.996815455</v>
      </c>
      <c r="L597" s="7" t="n">
        <v>0.07967876755</v>
      </c>
      <c r="M597" s="7" t="n">
        <v>-0.003200420977</v>
      </c>
      <c r="N597" s="7" t="n">
        <v>-0.003038184686</v>
      </c>
      <c r="O597" s="7" t="n">
        <v>0.002157278712</v>
      </c>
      <c r="P597" s="7" t="n">
        <v>0.9999930578</v>
      </c>
      <c r="Q597" s="7" t="n">
        <v>6.004502522</v>
      </c>
      <c r="R597" s="7" t="n">
        <v>1.695703703</v>
      </c>
      <c r="S597" s="7" t="n">
        <v>1.1747411</v>
      </c>
    </row>
    <row r="598" customFormat="false" ht="15" hidden="false" customHeight="false" outlineLevel="0" collapsed="false">
      <c r="A598" s="5" t="s">
        <v>4</v>
      </c>
      <c r="B598" s="5" t="s">
        <v>77</v>
      </c>
      <c r="C598" s="5" t="s">
        <v>58</v>
      </c>
      <c r="D598" s="2" t="n">
        <v>19</v>
      </c>
      <c r="E598" s="5" t="s">
        <v>167</v>
      </c>
      <c r="F598" s="5" t="s">
        <v>168</v>
      </c>
      <c r="G598" s="2" t="n">
        <v>1</v>
      </c>
      <c r="H598" s="7" t="n">
        <v>0.08070012656</v>
      </c>
      <c r="I598" s="7" t="n">
        <v>0.9967377723</v>
      </c>
      <c r="J598" s="7" t="n">
        <v>-0.001141394106</v>
      </c>
      <c r="K598" s="7" t="n">
        <v>-0.9967171514</v>
      </c>
      <c r="L598" s="7" t="n">
        <v>0.08070583297</v>
      </c>
      <c r="M598" s="7" t="n">
        <v>0.006441159633</v>
      </c>
      <c r="N598" s="7" t="n">
        <v>0.006512264266</v>
      </c>
      <c r="O598" s="7" t="n">
        <v>0.0006178446845</v>
      </c>
      <c r="P598" s="7" t="n">
        <v>0.9999786041</v>
      </c>
      <c r="Q598" s="7" t="n">
        <v>6.017639997</v>
      </c>
      <c r="R598" s="7" t="n">
        <v>1.7164513</v>
      </c>
      <c r="S598" s="7" t="n">
        <v>1.130564702</v>
      </c>
    </row>
    <row r="599" customFormat="false" ht="15" hidden="false" customHeight="false" outlineLevel="0" collapsed="false">
      <c r="A599" s="5" t="s">
        <v>4</v>
      </c>
      <c r="B599" s="5" t="s">
        <v>77</v>
      </c>
      <c r="C599" s="5" t="s">
        <v>62</v>
      </c>
      <c r="D599" s="2" t="n">
        <v>19</v>
      </c>
      <c r="E599" s="5" t="s">
        <v>167</v>
      </c>
      <c r="F599" s="5" t="s">
        <v>168</v>
      </c>
      <c r="G599" s="2" t="n">
        <v>1</v>
      </c>
      <c r="H599" s="7" t="n">
        <v>0.08070012656</v>
      </c>
      <c r="I599" s="7" t="n">
        <v>0.9967377723</v>
      </c>
      <c r="J599" s="7" t="n">
        <v>-0.001141394106</v>
      </c>
      <c r="K599" s="7" t="n">
        <v>-0.9967171514</v>
      </c>
      <c r="L599" s="7" t="n">
        <v>0.08070583297</v>
      </c>
      <c r="M599" s="7" t="n">
        <v>0.006441159633</v>
      </c>
      <c r="N599" s="7" t="n">
        <v>0.006512264266</v>
      </c>
      <c r="O599" s="7" t="n">
        <v>0.0006178446845</v>
      </c>
      <c r="P599" s="7" t="n">
        <v>0.9999786041</v>
      </c>
      <c r="Q599" s="7" t="n">
        <v>6.017639997</v>
      </c>
      <c r="R599" s="7" t="n">
        <v>1.7164513</v>
      </c>
      <c r="S599" s="7" t="n">
        <v>1.130564702</v>
      </c>
    </row>
    <row r="600" customFormat="false" ht="15" hidden="false" customHeight="false" outlineLevel="0" collapsed="false">
      <c r="A600" s="5" t="s">
        <v>4</v>
      </c>
      <c r="B600" s="5" t="s">
        <v>77</v>
      </c>
      <c r="C600" s="5" t="s">
        <v>58</v>
      </c>
      <c r="D600" s="2" t="n">
        <v>20</v>
      </c>
      <c r="E600" s="5" t="s">
        <v>167</v>
      </c>
      <c r="F600" s="5" t="s">
        <v>168</v>
      </c>
      <c r="G600" s="2" t="n">
        <v>1</v>
      </c>
      <c r="H600" s="7" t="n">
        <v>0.08097510662</v>
      </c>
      <c r="I600" s="7" t="n">
        <v>0.9967138096</v>
      </c>
      <c r="J600" s="7" t="n">
        <v>-0.002147974792</v>
      </c>
      <c r="K600" s="7" t="n">
        <v>-0.9967100224</v>
      </c>
      <c r="L600" s="7" t="n">
        <v>0.08098196358</v>
      </c>
      <c r="M600" s="7" t="n">
        <v>0.00332457018</v>
      </c>
      <c r="N600" s="7" t="n">
        <v>0.003487592226</v>
      </c>
      <c r="O600" s="7" t="n">
        <v>0.001871700578</v>
      </c>
      <c r="P600" s="7" t="n">
        <v>0.9999921667</v>
      </c>
      <c r="Q600" s="7" t="n">
        <v>6.009106203</v>
      </c>
      <c r="R600" s="7" t="n">
        <v>1.717004102</v>
      </c>
      <c r="S600" s="7" t="n">
        <v>1.14528208</v>
      </c>
    </row>
    <row r="601" customFormat="false" ht="15" hidden="false" customHeight="false" outlineLevel="0" collapsed="false">
      <c r="A601" s="5" t="s">
        <v>4</v>
      </c>
      <c r="B601" s="5" t="s">
        <v>77</v>
      </c>
      <c r="C601" s="5" t="s">
        <v>62</v>
      </c>
      <c r="D601" s="2" t="n">
        <v>20</v>
      </c>
      <c r="E601" s="5" t="s">
        <v>167</v>
      </c>
      <c r="F601" s="5" t="s">
        <v>168</v>
      </c>
      <c r="G601" s="2" t="n">
        <v>1</v>
      </c>
      <c r="H601" s="7" t="n">
        <v>0.08097510662</v>
      </c>
      <c r="I601" s="7" t="n">
        <v>0.9967138096</v>
      </c>
      <c r="J601" s="7" t="n">
        <v>-0.002147974792</v>
      </c>
      <c r="K601" s="7" t="n">
        <v>-0.9967100224</v>
      </c>
      <c r="L601" s="7" t="n">
        <v>0.08098196358</v>
      </c>
      <c r="M601" s="7" t="n">
        <v>0.00332457018</v>
      </c>
      <c r="N601" s="7" t="n">
        <v>0.003487592226</v>
      </c>
      <c r="O601" s="7" t="n">
        <v>0.001871700578</v>
      </c>
      <c r="P601" s="7" t="n">
        <v>0.9999921667</v>
      </c>
      <c r="Q601" s="7" t="n">
        <v>6.009106203</v>
      </c>
      <c r="R601" s="7" t="n">
        <v>1.717004102</v>
      </c>
      <c r="S601" s="7" t="n">
        <v>1.14528208</v>
      </c>
    </row>
    <row r="602" customFormat="false" ht="15" hidden="false" customHeight="false" outlineLevel="0" collapsed="false">
      <c r="A602" s="5" t="s">
        <v>4</v>
      </c>
      <c r="B602" s="5" t="s">
        <v>78</v>
      </c>
      <c r="C602" s="5" t="s">
        <v>58</v>
      </c>
      <c r="D602" s="2" t="n">
        <v>11</v>
      </c>
      <c r="E602" s="5" t="s">
        <v>163</v>
      </c>
      <c r="F602" s="5" t="s">
        <v>164</v>
      </c>
      <c r="G602" s="2" t="n">
        <v>1</v>
      </c>
      <c r="H602" s="7" t="n">
        <v>-0.7183856892</v>
      </c>
      <c r="I602" s="7" t="n">
        <v>-0.6955619265</v>
      </c>
      <c r="J602" s="7" t="n">
        <v>0.01075211473</v>
      </c>
      <c r="K602" s="7" t="n">
        <v>0.6955691199</v>
      </c>
      <c r="L602" s="7" t="n">
        <v>-0.7184498205</v>
      </c>
      <c r="M602" s="7" t="n">
        <v>-0.003668089532</v>
      </c>
      <c r="N602" s="7" t="n">
        <v>0.01027623832</v>
      </c>
      <c r="O602" s="7" t="n">
        <v>0.004843735955</v>
      </c>
      <c r="P602" s="7" t="n">
        <v>0.9999354665</v>
      </c>
      <c r="Q602" s="7" t="n">
        <v>-11.07537792</v>
      </c>
      <c r="R602" s="7" t="n">
        <v>-0.850256499</v>
      </c>
      <c r="S602" s="7" t="n">
        <v>0.6184940806</v>
      </c>
    </row>
    <row r="603" customFormat="false" ht="15" hidden="false" customHeight="false" outlineLevel="0" collapsed="false">
      <c r="A603" s="5" t="s">
        <v>4</v>
      </c>
      <c r="B603" s="5" t="s">
        <v>78</v>
      </c>
      <c r="C603" s="5" t="s">
        <v>62</v>
      </c>
      <c r="D603" s="2" t="n">
        <v>11</v>
      </c>
      <c r="E603" s="5" t="s">
        <v>163</v>
      </c>
      <c r="F603" s="5" t="s">
        <v>164</v>
      </c>
      <c r="G603" s="2" t="n">
        <v>1</v>
      </c>
      <c r="H603" s="7" t="n">
        <v>-0.7183856892</v>
      </c>
      <c r="I603" s="7" t="n">
        <v>-0.6955619265</v>
      </c>
      <c r="J603" s="7" t="n">
        <v>0.01075211473</v>
      </c>
      <c r="K603" s="7" t="n">
        <v>0.6955691199</v>
      </c>
      <c r="L603" s="7" t="n">
        <v>-0.7184498205</v>
      </c>
      <c r="M603" s="7" t="n">
        <v>-0.003668089532</v>
      </c>
      <c r="N603" s="7" t="n">
        <v>0.01027623832</v>
      </c>
      <c r="O603" s="7" t="n">
        <v>0.004843735955</v>
      </c>
      <c r="P603" s="7" t="n">
        <v>0.9999354665</v>
      </c>
      <c r="Q603" s="7" t="n">
        <v>-11.07537792</v>
      </c>
      <c r="R603" s="7" t="n">
        <v>-0.850256499</v>
      </c>
      <c r="S603" s="7" t="n">
        <v>0.6184940806</v>
      </c>
    </row>
    <row r="604" customFormat="false" ht="15" hidden="false" customHeight="false" outlineLevel="0" collapsed="false">
      <c r="A604" s="5" t="s">
        <v>4</v>
      </c>
      <c r="B604" s="5" t="s">
        <v>78</v>
      </c>
      <c r="C604" s="5" t="s">
        <v>58</v>
      </c>
      <c r="D604" s="2" t="n">
        <v>11</v>
      </c>
      <c r="E604" s="5" t="s">
        <v>163</v>
      </c>
      <c r="F604" s="5" t="s">
        <v>165</v>
      </c>
      <c r="G604" s="2" t="n">
        <v>1</v>
      </c>
      <c r="H604" s="7" t="n">
        <v>0.9337783087</v>
      </c>
      <c r="I604" s="7" t="n">
        <v>0.3577381644</v>
      </c>
      <c r="J604" s="7" t="n">
        <v>-0.009026397867</v>
      </c>
      <c r="K604" s="7" t="n">
        <v>-0.3577181168</v>
      </c>
      <c r="L604" s="7" t="n">
        <v>0.9338218798</v>
      </c>
      <c r="M604" s="7" t="n">
        <v>0.00380075011</v>
      </c>
      <c r="N604" s="7" t="n">
        <v>0.009788721192</v>
      </c>
      <c r="O604" s="7" t="n">
        <v>-0.0003201519633</v>
      </c>
      <c r="P604" s="7" t="n">
        <v>0.9999520381</v>
      </c>
      <c r="Q604" s="7" t="n">
        <v>8.386672065</v>
      </c>
      <c r="R604" s="7" t="n">
        <v>1.363113821</v>
      </c>
      <c r="S604" s="7" t="n">
        <v>0.6569159089</v>
      </c>
    </row>
    <row r="605" customFormat="false" ht="15" hidden="false" customHeight="false" outlineLevel="0" collapsed="false">
      <c r="A605" s="5" t="s">
        <v>4</v>
      </c>
      <c r="B605" s="5" t="s">
        <v>78</v>
      </c>
      <c r="C605" s="5" t="s">
        <v>62</v>
      </c>
      <c r="D605" s="2" t="n">
        <v>11</v>
      </c>
      <c r="E605" s="5" t="s">
        <v>163</v>
      </c>
      <c r="F605" s="5" t="s">
        <v>165</v>
      </c>
      <c r="G605" s="2" t="n">
        <v>1</v>
      </c>
      <c r="H605" s="7" t="n">
        <v>0.9337123873</v>
      </c>
      <c r="I605" s="7" t="n">
        <v>0.3579889441</v>
      </c>
      <c r="J605" s="7" t="n">
        <v>-0.00500935832</v>
      </c>
      <c r="K605" s="7" t="n">
        <v>-0.3579561411</v>
      </c>
      <c r="L605" s="7" t="n">
        <v>0.9337164403</v>
      </c>
      <c r="M605" s="7" t="n">
        <v>0.006403917554</v>
      </c>
      <c r="N605" s="7" t="n">
        <v>0.006969851902</v>
      </c>
      <c r="O605" s="7" t="n">
        <v>-0.004186286573</v>
      </c>
      <c r="P605" s="7" t="n">
        <v>0.9999669475</v>
      </c>
      <c r="Q605" s="7" t="n">
        <v>8.398759305</v>
      </c>
      <c r="R605" s="7" t="n">
        <v>1.366370429</v>
      </c>
      <c r="S605" s="7" t="n">
        <v>0.6396828329</v>
      </c>
    </row>
    <row r="606" customFormat="false" ht="15" hidden="false" customHeight="false" outlineLevel="0" collapsed="false">
      <c r="A606" s="5" t="s">
        <v>4</v>
      </c>
      <c r="B606" s="5" t="s">
        <v>78</v>
      </c>
      <c r="C606" s="5" t="s">
        <v>58</v>
      </c>
      <c r="D606" s="2" t="n">
        <v>11</v>
      </c>
      <c r="E606" s="5" t="s">
        <v>163</v>
      </c>
      <c r="F606" s="5" t="s">
        <v>166</v>
      </c>
      <c r="G606" s="2" t="n">
        <v>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customFormat="false" ht="15" hidden="false" customHeight="false" outlineLevel="0" collapsed="false">
      <c r="A607" s="5" t="s">
        <v>4</v>
      </c>
      <c r="B607" s="5" t="s">
        <v>78</v>
      </c>
      <c r="C607" s="5" t="s">
        <v>62</v>
      </c>
      <c r="D607" s="2" t="n">
        <v>11</v>
      </c>
      <c r="E607" s="5" t="s">
        <v>163</v>
      </c>
      <c r="F607" s="5" t="s">
        <v>166</v>
      </c>
      <c r="G607" s="2" t="n">
        <v>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customFormat="false" ht="15" hidden="false" customHeight="false" outlineLevel="0" collapsed="false">
      <c r="A608" s="5" t="s">
        <v>4</v>
      </c>
      <c r="B608" s="5" t="s">
        <v>78</v>
      </c>
      <c r="C608" s="5" t="s">
        <v>58</v>
      </c>
      <c r="D608" s="2" t="n">
        <v>11</v>
      </c>
      <c r="E608" s="5" t="s">
        <v>163</v>
      </c>
      <c r="F608" s="5" t="s">
        <v>167</v>
      </c>
      <c r="G608" s="2" t="n">
        <v>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customFormat="false" ht="15" hidden="false" customHeight="false" outlineLevel="0" collapsed="false">
      <c r="A609" s="5" t="s">
        <v>4</v>
      </c>
      <c r="B609" s="5" t="s">
        <v>78</v>
      </c>
      <c r="C609" s="5" t="s">
        <v>62</v>
      </c>
      <c r="D609" s="2" t="n">
        <v>11</v>
      </c>
      <c r="E609" s="5" t="s">
        <v>163</v>
      </c>
      <c r="F609" s="5" t="s">
        <v>167</v>
      </c>
      <c r="G609" s="2" t="n">
        <v>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customFormat="false" ht="15" hidden="false" customHeight="false" outlineLevel="0" collapsed="false">
      <c r="A610" s="5" t="s">
        <v>4</v>
      </c>
      <c r="B610" s="5" t="s">
        <v>78</v>
      </c>
      <c r="C610" s="5" t="s">
        <v>58</v>
      </c>
      <c r="D610" s="2" t="n">
        <v>11</v>
      </c>
      <c r="E610" s="5" t="s">
        <v>163</v>
      </c>
      <c r="F610" s="5" t="s">
        <v>168</v>
      </c>
      <c r="G610" s="2" t="n">
        <v>1</v>
      </c>
      <c r="H610" s="7" t="n">
        <v>0.9885368312</v>
      </c>
      <c r="I610" s="7" t="n">
        <v>0.1476767051</v>
      </c>
      <c r="J610" s="7" t="n">
        <v>-0.0314089818</v>
      </c>
      <c r="K610" s="7" t="n">
        <v>-0.147451885</v>
      </c>
      <c r="L610" s="7" t="n">
        <v>0.9890248427</v>
      </c>
      <c r="M610" s="7" t="n">
        <v>0.009370277179</v>
      </c>
      <c r="N610" s="7" t="n">
        <v>0.03244803494</v>
      </c>
      <c r="O610" s="7" t="n">
        <v>-0.004631550537</v>
      </c>
      <c r="P610" s="7" t="n">
        <v>0.9994626925</v>
      </c>
      <c r="Q610" s="7" t="n">
        <v>25.0927509</v>
      </c>
      <c r="R610" s="7" t="n">
        <v>19.81152223</v>
      </c>
      <c r="S610" s="7" t="n">
        <v>2.301173087</v>
      </c>
    </row>
    <row r="611" customFormat="false" ht="15" hidden="false" customHeight="false" outlineLevel="0" collapsed="false">
      <c r="A611" s="5" t="s">
        <v>4</v>
      </c>
      <c r="B611" s="5" t="s">
        <v>78</v>
      </c>
      <c r="C611" s="5" t="s">
        <v>62</v>
      </c>
      <c r="D611" s="2" t="n">
        <v>11</v>
      </c>
      <c r="E611" s="5" t="s">
        <v>163</v>
      </c>
      <c r="F611" s="5" t="s">
        <v>168</v>
      </c>
      <c r="G611" s="2" t="n">
        <v>1</v>
      </c>
      <c r="H611" s="7" t="n">
        <v>0.9887465661</v>
      </c>
      <c r="I611" s="7" t="n">
        <v>0.1424168129</v>
      </c>
      <c r="J611" s="7" t="n">
        <v>-0.04580042943</v>
      </c>
      <c r="K611" s="7" t="n">
        <v>-0.1442964091</v>
      </c>
      <c r="L611" s="7" t="n">
        <v>0.9886957027</v>
      </c>
      <c r="M611" s="7" t="n">
        <v>-0.04073516553</v>
      </c>
      <c r="N611" s="7" t="n">
        <v>0.03948131532</v>
      </c>
      <c r="O611" s="7" t="n">
        <v>0.04688559254</v>
      </c>
      <c r="P611" s="7" t="n">
        <v>0.9981197157</v>
      </c>
      <c r="Q611" s="7" t="n">
        <v>24.96526954</v>
      </c>
      <c r="R611" s="7" t="n">
        <v>19.72850832</v>
      </c>
      <c r="S611" s="7" t="n">
        <v>3.345238869</v>
      </c>
    </row>
    <row r="612" customFormat="false" ht="15" hidden="false" customHeight="false" outlineLevel="0" collapsed="false">
      <c r="A612" s="5" t="s">
        <v>4</v>
      </c>
      <c r="B612" s="5" t="s">
        <v>78</v>
      </c>
      <c r="C612" s="5" t="s">
        <v>58</v>
      </c>
      <c r="D612" s="2" t="n">
        <v>12</v>
      </c>
      <c r="E612" s="5" t="s">
        <v>163</v>
      </c>
      <c r="F612" s="5" t="s">
        <v>164</v>
      </c>
      <c r="G612" s="2" t="n">
        <v>1</v>
      </c>
      <c r="H612" s="7" t="n">
        <v>-0.7190600674</v>
      </c>
      <c r="I612" s="7" t="n">
        <v>-0.6949449959</v>
      </c>
      <c r="J612" s="7" t="n">
        <v>0.00201794373</v>
      </c>
      <c r="K612" s="7" t="n">
        <v>0.6949280637</v>
      </c>
      <c r="L612" s="7" t="n">
        <v>-0.7190584384</v>
      </c>
      <c r="M612" s="7" t="n">
        <v>-0.00547251334</v>
      </c>
      <c r="N612" s="7" t="n">
        <v>0.005254115228</v>
      </c>
      <c r="O612" s="7" t="n">
        <v>-0.002532740082</v>
      </c>
      <c r="P612" s="7" t="n">
        <v>0.9999829896</v>
      </c>
      <c r="Q612" s="7" t="n">
        <v>-11.08017415</v>
      </c>
      <c r="R612" s="7" t="n">
        <v>-0.8895977748</v>
      </c>
      <c r="S612" s="7" t="n">
        <v>0.5296409389</v>
      </c>
    </row>
    <row r="613" customFormat="false" ht="15" hidden="false" customHeight="false" outlineLevel="0" collapsed="false">
      <c r="A613" s="5" t="s">
        <v>4</v>
      </c>
      <c r="B613" s="5" t="s">
        <v>78</v>
      </c>
      <c r="C613" s="5" t="s">
        <v>62</v>
      </c>
      <c r="D613" s="2" t="n">
        <v>12</v>
      </c>
      <c r="E613" s="5" t="s">
        <v>163</v>
      </c>
      <c r="F613" s="5" t="s">
        <v>164</v>
      </c>
      <c r="G613" s="2" t="n">
        <v>1</v>
      </c>
      <c r="H613" s="7" t="n">
        <v>-0.7190600674</v>
      </c>
      <c r="I613" s="7" t="n">
        <v>-0.6949449959</v>
      </c>
      <c r="J613" s="7" t="n">
        <v>0.00201794373</v>
      </c>
      <c r="K613" s="7" t="n">
        <v>0.6949280637</v>
      </c>
      <c r="L613" s="7" t="n">
        <v>-0.7190584384</v>
      </c>
      <c r="M613" s="7" t="n">
        <v>-0.00547251334</v>
      </c>
      <c r="N613" s="7" t="n">
        <v>0.005254115228</v>
      </c>
      <c r="O613" s="7" t="n">
        <v>-0.002532740082</v>
      </c>
      <c r="P613" s="7" t="n">
        <v>0.9999829896</v>
      </c>
      <c r="Q613" s="7" t="n">
        <v>-11.08017415</v>
      </c>
      <c r="R613" s="7" t="n">
        <v>-0.8895977748</v>
      </c>
      <c r="S613" s="7" t="n">
        <v>0.5296409389</v>
      </c>
    </row>
    <row r="614" customFormat="false" ht="15" hidden="false" customHeight="false" outlineLevel="0" collapsed="false">
      <c r="A614" s="5" t="s">
        <v>4</v>
      </c>
      <c r="B614" s="5" t="s">
        <v>78</v>
      </c>
      <c r="C614" s="5" t="s">
        <v>58</v>
      </c>
      <c r="D614" s="2" t="n">
        <v>12</v>
      </c>
      <c r="E614" s="5" t="s">
        <v>163</v>
      </c>
      <c r="F614" s="5" t="s">
        <v>165</v>
      </c>
      <c r="G614" s="2" t="n">
        <v>1</v>
      </c>
      <c r="H614" s="7" t="n">
        <v>0.9333143123</v>
      </c>
      <c r="I614" s="7" t="n">
        <v>0.3590166876</v>
      </c>
      <c r="J614" s="7" t="n">
        <v>-0.005604680301</v>
      </c>
      <c r="K614" s="7" t="n">
        <v>-0.3589613492</v>
      </c>
      <c r="L614" s="7" t="n">
        <v>0.9333097639</v>
      </c>
      <c r="M614" s="7" t="n">
        <v>0.008923813956</v>
      </c>
      <c r="N614" s="7" t="n">
        <v>0.008434700975</v>
      </c>
      <c r="O614" s="7" t="n">
        <v>-0.006316859683</v>
      </c>
      <c r="P614" s="7" t="n">
        <v>0.999944475</v>
      </c>
      <c r="Q614" s="7" t="n">
        <v>8.395157752</v>
      </c>
      <c r="R614" s="7" t="n">
        <v>1.350372143</v>
      </c>
      <c r="S614" s="7" t="n">
        <v>0.643421653</v>
      </c>
    </row>
    <row r="615" customFormat="false" ht="15" hidden="false" customHeight="false" outlineLevel="0" collapsed="false">
      <c r="A615" s="5" t="s">
        <v>4</v>
      </c>
      <c r="B615" s="5" t="s">
        <v>78</v>
      </c>
      <c r="C615" s="5" t="s">
        <v>62</v>
      </c>
      <c r="D615" s="2" t="n">
        <v>12</v>
      </c>
      <c r="E615" s="5" t="s">
        <v>163</v>
      </c>
      <c r="F615" s="5" t="s">
        <v>165</v>
      </c>
      <c r="G615" s="2" t="n">
        <v>1</v>
      </c>
      <c r="H615" s="7" t="n">
        <v>0.9333143123</v>
      </c>
      <c r="I615" s="7" t="n">
        <v>0.3590166876</v>
      </c>
      <c r="J615" s="7" t="n">
        <v>-0.005604680301</v>
      </c>
      <c r="K615" s="7" t="n">
        <v>-0.3589613492</v>
      </c>
      <c r="L615" s="7" t="n">
        <v>0.9333097639</v>
      </c>
      <c r="M615" s="7" t="n">
        <v>0.008923813956</v>
      </c>
      <c r="N615" s="7" t="n">
        <v>0.008434700975</v>
      </c>
      <c r="O615" s="7" t="n">
        <v>-0.006316859683</v>
      </c>
      <c r="P615" s="7" t="n">
        <v>0.999944475</v>
      </c>
      <c r="Q615" s="7" t="n">
        <v>8.395157752</v>
      </c>
      <c r="R615" s="7" t="n">
        <v>1.350372143</v>
      </c>
      <c r="S615" s="7" t="n">
        <v>0.643421653</v>
      </c>
    </row>
    <row r="616" customFormat="false" ht="15" hidden="false" customHeight="false" outlineLevel="0" collapsed="false">
      <c r="A616" s="5" t="s">
        <v>4</v>
      </c>
      <c r="B616" s="5" t="s">
        <v>78</v>
      </c>
      <c r="C616" s="5" t="s">
        <v>58</v>
      </c>
      <c r="D616" s="2" t="n">
        <v>12</v>
      </c>
      <c r="E616" s="5" t="s">
        <v>163</v>
      </c>
      <c r="F616" s="5" t="s">
        <v>166</v>
      </c>
      <c r="G616" s="2" t="n">
        <v>1</v>
      </c>
      <c r="H616" s="7" t="n">
        <v>0.904742632</v>
      </c>
      <c r="I616" s="7" t="n">
        <v>0.4252022727</v>
      </c>
      <c r="J616" s="7" t="n">
        <v>-0.02537315872</v>
      </c>
      <c r="K616" s="7" t="n">
        <v>-0.4258435608</v>
      </c>
      <c r="L616" s="7" t="n">
        <v>0.9042766609</v>
      </c>
      <c r="M616" s="7" t="n">
        <v>-0.0306754343</v>
      </c>
      <c r="N616" s="7" t="n">
        <v>0.009901090868</v>
      </c>
      <c r="O616" s="7" t="n">
        <v>0.03855836942</v>
      </c>
      <c r="P616" s="7" t="n">
        <v>0.9992072961</v>
      </c>
      <c r="Q616" s="7" t="n">
        <v>22.74179882</v>
      </c>
      <c r="R616" s="7" t="n">
        <v>6.565680329</v>
      </c>
      <c r="S616" s="7" t="n">
        <v>2.022196018</v>
      </c>
    </row>
    <row r="617" customFormat="false" ht="15" hidden="false" customHeight="false" outlineLevel="0" collapsed="false">
      <c r="A617" s="5" t="s">
        <v>4</v>
      </c>
      <c r="B617" s="5" t="s">
        <v>78</v>
      </c>
      <c r="C617" s="5" t="s">
        <v>62</v>
      </c>
      <c r="D617" s="2" t="n">
        <v>12</v>
      </c>
      <c r="E617" s="5" t="s">
        <v>163</v>
      </c>
      <c r="F617" s="5" t="s">
        <v>166</v>
      </c>
      <c r="G617" s="2" t="n">
        <v>1</v>
      </c>
      <c r="H617" s="7" t="n">
        <v>0.904742632</v>
      </c>
      <c r="I617" s="7" t="n">
        <v>0.4252022727</v>
      </c>
      <c r="J617" s="7" t="n">
        <v>-0.02537315872</v>
      </c>
      <c r="K617" s="7" t="n">
        <v>-0.4258435608</v>
      </c>
      <c r="L617" s="7" t="n">
        <v>0.9042766609</v>
      </c>
      <c r="M617" s="7" t="n">
        <v>-0.0306754343</v>
      </c>
      <c r="N617" s="7" t="n">
        <v>0.009901090868</v>
      </c>
      <c r="O617" s="7" t="n">
        <v>0.03855836942</v>
      </c>
      <c r="P617" s="7" t="n">
        <v>0.9992072961</v>
      </c>
      <c r="Q617" s="7" t="n">
        <v>22.74179882</v>
      </c>
      <c r="R617" s="7" t="n">
        <v>6.565680329</v>
      </c>
      <c r="S617" s="7" t="n">
        <v>2.022196018</v>
      </c>
    </row>
    <row r="618" customFormat="false" ht="15" hidden="false" customHeight="false" outlineLevel="0" collapsed="false">
      <c r="A618" s="5" t="s">
        <v>4</v>
      </c>
      <c r="B618" s="5" t="s">
        <v>78</v>
      </c>
      <c r="C618" s="5" t="s">
        <v>58</v>
      </c>
      <c r="D618" s="2" t="n">
        <v>12</v>
      </c>
      <c r="E618" s="5" t="s">
        <v>163</v>
      </c>
      <c r="F618" s="5" t="s">
        <v>167</v>
      </c>
      <c r="G618" s="2" t="n">
        <v>1</v>
      </c>
      <c r="H618" s="7" t="n">
        <v>0.2239988161</v>
      </c>
      <c r="I618" s="7" t="n">
        <v>-0.9745894155</v>
      </c>
      <c r="J618" s="7" t="n">
        <v>-3.960121232E-005</v>
      </c>
      <c r="K618" s="7" t="n">
        <v>0.974554444</v>
      </c>
      <c r="L618" s="7" t="n">
        <v>0.2239911221</v>
      </c>
      <c r="M618" s="7" t="n">
        <v>-0.00846243828</v>
      </c>
      <c r="N618" s="7" t="n">
        <v>0.008256273097</v>
      </c>
      <c r="O618" s="7" t="n">
        <v>0.001856982618</v>
      </c>
      <c r="P618" s="7" t="n">
        <v>0.9999641921</v>
      </c>
      <c r="Q618" s="7" t="n">
        <v>-16.54362706</v>
      </c>
      <c r="R618" s="7" t="n">
        <v>20.50291692</v>
      </c>
      <c r="S618" s="7" t="n">
        <v>1.059440205</v>
      </c>
    </row>
    <row r="619" customFormat="false" ht="15" hidden="false" customHeight="false" outlineLevel="0" collapsed="false">
      <c r="A619" s="5" t="s">
        <v>4</v>
      </c>
      <c r="B619" s="5" t="s">
        <v>78</v>
      </c>
      <c r="C619" s="5" t="s">
        <v>62</v>
      </c>
      <c r="D619" s="2" t="n">
        <v>12</v>
      </c>
      <c r="E619" s="5" t="s">
        <v>163</v>
      </c>
      <c r="F619" s="5" t="s">
        <v>167</v>
      </c>
      <c r="G619" s="2" t="n">
        <v>1</v>
      </c>
      <c r="H619" s="7" t="n">
        <v>0.2239988161</v>
      </c>
      <c r="I619" s="7" t="n">
        <v>-0.9745894155</v>
      </c>
      <c r="J619" s="7" t="n">
        <v>-3.960121232E-005</v>
      </c>
      <c r="K619" s="7" t="n">
        <v>0.974554444</v>
      </c>
      <c r="L619" s="7" t="n">
        <v>0.2239911221</v>
      </c>
      <c r="M619" s="7" t="n">
        <v>-0.00846243828</v>
      </c>
      <c r="N619" s="7" t="n">
        <v>0.008256273097</v>
      </c>
      <c r="O619" s="7" t="n">
        <v>0.001856982618</v>
      </c>
      <c r="P619" s="7" t="n">
        <v>0.9999641921</v>
      </c>
      <c r="Q619" s="7" t="n">
        <v>-16.54362706</v>
      </c>
      <c r="R619" s="7" t="n">
        <v>20.50291692</v>
      </c>
      <c r="S619" s="7" t="n">
        <v>1.059440205</v>
      </c>
    </row>
    <row r="620" customFormat="false" ht="15" hidden="false" customHeight="false" outlineLevel="0" collapsed="false">
      <c r="A620" s="5" t="s">
        <v>4</v>
      </c>
      <c r="B620" s="5" t="s">
        <v>78</v>
      </c>
      <c r="C620" s="5" t="s">
        <v>58</v>
      </c>
      <c r="D620" s="2" t="n">
        <v>12</v>
      </c>
      <c r="E620" s="5" t="s">
        <v>163</v>
      </c>
      <c r="F620" s="5" t="s">
        <v>168</v>
      </c>
      <c r="G620" s="2" t="n">
        <v>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customFormat="false" ht="15" hidden="false" customHeight="false" outlineLevel="0" collapsed="false">
      <c r="A621" s="5" t="s">
        <v>4</v>
      </c>
      <c r="B621" s="5" t="s">
        <v>78</v>
      </c>
      <c r="C621" s="5" t="s">
        <v>62</v>
      </c>
      <c r="D621" s="2" t="n">
        <v>12</v>
      </c>
      <c r="E621" s="5" t="s">
        <v>163</v>
      </c>
      <c r="F621" s="5" t="s">
        <v>168</v>
      </c>
      <c r="G621" s="2" t="n">
        <v>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customFormat="false" ht="15" hidden="false" customHeight="false" outlineLevel="0" collapsed="false">
      <c r="A622" s="5" t="s">
        <v>4</v>
      </c>
      <c r="B622" s="5" t="s">
        <v>78</v>
      </c>
      <c r="C622" s="5" t="s">
        <v>58</v>
      </c>
      <c r="D622" s="2" t="n">
        <v>13</v>
      </c>
      <c r="E622" s="5" t="s">
        <v>163</v>
      </c>
      <c r="F622" s="5" t="s">
        <v>164</v>
      </c>
      <c r="G622" s="2" t="n">
        <v>1</v>
      </c>
      <c r="H622" s="7" t="n">
        <v>-0.7185790093</v>
      </c>
      <c r="I622" s="7" t="n">
        <v>-0.6954425903</v>
      </c>
      <c r="J622" s="7" t="n">
        <v>0.00195217463</v>
      </c>
      <c r="K622" s="7" t="n">
        <v>0.6954257685</v>
      </c>
      <c r="L622" s="7" t="n">
        <v>-0.71857702</v>
      </c>
      <c r="M622" s="7" t="n">
        <v>-0.005483317576</v>
      </c>
      <c r="N622" s="7" t="n">
        <v>0.005216120407</v>
      </c>
      <c r="O622" s="7" t="n">
        <v>-0.002582604369</v>
      </c>
      <c r="P622" s="7" t="n">
        <v>0.999983061</v>
      </c>
      <c r="Q622" s="7" t="n">
        <v>-11.07041152</v>
      </c>
      <c r="R622" s="7" t="n">
        <v>-0.8737521618</v>
      </c>
      <c r="S622" s="7" t="n">
        <v>0.5254000056</v>
      </c>
    </row>
    <row r="623" customFormat="false" ht="15" hidden="false" customHeight="false" outlineLevel="0" collapsed="false">
      <c r="A623" s="5" t="s">
        <v>4</v>
      </c>
      <c r="B623" s="5" t="s">
        <v>78</v>
      </c>
      <c r="C623" s="5" t="s">
        <v>62</v>
      </c>
      <c r="D623" s="2" t="n">
        <v>13</v>
      </c>
      <c r="E623" s="5" t="s">
        <v>163</v>
      </c>
      <c r="F623" s="5" t="s">
        <v>164</v>
      </c>
      <c r="G623" s="2" t="n">
        <v>1</v>
      </c>
      <c r="H623" s="7" t="n">
        <v>-0.7185790093</v>
      </c>
      <c r="I623" s="7" t="n">
        <v>-0.6954425903</v>
      </c>
      <c r="J623" s="7" t="n">
        <v>0.00195217463</v>
      </c>
      <c r="K623" s="7" t="n">
        <v>0.6954257685</v>
      </c>
      <c r="L623" s="7" t="n">
        <v>-0.71857702</v>
      </c>
      <c r="M623" s="7" t="n">
        <v>-0.005483317576</v>
      </c>
      <c r="N623" s="7" t="n">
        <v>0.005216120407</v>
      </c>
      <c r="O623" s="7" t="n">
        <v>-0.002582604369</v>
      </c>
      <c r="P623" s="7" t="n">
        <v>0.999983061</v>
      </c>
      <c r="Q623" s="7" t="n">
        <v>-11.07041152</v>
      </c>
      <c r="R623" s="7" t="n">
        <v>-0.8737521618</v>
      </c>
      <c r="S623" s="7" t="n">
        <v>0.5254000056</v>
      </c>
    </row>
    <row r="624" customFormat="false" ht="15" hidden="false" customHeight="false" outlineLevel="0" collapsed="false">
      <c r="A624" s="5" t="s">
        <v>4</v>
      </c>
      <c r="B624" s="5" t="s">
        <v>78</v>
      </c>
      <c r="C624" s="5" t="s">
        <v>58</v>
      </c>
      <c r="D624" s="2" t="n">
        <v>13</v>
      </c>
      <c r="E624" s="5" t="s">
        <v>163</v>
      </c>
      <c r="F624" s="5" t="s">
        <v>165</v>
      </c>
      <c r="G624" s="2" t="n">
        <v>1</v>
      </c>
      <c r="H624" s="7" t="n">
        <v>0.9336979449</v>
      </c>
      <c r="I624" s="7" t="n">
        <v>0.3579796327</v>
      </c>
      <c r="J624" s="7" t="n">
        <v>-0.00766356341</v>
      </c>
      <c r="K624" s="7" t="n">
        <v>-0.3579333804</v>
      </c>
      <c r="L624" s="7" t="n">
        <v>0.9337224959</v>
      </c>
      <c r="M624" s="7" t="n">
        <v>0.006782017246</v>
      </c>
      <c r="N624" s="7" t="n">
        <v>0.009583465597</v>
      </c>
      <c r="O624" s="7" t="n">
        <v>-0.003589310408</v>
      </c>
      <c r="P624" s="7" t="n">
        <v>0.9999476356</v>
      </c>
      <c r="Q624" s="7" t="n">
        <v>8.398822341</v>
      </c>
      <c r="R624" s="7" t="n">
        <v>1.364704121</v>
      </c>
      <c r="S624" s="7" t="n">
        <v>0.6743562577</v>
      </c>
    </row>
    <row r="625" customFormat="false" ht="15" hidden="false" customHeight="false" outlineLevel="0" collapsed="false">
      <c r="A625" s="5" t="s">
        <v>4</v>
      </c>
      <c r="B625" s="5" t="s">
        <v>78</v>
      </c>
      <c r="C625" s="5" t="s">
        <v>62</v>
      </c>
      <c r="D625" s="2" t="n">
        <v>13</v>
      </c>
      <c r="E625" s="5" t="s">
        <v>163</v>
      </c>
      <c r="F625" s="5" t="s">
        <v>165</v>
      </c>
      <c r="G625" s="2" t="n">
        <v>1</v>
      </c>
      <c r="H625" s="7" t="n">
        <v>0.9336979449</v>
      </c>
      <c r="I625" s="7" t="n">
        <v>0.3579796327</v>
      </c>
      <c r="J625" s="7" t="n">
        <v>-0.00766356341</v>
      </c>
      <c r="K625" s="7" t="n">
        <v>-0.3579333804</v>
      </c>
      <c r="L625" s="7" t="n">
        <v>0.9337224959</v>
      </c>
      <c r="M625" s="7" t="n">
        <v>0.006782017246</v>
      </c>
      <c r="N625" s="7" t="n">
        <v>0.009583465597</v>
      </c>
      <c r="O625" s="7" t="n">
        <v>-0.003589310408</v>
      </c>
      <c r="P625" s="7" t="n">
        <v>0.9999476356</v>
      </c>
      <c r="Q625" s="7" t="n">
        <v>8.398822341</v>
      </c>
      <c r="R625" s="7" t="n">
        <v>1.364704121</v>
      </c>
      <c r="S625" s="7" t="n">
        <v>0.6743562577</v>
      </c>
    </row>
    <row r="626" customFormat="false" ht="15" hidden="false" customHeight="false" outlineLevel="0" collapsed="false">
      <c r="A626" s="5" t="s">
        <v>4</v>
      </c>
      <c r="B626" s="5" t="s">
        <v>78</v>
      </c>
      <c r="C626" s="5" t="s">
        <v>58</v>
      </c>
      <c r="D626" s="2" t="n">
        <v>13</v>
      </c>
      <c r="E626" s="5" t="s">
        <v>163</v>
      </c>
      <c r="F626" s="5" t="s">
        <v>166</v>
      </c>
      <c r="G626" s="2" t="n">
        <v>1</v>
      </c>
      <c r="H626" s="7" t="n">
        <v>0.9022870842</v>
      </c>
      <c r="I626" s="7" t="n">
        <v>0.4308167184</v>
      </c>
      <c r="J626" s="7" t="n">
        <v>-0.01658230357</v>
      </c>
      <c r="K626" s="7" t="n">
        <v>-0.4309736385</v>
      </c>
      <c r="L626" s="7" t="n">
        <v>0.9023350523</v>
      </c>
      <c r="M626" s="7" t="n">
        <v>-0.007292203208</v>
      </c>
      <c r="N626" s="7" t="n">
        <v>0.0118211907</v>
      </c>
      <c r="O626" s="7" t="n">
        <v>0.01372619648</v>
      </c>
      <c r="P626" s="7" t="n">
        <v>0.999835912</v>
      </c>
      <c r="Q626" s="7" t="n">
        <v>22.84179367</v>
      </c>
      <c r="R626" s="7" t="n">
        <v>6.525547355</v>
      </c>
      <c r="S626" s="7" t="n">
        <v>1.623886389</v>
      </c>
    </row>
    <row r="627" customFormat="false" ht="15" hidden="false" customHeight="false" outlineLevel="0" collapsed="false">
      <c r="A627" s="5" t="s">
        <v>4</v>
      </c>
      <c r="B627" s="5" t="s">
        <v>78</v>
      </c>
      <c r="C627" s="5" t="s">
        <v>62</v>
      </c>
      <c r="D627" s="2" t="n">
        <v>13</v>
      </c>
      <c r="E627" s="5" t="s">
        <v>163</v>
      </c>
      <c r="F627" s="5" t="s">
        <v>166</v>
      </c>
      <c r="G627" s="2" t="n">
        <v>1</v>
      </c>
      <c r="H627" s="7" t="n">
        <v>0.9022870842</v>
      </c>
      <c r="I627" s="7" t="n">
        <v>0.4308167184</v>
      </c>
      <c r="J627" s="7" t="n">
        <v>-0.01658230357</v>
      </c>
      <c r="K627" s="7" t="n">
        <v>-0.4309736385</v>
      </c>
      <c r="L627" s="7" t="n">
        <v>0.9023350523</v>
      </c>
      <c r="M627" s="7" t="n">
        <v>-0.007292203208</v>
      </c>
      <c r="N627" s="7" t="n">
        <v>0.0118211907</v>
      </c>
      <c r="O627" s="7" t="n">
        <v>0.01372619648</v>
      </c>
      <c r="P627" s="7" t="n">
        <v>0.999835912</v>
      </c>
      <c r="Q627" s="7" t="n">
        <v>22.84179367</v>
      </c>
      <c r="R627" s="7" t="n">
        <v>6.525547355</v>
      </c>
      <c r="S627" s="7" t="n">
        <v>1.623886389</v>
      </c>
    </row>
    <row r="628" customFormat="false" ht="15" hidden="false" customHeight="false" outlineLevel="0" collapsed="false">
      <c r="A628" s="5" t="s">
        <v>4</v>
      </c>
      <c r="B628" s="5" t="s">
        <v>78</v>
      </c>
      <c r="C628" s="5" t="s">
        <v>58</v>
      </c>
      <c r="D628" s="2" t="n">
        <v>13</v>
      </c>
      <c r="E628" s="5" t="s">
        <v>163</v>
      </c>
      <c r="F628" s="5" t="s">
        <v>167</v>
      </c>
      <c r="G628" s="2" t="n">
        <v>1</v>
      </c>
      <c r="H628" s="7" t="n">
        <v>0.2143509549</v>
      </c>
      <c r="I628" s="7" t="n">
        <v>-0.9735361724</v>
      </c>
      <c r="J628" s="7" t="n">
        <v>0.07925269158</v>
      </c>
      <c r="K628" s="7" t="n">
        <v>0.9760048158</v>
      </c>
      <c r="L628" s="7" t="n">
        <v>0.2102966896</v>
      </c>
      <c r="M628" s="7" t="n">
        <v>-0.05647921685</v>
      </c>
      <c r="N628" s="7" t="n">
        <v>0.03831798191</v>
      </c>
      <c r="O628" s="7" t="n">
        <v>0.08945738271</v>
      </c>
      <c r="P628" s="7" t="n">
        <v>0.9952532888</v>
      </c>
      <c r="Q628" s="7" t="n">
        <v>-16.50160079</v>
      </c>
      <c r="R628" s="7" t="n">
        <v>20.11892324</v>
      </c>
      <c r="S628" s="7" t="n">
        <v>3.143203557</v>
      </c>
    </row>
    <row r="629" customFormat="false" ht="15" hidden="false" customHeight="false" outlineLevel="0" collapsed="false">
      <c r="A629" s="5" t="s">
        <v>4</v>
      </c>
      <c r="B629" s="5" t="s">
        <v>78</v>
      </c>
      <c r="C629" s="5" t="s">
        <v>62</v>
      </c>
      <c r="D629" s="2" t="n">
        <v>13</v>
      </c>
      <c r="E629" s="5" t="s">
        <v>163</v>
      </c>
      <c r="F629" s="5" t="s">
        <v>167</v>
      </c>
      <c r="G629" s="2" t="n">
        <v>1</v>
      </c>
      <c r="H629" s="7" t="n">
        <v>0.1901526252</v>
      </c>
      <c r="I629" s="7" t="n">
        <v>-0.9315263382</v>
      </c>
      <c r="J629" s="7" t="n">
        <v>0.3100010651</v>
      </c>
      <c r="K629" s="7" t="n">
        <v>0.9814098046</v>
      </c>
      <c r="L629" s="7" t="n">
        <v>0.1719935595</v>
      </c>
      <c r="M629" s="7" t="n">
        <v>-0.0851646109</v>
      </c>
      <c r="N629" s="7" t="n">
        <v>0.0260148915</v>
      </c>
      <c r="O629" s="7" t="n">
        <v>0.3204323591</v>
      </c>
      <c r="P629" s="7" t="n">
        <v>0.9469141084</v>
      </c>
      <c r="Q629" s="7" t="n">
        <v>-15.49102662</v>
      </c>
      <c r="R629" s="7" t="n">
        <v>19.32057255</v>
      </c>
      <c r="S629" s="7" t="n">
        <v>7.555668649</v>
      </c>
    </row>
    <row r="630" customFormat="false" ht="15" hidden="false" customHeight="false" outlineLevel="0" collapsed="false">
      <c r="A630" s="5" t="s">
        <v>4</v>
      </c>
      <c r="B630" s="5" t="s">
        <v>78</v>
      </c>
      <c r="C630" s="5" t="s">
        <v>58</v>
      </c>
      <c r="D630" s="2" t="n">
        <v>13</v>
      </c>
      <c r="E630" s="5" t="s">
        <v>163</v>
      </c>
      <c r="F630" s="5" t="s">
        <v>168</v>
      </c>
      <c r="G630" s="2" t="n">
        <v>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customFormat="false" ht="15" hidden="false" customHeight="false" outlineLevel="0" collapsed="false">
      <c r="A631" s="5" t="s">
        <v>4</v>
      </c>
      <c r="B631" s="5" t="s">
        <v>78</v>
      </c>
      <c r="C631" s="5" t="s">
        <v>62</v>
      </c>
      <c r="D631" s="2" t="n">
        <v>13</v>
      </c>
      <c r="E631" s="5" t="s">
        <v>163</v>
      </c>
      <c r="F631" s="5" t="s">
        <v>168</v>
      </c>
      <c r="G631" s="2" t="n">
        <v>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customFormat="false" ht="15" hidden="false" customHeight="false" outlineLevel="0" collapsed="false">
      <c r="A632" s="5" t="s">
        <v>4</v>
      </c>
      <c r="B632" s="5" t="s">
        <v>78</v>
      </c>
      <c r="C632" s="5" t="s">
        <v>58</v>
      </c>
      <c r="D632" s="2" t="n">
        <v>14</v>
      </c>
      <c r="E632" s="5" t="s">
        <v>163</v>
      </c>
      <c r="F632" s="5" t="s">
        <v>164</v>
      </c>
      <c r="G632" s="2" t="n">
        <v>1</v>
      </c>
      <c r="H632" s="7" t="n">
        <v>-0.7187223382</v>
      </c>
      <c r="I632" s="7" t="n">
        <v>-0.6952850763</v>
      </c>
      <c r="J632" s="7" t="n">
        <v>0.004106496463</v>
      </c>
      <c r="K632" s="7" t="n">
        <v>0.6952685872</v>
      </c>
      <c r="L632" s="7" t="n">
        <v>-0.7187338067</v>
      </c>
      <c r="M632" s="7" t="n">
        <v>-0.004827710284</v>
      </c>
      <c r="N632" s="7" t="n">
        <v>0.006308112748</v>
      </c>
      <c r="O632" s="7" t="n">
        <v>-0.0006146652292</v>
      </c>
      <c r="P632" s="7" t="n">
        <v>0.9999799147</v>
      </c>
      <c r="Q632" s="7" t="n">
        <v>-11.07534182</v>
      </c>
      <c r="R632" s="7" t="n">
        <v>-0.8763561007</v>
      </c>
      <c r="S632" s="7" t="n">
        <v>0.5663948123</v>
      </c>
    </row>
    <row r="633" customFormat="false" ht="15" hidden="false" customHeight="false" outlineLevel="0" collapsed="false">
      <c r="A633" s="5" t="s">
        <v>4</v>
      </c>
      <c r="B633" s="5" t="s">
        <v>78</v>
      </c>
      <c r="C633" s="5" t="s">
        <v>62</v>
      </c>
      <c r="D633" s="2" t="n">
        <v>14</v>
      </c>
      <c r="E633" s="5" t="s">
        <v>163</v>
      </c>
      <c r="F633" s="5" t="s">
        <v>164</v>
      </c>
      <c r="G633" s="2" t="n">
        <v>1</v>
      </c>
      <c r="H633" s="7" t="n">
        <v>-0.7187223382</v>
      </c>
      <c r="I633" s="7" t="n">
        <v>-0.6952850763</v>
      </c>
      <c r="J633" s="7" t="n">
        <v>0.004106496463</v>
      </c>
      <c r="K633" s="7" t="n">
        <v>0.6952685872</v>
      </c>
      <c r="L633" s="7" t="n">
        <v>-0.7187338067</v>
      </c>
      <c r="M633" s="7" t="n">
        <v>-0.004827710284</v>
      </c>
      <c r="N633" s="7" t="n">
        <v>0.006308112748</v>
      </c>
      <c r="O633" s="7" t="n">
        <v>-0.0006146652292</v>
      </c>
      <c r="P633" s="7" t="n">
        <v>0.9999799147</v>
      </c>
      <c r="Q633" s="7" t="n">
        <v>-11.07534182</v>
      </c>
      <c r="R633" s="7" t="n">
        <v>-0.8763561007</v>
      </c>
      <c r="S633" s="7" t="n">
        <v>0.5663948123</v>
      </c>
    </row>
    <row r="634" customFormat="false" ht="15" hidden="false" customHeight="false" outlineLevel="0" collapsed="false">
      <c r="A634" s="5" t="s">
        <v>4</v>
      </c>
      <c r="B634" s="5" t="s">
        <v>78</v>
      </c>
      <c r="C634" s="5" t="s">
        <v>58</v>
      </c>
      <c r="D634" s="2" t="n">
        <v>14</v>
      </c>
      <c r="E634" s="5" t="s">
        <v>163</v>
      </c>
      <c r="F634" s="5" t="s">
        <v>165</v>
      </c>
      <c r="G634" s="2" t="n">
        <v>1</v>
      </c>
      <c r="H634" s="7" t="n">
        <v>0.9335395619</v>
      </c>
      <c r="I634" s="7" t="n">
        <v>0.3583808019</v>
      </c>
      <c r="J634" s="7" t="n">
        <v>-0.008190678352</v>
      </c>
      <c r="K634" s="7" t="n">
        <v>-0.3583596404</v>
      </c>
      <c r="L634" s="7" t="n">
        <v>0.9335751744</v>
      </c>
      <c r="M634" s="7" t="n">
        <v>0.003970115932</v>
      </c>
      <c r="N634" s="7" t="n">
        <v>0.009069427302</v>
      </c>
      <c r="O634" s="7" t="n">
        <v>-0.0007710517385</v>
      </c>
      <c r="P634" s="7" t="n">
        <v>0.9999585746</v>
      </c>
      <c r="Q634" s="7" t="n">
        <v>8.390190043</v>
      </c>
      <c r="R634" s="7" t="n">
        <v>1.350868398</v>
      </c>
      <c r="S634" s="7" t="n">
        <v>0.6318637763</v>
      </c>
    </row>
    <row r="635" customFormat="false" ht="15" hidden="false" customHeight="false" outlineLevel="0" collapsed="false">
      <c r="A635" s="5" t="s">
        <v>4</v>
      </c>
      <c r="B635" s="5" t="s">
        <v>78</v>
      </c>
      <c r="C635" s="5" t="s">
        <v>62</v>
      </c>
      <c r="D635" s="2" t="n">
        <v>14</v>
      </c>
      <c r="E635" s="5" t="s">
        <v>163</v>
      </c>
      <c r="F635" s="5" t="s">
        <v>165</v>
      </c>
      <c r="G635" s="2" t="n">
        <v>1</v>
      </c>
      <c r="H635" s="7" t="n">
        <v>0.9333513803</v>
      </c>
      <c r="I635" s="7" t="n">
        <v>0.3589193906</v>
      </c>
      <c r="J635" s="7" t="n">
        <v>-0.00566320403</v>
      </c>
      <c r="K635" s="7" t="n">
        <v>-0.3588531433</v>
      </c>
      <c r="L635" s="7" t="n">
        <v>0.9333390138</v>
      </c>
      <c r="M635" s="7" t="n">
        <v>0.01013444007</v>
      </c>
      <c r="N635" s="7" t="n">
        <v>0.008923136318</v>
      </c>
      <c r="O635" s="7" t="n">
        <v>-0.007426735059</v>
      </c>
      <c r="P635" s="7" t="n">
        <v>0.9999326084</v>
      </c>
      <c r="Q635" s="7" t="n">
        <v>8.399784331</v>
      </c>
      <c r="R635" s="7" t="n">
        <v>1.360821797</v>
      </c>
      <c r="S635" s="7" t="n">
        <v>0.6354780066</v>
      </c>
    </row>
    <row r="636" customFormat="false" ht="15" hidden="false" customHeight="false" outlineLevel="0" collapsed="false">
      <c r="A636" s="5" t="s">
        <v>4</v>
      </c>
      <c r="B636" s="5" t="s">
        <v>78</v>
      </c>
      <c r="C636" s="5" t="s">
        <v>58</v>
      </c>
      <c r="D636" s="2" t="n">
        <v>14</v>
      </c>
      <c r="E636" s="5" t="s">
        <v>163</v>
      </c>
      <c r="F636" s="5" t="s">
        <v>166</v>
      </c>
      <c r="G636" s="2" t="n">
        <v>1</v>
      </c>
      <c r="H636" s="7" t="n">
        <v>0.9023376298</v>
      </c>
      <c r="I636" s="7" t="n">
        <v>0.4307480851</v>
      </c>
      <c r="J636" s="7" t="n">
        <v>-0.01558489693</v>
      </c>
      <c r="K636" s="7" t="n">
        <v>-0.4308965285</v>
      </c>
      <c r="L636" s="7" t="n">
        <v>0.9023680225</v>
      </c>
      <c r="M636" s="7" t="n">
        <v>-0.007754587701</v>
      </c>
      <c r="N636" s="7" t="n">
        <v>0.01072303882</v>
      </c>
      <c r="O636" s="7" t="n">
        <v>0.01371273427</v>
      </c>
      <c r="P636" s="7" t="n">
        <v>0.9998484772</v>
      </c>
      <c r="Q636" s="7" t="n">
        <v>22.82714308</v>
      </c>
      <c r="R636" s="7" t="n">
        <v>6.52441696</v>
      </c>
      <c r="S636" s="7" t="n">
        <v>1.612849322</v>
      </c>
    </row>
    <row r="637" customFormat="false" ht="15" hidden="false" customHeight="false" outlineLevel="0" collapsed="false">
      <c r="A637" s="5" t="s">
        <v>4</v>
      </c>
      <c r="B637" s="5" t="s">
        <v>78</v>
      </c>
      <c r="C637" s="5" t="s">
        <v>62</v>
      </c>
      <c r="D637" s="2" t="n">
        <v>14</v>
      </c>
      <c r="E637" s="5" t="s">
        <v>163</v>
      </c>
      <c r="F637" s="5" t="s">
        <v>166</v>
      </c>
      <c r="G637" s="2" t="n">
        <v>1</v>
      </c>
      <c r="H637" s="7" t="n">
        <v>0.9023376298</v>
      </c>
      <c r="I637" s="7" t="n">
        <v>0.4307480851</v>
      </c>
      <c r="J637" s="7" t="n">
        <v>-0.01558489693</v>
      </c>
      <c r="K637" s="7" t="n">
        <v>-0.4308965285</v>
      </c>
      <c r="L637" s="7" t="n">
        <v>0.9023680225</v>
      </c>
      <c r="M637" s="7" t="n">
        <v>-0.007754587701</v>
      </c>
      <c r="N637" s="7" t="n">
        <v>0.01072303882</v>
      </c>
      <c r="O637" s="7" t="n">
        <v>0.01371273427</v>
      </c>
      <c r="P637" s="7" t="n">
        <v>0.9998484772</v>
      </c>
      <c r="Q637" s="7" t="n">
        <v>22.82714308</v>
      </c>
      <c r="R637" s="7" t="n">
        <v>6.52441696</v>
      </c>
      <c r="S637" s="7" t="n">
        <v>1.612849322</v>
      </c>
    </row>
    <row r="638" customFormat="false" ht="15" hidden="false" customHeight="false" outlineLevel="0" collapsed="false">
      <c r="A638" s="5" t="s">
        <v>4</v>
      </c>
      <c r="B638" s="5" t="s">
        <v>78</v>
      </c>
      <c r="C638" s="5" t="s">
        <v>58</v>
      </c>
      <c r="D638" s="2" t="n">
        <v>14</v>
      </c>
      <c r="E638" s="5" t="s">
        <v>163</v>
      </c>
      <c r="F638" s="5" t="s">
        <v>167</v>
      </c>
      <c r="G638" s="2" t="n">
        <v>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customFormat="false" ht="15" hidden="false" customHeight="false" outlineLevel="0" collapsed="false">
      <c r="A639" s="5" t="s">
        <v>4</v>
      </c>
      <c r="B639" s="5" t="s">
        <v>78</v>
      </c>
      <c r="C639" s="5" t="s">
        <v>62</v>
      </c>
      <c r="D639" s="2" t="n">
        <v>14</v>
      </c>
      <c r="E639" s="5" t="s">
        <v>163</v>
      </c>
      <c r="F639" s="5" t="s">
        <v>167</v>
      </c>
      <c r="G639" s="2" t="n">
        <v>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customFormat="false" ht="15" hidden="false" customHeight="false" outlineLevel="0" collapsed="false">
      <c r="A640" s="5" t="s">
        <v>4</v>
      </c>
      <c r="B640" s="5" t="s">
        <v>78</v>
      </c>
      <c r="C640" s="5" t="s">
        <v>58</v>
      </c>
      <c r="D640" s="2" t="n">
        <v>14</v>
      </c>
      <c r="E640" s="5" t="s">
        <v>163</v>
      </c>
      <c r="F640" s="5" t="s">
        <v>168</v>
      </c>
      <c r="G640" s="2" t="n">
        <v>1</v>
      </c>
      <c r="H640" s="7" t="n">
        <v>0.9869997477</v>
      </c>
      <c r="I640" s="7" t="n">
        <v>0.1514988157</v>
      </c>
      <c r="J640" s="7" t="n">
        <v>-0.05366196784</v>
      </c>
      <c r="K640" s="7" t="n">
        <v>-0.1489371954</v>
      </c>
      <c r="L640" s="7" t="n">
        <v>0.9876362075</v>
      </c>
      <c r="M640" s="7" t="n">
        <v>0.04891250871</v>
      </c>
      <c r="N640" s="7" t="n">
        <v>0.06040868955</v>
      </c>
      <c r="O640" s="7" t="n">
        <v>-0.04028437077</v>
      </c>
      <c r="P640" s="7" t="n">
        <v>0.9973604964</v>
      </c>
      <c r="Q640" s="7" t="n">
        <v>25.05294198</v>
      </c>
      <c r="R640" s="7" t="n">
        <v>19.89952821</v>
      </c>
      <c r="S640" s="7" t="n">
        <v>2.260216776</v>
      </c>
    </row>
    <row r="641" customFormat="false" ht="15" hidden="false" customHeight="false" outlineLevel="0" collapsed="false">
      <c r="A641" s="5" t="s">
        <v>4</v>
      </c>
      <c r="B641" s="5" t="s">
        <v>78</v>
      </c>
      <c r="C641" s="5" t="s">
        <v>62</v>
      </c>
      <c r="D641" s="2" t="n">
        <v>14</v>
      </c>
      <c r="E641" s="5" t="s">
        <v>163</v>
      </c>
      <c r="F641" s="5" t="s">
        <v>168</v>
      </c>
      <c r="G641" s="2" t="n">
        <v>1</v>
      </c>
      <c r="H641" s="7" t="n">
        <v>0.9885996128</v>
      </c>
      <c r="I641" s="7" t="n">
        <v>0.1493736697</v>
      </c>
      <c r="J641" s="7" t="n">
        <v>-0.01892914105</v>
      </c>
      <c r="K641" s="7" t="n">
        <v>-0.1488922172</v>
      </c>
      <c r="L641" s="7" t="n">
        <v>0.9885446332</v>
      </c>
      <c r="M641" s="7" t="n">
        <v>0.02471064376</v>
      </c>
      <c r="N641" s="7" t="n">
        <v>0.02240342034</v>
      </c>
      <c r="O641" s="7" t="n">
        <v>-0.02161053107</v>
      </c>
      <c r="P641" s="7" t="n">
        <v>0.9995154184</v>
      </c>
      <c r="Q641" s="7" t="n">
        <v>25.10986808</v>
      </c>
      <c r="R641" s="7" t="n">
        <v>19.86022838</v>
      </c>
      <c r="S641" s="7" t="n">
        <v>2.21066354</v>
      </c>
    </row>
    <row r="642" customFormat="false" ht="15" hidden="false" customHeight="false" outlineLevel="0" collapsed="false">
      <c r="A642" s="5" t="s">
        <v>4</v>
      </c>
      <c r="B642" s="5" t="s">
        <v>78</v>
      </c>
      <c r="C642" s="5" t="s">
        <v>58</v>
      </c>
      <c r="D642" s="2" t="n">
        <v>15</v>
      </c>
      <c r="E642" s="5" t="s">
        <v>163</v>
      </c>
      <c r="F642" s="5" t="s">
        <v>164</v>
      </c>
      <c r="G642" s="2" t="n">
        <v>1</v>
      </c>
      <c r="H642" s="7" t="n">
        <v>-0.7175140551</v>
      </c>
      <c r="I642" s="7" t="n">
        <v>-0.6965409991</v>
      </c>
      <c r="J642" s="7" t="n">
        <v>0.002053604</v>
      </c>
      <c r="K642" s="7" t="n">
        <v>0.6965252025</v>
      </c>
      <c r="L642" s="7" t="n">
        <v>-0.7175132212</v>
      </c>
      <c r="M642" s="7" t="n">
        <v>-0.005236377221</v>
      </c>
      <c r="N642" s="7" t="n">
        <v>0.005120839442</v>
      </c>
      <c r="O642" s="7" t="n">
        <v>-0.002326787312</v>
      </c>
      <c r="P642" s="7" t="n">
        <v>0.9999841814</v>
      </c>
      <c r="Q642" s="7" t="n">
        <v>-11.10091694</v>
      </c>
      <c r="R642" s="7" t="n">
        <v>-0.8461623079</v>
      </c>
      <c r="S642" s="7" t="n">
        <v>0.5314069988</v>
      </c>
    </row>
    <row r="643" customFormat="false" ht="15" hidden="false" customHeight="false" outlineLevel="0" collapsed="false">
      <c r="A643" s="5" t="s">
        <v>4</v>
      </c>
      <c r="B643" s="5" t="s">
        <v>78</v>
      </c>
      <c r="C643" s="5" t="s">
        <v>62</v>
      </c>
      <c r="D643" s="2" t="n">
        <v>15</v>
      </c>
      <c r="E643" s="5" t="s">
        <v>163</v>
      </c>
      <c r="F643" s="5" t="s">
        <v>164</v>
      </c>
      <c r="G643" s="2" t="n">
        <v>1</v>
      </c>
      <c r="H643" s="7" t="n">
        <v>-0.7175140551</v>
      </c>
      <c r="I643" s="7" t="n">
        <v>-0.6965409991</v>
      </c>
      <c r="J643" s="7" t="n">
        <v>0.002053604</v>
      </c>
      <c r="K643" s="7" t="n">
        <v>0.6965252025</v>
      </c>
      <c r="L643" s="7" t="n">
        <v>-0.7175132212</v>
      </c>
      <c r="M643" s="7" t="n">
        <v>-0.005236377221</v>
      </c>
      <c r="N643" s="7" t="n">
        <v>0.005120839442</v>
      </c>
      <c r="O643" s="7" t="n">
        <v>-0.002326787312</v>
      </c>
      <c r="P643" s="7" t="n">
        <v>0.9999841814</v>
      </c>
      <c r="Q643" s="7" t="n">
        <v>-11.10091694</v>
      </c>
      <c r="R643" s="7" t="n">
        <v>-0.8461623079</v>
      </c>
      <c r="S643" s="7" t="n">
        <v>0.5314069988</v>
      </c>
    </row>
    <row r="644" customFormat="false" ht="15" hidden="false" customHeight="false" outlineLevel="0" collapsed="false">
      <c r="A644" s="5" t="s">
        <v>4</v>
      </c>
      <c r="B644" s="5" t="s">
        <v>78</v>
      </c>
      <c r="C644" s="5" t="s">
        <v>58</v>
      </c>
      <c r="D644" s="2" t="n">
        <v>15</v>
      </c>
      <c r="E644" s="5" t="s">
        <v>163</v>
      </c>
      <c r="F644" s="5" t="s">
        <v>165</v>
      </c>
      <c r="G644" s="2" t="n">
        <v>1</v>
      </c>
      <c r="H644" s="7" t="n">
        <v>0.9340877546</v>
      </c>
      <c r="I644" s="7" t="n">
        <v>0.3569308661</v>
      </c>
      <c r="J644" s="7" t="n">
        <v>-0.008967911551</v>
      </c>
      <c r="K644" s="7" t="n">
        <v>-0.3569123994</v>
      </c>
      <c r="L644" s="7" t="n">
        <v>0.9341307824</v>
      </c>
      <c r="M644" s="7" t="n">
        <v>0.003636019497</v>
      </c>
      <c r="N644" s="7" t="n">
        <v>0.009675009822</v>
      </c>
      <c r="O644" s="7" t="n">
        <v>-0.0001956024584</v>
      </c>
      <c r="P644" s="7" t="n">
        <v>0.9999531769</v>
      </c>
      <c r="Q644" s="7" t="n">
        <v>8.38234812</v>
      </c>
      <c r="R644" s="7" t="n">
        <v>1.382848051</v>
      </c>
      <c r="S644" s="7" t="n">
        <v>0.7132008166</v>
      </c>
    </row>
    <row r="645" customFormat="false" ht="15" hidden="false" customHeight="false" outlineLevel="0" collapsed="false">
      <c r="A645" s="5" t="s">
        <v>4</v>
      </c>
      <c r="B645" s="5" t="s">
        <v>78</v>
      </c>
      <c r="C645" s="5" t="s">
        <v>62</v>
      </c>
      <c r="D645" s="2" t="n">
        <v>15</v>
      </c>
      <c r="E645" s="5" t="s">
        <v>163</v>
      </c>
      <c r="F645" s="5" t="s">
        <v>165</v>
      </c>
      <c r="G645" s="2" t="n">
        <v>1</v>
      </c>
      <c r="H645" s="7" t="n">
        <v>0.9340877546</v>
      </c>
      <c r="I645" s="7" t="n">
        <v>0.3569308661</v>
      </c>
      <c r="J645" s="7" t="n">
        <v>-0.008967911551</v>
      </c>
      <c r="K645" s="7" t="n">
        <v>-0.3569123994</v>
      </c>
      <c r="L645" s="7" t="n">
        <v>0.9341307824</v>
      </c>
      <c r="M645" s="7" t="n">
        <v>0.003636019497</v>
      </c>
      <c r="N645" s="7" t="n">
        <v>0.009675009822</v>
      </c>
      <c r="O645" s="7" t="n">
        <v>-0.0001956024584</v>
      </c>
      <c r="P645" s="7" t="n">
        <v>0.9999531769</v>
      </c>
      <c r="Q645" s="7" t="n">
        <v>8.38234812</v>
      </c>
      <c r="R645" s="7" t="n">
        <v>1.382848051</v>
      </c>
      <c r="S645" s="7" t="n">
        <v>0.7132008166</v>
      </c>
    </row>
    <row r="646" customFormat="false" ht="15" hidden="false" customHeight="false" outlineLevel="0" collapsed="false">
      <c r="A646" s="5" t="s">
        <v>4</v>
      </c>
      <c r="B646" s="5" t="s">
        <v>78</v>
      </c>
      <c r="C646" s="5" t="s">
        <v>58</v>
      </c>
      <c r="D646" s="2" t="n">
        <v>15</v>
      </c>
      <c r="E646" s="5" t="s">
        <v>163</v>
      </c>
      <c r="F646" s="5" t="s">
        <v>166</v>
      </c>
      <c r="G646" s="2" t="n">
        <v>1</v>
      </c>
      <c r="H646" s="7" t="n">
        <v>0.9024390251</v>
      </c>
      <c r="I646" s="7" t="n">
        <v>0.4304135741</v>
      </c>
      <c r="J646" s="7" t="n">
        <v>-0.0186537204</v>
      </c>
      <c r="K646" s="7" t="n">
        <v>-0.4305516467</v>
      </c>
      <c r="L646" s="7" t="n">
        <v>0.902557295</v>
      </c>
      <c r="M646" s="7" t="n">
        <v>-0.003950801716</v>
      </c>
      <c r="N646" s="7" t="n">
        <v>0.01513557274</v>
      </c>
      <c r="O646" s="7" t="n">
        <v>0.01159674768</v>
      </c>
      <c r="P646" s="7" t="n">
        <v>0.9998181984</v>
      </c>
      <c r="Q646" s="7" t="n">
        <v>22.84957943</v>
      </c>
      <c r="R646" s="7" t="n">
        <v>6.536994975</v>
      </c>
      <c r="S646" s="7" t="n">
        <v>1.642595429</v>
      </c>
    </row>
    <row r="647" customFormat="false" ht="15" hidden="false" customHeight="false" outlineLevel="0" collapsed="false">
      <c r="A647" s="5" t="s">
        <v>4</v>
      </c>
      <c r="B647" s="5" t="s">
        <v>78</v>
      </c>
      <c r="C647" s="5" t="s">
        <v>62</v>
      </c>
      <c r="D647" s="2" t="n">
        <v>15</v>
      </c>
      <c r="E647" s="5" t="s">
        <v>163</v>
      </c>
      <c r="F647" s="5" t="s">
        <v>166</v>
      </c>
      <c r="G647" s="2" t="n">
        <v>1</v>
      </c>
      <c r="H647" s="7" t="n">
        <v>0.9024390251</v>
      </c>
      <c r="I647" s="7" t="n">
        <v>0.4304135741</v>
      </c>
      <c r="J647" s="7" t="n">
        <v>-0.0186537204</v>
      </c>
      <c r="K647" s="7" t="n">
        <v>-0.4305516467</v>
      </c>
      <c r="L647" s="7" t="n">
        <v>0.902557295</v>
      </c>
      <c r="M647" s="7" t="n">
        <v>-0.003950801716</v>
      </c>
      <c r="N647" s="7" t="n">
        <v>0.01513557274</v>
      </c>
      <c r="O647" s="7" t="n">
        <v>0.01159674768</v>
      </c>
      <c r="P647" s="7" t="n">
        <v>0.9998181984</v>
      </c>
      <c r="Q647" s="7" t="n">
        <v>22.84957943</v>
      </c>
      <c r="R647" s="7" t="n">
        <v>6.536994975</v>
      </c>
      <c r="S647" s="7" t="n">
        <v>1.642595429</v>
      </c>
    </row>
    <row r="648" customFormat="false" ht="15" hidden="false" customHeight="false" outlineLevel="0" collapsed="false">
      <c r="A648" s="5" t="s">
        <v>4</v>
      </c>
      <c r="B648" s="5" t="s">
        <v>78</v>
      </c>
      <c r="C648" s="5" t="s">
        <v>58</v>
      </c>
      <c r="D648" s="2" t="n">
        <v>15</v>
      </c>
      <c r="E648" s="5" t="s">
        <v>163</v>
      </c>
      <c r="F648" s="5" t="s">
        <v>167</v>
      </c>
      <c r="G648" s="2" t="n">
        <v>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customFormat="false" ht="15" hidden="false" customHeight="false" outlineLevel="0" collapsed="false">
      <c r="A649" s="5" t="s">
        <v>4</v>
      </c>
      <c r="B649" s="5" t="s">
        <v>78</v>
      </c>
      <c r="C649" s="5" t="s">
        <v>62</v>
      </c>
      <c r="D649" s="2" t="n">
        <v>15</v>
      </c>
      <c r="E649" s="5" t="s">
        <v>163</v>
      </c>
      <c r="F649" s="5" t="s">
        <v>167</v>
      </c>
      <c r="G649" s="2" t="n">
        <v>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customFormat="false" ht="15" hidden="false" customHeight="false" outlineLevel="0" collapsed="false">
      <c r="A650" s="5" t="s">
        <v>4</v>
      </c>
      <c r="B650" s="5" t="s">
        <v>78</v>
      </c>
      <c r="C650" s="5" t="s">
        <v>58</v>
      </c>
      <c r="D650" s="2" t="n">
        <v>15</v>
      </c>
      <c r="E650" s="5" t="s">
        <v>163</v>
      </c>
      <c r="F650" s="5" t="s">
        <v>168</v>
      </c>
      <c r="G650" s="2" t="n">
        <v>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customFormat="false" ht="15" hidden="false" customHeight="false" outlineLevel="0" collapsed="false">
      <c r="A651" s="5" t="s">
        <v>4</v>
      </c>
      <c r="B651" s="5" t="s">
        <v>78</v>
      </c>
      <c r="C651" s="5" t="s">
        <v>62</v>
      </c>
      <c r="D651" s="2" t="n">
        <v>15</v>
      </c>
      <c r="E651" s="5" t="s">
        <v>163</v>
      </c>
      <c r="F651" s="5" t="s">
        <v>168</v>
      </c>
      <c r="G651" s="2" t="n">
        <v>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customFormat="false" ht="15" hidden="false" customHeight="false" outlineLevel="0" collapsed="false">
      <c r="A652" s="5" t="s">
        <v>4</v>
      </c>
      <c r="B652" s="5" t="s">
        <v>78</v>
      </c>
      <c r="C652" s="5" t="s">
        <v>58</v>
      </c>
      <c r="D652" s="2" t="n">
        <v>16</v>
      </c>
      <c r="E652" s="5" t="s">
        <v>163</v>
      </c>
      <c r="F652" s="5" t="s">
        <v>164</v>
      </c>
      <c r="G652" s="2" t="n">
        <v>1</v>
      </c>
      <c r="H652" s="7" t="n">
        <v>-0.717767351</v>
      </c>
      <c r="I652" s="7" t="n">
        <v>-0.696271134</v>
      </c>
      <c r="J652" s="7" t="n">
        <v>0.004066661884</v>
      </c>
      <c r="K652" s="7" t="n">
        <v>0.6962673565</v>
      </c>
      <c r="L652" s="7" t="n">
        <v>-0.7177781357</v>
      </c>
      <c r="M652" s="7" t="n">
        <v>-0.002513223086</v>
      </c>
      <c r="N652" s="7" t="n">
        <v>0.004668845673</v>
      </c>
      <c r="O652" s="7" t="n">
        <v>0.001027574442</v>
      </c>
      <c r="P652" s="7" t="n">
        <v>0.9999885729</v>
      </c>
      <c r="Q652" s="7" t="n">
        <v>-11.09830012</v>
      </c>
      <c r="R652" s="7" t="n">
        <v>-0.8398829196</v>
      </c>
      <c r="S652" s="7" t="n">
        <v>0.5923789942</v>
      </c>
    </row>
    <row r="653" customFormat="false" ht="15" hidden="false" customHeight="false" outlineLevel="0" collapsed="false">
      <c r="A653" s="5" t="s">
        <v>4</v>
      </c>
      <c r="B653" s="5" t="s">
        <v>78</v>
      </c>
      <c r="C653" s="5" t="s">
        <v>62</v>
      </c>
      <c r="D653" s="2" t="n">
        <v>16</v>
      </c>
      <c r="E653" s="5" t="s">
        <v>163</v>
      </c>
      <c r="F653" s="5" t="s">
        <v>164</v>
      </c>
      <c r="G653" s="2" t="n">
        <v>1</v>
      </c>
      <c r="H653" s="7" t="n">
        <v>-0.717767351</v>
      </c>
      <c r="I653" s="7" t="n">
        <v>-0.696271134</v>
      </c>
      <c r="J653" s="7" t="n">
        <v>0.004066661884</v>
      </c>
      <c r="K653" s="7" t="n">
        <v>0.6962673565</v>
      </c>
      <c r="L653" s="7" t="n">
        <v>-0.7177781357</v>
      </c>
      <c r="M653" s="7" t="n">
        <v>-0.002513223086</v>
      </c>
      <c r="N653" s="7" t="n">
        <v>0.004668845673</v>
      </c>
      <c r="O653" s="7" t="n">
        <v>0.001027574442</v>
      </c>
      <c r="P653" s="7" t="n">
        <v>0.9999885729</v>
      </c>
      <c r="Q653" s="7" t="n">
        <v>-11.09830012</v>
      </c>
      <c r="R653" s="7" t="n">
        <v>-0.8398829196</v>
      </c>
      <c r="S653" s="7" t="n">
        <v>0.5923789942</v>
      </c>
    </row>
    <row r="654" customFormat="false" ht="15" hidden="false" customHeight="false" outlineLevel="0" collapsed="false">
      <c r="A654" s="5" t="s">
        <v>4</v>
      </c>
      <c r="B654" s="5" t="s">
        <v>78</v>
      </c>
      <c r="C654" s="5" t="s">
        <v>58</v>
      </c>
      <c r="D654" s="2" t="n">
        <v>16</v>
      </c>
      <c r="E654" s="5" t="s">
        <v>163</v>
      </c>
      <c r="F654" s="5" t="s">
        <v>165</v>
      </c>
      <c r="G654" s="2" t="n">
        <v>1</v>
      </c>
      <c r="H654" s="7" t="n">
        <v>0.933531171</v>
      </c>
      <c r="I654" s="7" t="n">
        <v>0.3584582325</v>
      </c>
      <c r="J654" s="7" t="n">
        <v>-0.005219993772</v>
      </c>
      <c r="K654" s="7" t="n">
        <v>-0.3584158459</v>
      </c>
      <c r="L654" s="7" t="n">
        <v>0.9335312304</v>
      </c>
      <c r="M654" s="7" t="n">
        <v>0.007584409858</v>
      </c>
      <c r="N654" s="7" t="n">
        <v>0.007591721361</v>
      </c>
      <c r="O654" s="7" t="n">
        <v>-0.005209354533</v>
      </c>
      <c r="P654" s="7" t="n">
        <v>0.9999576133</v>
      </c>
      <c r="Q654" s="7" t="n">
        <v>8.403259662</v>
      </c>
      <c r="R654" s="7" t="n">
        <v>1.359543303</v>
      </c>
      <c r="S654" s="7" t="n">
        <v>0.6568743121</v>
      </c>
    </row>
    <row r="655" customFormat="false" ht="15" hidden="false" customHeight="false" outlineLevel="0" collapsed="false">
      <c r="A655" s="5" t="s">
        <v>4</v>
      </c>
      <c r="B655" s="5" t="s">
        <v>78</v>
      </c>
      <c r="C655" s="5" t="s">
        <v>62</v>
      </c>
      <c r="D655" s="2" t="n">
        <v>16</v>
      </c>
      <c r="E655" s="5" t="s">
        <v>163</v>
      </c>
      <c r="F655" s="5" t="s">
        <v>165</v>
      </c>
      <c r="G655" s="2" t="n">
        <v>1</v>
      </c>
      <c r="H655" s="7" t="n">
        <v>0.933531171</v>
      </c>
      <c r="I655" s="7" t="n">
        <v>0.3584582325</v>
      </c>
      <c r="J655" s="7" t="n">
        <v>-0.005219993772</v>
      </c>
      <c r="K655" s="7" t="n">
        <v>-0.3584158459</v>
      </c>
      <c r="L655" s="7" t="n">
        <v>0.9335312304</v>
      </c>
      <c r="M655" s="7" t="n">
        <v>0.007584409858</v>
      </c>
      <c r="N655" s="7" t="n">
        <v>0.007591721361</v>
      </c>
      <c r="O655" s="7" t="n">
        <v>-0.005209354533</v>
      </c>
      <c r="P655" s="7" t="n">
        <v>0.9999576133</v>
      </c>
      <c r="Q655" s="7" t="n">
        <v>8.403259662</v>
      </c>
      <c r="R655" s="7" t="n">
        <v>1.359543303</v>
      </c>
      <c r="S655" s="7" t="n">
        <v>0.6568743121</v>
      </c>
    </row>
    <row r="656" customFormat="false" ht="15" hidden="false" customHeight="false" outlineLevel="0" collapsed="false">
      <c r="A656" s="5" t="s">
        <v>4</v>
      </c>
      <c r="B656" s="5" t="s">
        <v>78</v>
      </c>
      <c r="C656" s="5" t="s">
        <v>58</v>
      </c>
      <c r="D656" s="2" t="n">
        <v>16</v>
      </c>
      <c r="E656" s="5" t="s">
        <v>163</v>
      </c>
      <c r="F656" s="5" t="s">
        <v>166</v>
      </c>
      <c r="G656" s="2" t="n">
        <v>1</v>
      </c>
      <c r="H656" s="7" t="n">
        <v>0.901656038</v>
      </c>
      <c r="I656" s="7" t="n">
        <v>0.4322725804</v>
      </c>
      <c r="J656" s="7" t="n">
        <v>-0.01252219472</v>
      </c>
      <c r="K656" s="7" t="n">
        <v>-0.4322123468</v>
      </c>
      <c r="L656" s="7" t="n">
        <v>0.901742215</v>
      </c>
      <c r="M656" s="7" t="n">
        <v>0.007311973509</v>
      </c>
      <c r="N656" s="7" t="n">
        <v>0.01445255726</v>
      </c>
      <c r="O656" s="7" t="n">
        <v>-0.001180637898</v>
      </c>
      <c r="P656" s="7" t="n">
        <v>0.9998948593</v>
      </c>
      <c r="Q656" s="7" t="n">
        <v>22.85720893</v>
      </c>
      <c r="R656" s="7" t="n">
        <v>6.533483093</v>
      </c>
      <c r="S656" s="7" t="n">
        <v>1.527771688</v>
      </c>
    </row>
    <row r="657" customFormat="false" ht="15" hidden="false" customHeight="false" outlineLevel="0" collapsed="false">
      <c r="A657" s="5" t="s">
        <v>4</v>
      </c>
      <c r="B657" s="5" t="s">
        <v>78</v>
      </c>
      <c r="C657" s="5" t="s">
        <v>62</v>
      </c>
      <c r="D657" s="2" t="n">
        <v>16</v>
      </c>
      <c r="E657" s="5" t="s">
        <v>163</v>
      </c>
      <c r="F657" s="5" t="s">
        <v>166</v>
      </c>
      <c r="G657" s="2" t="n">
        <v>1</v>
      </c>
      <c r="H657" s="7" t="n">
        <v>0.901656038</v>
      </c>
      <c r="I657" s="7" t="n">
        <v>0.4322725804</v>
      </c>
      <c r="J657" s="7" t="n">
        <v>-0.01252219472</v>
      </c>
      <c r="K657" s="7" t="n">
        <v>-0.4322123468</v>
      </c>
      <c r="L657" s="7" t="n">
        <v>0.901742215</v>
      </c>
      <c r="M657" s="7" t="n">
        <v>0.007311973509</v>
      </c>
      <c r="N657" s="7" t="n">
        <v>0.01445255726</v>
      </c>
      <c r="O657" s="7" t="n">
        <v>-0.001180637898</v>
      </c>
      <c r="P657" s="7" t="n">
        <v>0.9998948593</v>
      </c>
      <c r="Q657" s="7" t="n">
        <v>22.85720893</v>
      </c>
      <c r="R657" s="7" t="n">
        <v>6.533483093</v>
      </c>
      <c r="S657" s="7" t="n">
        <v>1.527771688</v>
      </c>
    </row>
    <row r="658" customFormat="false" ht="15" hidden="false" customHeight="false" outlineLevel="0" collapsed="false">
      <c r="A658" s="5" t="s">
        <v>4</v>
      </c>
      <c r="B658" s="5" t="s">
        <v>78</v>
      </c>
      <c r="C658" s="5" t="s">
        <v>58</v>
      </c>
      <c r="D658" s="2" t="n">
        <v>16</v>
      </c>
      <c r="E658" s="5" t="s">
        <v>163</v>
      </c>
      <c r="F658" s="5" t="s">
        <v>167</v>
      </c>
      <c r="G658" s="2" t="n">
        <v>1</v>
      </c>
      <c r="H658" s="7" t="n">
        <v>0.2244765236</v>
      </c>
      <c r="I658" s="7" t="n">
        <v>-0.974479493</v>
      </c>
      <c r="J658" s="7" t="n">
        <v>8.978967513E-005</v>
      </c>
      <c r="K658" s="7" t="n">
        <v>0.9744375013</v>
      </c>
      <c r="L658" s="7" t="n">
        <v>0.2244659932</v>
      </c>
      <c r="M658" s="7" t="n">
        <v>-0.009304517413</v>
      </c>
      <c r="N658" s="7" t="n">
        <v>0.009046906683</v>
      </c>
      <c r="O658" s="7" t="n">
        <v>0.002176140149</v>
      </c>
      <c r="P658" s="7" t="n">
        <v>0.999956708</v>
      </c>
      <c r="Q658" s="7" t="n">
        <v>-16.51303394</v>
      </c>
      <c r="R658" s="7" t="n">
        <v>20.51326858</v>
      </c>
      <c r="S658" s="7" t="n">
        <v>1.084631367</v>
      </c>
    </row>
    <row r="659" customFormat="false" ht="15" hidden="false" customHeight="false" outlineLevel="0" collapsed="false">
      <c r="A659" s="5" t="s">
        <v>4</v>
      </c>
      <c r="B659" s="5" t="s">
        <v>78</v>
      </c>
      <c r="C659" s="5" t="s">
        <v>62</v>
      </c>
      <c r="D659" s="2" t="n">
        <v>16</v>
      </c>
      <c r="E659" s="5" t="s">
        <v>163</v>
      </c>
      <c r="F659" s="5" t="s">
        <v>167</v>
      </c>
      <c r="G659" s="2" t="n">
        <v>1</v>
      </c>
      <c r="H659" s="7" t="n">
        <v>0.2244765236</v>
      </c>
      <c r="I659" s="7" t="n">
        <v>-0.974479493</v>
      </c>
      <c r="J659" s="7" t="n">
        <v>8.978967513E-005</v>
      </c>
      <c r="K659" s="7" t="n">
        <v>0.9744375013</v>
      </c>
      <c r="L659" s="7" t="n">
        <v>0.2244659932</v>
      </c>
      <c r="M659" s="7" t="n">
        <v>-0.009304517413</v>
      </c>
      <c r="N659" s="7" t="n">
        <v>0.009046906683</v>
      </c>
      <c r="O659" s="7" t="n">
        <v>0.002176140149</v>
      </c>
      <c r="P659" s="7" t="n">
        <v>0.999956708</v>
      </c>
      <c r="Q659" s="7" t="n">
        <v>-16.51303394</v>
      </c>
      <c r="R659" s="7" t="n">
        <v>20.51326858</v>
      </c>
      <c r="S659" s="7" t="n">
        <v>1.084631367</v>
      </c>
    </row>
    <row r="660" customFormat="false" ht="15" hidden="false" customHeight="false" outlineLevel="0" collapsed="false">
      <c r="A660" s="5" t="s">
        <v>4</v>
      </c>
      <c r="B660" s="5" t="s">
        <v>78</v>
      </c>
      <c r="C660" s="5" t="s">
        <v>58</v>
      </c>
      <c r="D660" s="2" t="n">
        <v>16</v>
      </c>
      <c r="E660" s="5" t="s">
        <v>163</v>
      </c>
      <c r="F660" s="5" t="s">
        <v>168</v>
      </c>
      <c r="G660" s="2" t="n">
        <v>1</v>
      </c>
      <c r="H660" s="7" t="n">
        <v>0.9881240172</v>
      </c>
      <c r="I660" s="7" t="n">
        <v>0.1495325012</v>
      </c>
      <c r="J660" s="7" t="n">
        <v>-0.03536888029</v>
      </c>
      <c r="K660" s="7" t="n">
        <v>-0.1487411879</v>
      </c>
      <c r="L660" s="7" t="n">
        <v>0.9885836457</v>
      </c>
      <c r="M660" s="7" t="n">
        <v>0.02405066439</v>
      </c>
      <c r="N660" s="7" t="n">
        <v>0.03856145262</v>
      </c>
      <c r="O660" s="7" t="n">
        <v>-0.01850422985</v>
      </c>
      <c r="P660" s="7" t="n">
        <v>0.9990848852</v>
      </c>
      <c r="Q660" s="7" t="n">
        <v>25.08682385</v>
      </c>
      <c r="R660" s="7" t="n">
        <v>19.836069</v>
      </c>
      <c r="S660" s="7" t="n">
        <v>2.387309629</v>
      </c>
    </row>
    <row r="661" customFormat="false" ht="15" hidden="false" customHeight="false" outlineLevel="0" collapsed="false">
      <c r="A661" s="5" t="s">
        <v>4</v>
      </c>
      <c r="B661" s="5" t="s">
        <v>78</v>
      </c>
      <c r="C661" s="5" t="s">
        <v>62</v>
      </c>
      <c r="D661" s="2" t="n">
        <v>16</v>
      </c>
      <c r="E661" s="5" t="s">
        <v>163</v>
      </c>
      <c r="F661" s="5" t="s">
        <v>168</v>
      </c>
      <c r="G661" s="2" t="n">
        <v>1</v>
      </c>
      <c r="H661" s="7" t="n">
        <v>0.9881240172</v>
      </c>
      <c r="I661" s="7" t="n">
        <v>0.1495325012</v>
      </c>
      <c r="J661" s="7" t="n">
        <v>-0.03536888029</v>
      </c>
      <c r="K661" s="7" t="n">
        <v>-0.1487411879</v>
      </c>
      <c r="L661" s="7" t="n">
        <v>0.9885836457</v>
      </c>
      <c r="M661" s="7" t="n">
        <v>0.02405066439</v>
      </c>
      <c r="N661" s="7" t="n">
        <v>0.03856145262</v>
      </c>
      <c r="O661" s="7" t="n">
        <v>-0.01850422985</v>
      </c>
      <c r="P661" s="7" t="n">
        <v>0.9990848852</v>
      </c>
      <c r="Q661" s="7" t="n">
        <v>25.08682385</v>
      </c>
      <c r="R661" s="7" t="n">
        <v>19.836069</v>
      </c>
      <c r="S661" s="7" t="n">
        <v>2.387309629</v>
      </c>
    </row>
    <row r="662" customFormat="false" ht="15" hidden="false" customHeight="false" outlineLevel="0" collapsed="false">
      <c r="A662" s="5" t="s">
        <v>4</v>
      </c>
      <c r="B662" s="5" t="s">
        <v>78</v>
      </c>
      <c r="C662" s="5" t="s">
        <v>58</v>
      </c>
      <c r="D662" s="2" t="n">
        <v>17</v>
      </c>
      <c r="E662" s="5" t="s">
        <v>163</v>
      </c>
      <c r="F662" s="5" t="s">
        <v>164</v>
      </c>
      <c r="G662" s="2" t="n">
        <v>1</v>
      </c>
      <c r="H662" s="7" t="n">
        <v>-0.7195806819</v>
      </c>
      <c r="I662" s="7" t="n">
        <v>-0.6944079024</v>
      </c>
      <c r="J662" s="7" t="n">
        <v>0.001143393791</v>
      </c>
      <c r="K662" s="7" t="n">
        <v>0.6943971317</v>
      </c>
      <c r="L662" s="7" t="n">
        <v>-0.719577133</v>
      </c>
      <c r="M662" s="7" t="n">
        <v>-0.004623119701</v>
      </c>
      <c r="N662" s="7" t="n">
        <v>0.004033090881</v>
      </c>
      <c r="O662" s="7" t="n">
        <v>-0.002532738258</v>
      </c>
      <c r="P662" s="7" t="n">
        <v>0.9999886596</v>
      </c>
      <c r="Q662" s="7" t="n">
        <v>-11.12708666</v>
      </c>
      <c r="R662" s="7" t="n">
        <v>-0.9257979877</v>
      </c>
      <c r="S662" s="7" t="n">
        <v>0.5410260133</v>
      </c>
    </row>
    <row r="663" customFormat="false" ht="15" hidden="false" customHeight="false" outlineLevel="0" collapsed="false">
      <c r="A663" s="5" t="s">
        <v>4</v>
      </c>
      <c r="B663" s="5" t="s">
        <v>78</v>
      </c>
      <c r="C663" s="5" t="s">
        <v>62</v>
      </c>
      <c r="D663" s="2" t="n">
        <v>17</v>
      </c>
      <c r="E663" s="5" t="s">
        <v>163</v>
      </c>
      <c r="F663" s="5" t="s">
        <v>164</v>
      </c>
      <c r="G663" s="2" t="n">
        <v>1</v>
      </c>
      <c r="H663" s="7" t="n">
        <v>-0.7195806819</v>
      </c>
      <c r="I663" s="7" t="n">
        <v>-0.6944079024</v>
      </c>
      <c r="J663" s="7" t="n">
        <v>0.001143393791</v>
      </c>
      <c r="K663" s="7" t="n">
        <v>0.6943971317</v>
      </c>
      <c r="L663" s="7" t="n">
        <v>-0.719577133</v>
      </c>
      <c r="M663" s="7" t="n">
        <v>-0.004623119701</v>
      </c>
      <c r="N663" s="7" t="n">
        <v>0.004033090881</v>
      </c>
      <c r="O663" s="7" t="n">
        <v>-0.002532738258</v>
      </c>
      <c r="P663" s="7" t="n">
        <v>0.9999886596</v>
      </c>
      <c r="Q663" s="7" t="n">
        <v>-11.12708666</v>
      </c>
      <c r="R663" s="7" t="n">
        <v>-0.9257979877</v>
      </c>
      <c r="S663" s="7" t="n">
        <v>0.5410260133</v>
      </c>
    </row>
    <row r="664" customFormat="false" ht="15" hidden="false" customHeight="false" outlineLevel="0" collapsed="false">
      <c r="A664" s="5" t="s">
        <v>4</v>
      </c>
      <c r="B664" s="5" t="s">
        <v>78</v>
      </c>
      <c r="C664" s="5" t="s">
        <v>58</v>
      </c>
      <c r="D664" s="2" t="n">
        <v>17</v>
      </c>
      <c r="E664" s="5" t="s">
        <v>163</v>
      </c>
      <c r="F664" s="5" t="s">
        <v>165</v>
      </c>
      <c r="G664" s="2" t="n">
        <v>1</v>
      </c>
      <c r="H664" s="7" t="n">
        <v>0.9335272998</v>
      </c>
      <c r="I664" s="7" t="n">
        <v>0.3584588672</v>
      </c>
      <c r="J664" s="7" t="n">
        <v>-0.005832753789</v>
      </c>
      <c r="K664" s="7" t="n">
        <v>-0.3584236591</v>
      </c>
      <c r="L664" s="7" t="n">
        <v>0.9335378811</v>
      </c>
      <c r="M664" s="7" t="n">
        <v>0.006285314243</v>
      </c>
      <c r="N664" s="7" t="n">
        <v>0.007698123236</v>
      </c>
      <c r="O664" s="7" t="n">
        <v>-0.003776915478</v>
      </c>
      <c r="P664" s="7" t="n">
        <v>0.9999632362</v>
      </c>
      <c r="Q664" s="7" t="n">
        <v>8.408590032</v>
      </c>
      <c r="R664" s="7" t="n">
        <v>1.361417919</v>
      </c>
      <c r="S664" s="7" t="n">
        <v>0.6476057695</v>
      </c>
    </row>
    <row r="665" customFormat="false" ht="15" hidden="false" customHeight="false" outlineLevel="0" collapsed="false">
      <c r="A665" s="5" t="s">
        <v>4</v>
      </c>
      <c r="B665" s="5" t="s">
        <v>78</v>
      </c>
      <c r="C665" s="5" t="s">
        <v>62</v>
      </c>
      <c r="D665" s="2" t="n">
        <v>17</v>
      </c>
      <c r="E665" s="5" t="s">
        <v>163</v>
      </c>
      <c r="F665" s="5" t="s">
        <v>165</v>
      </c>
      <c r="G665" s="2" t="n">
        <v>1</v>
      </c>
      <c r="H665" s="7" t="n">
        <v>0.9335272998</v>
      </c>
      <c r="I665" s="7" t="n">
        <v>0.3584588672</v>
      </c>
      <c r="J665" s="7" t="n">
        <v>-0.005832753789</v>
      </c>
      <c r="K665" s="7" t="n">
        <v>-0.3584236591</v>
      </c>
      <c r="L665" s="7" t="n">
        <v>0.9335378811</v>
      </c>
      <c r="M665" s="7" t="n">
        <v>0.006285314243</v>
      </c>
      <c r="N665" s="7" t="n">
        <v>0.007698123236</v>
      </c>
      <c r="O665" s="7" t="n">
        <v>-0.003776915478</v>
      </c>
      <c r="P665" s="7" t="n">
        <v>0.9999632362</v>
      </c>
      <c r="Q665" s="7" t="n">
        <v>8.408590032</v>
      </c>
      <c r="R665" s="7" t="n">
        <v>1.361417919</v>
      </c>
      <c r="S665" s="7" t="n">
        <v>0.6476057695</v>
      </c>
    </row>
    <row r="666" customFormat="false" ht="15" hidden="false" customHeight="false" outlineLevel="0" collapsed="false">
      <c r="A666" s="5" t="s">
        <v>4</v>
      </c>
      <c r="B666" s="5" t="s">
        <v>78</v>
      </c>
      <c r="C666" s="5" t="s">
        <v>58</v>
      </c>
      <c r="D666" s="2" t="n">
        <v>17</v>
      </c>
      <c r="E666" s="5" t="s">
        <v>163</v>
      </c>
      <c r="F666" s="5" t="s">
        <v>166</v>
      </c>
      <c r="G666" s="2" t="n">
        <v>1</v>
      </c>
      <c r="H666" s="7" t="n">
        <v>0.8995566613</v>
      </c>
      <c r="I666" s="7" t="n">
        <v>0.436802721</v>
      </c>
      <c r="J666" s="7" t="n">
        <v>-0.001093600788</v>
      </c>
      <c r="K666" s="7" t="n">
        <v>-0.4368040728</v>
      </c>
      <c r="L666" s="7" t="n">
        <v>0.8995545102</v>
      </c>
      <c r="M666" s="7" t="n">
        <v>-0.001971081146</v>
      </c>
      <c r="N666" s="7" t="n">
        <v>0.0001227799137</v>
      </c>
      <c r="O666" s="7" t="n">
        <v>0.002250788453</v>
      </c>
      <c r="P666" s="7" t="n">
        <v>0.9999974594</v>
      </c>
      <c r="Q666" s="7" t="n">
        <v>22.90238266</v>
      </c>
      <c r="R666" s="7" t="n">
        <v>6.452026419</v>
      </c>
      <c r="S666" s="7" t="n">
        <v>1.412490388</v>
      </c>
    </row>
    <row r="667" customFormat="false" ht="15" hidden="false" customHeight="false" outlineLevel="0" collapsed="false">
      <c r="A667" s="5" t="s">
        <v>4</v>
      </c>
      <c r="B667" s="5" t="s">
        <v>78</v>
      </c>
      <c r="C667" s="5" t="s">
        <v>62</v>
      </c>
      <c r="D667" s="2" t="n">
        <v>17</v>
      </c>
      <c r="E667" s="5" t="s">
        <v>163</v>
      </c>
      <c r="F667" s="5" t="s">
        <v>166</v>
      </c>
      <c r="G667" s="2" t="n">
        <v>1</v>
      </c>
      <c r="H667" s="7" t="n">
        <v>0.8995566613</v>
      </c>
      <c r="I667" s="7" t="n">
        <v>0.436802721</v>
      </c>
      <c r="J667" s="7" t="n">
        <v>-0.001093600788</v>
      </c>
      <c r="K667" s="7" t="n">
        <v>-0.4368040728</v>
      </c>
      <c r="L667" s="7" t="n">
        <v>0.8995545102</v>
      </c>
      <c r="M667" s="7" t="n">
        <v>-0.001971081146</v>
      </c>
      <c r="N667" s="7" t="n">
        <v>0.0001227799137</v>
      </c>
      <c r="O667" s="7" t="n">
        <v>0.002250788453</v>
      </c>
      <c r="P667" s="7" t="n">
        <v>0.9999974594</v>
      </c>
      <c r="Q667" s="7" t="n">
        <v>22.90238266</v>
      </c>
      <c r="R667" s="7" t="n">
        <v>6.452026419</v>
      </c>
      <c r="S667" s="7" t="n">
        <v>1.412490388</v>
      </c>
    </row>
    <row r="668" customFormat="false" ht="15" hidden="false" customHeight="false" outlineLevel="0" collapsed="false">
      <c r="A668" s="5" t="s">
        <v>4</v>
      </c>
      <c r="B668" s="5" t="s">
        <v>78</v>
      </c>
      <c r="C668" s="5" t="s">
        <v>58</v>
      </c>
      <c r="D668" s="2" t="n">
        <v>17</v>
      </c>
      <c r="E668" s="5" t="s">
        <v>163</v>
      </c>
      <c r="F668" s="5" t="s">
        <v>167</v>
      </c>
      <c r="G668" s="2" t="n">
        <v>1</v>
      </c>
      <c r="H668" s="7" t="n">
        <v>0.2316376536</v>
      </c>
      <c r="I668" s="7" t="n">
        <v>-0.9727973411</v>
      </c>
      <c r="J668" s="7" t="n">
        <v>-0.003054606178</v>
      </c>
      <c r="K668" s="7" t="n">
        <v>0.9728020274</v>
      </c>
      <c r="L668" s="7" t="n">
        <v>0.231637975</v>
      </c>
      <c r="M668" s="7" t="n">
        <v>0.000253040563</v>
      </c>
      <c r="N668" s="7" t="n">
        <v>0.0004614056025</v>
      </c>
      <c r="O668" s="7" t="n">
        <v>-0.003030140805</v>
      </c>
      <c r="P668" s="7" t="n">
        <v>0.9999953027</v>
      </c>
      <c r="Q668" s="7" t="n">
        <v>-16.46207225</v>
      </c>
      <c r="R668" s="7" t="n">
        <v>20.61272705</v>
      </c>
      <c r="S668" s="7" t="n">
        <v>0.9255715283</v>
      </c>
    </row>
    <row r="669" customFormat="false" ht="15" hidden="false" customHeight="false" outlineLevel="0" collapsed="false">
      <c r="A669" s="5" t="s">
        <v>4</v>
      </c>
      <c r="B669" s="5" t="s">
        <v>78</v>
      </c>
      <c r="C669" s="5" t="s">
        <v>62</v>
      </c>
      <c r="D669" s="2" t="n">
        <v>17</v>
      </c>
      <c r="E669" s="5" t="s">
        <v>163</v>
      </c>
      <c r="F669" s="5" t="s">
        <v>167</v>
      </c>
      <c r="G669" s="2" t="n">
        <v>1</v>
      </c>
      <c r="H669" s="7" t="n">
        <v>0.2316376536</v>
      </c>
      <c r="I669" s="7" t="n">
        <v>-0.9727973411</v>
      </c>
      <c r="J669" s="7" t="n">
        <v>-0.003054606178</v>
      </c>
      <c r="K669" s="7" t="n">
        <v>0.9728020274</v>
      </c>
      <c r="L669" s="7" t="n">
        <v>0.231637975</v>
      </c>
      <c r="M669" s="7" t="n">
        <v>0.000253040563</v>
      </c>
      <c r="N669" s="7" t="n">
        <v>0.0004614056025</v>
      </c>
      <c r="O669" s="7" t="n">
        <v>-0.003030140805</v>
      </c>
      <c r="P669" s="7" t="n">
        <v>0.9999953027</v>
      </c>
      <c r="Q669" s="7" t="n">
        <v>-16.46207225</v>
      </c>
      <c r="R669" s="7" t="n">
        <v>20.61272705</v>
      </c>
      <c r="S669" s="7" t="n">
        <v>0.9255715283</v>
      </c>
    </row>
    <row r="670" customFormat="false" ht="15" hidden="false" customHeight="false" outlineLevel="0" collapsed="false">
      <c r="A670" s="5" t="s">
        <v>4</v>
      </c>
      <c r="B670" s="5" t="s">
        <v>78</v>
      </c>
      <c r="C670" s="5" t="s">
        <v>58</v>
      </c>
      <c r="D670" s="2" t="n">
        <v>17</v>
      </c>
      <c r="E670" s="5" t="s">
        <v>163</v>
      </c>
      <c r="F670" s="5" t="s">
        <v>168</v>
      </c>
      <c r="G670" s="2" t="n">
        <v>1</v>
      </c>
      <c r="H670" s="7" t="n">
        <v>0.9889169013</v>
      </c>
      <c r="I670" s="7" t="n">
        <v>0.1479832455</v>
      </c>
      <c r="J670" s="7" t="n">
        <v>-0.01201338175</v>
      </c>
      <c r="K670" s="7" t="n">
        <v>-0.147994137</v>
      </c>
      <c r="L670" s="7" t="n">
        <v>0.9889882381</v>
      </c>
      <c r="M670" s="7" t="n">
        <v>-1.782532268E-005</v>
      </c>
      <c r="N670" s="7" t="n">
        <v>0.0118784554</v>
      </c>
      <c r="O670" s="7" t="n">
        <v>0.001795537827</v>
      </c>
      <c r="P670" s="7" t="n">
        <v>0.9999278366</v>
      </c>
      <c r="Q670" s="7" t="n">
        <v>25.17976182</v>
      </c>
      <c r="R670" s="7" t="n">
        <v>19.80637659</v>
      </c>
      <c r="S670" s="7" t="n">
        <v>2.203007113</v>
      </c>
    </row>
    <row r="671" customFormat="false" ht="15" hidden="false" customHeight="false" outlineLevel="0" collapsed="false">
      <c r="A671" s="5" t="s">
        <v>4</v>
      </c>
      <c r="B671" s="5" t="s">
        <v>78</v>
      </c>
      <c r="C671" s="5" t="s">
        <v>62</v>
      </c>
      <c r="D671" s="2" t="n">
        <v>17</v>
      </c>
      <c r="E671" s="5" t="s">
        <v>163</v>
      </c>
      <c r="F671" s="5" t="s">
        <v>168</v>
      </c>
      <c r="G671" s="2" t="n">
        <v>1</v>
      </c>
      <c r="H671" s="7" t="n">
        <v>0.9889169013</v>
      </c>
      <c r="I671" s="7" t="n">
        <v>0.1479832455</v>
      </c>
      <c r="J671" s="7" t="n">
        <v>-0.01201338175</v>
      </c>
      <c r="K671" s="7" t="n">
        <v>-0.147994137</v>
      </c>
      <c r="L671" s="7" t="n">
        <v>0.9889882381</v>
      </c>
      <c r="M671" s="7" t="n">
        <v>-1.782532268E-005</v>
      </c>
      <c r="N671" s="7" t="n">
        <v>0.0118784554</v>
      </c>
      <c r="O671" s="7" t="n">
        <v>0.001795537827</v>
      </c>
      <c r="P671" s="7" t="n">
        <v>0.9999278366</v>
      </c>
      <c r="Q671" s="7" t="n">
        <v>25.17976182</v>
      </c>
      <c r="R671" s="7" t="n">
        <v>19.80637659</v>
      </c>
      <c r="S671" s="7" t="n">
        <v>2.203007113</v>
      </c>
    </row>
    <row r="672" customFormat="false" ht="15" hidden="false" customHeight="false" outlineLevel="0" collapsed="false">
      <c r="A672" s="5" t="s">
        <v>4</v>
      </c>
      <c r="B672" s="5" t="s">
        <v>78</v>
      </c>
      <c r="C672" s="5" t="s">
        <v>58</v>
      </c>
      <c r="D672" s="2" t="n">
        <v>18</v>
      </c>
      <c r="E672" s="5" t="s">
        <v>163</v>
      </c>
      <c r="F672" s="5" t="s">
        <v>164</v>
      </c>
      <c r="G672" s="2" t="n">
        <v>1</v>
      </c>
      <c r="H672" s="7" t="n">
        <v>-0.7197953099</v>
      </c>
      <c r="I672" s="7" t="n">
        <v>-0.6941706574</v>
      </c>
      <c r="J672" s="7" t="n">
        <v>0.004670145613</v>
      </c>
      <c r="K672" s="7" t="n">
        <v>0.6941515768</v>
      </c>
      <c r="L672" s="7" t="n">
        <v>-0.7198103008</v>
      </c>
      <c r="M672" s="7" t="n">
        <v>-0.005169069645</v>
      </c>
      <c r="N672" s="7" t="n">
        <v>0.006949835392</v>
      </c>
      <c r="O672" s="7" t="n">
        <v>-0.0004788831463</v>
      </c>
      <c r="P672" s="7" t="n">
        <v>0.9999757349</v>
      </c>
      <c r="Q672" s="7" t="n">
        <v>-11.07027078</v>
      </c>
      <c r="R672" s="7" t="n">
        <v>-0.9017753617</v>
      </c>
      <c r="S672" s="7" t="n">
        <v>0.5768484325</v>
      </c>
    </row>
    <row r="673" customFormat="false" ht="15" hidden="false" customHeight="false" outlineLevel="0" collapsed="false">
      <c r="A673" s="5" t="s">
        <v>4</v>
      </c>
      <c r="B673" s="5" t="s">
        <v>78</v>
      </c>
      <c r="C673" s="5" t="s">
        <v>62</v>
      </c>
      <c r="D673" s="2" t="n">
        <v>18</v>
      </c>
      <c r="E673" s="5" t="s">
        <v>163</v>
      </c>
      <c r="F673" s="5" t="s">
        <v>164</v>
      </c>
      <c r="G673" s="2" t="n">
        <v>1</v>
      </c>
      <c r="H673" s="7" t="n">
        <v>-0.7197953099</v>
      </c>
      <c r="I673" s="7" t="n">
        <v>-0.6941706574</v>
      </c>
      <c r="J673" s="7" t="n">
        <v>0.004670145613</v>
      </c>
      <c r="K673" s="7" t="n">
        <v>0.6941515768</v>
      </c>
      <c r="L673" s="7" t="n">
        <v>-0.7198103008</v>
      </c>
      <c r="M673" s="7" t="n">
        <v>-0.005169069645</v>
      </c>
      <c r="N673" s="7" t="n">
        <v>0.006949835392</v>
      </c>
      <c r="O673" s="7" t="n">
        <v>-0.0004788831463</v>
      </c>
      <c r="P673" s="7" t="n">
        <v>0.9999757349</v>
      </c>
      <c r="Q673" s="7" t="n">
        <v>-11.07027078</v>
      </c>
      <c r="R673" s="7" t="n">
        <v>-0.9017753617</v>
      </c>
      <c r="S673" s="7" t="n">
        <v>0.5768484325</v>
      </c>
    </row>
    <row r="674" customFormat="false" ht="15" hidden="false" customHeight="false" outlineLevel="0" collapsed="false">
      <c r="A674" s="5" t="s">
        <v>4</v>
      </c>
      <c r="B674" s="5" t="s">
        <v>78</v>
      </c>
      <c r="C674" s="5" t="s">
        <v>58</v>
      </c>
      <c r="D674" s="2" t="n">
        <v>18</v>
      </c>
      <c r="E674" s="5" t="s">
        <v>163</v>
      </c>
      <c r="F674" s="5" t="s">
        <v>165</v>
      </c>
      <c r="G674" s="2" t="n">
        <v>1</v>
      </c>
      <c r="H674" s="7" t="n">
        <v>0.9334483352</v>
      </c>
      <c r="I674" s="7" t="n">
        <v>0.3585674826</v>
      </c>
      <c r="J674" s="7" t="n">
        <v>-0.0101767355</v>
      </c>
      <c r="K674" s="7" t="n">
        <v>-0.3584334335</v>
      </c>
      <c r="L674" s="7" t="n">
        <v>0.9334659384</v>
      </c>
      <c r="M674" s="7" t="n">
        <v>0.01291571286</v>
      </c>
      <c r="N674" s="7" t="n">
        <v>0.0141307906</v>
      </c>
      <c r="O674" s="7" t="n">
        <v>-0.00840846842</v>
      </c>
      <c r="P674" s="7" t="n">
        <v>0.9998648001</v>
      </c>
      <c r="Q674" s="7" t="n">
        <v>8.389953241</v>
      </c>
      <c r="R674" s="7" t="n">
        <v>1.375951897</v>
      </c>
      <c r="S674" s="7" t="n">
        <v>0.7279330102</v>
      </c>
    </row>
    <row r="675" customFormat="false" ht="15" hidden="false" customHeight="false" outlineLevel="0" collapsed="false">
      <c r="A675" s="5" t="s">
        <v>4</v>
      </c>
      <c r="B675" s="5" t="s">
        <v>78</v>
      </c>
      <c r="C675" s="5" t="s">
        <v>62</v>
      </c>
      <c r="D675" s="2" t="n">
        <v>18</v>
      </c>
      <c r="E675" s="5" t="s">
        <v>163</v>
      </c>
      <c r="F675" s="5" t="s">
        <v>165</v>
      </c>
      <c r="G675" s="2" t="n">
        <v>1</v>
      </c>
      <c r="H675" s="7" t="n">
        <v>0.9334483352</v>
      </c>
      <c r="I675" s="7" t="n">
        <v>0.3585674826</v>
      </c>
      <c r="J675" s="7" t="n">
        <v>-0.0101767355</v>
      </c>
      <c r="K675" s="7" t="n">
        <v>-0.3584334335</v>
      </c>
      <c r="L675" s="7" t="n">
        <v>0.9334659384</v>
      </c>
      <c r="M675" s="7" t="n">
        <v>0.01291571286</v>
      </c>
      <c r="N675" s="7" t="n">
        <v>0.0141307906</v>
      </c>
      <c r="O675" s="7" t="n">
        <v>-0.00840846842</v>
      </c>
      <c r="P675" s="7" t="n">
        <v>0.9998648001</v>
      </c>
      <c r="Q675" s="7" t="n">
        <v>8.389953241</v>
      </c>
      <c r="R675" s="7" t="n">
        <v>1.375951897</v>
      </c>
      <c r="S675" s="7" t="n">
        <v>0.7279330102</v>
      </c>
    </row>
    <row r="676" customFormat="false" ht="15" hidden="false" customHeight="false" outlineLevel="0" collapsed="false">
      <c r="A676" s="5" t="s">
        <v>4</v>
      </c>
      <c r="B676" s="5" t="s">
        <v>78</v>
      </c>
      <c r="C676" s="5" t="s">
        <v>58</v>
      </c>
      <c r="D676" s="2" t="n">
        <v>18</v>
      </c>
      <c r="E676" s="5" t="s">
        <v>163</v>
      </c>
      <c r="F676" s="5" t="s">
        <v>166</v>
      </c>
      <c r="G676" s="2" t="n">
        <v>1</v>
      </c>
      <c r="H676" s="7" t="n">
        <v>0.9022472565</v>
      </c>
      <c r="I676" s="7" t="n">
        <v>0.4309094541</v>
      </c>
      <c r="J676" s="7" t="n">
        <v>-0.01633800529</v>
      </c>
      <c r="K676" s="7" t="n">
        <v>-0.4310655494</v>
      </c>
      <c r="L676" s="7" t="n">
        <v>0.9022893651</v>
      </c>
      <c r="M676" s="7" t="n">
        <v>-0.007509576805</v>
      </c>
      <c r="N676" s="7" t="n">
        <v>0.01150566078</v>
      </c>
      <c r="O676" s="7" t="n">
        <v>0.0138182463</v>
      </c>
      <c r="P676" s="7" t="n">
        <v>0.9998383249</v>
      </c>
      <c r="Q676" s="7" t="n">
        <v>22.84392547</v>
      </c>
      <c r="R676" s="7" t="n">
        <v>6.519494121</v>
      </c>
      <c r="S676" s="7" t="n">
        <v>1.62096767</v>
      </c>
    </row>
    <row r="677" customFormat="false" ht="15" hidden="false" customHeight="false" outlineLevel="0" collapsed="false">
      <c r="A677" s="5" t="s">
        <v>4</v>
      </c>
      <c r="B677" s="5" t="s">
        <v>78</v>
      </c>
      <c r="C677" s="5" t="s">
        <v>62</v>
      </c>
      <c r="D677" s="2" t="n">
        <v>18</v>
      </c>
      <c r="E677" s="5" t="s">
        <v>163</v>
      </c>
      <c r="F677" s="5" t="s">
        <v>166</v>
      </c>
      <c r="G677" s="2" t="n">
        <v>1</v>
      </c>
      <c r="H677" s="7" t="n">
        <v>0.9022472565</v>
      </c>
      <c r="I677" s="7" t="n">
        <v>0.4309094541</v>
      </c>
      <c r="J677" s="7" t="n">
        <v>-0.01633800529</v>
      </c>
      <c r="K677" s="7" t="n">
        <v>-0.4310655494</v>
      </c>
      <c r="L677" s="7" t="n">
        <v>0.9022893651</v>
      </c>
      <c r="M677" s="7" t="n">
        <v>-0.007509576805</v>
      </c>
      <c r="N677" s="7" t="n">
        <v>0.01150566078</v>
      </c>
      <c r="O677" s="7" t="n">
        <v>0.0138182463</v>
      </c>
      <c r="P677" s="7" t="n">
        <v>0.9998383249</v>
      </c>
      <c r="Q677" s="7" t="n">
        <v>22.84392547</v>
      </c>
      <c r="R677" s="7" t="n">
        <v>6.519494121</v>
      </c>
      <c r="S677" s="7" t="n">
        <v>1.62096767</v>
      </c>
    </row>
    <row r="678" customFormat="false" ht="15" hidden="false" customHeight="false" outlineLevel="0" collapsed="false">
      <c r="A678" s="5" t="s">
        <v>4</v>
      </c>
      <c r="B678" s="5" t="s">
        <v>78</v>
      </c>
      <c r="C678" s="5" t="s">
        <v>58</v>
      </c>
      <c r="D678" s="2" t="n">
        <v>18</v>
      </c>
      <c r="E678" s="5" t="s">
        <v>163</v>
      </c>
      <c r="F678" s="5" t="s">
        <v>167</v>
      </c>
      <c r="G678" s="2" t="n">
        <v>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customFormat="false" ht="15" hidden="false" customHeight="false" outlineLevel="0" collapsed="false">
      <c r="A679" s="5" t="s">
        <v>4</v>
      </c>
      <c r="B679" s="5" t="s">
        <v>78</v>
      </c>
      <c r="C679" s="5" t="s">
        <v>62</v>
      </c>
      <c r="D679" s="2" t="n">
        <v>18</v>
      </c>
      <c r="E679" s="5" t="s">
        <v>163</v>
      </c>
      <c r="F679" s="5" t="s">
        <v>167</v>
      </c>
      <c r="G679" s="2" t="n">
        <v>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customFormat="false" ht="15" hidden="false" customHeight="false" outlineLevel="0" collapsed="false">
      <c r="A680" s="5" t="s">
        <v>4</v>
      </c>
      <c r="B680" s="5" t="s">
        <v>78</v>
      </c>
      <c r="C680" s="5" t="s">
        <v>58</v>
      </c>
      <c r="D680" s="2" t="n">
        <v>18</v>
      </c>
      <c r="E680" s="5" t="s">
        <v>163</v>
      </c>
      <c r="F680" s="5" t="s">
        <v>168</v>
      </c>
      <c r="G680" s="2" t="n">
        <v>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customFormat="false" ht="15" hidden="false" customHeight="false" outlineLevel="0" collapsed="false">
      <c r="A681" s="5" t="s">
        <v>4</v>
      </c>
      <c r="B681" s="5" t="s">
        <v>78</v>
      </c>
      <c r="C681" s="5" t="s">
        <v>62</v>
      </c>
      <c r="D681" s="2" t="n">
        <v>18</v>
      </c>
      <c r="E681" s="5" t="s">
        <v>163</v>
      </c>
      <c r="F681" s="5" t="s">
        <v>168</v>
      </c>
      <c r="G681" s="2" t="n">
        <v>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customFormat="false" ht="15" hidden="false" customHeight="false" outlineLevel="0" collapsed="false">
      <c r="A682" s="5" t="s">
        <v>4</v>
      </c>
      <c r="B682" s="5" t="s">
        <v>78</v>
      </c>
      <c r="C682" s="5" t="s">
        <v>58</v>
      </c>
      <c r="D682" s="2" t="n">
        <v>19</v>
      </c>
      <c r="E682" s="5" t="s">
        <v>163</v>
      </c>
      <c r="F682" s="5" t="s">
        <v>164</v>
      </c>
      <c r="G682" s="2" t="n">
        <v>1</v>
      </c>
      <c r="H682" s="7" t="n">
        <v>-0.7182868164</v>
      </c>
      <c r="I682" s="7" t="n">
        <v>-0.6957161056</v>
      </c>
      <c r="J682" s="7" t="n">
        <v>0.006568852887</v>
      </c>
      <c r="K682" s="7" t="n">
        <v>0.6955853735</v>
      </c>
      <c r="L682" s="7" t="n">
        <v>-0.7182913967</v>
      </c>
      <c r="M682" s="7" t="n">
        <v>-0.01478031497</v>
      </c>
      <c r="N682" s="7" t="n">
        <v>0.01500125368</v>
      </c>
      <c r="O682" s="7" t="n">
        <v>-0.006047307397</v>
      </c>
      <c r="P682" s="7" t="n">
        <v>0.9998691877</v>
      </c>
      <c r="Q682" s="7" t="n">
        <v>-11.10193243</v>
      </c>
      <c r="R682" s="7" t="n">
        <v>-0.8980659154</v>
      </c>
      <c r="S682" s="7" t="n">
        <v>0.6465352137</v>
      </c>
    </row>
    <row r="683" customFormat="false" ht="15" hidden="false" customHeight="false" outlineLevel="0" collapsed="false">
      <c r="A683" s="5" t="s">
        <v>4</v>
      </c>
      <c r="B683" s="5" t="s">
        <v>78</v>
      </c>
      <c r="C683" s="5" t="s">
        <v>62</v>
      </c>
      <c r="D683" s="2" t="n">
        <v>19</v>
      </c>
      <c r="E683" s="5" t="s">
        <v>163</v>
      </c>
      <c r="F683" s="5" t="s">
        <v>164</v>
      </c>
      <c r="G683" s="2" t="n">
        <v>1</v>
      </c>
      <c r="H683" s="7" t="n">
        <v>-0.7182868164</v>
      </c>
      <c r="I683" s="7" t="n">
        <v>-0.6957161056</v>
      </c>
      <c r="J683" s="7" t="n">
        <v>0.006568852887</v>
      </c>
      <c r="K683" s="7" t="n">
        <v>0.6955853735</v>
      </c>
      <c r="L683" s="7" t="n">
        <v>-0.7182913967</v>
      </c>
      <c r="M683" s="7" t="n">
        <v>-0.01478031497</v>
      </c>
      <c r="N683" s="7" t="n">
        <v>0.01500125368</v>
      </c>
      <c r="O683" s="7" t="n">
        <v>-0.006047307397</v>
      </c>
      <c r="P683" s="7" t="n">
        <v>0.9998691877</v>
      </c>
      <c r="Q683" s="7" t="n">
        <v>-11.10193243</v>
      </c>
      <c r="R683" s="7" t="n">
        <v>-0.8980659154</v>
      </c>
      <c r="S683" s="7" t="n">
        <v>0.6465352137</v>
      </c>
    </row>
    <row r="684" customFormat="false" ht="15" hidden="false" customHeight="false" outlineLevel="0" collapsed="false">
      <c r="A684" s="5" t="s">
        <v>4</v>
      </c>
      <c r="B684" s="5" t="s">
        <v>78</v>
      </c>
      <c r="C684" s="5" t="s">
        <v>58</v>
      </c>
      <c r="D684" s="2" t="n">
        <v>19</v>
      </c>
      <c r="E684" s="5" t="s">
        <v>163</v>
      </c>
      <c r="F684" s="5" t="s">
        <v>165</v>
      </c>
      <c r="G684" s="2" t="n">
        <v>1</v>
      </c>
      <c r="H684" s="7" t="n">
        <v>0.9338977626</v>
      </c>
      <c r="I684" s="7" t="n">
        <v>0.3572114466</v>
      </c>
      <c r="J684" s="7" t="n">
        <v>-0.01532812782</v>
      </c>
      <c r="K684" s="7" t="n">
        <v>-0.3572306819</v>
      </c>
      <c r="L684" s="7" t="n">
        <v>0.9340148895</v>
      </c>
      <c r="M684" s="7" t="n">
        <v>0.001557613286</v>
      </c>
      <c r="N684" s="7" t="n">
        <v>0.01487309691</v>
      </c>
      <c r="O684" s="7" t="n">
        <v>0.004021025992</v>
      </c>
      <c r="P684" s="7" t="n">
        <v>0.9998813041</v>
      </c>
      <c r="Q684" s="7" t="n">
        <v>8.355690833</v>
      </c>
      <c r="R684" s="7" t="n">
        <v>1.400951632</v>
      </c>
      <c r="S684" s="7" t="n">
        <v>0.7971116276</v>
      </c>
    </row>
    <row r="685" customFormat="false" ht="15" hidden="false" customHeight="false" outlineLevel="0" collapsed="false">
      <c r="A685" s="5" t="s">
        <v>4</v>
      </c>
      <c r="B685" s="5" t="s">
        <v>78</v>
      </c>
      <c r="C685" s="5" t="s">
        <v>62</v>
      </c>
      <c r="D685" s="2" t="n">
        <v>19</v>
      </c>
      <c r="E685" s="5" t="s">
        <v>163</v>
      </c>
      <c r="F685" s="5" t="s">
        <v>165</v>
      </c>
      <c r="G685" s="2" t="n">
        <v>1</v>
      </c>
      <c r="H685" s="7" t="n">
        <v>0.9337874098</v>
      </c>
      <c r="I685" s="7" t="n">
        <v>0.3577949532</v>
      </c>
      <c r="J685" s="7" t="n">
        <v>-0.004883116369</v>
      </c>
      <c r="K685" s="7" t="n">
        <v>-0.3577773601</v>
      </c>
      <c r="L685" s="7" t="n">
        <v>0.9337978036</v>
      </c>
      <c r="M685" s="7" t="n">
        <v>0.004125852458</v>
      </c>
      <c r="N685" s="7" t="n">
        <v>0.006036052527</v>
      </c>
      <c r="O685" s="7" t="n">
        <v>-0.002105600596</v>
      </c>
      <c r="P685" s="7" t="n">
        <v>0.999979566</v>
      </c>
      <c r="Q685" s="7" t="n">
        <v>8.39356857</v>
      </c>
      <c r="R685" s="7" t="n">
        <v>1.398098044</v>
      </c>
      <c r="S685" s="7" t="n">
        <v>0.6611887112</v>
      </c>
    </row>
    <row r="686" customFormat="false" ht="15" hidden="false" customHeight="false" outlineLevel="0" collapsed="false">
      <c r="A686" s="5" t="s">
        <v>4</v>
      </c>
      <c r="B686" s="5" t="s">
        <v>78</v>
      </c>
      <c r="C686" s="5" t="s">
        <v>58</v>
      </c>
      <c r="D686" s="2" t="n">
        <v>19</v>
      </c>
      <c r="E686" s="5" t="s">
        <v>163</v>
      </c>
      <c r="F686" s="5" t="s">
        <v>166</v>
      </c>
      <c r="G686" s="2" t="n">
        <v>1</v>
      </c>
      <c r="H686" s="7" t="n">
        <v>0.9013788038</v>
      </c>
      <c r="I686" s="7" t="n">
        <v>0.4328896332</v>
      </c>
      <c r="J686" s="7" t="n">
        <v>-0.01108230439</v>
      </c>
      <c r="K686" s="7" t="n">
        <v>-0.4329522204</v>
      </c>
      <c r="L686" s="7" t="n">
        <v>0.9014082604</v>
      </c>
      <c r="M686" s="7" t="n">
        <v>-0.003939912407</v>
      </c>
      <c r="N686" s="7" t="n">
        <v>0.008284133487</v>
      </c>
      <c r="O686" s="7" t="n">
        <v>0.008349461826</v>
      </c>
      <c r="P686" s="7" t="n">
        <v>0.9999308274</v>
      </c>
      <c r="Q686" s="7" t="n">
        <v>22.86852172</v>
      </c>
      <c r="R686" s="7" t="n">
        <v>6.513391654</v>
      </c>
      <c r="S686" s="7" t="n">
        <v>1.487983331</v>
      </c>
    </row>
    <row r="687" customFormat="false" ht="15" hidden="false" customHeight="false" outlineLevel="0" collapsed="false">
      <c r="A687" s="5" t="s">
        <v>4</v>
      </c>
      <c r="B687" s="5" t="s">
        <v>78</v>
      </c>
      <c r="C687" s="5" t="s">
        <v>62</v>
      </c>
      <c r="D687" s="2" t="n">
        <v>19</v>
      </c>
      <c r="E687" s="5" t="s">
        <v>163</v>
      </c>
      <c r="F687" s="5" t="s">
        <v>166</v>
      </c>
      <c r="G687" s="2" t="n">
        <v>1</v>
      </c>
      <c r="H687" s="7" t="n">
        <v>0.9013788038</v>
      </c>
      <c r="I687" s="7" t="n">
        <v>0.4328896332</v>
      </c>
      <c r="J687" s="7" t="n">
        <v>-0.01108230439</v>
      </c>
      <c r="K687" s="7" t="n">
        <v>-0.4329522204</v>
      </c>
      <c r="L687" s="7" t="n">
        <v>0.9014082604</v>
      </c>
      <c r="M687" s="7" t="n">
        <v>-0.003939912407</v>
      </c>
      <c r="N687" s="7" t="n">
        <v>0.008284133487</v>
      </c>
      <c r="O687" s="7" t="n">
        <v>0.008349461826</v>
      </c>
      <c r="P687" s="7" t="n">
        <v>0.9999308274</v>
      </c>
      <c r="Q687" s="7" t="n">
        <v>22.86852172</v>
      </c>
      <c r="R687" s="7" t="n">
        <v>6.513391654</v>
      </c>
      <c r="S687" s="7" t="n">
        <v>1.487983331</v>
      </c>
    </row>
    <row r="688" customFormat="false" ht="15" hidden="false" customHeight="false" outlineLevel="0" collapsed="false">
      <c r="A688" s="5" t="s">
        <v>4</v>
      </c>
      <c r="B688" s="5" t="s">
        <v>78</v>
      </c>
      <c r="C688" s="5" t="s">
        <v>58</v>
      </c>
      <c r="D688" s="2" t="n">
        <v>19</v>
      </c>
      <c r="E688" s="5" t="s">
        <v>163</v>
      </c>
      <c r="F688" s="5" t="s">
        <v>167</v>
      </c>
      <c r="G688" s="2" t="n">
        <v>1</v>
      </c>
      <c r="H688" s="7" t="n">
        <v>0.2248783593</v>
      </c>
      <c r="I688" s="7" t="n">
        <v>-0.9743811577</v>
      </c>
      <c r="J688" s="7" t="n">
        <v>0.003329123122</v>
      </c>
      <c r="K688" s="7" t="n">
        <v>0.9742293886</v>
      </c>
      <c r="L688" s="7" t="n">
        <v>0.2247792876</v>
      </c>
      <c r="M688" s="7" t="n">
        <v>-0.01874487104</v>
      </c>
      <c r="N688" s="7" t="n">
        <v>0.01751633122</v>
      </c>
      <c r="O688" s="7" t="n">
        <v>0.007458645428</v>
      </c>
      <c r="P688" s="7" t="n">
        <v>0.9998187569</v>
      </c>
      <c r="Q688" s="7" t="n">
        <v>-16.54285541</v>
      </c>
      <c r="R688" s="7" t="n">
        <v>20.46433575</v>
      </c>
      <c r="S688" s="7" t="n">
        <v>1.164648059</v>
      </c>
    </row>
    <row r="689" customFormat="false" ht="15" hidden="false" customHeight="false" outlineLevel="0" collapsed="false">
      <c r="A689" s="5" t="s">
        <v>4</v>
      </c>
      <c r="B689" s="5" t="s">
        <v>78</v>
      </c>
      <c r="C689" s="5" t="s">
        <v>62</v>
      </c>
      <c r="D689" s="2" t="n">
        <v>19</v>
      </c>
      <c r="E689" s="5" t="s">
        <v>163</v>
      </c>
      <c r="F689" s="5" t="s">
        <v>167</v>
      </c>
      <c r="G689" s="2" t="n">
        <v>1</v>
      </c>
      <c r="H689" s="7" t="n">
        <v>0.225210918</v>
      </c>
      <c r="I689" s="7" t="n">
        <v>-0.9743088715</v>
      </c>
      <c r="J689" s="7" t="n">
        <v>0.00150508815</v>
      </c>
      <c r="K689" s="7" t="n">
        <v>0.9742399517</v>
      </c>
      <c r="L689" s="7" t="n">
        <v>0.2251759219</v>
      </c>
      <c r="M689" s="7" t="n">
        <v>-0.01234183049</v>
      </c>
      <c r="N689" s="7" t="n">
        <v>0.01168584532</v>
      </c>
      <c r="O689" s="7" t="n">
        <v>0.004245831981</v>
      </c>
      <c r="P689" s="7" t="n">
        <v>0.999922704</v>
      </c>
      <c r="Q689" s="7" t="n">
        <v>-16.54326952</v>
      </c>
      <c r="R689" s="7" t="n">
        <v>20.49412715</v>
      </c>
      <c r="S689" s="7" t="n">
        <v>1.119447309</v>
      </c>
    </row>
    <row r="690" customFormat="false" ht="15" hidden="false" customHeight="false" outlineLevel="0" collapsed="false">
      <c r="A690" s="5" t="s">
        <v>4</v>
      </c>
      <c r="B690" s="5" t="s">
        <v>78</v>
      </c>
      <c r="C690" s="5" t="s">
        <v>58</v>
      </c>
      <c r="D690" s="2" t="n">
        <v>19</v>
      </c>
      <c r="E690" s="5" t="s">
        <v>163</v>
      </c>
      <c r="F690" s="5" t="s">
        <v>168</v>
      </c>
      <c r="G690" s="2" t="n">
        <v>1</v>
      </c>
      <c r="H690" s="7" t="n">
        <v>0.988879077</v>
      </c>
      <c r="I690" s="7" t="n">
        <v>0.1473075033</v>
      </c>
      <c r="J690" s="7" t="n">
        <v>-0.02046144092</v>
      </c>
      <c r="K690" s="7" t="n">
        <v>-0.147300531</v>
      </c>
      <c r="L690" s="7" t="n">
        <v>0.9890900413</v>
      </c>
      <c r="M690" s="7" t="n">
        <v>0.001855752545</v>
      </c>
      <c r="N690" s="7" t="n">
        <v>0.02051157371</v>
      </c>
      <c r="O690" s="7" t="n">
        <v>0.001178866249</v>
      </c>
      <c r="P690" s="7" t="n">
        <v>0.9997889205</v>
      </c>
      <c r="Q690" s="7" t="n">
        <v>25.11094125</v>
      </c>
      <c r="R690" s="7" t="n">
        <v>19.81399246</v>
      </c>
      <c r="S690" s="7" t="n">
        <v>2.246351231</v>
      </c>
    </row>
    <row r="691" customFormat="false" ht="15" hidden="false" customHeight="false" outlineLevel="0" collapsed="false">
      <c r="A691" s="5" t="s">
        <v>4</v>
      </c>
      <c r="B691" s="5" t="s">
        <v>78</v>
      </c>
      <c r="C691" s="5" t="s">
        <v>62</v>
      </c>
      <c r="D691" s="2" t="n">
        <v>19</v>
      </c>
      <c r="E691" s="5" t="s">
        <v>163</v>
      </c>
      <c r="F691" s="5" t="s">
        <v>168</v>
      </c>
      <c r="G691" s="2" t="n">
        <v>1</v>
      </c>
      <c r="H691" s="7" t="n">
        <v>0.9889975216</v>
      </c>
      <c r="I691" s="7" t="n">
        <v>0.1472915672</v>
      </c>
      <c r="J691" s="7" t="n">
        <v>-0.01375123726</v>
      </c>
      <c r="K691" s="7" t="n">
        <v>-0.1472999755</v>
      </c>
      <c r="L691" s="7" t="n">
        <v>0.989091782</v>
      </c>
      <c r="M691" s="7" t="n">
        <v>0.0004049119917</v>
      </c>
      <c r="N691" s="7" t="n">
        <v>0.01366087588</v>
      </c>
      <c r="O691" s="7" t="n">
        <v>0.001625099954</v>
      </c>
      <c r="P691" s="7" t="n">
        <v>0.9999053653</v>
      </c>
      <c r="Q691" s="7" t="n">
        <v>25.13105688</v>
      </c>
      <c r="R691" s="7" t="n">
        <v>19.81424055</v>
      </c>
      <c r="S691" s="7" t="n">
        <v>2.22452328</v>
      </c>
    </row>
    <row r="692" customFormat="false" ht="15" hidden="false" customHeight="false" outlineLevel="0" collapsed="false">
      <c r="A692" s="5" t="s">
        <v>4</v>
      </c>
      <c r="B692" s="5" t="s">
        <v>78</v>
      </c>
      <c r="C692" s="5" t="s">
        <v>58</v>
      </c>
      <c r="D692" s="2" t="n">
        <v>20</v>
      </c>
      <c r="E692" s="5" t="s">
        <v>163</v>
      </c>
      <c r="F692" s="5" t="s">
        <v>164</v>
      </c>
      <c r="G692" s="2" t="n">
        <v>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customFormat="false" ht="15" hidden="false" customHeight="false" outlineLevel="0" collapsed="false">
      <c r="A693" s="5" t="s">
        <v>4</v>
      </c>
      <c r="B693" s="5" t="s">
        <v>78</v>
      </c>
      <c r="C693" s="5" t="s">
        <v>62</v>
      </c>
      <c r="D693" s="2" t="n">
        <v>20</v>
      </c>
      <c r="E693" s="5" t="s">
        <v>163</v>
      </c>
      <c r="F693" s="5" t="s">
        <v>164</v>
      </c>
      <c r="G693" s="2" t="n">
        <v>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customFormat="false" ht="15" hidden="false" customHeight="false" outlineLevel="0" collapsed="false">
      <c r="A694" s="5" t="s">
        <v>4</v>
      </c>
      <c r="B694" s="5" t="s">
        <v>78</v>
      </c>
      <c r="C694" s="5" t="s">
        <v>58</v>
      </c>
      <c r="D694" s="2" t="n">
        <v>20</v>
      </c>
      <c r="E694" s="5" t="s">
        <v>163</v>
      </c>
      <c r="F694" s="5" t="s">
        <v>165</v>
      </c>
      <c r="G694" s="2" t="n">
        <v>1</v>
      </c>
      <c r="H694" s="7" t="n">
        <v>0.9339865322</v>
      </c>
      <c r="I694" s="7" t="n">
        <v>0.3572301318</v>
      </c>
      <c r="J694" s="7" t="n">
        <v>-0.007469316588</v>
      </c>
      <c r="K694" s="7" t="n">
        <v>-0.3572205715</v>
      </c>
      <c r="L694" s="7" t="n">
        <v>0.934016373</v>
      </c>
      <c r="M694" s="7" t="n">
        <v>0.002622629169</v>
      </c>
      <c r="N694" s="7" t="n">
        <v>0.007913346152</v>
      </c>
      <c r="O694" s="7" t="n">
        <v>0.0002186932173</v>
      </c>
      <c r="P694" s="7" t="n">
        <v>0.9999686651</v>
      </c>
      <c r="Q694" s="7" t="n">
        <v>8.400805431</v>
      </c>
      <c r="R694" s="7" t="n">
        <v>1.366497139</v>
      </c>
      <c r="S694" s="7" t="n">
        <v>0.6921323513</v>
      </c>
    </row>
    <row r="695" customFormat="false" ht="15" hidden="false" customHeight="false" outlineLevel="0" collapsed="false">
      <c r="A695" s="5" t="s">
        <v>4</v>
      </c>
      <c r="B695" s="5" t="s">
        <v>78</v>
      </c>
      <c r="C695" s="5" t="s">
        <v>62</v>
      </c>
      <c r="D695" s="2" t="n">
        <v>20</v>
      </c>
      <c r="E695" s="5" t="s">
        <v>163</v>
      </c>
      <c r="F695" s="5" t="s">
        <v>165</v>
      </c>
      <c r="G695" s="2" t="n">
        <v>1</v>
      </c>
      <c r="H695" s="7" t="n">
        <v>0.9339865322</v>
      </c>
      <c r="I695" s="7" t="n">
        <v>0.3572301318</v>
      </c>
      <c r="J695" s="7" t="n">
        <v>-0.007469316588</v>
      </c>
      <c r="K695" s="7" t="n">
        <v>-0.3572205715</v>
      </c>
      <c r="L695" s="7" t="n">
        <v>0.934016373</v>
      </c>
      <c r="M695" s="7" t="n">
        <v>0.002622629169</v>
      </c>
      <c r="N695" s="7" t="n">
        <v>0.007913346152</v>
      </c>
      <c r="O695" s="7" t="n">
        <v>0.0002186932173</v>
      </c>
      <c r="P695" s="7" t="n">
        <v>0.9999686651</v>
      </c>
      <c r="Q695" s="7" t="n">
        <v>8.400805431</v>
      </c>
      <c r="R695" s="7" t="n">
        <v>1.366497139</v>
      </c>
      <c r="S695" s="7" t="n">
        <v>0.6921323513</v>
      </c>
    </row>
    <row r="696" customFormat="false" ht="15" hidden="false" customHeight="false" outlineLevel="0" collapsed="false">
      <c r="A696" s="5" t="s">
        <v>4</v>
      </c>
      <c r="B696" s="5" t="s">
        <v>78</v>
      </c>
      <c r="C696" s="5" t="s">
        <v>58</v>
      </c>
      <c r="D696" s="2" t="n">
        <v>20</v>
      </c>
      <c r="E696" s="5" t="s">
        <v>163</v>
      </c>
      <c r="F696" s="5" t="s">
        <v>166</v>
      </c>
      <c r="G696" s="2" t="n">
        <v>1</v>
      </c>
      <c r="H696" s="7" t="n">
        <v>0.9025434662</v>
      </c>
      <c r="I696" s="7" t="n">
        <v>0.4304887534</v>
      </c>
      <c r="J696" s="7" t="n">
        <v>-0.009732667776</v>
      </c>
      <c r="K696" s="7" t="n">
        <v>-0.4304912101</v>
      </c>
      <c r="L696" s="7" t="n">
        <v>0.9025926666</v>
      </c>
      <c r="M696" s="7" t="n">
        <v>0.001948375601</v>
      </c>
      <c r="N696" s="7" t="n">
        <v>0.009623388345</v>
      </c>
      <c r="O696" s="7" t="n">
        <v>0.00243133426</v>
      </c>
      <c r="P696" s="7" t="n">
        <v>0.9999507383</v>
      </c>
      <c r="Q696" s="7" t="n">
        <v>22.87666238</v>
      </c>
      <c r="R696" s="7" t="n">
        <v>6.554770185</v>
      </c>
      <c r="S696" s="7" t="n">
        <v>1.527651531</v>
      </c>
    </row>
    <row r="697" customFormat="false" ht="15" hidden="false" customHeight="false" outlineLevel="0" collapsed="false">
      <c r="A697" s="5" t="s">
        <v>4</v>
      </c>
      <c r="B697" s="5" t="s">
        <v>78</v>
      </c>
      <c r="C697" s="5" t="s">
        <v>62</v>
      </c>
      <c r="D697" s="2" t="n">
        <v>20</v>
      </c>
      <c r="E697" s="5" t="s">
        <v>163</v>
      </c>
      <c r="F697" s="5" t="s">
        <v>166</v>
      </c>
      <c r="G697" s="2" t="n">
        <v>1</v>
      </c>
      <c r="H697" s="7" t="n">
        <v>0.9025434662</v>
      </c>
      <c r="I697" s="7" t="n">
        <v>0.4304887534</v>
      </c>
      <c r="J697" s="7" t="n">
        <v>-0.009732667776</v>
      </c>
      <c r="K697" s="7" t="n">
        <v>-0.4304912101</v>
      </c>
      <c r="L697" s="7" t="n">
        <v>0.9025926666</v>
      </c>
      <c r="M697" s="7" t="n">
        <v>0.001948375601</v>
      </c>
      <c r="N697" s="7" t="n">
        <v>0.009623388345</v>
      </c>
      <c r="O697" s="7" t="n">
        <v>0.00243133426</v>
      </c>
      <c r="P697" s="7" t="n">
        <v>0.9999507383</v>
      </c>
      <c r="Q697" s="7" t="n">
        <v>22.87666238</v>
      </c>
      <c r="R697" s="7" t="n">
        <v>6.554770185</v>
      </c>
      <c r="S697" s="7" t="n">
        <v>1.527651531</v>
      </c>
    </row>
    <row r="698" customFormat="false" ht="15" hidden="false" customHeight="false" outlineLevel="0" collapsed="false">
      <c r="A698" s="5" t="s">
        <v>4</v>
      </c>
      <c r="B698" s="5" t="s">
        <v>78</v>
      </c>
      <c r="C698" s="5" t="s">
        <v>58</v>
      </c>
      <c r="D698" s="2" t="n">
        <v>20</v>
      </c>
      <c r="E698" s="5" t="s">
        <v>163</v>
      </c>
      <c r="F698" s="5" t="s">
        <v>167</v>
      </c>
      <c r="G698" s="2" t="n">
        <v>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customFormat="false" ht="15" hidden="false" customHeight="false" outlineLevel="0" collapsed="false">
      <c r="A699" s="5" t="s">
        <v>4</v>
      </c>
      <c r="B699" s="5" t="s">
        <v>78</v>
      </c>
      <c r="C699" s="5" t="s">
        <v>62</v>
      </c>
      <c r="D699" s="2" t="n">
        <v>20</v>
      </c>
      <c r="E699" s="5" t="s">
        <v>163</v>
      </c>
      <c r="F699" s="5" t="s">
        <v>167</v>
      </c>
      <c r="G699" s="2" t="n">
        <v>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customFormat="false" ht="15" hidden="false" customHeight="false" outlineLevel="0" collapsed="false">
      <c r="A700" s="5" t="s">
        <v>4</v>
      </c>
      <c r="B700" s="5" t="s">
        <v>78</v>
      </c>
      <c r="C700" s="5" t="s">
        <v>58</v>
      </c>
      <c r="D700" s="2" t="n">
        <v>20</v>
      </c>
      <c r="E700" s="5" t="s">
        <v>163</v>
      </c>
      <c r="F700" s="5" t="s">
        <v>168</v>
      </c>
      <c r="G700" s="2" t="n">
        <v>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customFormat="false" ht="15" hidden="false" customHeight="false" outlineLevel="0" collapsed="false">
      <c r="A701" s="5" t="s">
        <v>4</v>
      </c>
      <c r="B701" s="5" t="s">
        <v>78</v>
      </c>
      <c r="C701" s="5" t="s">
        <v>62</v>
      </c>
      <c r="D701" s="2" t="n">
        <v>20</v>
      </c>
      <c r="E701" s="5" t="s">
        <v>163</v>
      </c>
      <c r="F701" s="5" t="s">
        <v>168</v>
      </c>
      <c r="G701" s="2" t="n">
        <v>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customFormat="false" ht="15" hidden="false" customHeight="false" outlineLevel="0" collapsed="false">
      <c r="A702" s="5" t="s">
        <v>4</v>
      </c>
      <c r="B702" s="5" t="s">
        <v>78</v>
      </c>
      <c r="C702" s="5" t="s">
        <v>58</v>
      </c>
      <c r="D702" s="2" t="n">
        <v>11</v>
      </c>
      <c r="E702" s="5" t="s">
        <v>164</v>
      </c>
      <c r="F702" s="5" t="s">
        <v>165</v>
      </c>
      <c r="G702" s="2" t="n">
        <v>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customFormat="false" ht="15" hidden="false" customHeight="false" outlineLevel="0" collapsed="false">
      <c r="A703" s="5" t="s">
        <v>4</v>
      </c>
      <c r="B703" s="5" t="s">
        <v>78</v>
      </c>
      <c r="C703" s="5" t="s">
        <v>62</v>
      </c>
      <c r="D703" s="2" t="n">
        <v>11</v>
      </c>
      <c r="E703" s="5" t="s">
        <v>164</v>
      </c>
      <c r="F703" s="5" t="s">
        <v>165</v>
      </c>
      <c r="G703" s="2" t="n">
        <v>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customFormat="false" ht="15" hidden="false" customHeight="false" outlineLevel="0" collapsed="false">
      <c r="A704" s="5" t="s">
        <v>4</v>
      </c>
      <c r="B704" s="5" t="s">
        <v>78</v>
      </c>
      <c r="C704" s="5" t="s">
        <v>58</v>
      </c>
      <c r="D704" s="2" t="n">
        <v>11</v>
      </c>
      <c r="E704" s="5" t="s">
        <v>164</v>
      </c>
      <c r="F704" s="5" t="s">
        <v>166</v>
      </c>
      <c r="G704" s="2" t="n">
        <v>1</v>
      </c>
      <c r="H704" s="7" t="n">
        <v>-0.9474352098</v>
      </c>
      <c r="I704" s="7" t="n">
        <v>0.3196813793</v>
      </c>
      <c r="J704" s="7" t="n">
        <v>-0.01305139953</v>
      </c>
      <c r="K704" s="7" t="n">
        <v>-0.3194719474</v>
      </c>
      <c r="L704" s="7" t="n">
        <v>-0.9474627157</v>
      </c>
      <c r="M704" s="7" t="n">
        <v>-0.01587693715</v>
      </c>
      <c r="N704" s="7" t="n">
        <v>-0.01744127561</v>
      </c>
      <c r="O704" s="7" t="n">
        <v>-0.01087281325</v>
      </c>
      <c r="P704" s="7" t="n">
        <v>0.9997887696</v>
      </c>
      <c r="Q704" s="7" t="n">
        <v>12.58603984</v>
      </c>
      <c r="R704" s="7" t="n">
        <v>2.197168958</v>
      </c>
      <c r="S704" s="7" t="n">
        <v>0.9156979958</v>
      </c>
    </row>
    <row r="705" customFormat="false" ht="15" hidden="false" customHeight="false" outlineLevel="0" collapsed="false">
      <c r="A705" s="5" t="s">
        <v>4</v>
      </c>
      <c r="B705" s="5" t="s">
        <v>78</v>
      </c>
      <c r="C705" s="5" t="s">
        <v>62</v>
      </c>
      <c r="D705" s="2" t="n">
        <v>11</v>
      </c>
      <c r="E705" s="5" t="s">
        <v>164</v>
      </c>
      <c r="F705" s="5" t="s">
        <v>166</v>
      </c>
      <c r="G705" s="2" t="n">
        <v>1</v>
      </c>
      <c r="H705" s="7" t="n">
        <v>-0.9474352098</v>
      </c>
      <c r="I705" s="7" t="n">
        <v>0.3196813793</v>
      </c>
      <c r="J705" s="7" t="n">
        <v>-0.01305139953</v>
      </c>
      <c r="K705" s="7" t="n">
        <v>-0.3194719474</v>
      </c>
      <c r="L705" s="7" t="n">
        <v>-0.9474627157</v>
      </c>
      <c r="M705" s="7" t="n">
        <v>-0.01587693715</v>
      </c>
      <c r="N705" s="7" t="n">
        <v>-0.01744127561</v>
      </c>
      <c r="O705" s="7" t="n">
        <v>-0.01087281325</v>
      </c>
      <c r="P705" s="7" t="n">
        <v>0.9997887696</v>
      </c>
      <c r="Q705" s="7" t="n">
        <v>12.58603984</v>
      </c>
      <c r="R705" s="7" t="n">
        <v>2.197168958</v>
      </c>
      <c r="S705" s="7" t="n">
        <v>0.9156979958</v>
      </c>
    </row>
    <row r="706" customFormat="false" ht="15" hidden="false" customHeight="false" outlineLevel="0" collapsed="false">
      <c r="A706" s="5" t="s">
        <v>4</v>
      </c>
      <c r="B706" s="5" t="s">
        <v>78</v>
      </c>
      <c r="C706" s="5" t="s">
        <v>58</v>
      </c>
      <c r="D706" s="2" t="n">
        <v>11</v>
      </c>
      <c r="E706" s="5" t="s">
        <v>164</v>
      </c>
      <c r="F706" s="5" t="s">
        <v>167</v>
      </c>
      <c r="G706" s="2" t="n">
        <v>1</v>
      </c>
      <c r="H706" s="7" t="n">
        <v>0.5151564219</v>
      </c>
      <c r="I706" s="7" t="n">
        <v>0.8570854253</v>
      </c>
      <c r="J706" s="7" t="n">
        <v>0.004293558548</v>
      </c>
      <c r="K706" s="7" t="n">
        <v>-0.8570777357</v>
      </c>
      <c r="L706" s="7" t="n">
        <v>0.5151717359</v>
      </c>
      <c r="M706" s="7" t="n">
        <v>-0.003979636881</v>
      </c>
      <c r="N706" s="7" t="n">
        <v>-0.005622808779</v>
      </c>
      <c r="O706" s="7" t="n">
        <v>-0.001629777942</v>
      </c>
      <c r="P706" s="7" t="n">
        <v>0.9999828638</v>
      </c>
      <c r="Q706" s="7" t="n">
        <v>-10.05020999</v>
      </c>
      <c r="R706" s="7" t="n">
        <v>11.45351396</v>
      </c>
      <c r="S706" s="7" t="n">
        <v>0.4714811755</v>
      </c>
    </row>
    <row r="707" customFormat="false" ht="15" hidden="false" customHeight="false" outlineLevel="0" collapsed="false">
      <c r="A707" s="5" t="s">
        <v>4</v>
      </c>
      <c r="B707" s="5" t="s">
        <v>78</v>
      </c>
      <c r="C707" s="5" t="s">
        <v>62</v>
      </c>
      <c r="D707" s="2" t="n">
        <v>11</v>
      </c>
      <c r="E707" s="5" t="s">
        <v>164</v>
      </c>
      <c r="F707" s="5" t="s">
        <v>167</v>
      </c>
      <c r="G707" s="2" t="n">
        <v>1</v>
      </c>
      <c r="H707" s="7" t="n">
        <v>0.5151564219</v>
      </c>
      <c r="I707" s="7" t="n">
        <v>0.8570854253</v>
      </c>
      <c r="J707" s="7" t="n">
        <v>0.004293558548</v>
      </c>
      <c r="K707" s="7" t="n">
        <v>-0.8570777357</v>
      </c>
      <c r="L707" s="7" t="n">
        <v>0.5151717359</v>
      </c>
      <c r="M707" s="7" t="n">
        <v>-0.003979636881</v>
      </c>
      <c r="N707" s="7" t="n">
        <v>-0.005622808779</v>
      </c>
      <c r="O707" s="7" t="n">
        <v>-0.001629777942</v>
      </c>
      <c r="P707" s="7" t="n">
        <v>0.9999828638</v>
      </c>
      <c r="Q707" s="7" t="n">
        <v>-10.05020999</v>
      </c>
      <c r="R707" s="7" t="n">
        <v>11.45351396</v>
      </c>
      <c r="S707" s="7" t="n">
        <v>0.4714811755</v>
      </c>
    </row>
    <row r="708" customFormat="false" ht="15" hidden="false" customHeight="false" outlineLevel="0" collapsed="false">
      <c r="A708" s="5" t="s">
        <v>4</v>
      </c>
      <c r="B708" s="5" t="s">
        <v>78</v>
      </c>
      <c r="C708" s="5" t="s">
        <v>58</v>
      </c>
      <c r="D708" s="2" t="n">
        <v>11</v>
      </c>
      <c r="E708" s="5" t="s">
        <v>164</v>
      </c>
      <c r="F708" s="5" t="s">
        <v>168</v>
      </c>
      <c r="G708" s="2" t="n">
        <v>1</v>
      </c>
      <c r="H708" s="7" t="n">
        <v>-0.8143838547</v>
      </c>
      <c r="I708" s="7" t="n">
        <v>0.5784929431</v>
      </c>
      <c r="J708" s="7" t="n">
        <v>0.04609611678</v>
      </c>
      <c r="K708" s="7" t="n">
        <v>-0.578615314</v>
      </c>
      <c r="L708" s="7" t="n">
        <v>-0.815512307</v>
      </c>
      <c r="M708" s="7" t="n">
        <v>0.01199981225</v>
      </c>
      <c r="N708" s="7" t="n">
        <v>0.04453375725</v>
      </c>
      <c r="O708" s="7" t="n">
        <v>-0.01689946573</v>
      </c>
      <c r="P708" s="7" t="n">
        <v>0.9988649321</v>
      </c>
      <c r="Q708" s="7" t="n">
        <v>16.81872943</v>
      </c>
      <c r="R708" s="7" t="n">
        <v>12.6120428</v>
      </c>
      <c r="S708" s="7" t="n">
        <v>0.3191150442</v>
      </c>
    </row>
    <row r="709" customFormat="false" ht="15" hidden="false" customHeight="false" outlineLevel="0" collapsed="false">
      <c r="A709" s="5" t="s">
        <v>4</v>
      </c>
      <c r="B709" s="5" t="s">
        <v>78</v>
      </c>
      <c r="C709" s="5" t="s">
        <v>62</v>
      </c>
      <c r="D709" s="2" t="n">
        <v>11</v>
      </c>
      <c r="E709" s="5" t="s">
        <v>164</v>
      </c>
      <c r="F709" s="5" t="s">
        <v>168</v>
      </c>
      <c r="G709" s="2" t="n">
        <v>1</v>
      </c>
      <c r="H709" s="7" t="n">
        <v>-0.8143838547</v>
      </c>
      <c r="I709" s="7" t="n">
        <v>0.5784929431</v>
      </c>
      <c r="J709" s="7" t="n">
        <v>0.04609611678</v>
      </c>
      <c r="K709" s="7" t="n">
        <v>-0.578615314</v>
      </c>
      <c r="L709" s="7" t="n">
        <v>-0.815512307</v>
      </c>
      <c r="M709" s="7" t="n">
        <v>0.01199981225</v>
      </c>
      <c r="N709" s="7" t="n">
        <v>0.04453375725</v>
      </c>
      <c r="O709" s="7" t="n">
        <v>-0.01689946573</v>
      </c>
      <c r="P709" s="7" t="n">
        <v>0.9988649321</v>
      </c>
      <c r="Q709" s="7" t="n">
        <v>16.81872943</v>
      </c>
      <c r="R709" s="7" t="n">
        <v>12.6120428</v>
      </c>
      <c r="S709" s="7" t="n">
        <v>0.3191150442</v>
      </c>
    </row>
    <row r="710" customFormat="false" ht="15" hidden="false" customHeight="false" outlineLevel="0" collapsed="false">
      <c r="A710" s="5" t="s">
        <v>4</v>
      </c>
      <c r="B710" s="5" t="s">
        <v>78</v>
      </c>
      <c r="C710" s="5" t="s">
        <v>58</v>
      </c>
      <c r="D710" s="2" t="n">
        <v>12</v>
      </c>
      <c r="E710" s="5" t="s">
        <v>164</v>
      </c>
      <c r="F710" s="5" t="s">
        <v>165</v>
      </c>
      <c r="G710" s="2" t="n">
        <v>1</v>
      </c>
      <c r="H710" s="7" t="n">
        <v>-0.9182004963</v>
      </c>
      <c r="I710" s="7" t="n">
        <v>0.394096949</v>
      </c>
      <c r="J710" s="7" t="n">
        <v>-0.0399430017</v>
      </c>
      <c r="K710" s="7" t="n">
        <v>-0.3954717551</v>
      </c>
      <c r="L710" s="7" t="n">
        <v>-0.9177832892</v>
      </c>
      <c r="M710" s="7" t="n">
        <v>0.03572009094</v>
      </c>
      <c r="N710" s="7" t="n">
        <v>-0.02258184062</v>
      </c>
      <c r="O710" s="7" t="n">
        <v>0.04859453421</v>
      </c>
      <c r="P710" s="7" t="n">
        <v>0.9985632838</v>
      </c>
      <c r="Q710" s="7" t="n">
        <v>-1.563284692</v>
      </c>
      <c r="R710" s="7" t="n">
        <v>-3.666434239</v>
      </c>
      <c r="S710" s="7" t="n">
        <v>0.4645128631</v>
      </c>
    </row>
    <row r="711" customFormat="false" ht="15" hidden="false" customHeight="false" outlineLevel="0" collapsed="false">
      <c r="A711" s="5" t="s">
        <v>4</v>
      </c>
      <c r="B711" s="5" t="s">
        <v>78</v>
      </c>
      <c r="C711" s="5" t="s">
        <v>62</v>
      </c>
      <c r="D711" s="2" t="n">
        <v>12</v>
      </c>
      <c r="E711" s="5" t="s">
        <v>164</v>
      </c>
      <c r="F711" s="5" t="s">
        <v>165</v>
      </c>
      <c r="G711" s="2" t="n">
        <v>1</v>
      </c>
      <c r="H711" s="7" t="n">
        <v>-0.9182004963</v>
      </c>
      <c r="I711" s="7" t="n">
        <v>0.394096949</v>
      </c>
      <c r="J711" s="7" t="n">
        <v>-0.0399430017</v>
      </c>
      <c r="K711" s="7" t="n">
        <v>-0.3954717551</v>
      </c>
      <c r="L711" s="7" t="n">
        <v>-0.9177832892</v>
      </c>
      <c r="M711" s="7" t="n">
        <v>0.03572009094</v>
      </c>
      <c r="N711" s="7" t="n">
        <v>-0.02258184062</v>
      </c>
      <c r="O711" s="7" t="n">
        <v>0.04859453421</v>
      </c>
      <c r="P711" s="7" t="n">
        <v>0.9985632838</v>
      </c>
      <c r="Q711" s="7" t="n">
        <v>-1.563284692</v>
      </c>
      <c r="R711" s="7" t="n">
        <v>-3.666434239</v>
      </c>
      <c r="S711" s="7" t="n">
        <v>0.4645128631</v>
      </c>
    </row>
    <row r="712" customFormat="false" ht="15" hidden="false" customHeight="false" outlineLevel="0" collapsed="false">
      <c r="A712" s="5" t="s">
        <v>4</v>
      </c>
      <c r="B712" s="5" t="s">
        <v>78</v>
      </c>
      <c r="C712" s="5" t="s">
        <v>58</v>
      </c>
      <c r="D712" s="2" t="n">
        <v>12</v>
      </c>
      <c r="E712" s="5" t="s">
        <v>164</v>
      </c>
      <c r="F712" s="5" t="s">
        <v>166</v>
      </c>
      <c r="G712" s="2" t="n">
        <v>1</v>
      </c>
      <c r="H712" s="7" t="n">
        <v>-0.948704417</v>
      </c>
      <c r="I712" s="7" t="n">
        <v>0.3158488451</v>
      </c>
      <c r="J712" s="7" t="n">
        <v>-0.01412219123</v>
      </c>
      <c r="K712" s="7" t="n">
        <v>-0.3157885149</v>
      </c>
      <c r="L712" s="7" t="n">
        <v>-0.9488081932</v>
      </c>
      <c r="M712" s="7" t="n">
        <v>-0.006373874156</v>
      </c>
      <c r="N712" s="7" t="n">
        <v>-0.01541243153</v>
      </c>
      <c r="O712" s="7" t="n">
        <v>-0.00158729677</v>
      </c>
      <c r="P712" s="7" t="n">
        <v>0.9998799615</v>
      </c>
      <c r="Q712" s="7" t="n">
        <v>12.61468372</v>
      </c>
      <c r="R712" s="7" t="n">
        <v>2.154454932</v>
      </c>
      <c r="S712" s="7" t="n">
        <v>0.9039993257</v>
      </c>
    </row>
    <row r="713" customFormat="false" ht="15" hidden="false" customHeight="false" outlineLevel="0" collapsed="false">
      <c r="A713" s="5" t="s">
        <v>4</v>
      </c>
      <c r="B713" s="5" t="s">
        <v>78</v>
      </c>
      <c r="C713" s="5" t="s">
        <v>62</v>
      </c>
      <c r="D713" s="2" t="n">
        <v>12</v>
      </c>
      <c r="E713" s="5" t="s">
        <v>164</v>
      </c>
      <c r="F713" s="5" t="s">
        <v>166</v>
      </c>
      <c r="G713" s="2" t="n">
        <v>1</v>
      </c>
      <c r="H713" s="7" t="n">
        <v>-0.948704417</v>
      </c>
      <c r="I713" s="7" t="n">
        <v>0.3158488451</v>
      </c>
      <c r="J713" s="7" t="n">
        <v>-0.01412219123</v>
      </c>
      <c r="K713" s="7" t="n">
        <v>-0.3157885149</v>
      </c>
      <c r="L713" s="7" t="n">
        <v>-0.9488081932</v>
      </c>
      <c r="M713" s="7" t="n">
        <v>-0.006373874156</v>
      </c>
      <c r="N713" s="7" t="n">
        <v>-0.01541243153</v>
      </c>
      <c r="O713" s="7" t="n">
        <v>-0.00158729677</v>
      </c>
      <c r="P713" s="7" t="n">
        <v>0.9998799615</v>
      </c>
      <c r="Q713" s="7" t="n">
        <v>12.61468372</v>
      </c>
      <c r="R713" s="7" t="n">
        <v>2.154454932</v>
      </c>
      <c r="S713" s="7" t="n">
        <v>0.9039993257</v>
      </c>
    </row>
    <row r="714" customFormat="false" ht="15" hidden="false" customHeight="false" outlineLevel="0" collapsed="false">
      <c r="A714" s="5" t="s">
        <v>4</v>
      </c>
      <c r="B714" s="5" t="s">
        <v>78</v>
      </c>
      <c r="C714" s="5" t="s">
        <v>58</v>
      </c>
      <c r="D714" s="2" t="n">
        <v>12</v>
      </c>
      <c r="E714" s="5" t="s">
        <v>164</v>
      </c>
      <c r="F714" s="5" t="s">
        <v>167</v>
      </c>
      <c r="G714" s="2" t="n">
        <v>1</v>
      </c>
      <c r="H714" s="7" t="n">
        <v>0.5149313521</v>
      </c>
      <c r="I714" s="7" t="n">
        <v>0.8572287965</v>
      </c>
      <c r="J714" s="7" t="n">
        <v>0.002119697288</v>
      </c>
      <c r="K714" s="7" t="n">
        <v>-0.8572311818</v>
      </c>
      <c r="L714" s="7" t="n">
        <v>0.514931469</v>
      </c>
      <c r="M714" s="7" t="n">
        <v>0.0005321593068</v>
      </c>
      <c r="N714" s="7" t="n">
        <v>-0.0006353165564</v>
      </c>
      <c r="O714" s="7" t="n">
        <v>-0.002091096123</v>
      </c>
      <c r="P714" s="7" t="n">
        <v>0.9999976118</v>
      </c>
      <c r="Q714" s="7" t="n">
        <v>-10.0587057</v>
      </c>
      <c r="R714" s="7" t="n">
        <v>11.47141287</v>
      </c>
      <c r="S714" s="7" t="n">
        <v>0.4356899473</v>
      </c>
    </row>
    <row r="715" customFormat="false" ht="15" hidden="false" customHeight="false" outlineLevel="0" collapsed="false">
      <c r="A715" s="5" t="s">
        <v>4</v>
      </c>
      <c r="B715" s="5" t="s">
        <v>78</v>
      </c>
      <c r="C715" s="5" t="s">
        <v>62</v>
      </c>
      <c r="D715" s="2" t="n">
        <v>12</v>
      </c>
      <c r="E715" s="5" t="s">
        <v>164</v>
      </c>
      <c r="F715" s="5" t="s">
        <v>167</v>
      </c>
      <c r="G715" s="2" t="n">
        <v>1</v>
      </c>
      <c r="H715" s="7" t="n">
        <v>0.5149313521</v>
      </c>
      <c r="I715" s="7" t="n">
        <v>0.8572287965</v>
      </c>
      <c r="J715" s="7" t="n">
        <v>0.002119697288</v>
      </c>
      <c r="K715" s="7" t="n">
        <v>-0.8572311818</v>
      </c>
      <c r="L715" s="7" t="n">
        <v>0.514931469</v>
      </c>
      <c r="M715" s="7" t="n">
        <v>0.0005321593068</v>
      </c>
      <c r="N715" s="7" t="n">
        <v>-0.0006353165564</v>
      </c>
      <c r="O715" s="7" t="n">
        <v>-0.002091096123</v>
      </c>
      <c r="P715" s="7" t="n">
        <v>0.9999976118</v>
      </c>
      <c r="Q715" s="7" t="n">
        <v>-10.0587057</v>
      </c>
      <c r="R715" s="7" t="n">
        <v>11.47141287</v>
      </c>
      <c r="S715" s="7" t="n">
        <v>0.4356899473</v>
      </c>
    </row>
    <row r="716" customFormat="false" ht="15" hidden="false" customHeight="false" outlineLevel="0" collapsed="false">
      <c r="A716" s="5" t="s">
        <v>4</v>
      </c>
      <c r="B716" s="5" t="s">
        <v>78</v>
      </c>
      <c r="C716" s="5" t="s">
        <v>58</v>
      </c>
      <c r="D716" s="2" t="n">
        <v>12</v>
      </c>
      <c r="E716" s="5" t="s">
        <v>164</v>
      </c>
      <c r="F716" s="5" t="s">
        <v>168</v>
      </c>
      <c r="G716" s="2" t="n">
        <v>1</v>
      </c>
      <c r="H716" s="7" t="n">
        <v>-0.8131768648</v>
      </c>
      <c r="I716" s="7" t="n">
        <v>0.5820117507</v>
      </c>
      <c r="J716" s="7" t="n">
        <v>-0.002389276458</v>
      </c>
      <c r="K716" s="7" t="n">
        <v>-0.5819966716</v>
      </c>
      <c r="L716" s="7" t="n">
        <v>-0.8131761109</v>
      </c>
      <c r="M716" s="7" t="n">
        <v>-0.004948422185</v>
      </c>
      <c r="N716" s="7" t="n">
        <v>-0.004822942397</v>
      </c>
      <c r="O716" s="7" t="n">
        <v>-0.002633391492</v>
      </c>
      <c r="P716" s="7" t="n">
        <v>0.9999849021</v>
      </c>
      <c r="Q716" s="7" t="n">
        <v>16.65077249</v>
      </c>
      <c r="R716" s="7" t="n">
        <v>12.65828954</v>
      </c>
      <c r="S716" s="7" t="n">
        <v>1.536671008</v>
      </c>
    </row>
    <row r="717" customFormat="false" ht="15" hidden="false" customHeight="false" outlineLevel="0" collapsed="false">
      <c r="A717" s="5" t="s">
        <v>4</v>
      </c>
      <c r="B717" s="5" t="s">
        <v>78</v>
      </c>
      <c r="C717" s="5" t="s">
        <v>62</v>
      </c>
      <c r="D717" s="2" t="n">
        <v>12</v>
      </c>
      <c r="E717" s="5" t="s">
        <v>164</v>
      </c>
      <c r="F717" s="5" t="s">
        <v>168</v>
      </c>
      <c r="G717" s="2" t="n">
        <v>1</v>
      </c>
      <c r="H717" s="7" t="n">
        <v>-0.8133661995</v>
      </c>
      <c r="I717" s="7" t="n">
        <v>0.5816846819</v>
      </c>
      <c r="J717" s="7" t="n">
        <v>-0.00885190754</v>
      </c>
      <c r="K717" s="7" t="n">
        <v>-0.5816943611</v>
      </c>
      <c r="L717" s="7" t="n">
        <v>-0.81340566</v>
      </c>
      <c r="M717" s="7" t="n">
        <v>-0.001703682198</v>
      </c>
      <c r="N717" s="7" t="n">
        <v>-0.008191197532</v>
      </c>
      <c r="O717" s="7" t="n">
        <v>0.003763387186</v>
      </c>
      <c r="P717" s="7" t="n">
        <v>0.9999593698</v>
      </c>
      <c r="Q717" s="7" t="n">
        <v>16.64607738</v>
      </c>
      <c r="R717" s="7" t="n">
        <v>12.66643152</v>
      </c>
      <c r="S717" s="7" t="n">
        <v>1.498502842</v>
      </c>
    </row>
    <row r="718" customFormat="false" ht="15" hidden="false" customHeight="false" outlineLevel="0" collapsed="false">
      <c r="A718" s="5" t="s">
        <v>4</v>
      </c>
      <c r="B718" s="5" t="s">
        <v>78</v>
      </c>
      <c r="C718" s="5" t="s">
        <v>58</v>
      </c>
      <c r="D718" s="2" t="n">
        <v>13</v>
      </c>
      <c r="E718" s="5" t="s">
        <v>164</v>
      </c>
      <c r="F718" s="5" t="s">
        <v>165</v>
      </c>
      <c r="G718" s="2" t="n">
        <v>1</v>
      </c>
      <c r="H718" s="7" t="n">
        <v>-0.9180620826</v>
      </c>
      <c r="I718" s="7" t="n">
        <v>0.3940197191</v>
      </c>
      <c r="J718" s="7" t="n">
        <v>-0.04370896305</v>
      </c>
      <c r="K718" s="7" t="n">
        <v>-0.3948379469</v>
      </c>
      <c r="L718" s="7" t="n">
        <v>-0.9186770066</v>
      </c>
      <c r="M718" s="7" t="n">
        <v>0.01164273147</v>
      </c>
      <c r="N718" s="7" t="n">
        <v>-0.03556695355</v>
      </c>
      <c r="O718" s="7" t="n">
        <v>0.02794670753</v>
      </c>
      <c r="P718" s="7" t="n">
        <v>0.9989764629</v>
      </c>
      <c r="Q718" s="7" t="n">
        <v>-1.532582358</v>
      </c>
      <c r="R718" s="7" t="n">
        <v>-3.754970202</v>
      </c>
      <c r="S718" s="7" t="n">
        <v>0.08357230024</v>
      </c>
    </row>
    <row r="719" customFormat="false" ht="15" hidden="false" customHeight="false" outlineLevel="0" collapsed="false">
      <c r="A719" s="5" t="s">
        <v>4</v>
      </c>
      <c r="B719" s="5" t="s">
        <v>78</v>
      </c>
      <c r="C719" s="5" t="s">
        <v>62</v>
      </c>
      <c r="D719" s="2" t="n">
        <v>13</v>
      </c>
      <c r="E719" s="5" t="s">
        <v>164</v>
      </c>
      <c r="F719" s="5" t="s">
        <v>165</v>
      </c>
      <c r="G719" s="2" t="n">
        <v>1</v>
      </c>
      <c r="H719" s="7" t="n">
        <v>-0.9198592695</v>
      </c>
      <c r="I719" s="7" t="n">
        <v>0.3922308004</v>
      </c>
      <c r="J719" s="7" t="n">
        <v>0.003731427363</v>
      </c>
      <c r="K719" s="7" t="n">
        <v>-0.3922372769</v>
      </c>
      <c r="L719" s="7" t="n">
        <v>-0.9198633328</v>
      </c>
      <c r="M719" s="7" t="n">
        <v>-0.001169447779</v>
      </c>
      <c r="N719" s="7" t="n">
        <v>0.002973709772</v>
      </c>
      <c r="O719" s="7" t="n">
        <v>-0.002539332287</v>
      </c>
      <c r="P719" s="7" t="n">
        <v>0.9999923544</v>
      </c>
      <c r="Q719" s="7" t="n">
        <v>-1.449708698</v>
      </c>
      <c r="R719" s="7" t="n">
        <v>-3.778284488</v>
      </c>
      <c r="S719" s="7" t="n">
        <v>0.1367284215</v>
      </c>
    </row>
    <row r="720" customFormat="false" ht="15" hidden="false" customHeight="false" outlineLevel="0" collapsed="false">
      <c r="A720" s="5" t="s">
        <v>4</v>
      </c>
      <c r="B720" s="5" t="s">
        <v>78</v>
      </c>
      <c r="C720" s="5" t="s">
        <v>58</v>
      </c>
      <c r="D720" s="2" t="n">
        <v>13</v>
      </c>
      <c r="E720" s="5" t="s">
        <v>164</v>
      </c>
      <c r="F720" s="5" t="s">
        <v>166</v>
      </c>
      <c r="G720" s="2" t="n">
        <v>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customFormat="false" ht="15" hidden="false" customHeight="false" outlineLevel="0" collapsed="false">
      <c r="A721" s="5" t="s">
        <v>4</v>
      </c>
      <c r="B721" s="5" t="s">
        <v>78</v>
      </c>
      <c r="C721" s="5" t="s">
        <v>62</v>
      </c>
      <c r="D721" s="2" t="n">
        <v>13</v>
      </c>
      <c r="E721" s="5" t="s">
        <v>164</v>
      </c>
      <c r="F721" s="5" t="s">
        <v>166</v>
      </c>
      <c r="G721" s="2" t="n">
        <v>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customFormat="false" ht="15" hidden="false" customHeight="false" outlineLevel="0" collapsed="false">
      <c r="A722" s="5" t="s">
        <v>4</v>
      </c>
      <c r="B722" s="5" t="s">
        <v>78</v>
      </c>
      <c r="C722" s="5" t="s">
        <v>58</v>
      </c>
      <c r="D722" s="2" t="n">
        <v>13</v>
      </c>
      <c r="E722" s="5" t="s">
        <v>164</v>
      </c>
      <c r="F722" s="5" t="s">
        <v>167</v>
      </c>
      <c r="G722" s="2" t="n">
        <v>1</v>
      </c>
      <c r="H722" s="7" t="n">
        <v>0.5151654782</v>
      </c>
      <c r="I722" s="7" t="n">
        <v>0.8570271278</v>
      </c>
      <c r="J722" s="7" t="n">
        <v>0.01044185531</v>
      </c>
      <c r="K722" s="7" t="n">
        <v>-0.8570899911</v>
      </c>
      <c r="L722" s="7" t="n">
        <v>0.5151428619</v>
      </c>
      <c r="M722" s="7" t="n">
        <v>0.004957718492</v>
      </c>
      <c r="N722" s="7" t="n">
        <v>-0.001130147987</v>
      </c>
      <c r="O722" s="7" t="n">
        <v>-0.01150365509</v>
      </c>
      <c r="P722" s="7" t="n">
        <v>0.9999331921</v>
      </c>
      <c r="Q722" s="7" t="n">
        <v>-10.04768916</v>
      </c>
      <c r="R722" s="7" t="n">
        <v>11.45674322</v>
      </c>
      <c r="S722" s="7" t="n">
        <v>0.5387214811</v>
      </c>
    </row>
    <row r="723" customFormat="false" ht="15" hidden="false" customHeight="false" outlineLevel="0" collapsed="false">
      <c r="A723" s="5" t="s">
        <v>4</v>
      </c>
      <c r="B723" s="5" t="s">
        <v>78</v>
      </c>
      <c r="C723" s="5" t="s">
        <v>62</v>
      </c>
      <c r="D723" s="2" t="n">
        <v>13</v>
      </c>
      <c r="E723" s="5" t="s">
        <v>164</v>
      </c>
      <c r="F723" s="5" t="s">
        <v>167</v>
      </c>
      <c r="G723" s="2" t="n">
        <v>1</v>
      </c>
      <c r="H723" s="7" t="n">
        <v>0.5151654782</v>
      </c>
      <c r="I723" s="7" t="n">
        <v>0.8570271278</v>
      </c>
      <c r="J723" s="7" t="n">
        <v>0.01044185531</v>
      </c>
      <c r="K723" s="7" t="n">
        <v>-0.8570899911</v>
      </c>
      <c r="L723" s="7" t="n">
        <v>0.5151428619</v>
      </c>
      <c r="M723" s="7" t="n">
        <v>0.004957718492</v>
      </c>
      <c r="N723" s="7" t="n">
        <v>-0.001130147987</v>
      </c>
      <c r="O723" s="7" t="n">
        <v>-0.01150365509</v>
      </c>
      <c r="P723" s="7" t="n">
        <v>0.9999331921</v>
      </c>
      <c r="Q723" s="7" t="n">
        <v>-10.04768916</v>
      </c>
      <c r="R723" s="7" t="n">
        <v>11.45674322</v>
      </c>
      <c r="S723" s="7" t="n">
        <v>0.5387214811</v>
      </c>
    </row>
    <row r="724" customFormat="false" ht="15" hidden="false" customHeight="false" outlineLevel="0" collapsed="false">
      <c r="A724" s="5" t="s">
        <v>4</v>
      </c>
      <c r="B724" s="5" t="s">
        <v>78</v>
      </c>
      <c r="C724" s="5" t="s">
        <v>58</v>
      </c>
      <c r="D724" s="2" t="n">
        <v>13</v>
      </c>
      <c r="E724" s="5" t="s">
        <v>164</v>
      </c>
      <c r="F724" s="5" t="s">
        <v>168</v>
      </c>
      <c r="G724" s="2" t="n">
        <v>1</v>
      </c>
      <c r="H724" s="7" t="n">
        <v>-0.8122576228</v>
      </c>
      <c r="I724" s="7" t="n">
        <v>0.5832674051</v>
      </c>
      <c r="J724" s="7" t="n">
        <v>-0.006057097476</v>
      </c>
      <c r="K724" s="7" t="n">
        <v>-0.5832643263</v>
      </c>
      <c r="L724" s="7" t="n">
        <v>-0.812278735</v>
      </c>
      <c r="M724" s="7" t="n">
        <v>-0.00244586573</v>
      </c>
      <c r="N724" s="7" t="n">
        <v>-0.006346645234</v>
      </c>
      <c r="O724" s="7" t="n">
        <v>0.001546215796</v>
      </c>
      <c r="P724" s="7" t="n">
        <v>0.9999786644</v>
      </c>
      <c r="Q724" s="7" t="n">
        <v>16.62166907</v>
      </c>
      <c r="R724" s="7" t="n">
        <v>12.6467454</v>
      </c>
      <c r="S724" s="7" t="n">
        <v>1.529686363</v>
      </c>
    </row>
    <row r="725" customFormat="false" ht="15" hidden="false" customHeight="false" outlineLevel="0" collapsed="false">
      <c r="A725" s="5" t="s">
        <v>4</v>
      </c>
      <c r="B725" s="5" t="s">
        <v>78</v>
      </c>
      <c r="C725" s="5" t="s">
        <v>62</v>
      </c>
      <c r="D725" s="2" t="n">
        <v>13</v>
      </c>
      <c r="E725" s="5" t="s">
        <v>164</v>
      </c>
      <c r="F725" s="5" t="s">
        <v>168</v>
      </c>
      <c r="G725" s="2" t="n">
        <v>1</v>
      </c>
      <c r="H725" s="7" t="n">
        <v>-0.8122576228</v>
      </c>
      <c r="I725" s="7" t="n">
        <v>0.5832674051</v>
      </c>
      <c r="J725" s="7" t="n">
        <v>-0.006057097476</v>
      </c>
      <c r="K725" s="7" t="n">
        <v>-0.5832643263</v>
      </c>
      <c r="L725" s="7" t="n">
        <v>-0.812278735</v>
      </c>
      <c r="M725" s="7" t="n">
        <v>-0.00244586573</v>
      </c>
      <c r="N725" s="7" t="n">
        <v>-0.006346645234</v>
      </c>
      <c r="O725" s="7" t="n">
        <v>0.001546215796</v>
      </c>
      <c r="P725" s="7" t="n">
        <v>0.9999786644</v>
      </c>
      <c r="Q725" s="7" t="n">
        <v>16.62166907</v>
      </c>
      <c r="R725" s="7" t="n">
        <v>12.6467454</v>
      </c>
      <c r="S725" s="7" t="n">
        <v>1.529686363</v>
      </c>
    </row>
    <row r="726" customFormat="false" ht="15" hidden="false" customHeight="false" outlineLevel="0" collapsed="false">
      <c r="A726" s="5" t="s">
        <v>4</v>
      </c>
      <c r="B726" s="5" t="s">
        <v>78</v>
      </c>
      <c r="C726" s="5" t="s">
        <v>58</v>
      </c>
      <c r="D726" s="2" t="n">
        <v>14</v>
      </c>
      <c r="E726" s="5" t="s">
        <v>164</v>
      </c>
      <c r="F726" s="5" t="s">
        <v>165</v>
      </c>
      <c r="G726" s="2" t="n">
        <v>1</v>
      </c>
      <c r="H726" s="7" t="n">
        <v>-0.919197925</v>
      </c>
      <c r="I726" s="7" t="n">
        <v>0.3937409493</v>
      </c>
      <c r="J726" s="7" t="n">
        <v>-0.006575677798</v>
      </c>
      <c r="K726" s="7" t="n">
        <v>-0.3937857819</v>
      </c>
      <c r="L726" s="7" t="n">
        <v>-0.9191656875</v>
      </c>
      <c r="M726" s="7" t="n">
        <v>0.008197367507</v>
      </c>
      <c r="N726" s="7" t="n">
        <v>-0.00281649814</v>
      </c>
      <c r="O726" s="7" t="n">
        <v>0.01012441163</v>
      </c>
      <c r="P726" s="7" t="n">
        <v>0.9999447803</v>
      </c>
      <c r="Q726" s="7" t="n">
        <v>-1.476522606</v>
      </c>
      <c r="R726" s="7" t="n">
        <v>-3.748758583</v>
      </c>
      <c r="S726" s="7" t="n">
        <v>0.1504701767</v>
      </c>
    </row>
    <row r="727" customFormat="false" ht="15" hidden="false" customHeight="false" outlineLevel="0" collapsed="false">
      <c r="A727" s="5" t="s">
        <v>4</v>
      </c>
      <c r="B727" s="5" t="s">
        <v>78</v>
      </c>
      <c r="C727" s="5" t="s">
        <v>62</v>
      </c>
      <c r="D727" s="2" t="n">
        <v>14</v>
      </c>
      <c r="E727" s="5" t="s">
        <v>164</v>
      </c>
      <c r="F727" s="5" t="s">
        <v>165</v>
      </c>
      <c r="G727" s="2" t="n">
        <v>1</v>
      </c>
      <c r="H727" s="7" t="n">
        <v>-0.9190291376</v>
      </c>
      <c r="I727" s="7" t="n">
        <v>0.3940959127</v>
      </c>
      <c r="J727" s="7" t="n">
        <v>-0.008593941208</v>
      </c>
      <c r="K727" s="7" t="n">
        <v>-0.3941294556</v>
      </c>
      <c r="L727" s="7" t="n">
        <v>-0.9190513446</v>
      </c>
      <c r="M727" s="7" t="n">
        <v>0.002568700877</v>
      </c>
      <c r="N727" s="7" t="n">
        <v>-0.006885958706</v>
      </c>
      <c r="O727" s="7" t="n">
        <v>0.005747836322</v>
      </c>
      <c r="P727" s="7" t="n">
        <v>0.9999597722</v>
      </c>
      <c r="Q727" s="7" t="n">
        <v>-1.485079887</v>
      </c>
      <c r="R727" s="7" t="n">
        <v>-3.760660599</v>
      </c>
      <c r="S727" s="7" t="n">
        <v>0.2177961366</v>
      </c>
    </row>
    <row r="728" customFormat="false" ht="15" hidden="false" customHeight="false" outlineLevel="0" collapsed="false">
      <c r="A728" s="5" t="s">
        <v>4</v>
      </c>
      <c r="B728" s="5" t="s">
        <v>78</v>
      </c>
      <c r="C728" s="5" t="s">
        <v>58</v>
      </c>
      <c r="D728" s="2" t="n">
        <v>14</v>
      </c>
      <c r="E728" s="5" t="s">
        <v>164</v>
      </c>
      <c r="F728" s="5" t="s">
        <v>166</v>
      </c>
      <c r="G728" s="2" t="n">
        <v>1</v>
      </c>
      <c r="H728" s="7" t="n">
        <v>-0.9478046224</v>
      </c>
      <c r="I728" s="7" t="n">
        <v>0.3187985035</v>
      </c>
      <c r="J728" s="7" t="n">
        <v>-0.005823387388</v>
      </c>
      <c r="K728" s="7" t="n">
        <v>-0.318711898</v>
      </c>
      <c r="L728" s="7" t="n">
        <v>-0.947771824</v>
      </c>
      <c r="M728" s="7" t="n">
        <v>-0.01230023363</v>
      </c>
      <c r="N728" s="7" t="n">
        <v>-0.00944053856</v>
      </c>
      <c r="O728" s="7" t="n">
        <v>-0.009802235443</v>
      </c>
      <c r="P728" s="7" t="n">
        <v>0.9999073919</v>
      </c>
      <c r="Q728" s="7" t="n">
        <v>12.61909567</v>
      </c>
      <c r="R728" s="7" t="n">
        <v>2.152431699</v>
      </c>
      <c r="S728" s="7" t="n">
        <v>0.8336562845</v>
      </c>
    </row>
    <row r="729" customFormat="false" ht="15" hidden="false" customHeight="false" outlineLevel="0" collapsed="false">
      <c r="A729" s="5" t="s">
        <v>4</v>
      </c>
      <c r="B729" s="5" t="s">
        <v>78</v>
      </c>
      <c r="C729" s="5" t="s">
        <v>62</v>
      </c>
      <c r="D729" s="2" t="n">
        <v>14</v>
      </c>
      <c r="E729" s="5" t="s">
        <v>164</v>
      </c>
      <c r="F729" s="5" t="s">
        <v>166</v>
      </c>
      <c r="G729" s="2" t="n">
        <v>1</v>
      </c>
      <c r="H729" s="7" t="n">
        <v>-0.9478046224</v>
      </c>
      <c r="I729" s="7" t="n">
        <v>0.3187985035</v>
      </c>
      <c r="J729" s="7" t="n">
        <v>-0.005823387388</v>
      </c>
      <c r="K729" s="7" t="n">
        <v>-0.318711898</v>
      </c>
      <c r="L729" s="7" t="n">
        <v>-0.947771824</v>
      </c>
      <c r="M729" s="7" t="n">
        <v>-0.01230023363</v>
      </c>
      <c r="N729" s="7" t="n">
        <v>-0.00944053856</v>
      </c>
      <c r="O729" s="7" t="n">
        <v>-0.009802235443</v>
      </c>
      <c r="P729" s="7" t="n">
        <v>0.9999073919</v>
      </c>
      <c r="Q729" s="7" t="n">
        <v>12.61909567</v>
      </c>
      <c r="R729" s="7" t="n">
        <v>2.152431699</v>
      </c>
      <c r="S729" s="7" t="n">
        <v>0.8336562845</v>
      </c>
    </row>
    <row r="730" customFormat="false" ht="15" hidden="false" customHeight="false" outlineLevel="0" collapsed="false">
      <c r="A730" s="5" t="s">
        <v>4</v>
      </c>
      <c r="B730" s="5" t="s">
        <v>78</v>
      </c>
      <c r="C730" s="5" t="s">
        <v>58</v>
      </c>
      <c r="D730" s="2" t="n">
        <v>14</v>
      </c>
      <c r="E730" s="5" t="s">
        <v>164</v>
      </c>
      <c r="F730" s="5" t="s">
        <v>167</v>
      </c>
      <c r="G730" s="2" t="n">
        <v>1</v>
      </c>
      <c r="H730" s="7" t="n">
        <v>0.5203389616</v>
      </c>
      <c r="I730" s="7" t="n">
        <v>0.853704139</v>
      </c>
      <c r="J730" s="7" t="n">
        <v>0.02089517127</v>
      </c>
      <c r="K730" s="7" t="n">
        <v>-0.8536728019</v>
      </c>
      <c r="L730" s="7" t="n">
        <v>0.5206426757</v>
      </c>
      <c r="M730" s="7" t="n">
        <v>-0.01318907238</v>
      </c>
      <c r="N730" s="7" t="n">
        <v>-0.02213848356</v>
      </c>
      <c r="O730" s="7" t="n">
        <v>-0.01097485118</v>
      </c>
      <c r="P730" s="7" t="n">
        <v>0.9996946735</v>
      </c>
      <c r="Q730" s="7" t="n">
        <v>-10.04986396</v>
      </c>
      <c r="R730" s="7" t="n">
        <v>11.38036305</v>
      </c>
      <c r="S730" s="7" t="n">
        <v>0.6795233405</v>
      </c>
    </row>
    <row r="731" customFormat="false" ht="15" hidden="false" customHeight="false" outlineLevel="0" collapsed="false">
      <c r="A731" s="5" t="s">
        <v>4</v>
      </c>
      <c r="B731" s="5" t="s">
        <v>78</v>
      </c>
      <c r="C731" s="5" t="s">
        <v>62</v>
      </c>
      <c r="D731" s="2" t="n">
        <v>14</v>
      </c>
      <c r="E731" s="5" t="s">
        <v>164</v>
      </c>
      <c r="F731" s="5" t="s">
        <v>167</v>
      </c>
      <c r="G731" s="2" t="n">
        <v>1</v>
      </c>
      <c r="H731" s="7" t="n">
        <v>0.5203389616</v>
      </c>
      <c r="I731" s="7" t="n">
        <v>0.853704139</v>
      </c>
      <c r="J731" s="7" t="n">
        <v>0.02089517127</v>
      </c>
      <c r="K731" s="7" t="n">
        <v>-0.8536728019</v>
      </c>
      <c r="L731" s="7" t="n">
        <v>0.5206426757</v>
      </c>
      <c r="M731" s="7" t="n">
        <v>-0.01318907238</v>
      </c>
      <c r="N731" s="7" t="n">
        <v>-0.02213848356</v>
      </c>
      <c r="O731" s="7" t="n">
        <v>-0.01097485118</v>
      </c>
      <c r="P731" s="7" t="n">
        <v>0.9996946735</v>
      </c>
      <c r="Q731" s="7" t="n">
        <v>-10.04986396</v>
      </c>
      <c r="R731" s="7" t="n">
        <v>11.38036305</v>
      </c>
      <c r="S731" s="7" t="n">
        <v>0.6795233405</v>
      </c>
    </row>
    <row r="732" customFormat="false" ht="15" hidden="false" customHeight="false" outlineLevel="0" collapsed="false">
      <c r="A732" s="5" t="s">
        <v>4</v>
      </c>
      <c r="B732" s="5" t="s">
        <v>78</v>
      </c>
      <c r="C732" s="5" t="s">
        <v>58</v>
      </c>
      <c r="D732" s="2" t="n">
        <v>14</v>
      </c>
      <c r="E732" s="5" t="s">
        <v>164</v>
      </c>
      <c r="F732" s="5" t="s">
        <v>168</v>
      </c>
      <c r="G732" s="2" t="n">
        <v>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customFormat="false" ht="15" hidden="false" customHeight="false" outlineLevel="0" collapsed="false">
      <c r="A733" s="5" t="s">
        <v>4</v>
      </c>
      <c r="B733" s="5" t="s">
        <v>78</v>
      </c>
      <c r="C733" s="5" t="s">
        <v>62</v>
      </c>
      <c r="D733" s="2" t="n">
        <v>14</v>
      </c>
      <c r="E733" s="5" t="s">
        <v>164</v>
      </c>
      <c r="F733" s="5" t="s">
        <v>168</v>
      </c>
      <c r="G733" s="2" t="n">
        <v>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customFormat="false" ht="15" hidden="false" customHeight="false" outlineLevel="0" collapsed="false">
      <c r="A734" s="5" t="s">
        <v>4</v>
      </c>
      <c r="B734" s="5" t="s">
        <v>78</v>
      </c>
      <c r="C734" s="5" t="s">
        <v>58</v>
      </c>
      <c r="D734" s="2" t="n">
        <v>15</v>
      </c>
      <c r="E734" s="5" t="s">
        <v>164</v>
      </c>
      <c r="F734" s="5" t="s">
        <v>165</v>
      </c>
      <c r="G734" s="2" t="n">
        <v>1</v>
      </c>
      <c r="H734" s="7" t="n">
        <v>-0.9199906368</v>
      </c>
      <c r="I734" s="7" t="n">
        <v>0.3917797412</v>
      </c>
      <c r="J734" s="7" t="n">
        <v>0.0112188528</v>
      </c>
      <c r="K734" s="7" t="n">
        <v>-0.3917038442</v>
      </c>
      <c r="L734" s="7" t="n">
        <v>-0.9200529948</v>
      </c>
      <c r="M734" s="7" t="n">
        <v>0.008401497133</v>
      </c>
      <c r="N734" s="7" t="n">
        <v>0.01361347549</v>
      </c>
      <c r="O734" s="7" t="n">
        <v>0.003334830928</v>
      </c>
      <c r="P734" s="7" t="n">
        <v>0.9999017713</v>
      </c>
      <c r="Q734" s="7" t="n">
        <v>-1.410375014</v>
      </c>
      <c r="R734" s="7" t="n">
        <v>-3.776211347</v>
      </c>
      <c r="S734" s="7" t="n">
        <v>-0.04759345313</v>
      </c>
    </row>
    <row r="735" customFormat="false" ht="15" hidden="false" customHeight="false" outlineLevel="0" collapsed="false">
      <c r="A735" s="5" t="s">
        <v>4</v>
      </c>
      <c r="B735" s="5" t="s">
        <v>78</v>
      </c>
      <c r="C735" s="5" t="s">
        <v>62</v>
      </c>
      <c r="D735" s="2" t="n">
        <v>15</v>
      </c>
      <c r="E735" s="5" t="s">
        <v>164</v>
      </c>
      <c r="F735" s="5" t="s">
        <v>165</v>
      </c>
      <c r="G735" s="2" t="n">
        <v>1</v>
      </c>
      <c r="H735" s="7" t="n">
        <v>-0.9189742185</v>
      </c>
      <c r="I735" s="7" t="n">
        <v>0.3942935625</v>
      </c>
      <c r="J735" s="7" t="n">
        <v>-0.004355714498</v>
      </c>
      <c r="K735" s="7" t="n">
        <v>-0.3942947585</v>
      </c>
      <c r="L735" s="7" t="n">
        <v>-0.9189838208</v>
      </c>
      <c r="M735" s="7" t="n">
        <v>-0.0006169144294</v>
      </c>
      <c r="N735" s="7" t="n">
        <v>-0.00424607654</v>
      </c>
      <c r="O735" s="7" t="n">
        <v>0.00115050694</v>
      </c>
      <c r="P735" s="7" t="n">
        <v>0.9999903235</v>
      </c>
      <c r="Q735" s="7" t="n">
        <v>-1.460629036</v>
      </c>
      <c r="R735" s="7" t="n">
        <v>-3.772619203</v>
      </c>
      <c r="S735" s="7" t="n">
        <v>0.1666508544</v>
      </c>
    </row>
    <row r="736" customFormat="false" ht="15" hidden="false" customHeight="false" outlineLevel="0" collapsed="false">
      <c r="A736" s="5" t="s">
        <v>4</v>
      </c>
      <c r="B736" s="5" t="s">
        <v>78</v>
      </c>
      <c r="C736" s="5" t="s">
        <v>58</v>
      </c>
      <c r="D736" s="2" t="n">
        <v>15</v>
      </c>
      <c r="E736" s="5" t="s">
        <v>164</v>
      </c>
      <c r="F736" s="5" t="s">
        <v>166</v>
      </c>
      <c r="G736" s="2" t="n">
        <v>1</v>
      </c>
      <c r="H736" s="7" t="n">
        <v>-0.9481106144</v>
      </c>
      <c r="I736" s="7" t="n">
        <v>0.317732815</v>
      </c>
      <c r="J736" s="7" t="n">
        <v>-0.01149439426</v>
      </c>
      <c r="K736" s="7" t="n">
        <v>-0.3177271279</v>
      </c>
      <c r="L736" s="7" t="n">
        <v>-0.9481792413</v>
      </c>
      <c r="M736" s="7" t="n">
        <v>-0.002366114222</v>
      </c>
      <c r="N736" s="7" t="n">
        <v>-0.01165053816</v>
      </c>
      <c r="O736" s="7" t="n">
        <v>0.001408742865</v>
      </c>
      <c r="P736" s="7" t="n">
        <v>0.9999311378</v>
      </c>
      <c r="Q736" s="7" t="n">
        <v>12.61911898</v>
      </c>
      <c r="R736" s="7" t="n">
        <v>2.179664027</v>
      </c>
      <c r="S736" s="7" t="n">
        <v>0.8364748088</v>
      </c>
    </row>
    <row r="737" customFormat="false" ht="15" hidden="false" customHeight="false" outlineLevel="0" collapsed="false">
      <c r="A737" s="5" t="s">
        <v>4</v>
      </c>
      <c r="B737" s="5" t="s">
        <v>78</v>
      </c>
      <c r="C737" s="5" t="s">
        <v>62</v>
      </c>
      <c r="D737" s="2" t="n">
        <v>15</v>
      </c>
      <c r="E737" s="5" t="s">
        <v>164</v>
      </c>
      <c r="F737" s="5" t="s">
        <v>166</v>
      </c>
      <c r="G737" s="2" t="n">
        <v>1</v>
      </c>
      <c r="H737" s="7" t="n">
        <v>-0.9481106144</v>
      </c>
      <c r="I737" s="7" t="n">
        <v>0.317732815</v>
      </c>
      <c r="J737" s="7" t="n">
        <v>-0.01149439426</v>
      </c>
      <c r="K737" s="7" t="n">
        <v>-0.3177271279</v>
      </c>
      <c r="L737" s="7" t="n">
        <v>-0.9481792413</v>
      </c>
      <c r="M737" s="7" t="n">
        <v>-0.002366114222</v>
      </c>
      <c r="N737" s="7" t="n">
        <v>-0.01165053816</v>
      </c>
      <c r="O737" s="7" t="n">
        <v>0.001408742865</v>
      </c>
      <c r="P737" s="7" t="n">
        <v>0.9999311378</v>
      </c>
      <c r="Q737" s="7" t="n">
        <v>12.61911898</v>
      </c>
      <c r="R737" s="7" t="n">
        <v>2.179664027</v>
      </c>
      <c r="S737" s="7" t="n">
        <v>0.8364748088</v>
      </c>
    </row>
    <row r="738" customFormat="false" ht="15" hidden="false" customHeight="false" outlineLevel="0" collapsed="false">
      <c r="A738" s="5" t="s">
        <v>4</v>
      </c>
      <c r="B738" s="5" t="s">
        <v>78</v>
      </c>
      <c r="C738" s="5" t="s">
        <v>58</v>
      </c>
      <c r="D738" s="2" t="n">
        <v>15</v>
      </c>
      <c r="E738" s="5" t="s">
        <v>164</v>
      </c>
      <c r="F738" s="5" t="s">
        <v>167</v>
      </c>
      <c r="G738" s="2" t="n">
        <v>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customFormat="false" ht="15" hidden="false" customHeight="false" outlineLevel="0" collapsed="false">
      <c r="A739" s="5" t="s">
        <v>4</v>
      </c>
      <c r="B739" s="5" t="s">
        <v>78</v>
      </c>
      <c r="C739" s="5" t="s">
        <v>62</v>
      </c>
      <c r="D739" s="2" t="n">
        <v>15</v>
      </c>
      <c r="E739" s="5" t="s">
        <v>164</v>
      </c>
      <c r="F739" s="5" t="s">
        <v>167</v>
      </c>
      <c r="G739" s="2" t="n">
        <v>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customFormat="false" ht="15" hidden="false" customHeight="false" outlineLevel="0" collapsed="false">
      <c r="A740" s="5" t="s">
        <v>4</v>
      </c>
      <c r="B740" s="5" t="s">
        <v>78</v>
      </c>
      <c r="C740" s="5" t="s">
        <v>58</v>
      </c>
      <c r="D740" s="2" t="n">
        <v>15</v>
      </c>
      <c r="E740" s="5" t="s">
        <v>164</v>
      </c>
      <c r="F740" s="5" t="s">
        <v>168</v>
      </c>
      <c r="G740" s="2" t="n">
        <v>1</v>
      </c>
      <c r="H740" s="7" t="n">
        <v>-0.8123454444</v>
      </c>
      <c r="I740" s="7" t="n">
        <v>0.5831153579</v>
      </c>
      <c r="J740" s="7" t="n">
        <v>-0.008447387699</v>
      </c>
      <c r="K740" s="7" t="n">
        <v>-0.5831070962</v>
      </c>
      <c r="L740" s="7" t="n">
        <v>-0.8123870276</v>
      </c>
      <c r="M740" s="7" t="n">
        <v>-0.003664936769</v>
      </c>
      <c r="N740" s="7" t="n">
        <v>-0.008999629099</v>
      </c>
      <c r="O740" s="7" t="n">
        <v>0.001948537024</v>
      </c>
      <c r="P740" s="7" t="n">
        <v>0.999957604</v>
      </c>
      <c r="Q740" s="7" t="n">
        <v>16.61903822</v>
      </c>
      <c r="R740" s="7" t="n">
        <v>12.64112516</v>
      </c>
      <c r="S740" s="7" t="n">
        <v>1.495913349</v>
      </c>
    </row>
    <row r="741" customFormat="false" ht="15" hidden="false" customHeight="false" outlineLevel="0" collapsed="false">
      <c r="A741" s="5" t="s">
        <v>4</v>
      </c>
      <c r="B741" s="5" t="s">
        <v>78</v>
      </c>
      <c r="C741" s="5" t="s">
        <v>62</v>
      </c>
      <c r="D741" s="2" t="n">
        <v>15</v>
      </c>
      <c r="E741" s="5" t="s">
        <v>164</v>
      </c>
      <c r="F741" s="5" t="s">
        <v>168</v>
      </c>
      <c r="G741" s="2" t="n">
        <v>1</v>
      </c>
      <c r="H741" s="7" t="n">
        <v>-0.8123454444</v>
      </c>
      <c r="I741" s="7" t="n">
        <v>0.5831153579</v>
      </c>
      <c r="J741" s="7" t="n">
        <v>-0.008447387699</v>
      </c>
      <c r="K741" s="7" t="n">
        <v>-0.5831070962</v>
      </c>
      <c r="L741" s="7" t="n">
        <v>-0.8123870276</v>
      </c>
      <c r="M741" s="7" t="n">
        <v>-0.003664936769</v>
      </c>
      <c r="N741" s="7" t="n">
        <v>-0.008999629099</v>
      </c>
      <c r="O741" s="7" t="n">
        <v>0.001948537024</v>
      </c>
      <c r="P741" s="7" t="n">
        <v>0.999957604</v>
      </c>
      <c r="Q741" s="7" t="n">
        <v>16.61903822</v>
      </c>
      <c r="R741" s="7" t="n">
        <v>12.64112516</v>
      </c>
      <c r="S741" s="7" t="n">
        <v>1.495913349</v>
      </c>
    </row>
    <row r="742" customFormat="false" ht="15" hidden="false" customHeight="false" outlineLevel="0" collapsed="false">
      <c r="A742" s="5" t="s">
        <v>4</v>
      </c>
      <c r="B742" s="5" t="s">
        <v>78</v>
      </c>
      <c r="C742" s="5" t="s">
        <v>58</v>
      </c>
      <c r="D742" s="2" t="n">
        <v>16</v>
      </c>
      <c r="E742" s="5" t="s">
        <v>164</v>
      </c>
      <c r="F742" s="5" t="s">
        <v>165</v>
      </c>
      <c r="G742" s="2" t="n">
        <v>1</v>
      </c>
      <c r="H742" s="7" t="n">
        <v>-0.9149041078</v>
      </c>
      <c r="I742" s="7" t="n">
        <v>0.3891558833</v>
      </c>
      <c r="J742" s="7" t="n">
        <v>-0.1072761479</v>
      </c>
      <c r="K742" s="7" t="n">
        <v>-0.3983028572</v>
      </c>
      <c r="L742" s="7" t="n">
        <v>-0.9134725387</v>
      </c>
      <c r="M742" s="7" t="n">
        <v>0.08320309463</v>
      </c>
      <c r="N742" s="7" t="n">
        <v>-0.06561484139</v>
      </c>
      <c r="O742" s="7" t="n">
        <v>0.1188512493</v>
      </c>
      <c r="P742" s="7" t="n">
        <v>0.9907416783</v>
      </c>
      <c r="Q742" s="7" t="n">
        <v>-1.826128863</v>
      </c>
      <c r="R742" s="7" t="n">
        <v>-3.453551297</v>
      </c>
      <c r="S742" s="7" t="n">
        <v>1.149346133</v>
      </c>
    </row>
    <row r="743" customFormat="false" ht="15" hidden="false" customHeight="false" outlineLevel="0" collapsed="false">
      <c r="A743" s="5" t="s">
        <v>4</v>
      </c>
      <c r="B743" s="5" t="s">
        <v>78</v>
      </c>
      <c r="C743" s="5" t="s">
        <v>62</v>
      </c>
      <c r="D743" s="2" t="n">
        <v>16</v>
      </c>
      <c r="E743" s="5" t="s">
        <v>164</v>
      </c>
      <c r="F743" s="5" t="s">
        <v>165</v>
      </c>
      <c r="G743" s="2" t="n">
        <v>1</v>
      </c>
      <c r="H743" s="7" t="n">
        <v>-0.9191054134</v>
      </c>
      <c r="I743" s="7" t="n">
        <v>0.3939280693</v>
      </c>
      <c r="J743" s="7" t="n">
        <v>0.008118822106</v>
      </c>
      <c r="K743" s="7" t="n">
        <v>-0.3940064329</v>
      </c>
      <c r="L743" s="7" t="n">
        <v>-0.919004722</v>
      </c>
      <c r="M743" s="7" t="n">
        <v>-0.01375687739</v>
      </c>
      <c r="N743" s="7" t="n">
        <v>0.002042015702</v>
      </c>
      <c r="O743" s="7" t="n">
        <v>-0.01584288862</v>
      </c>
      <c r="P743" s="7" t="n">
        <v>0.9998724084</v>
      </c>
      <c r="Q743" s="7" t="n">
        <v>-1.439314431</v>
      </c>
      <c r="R743" s="7" t="n">
        <v>-3.796217884</v>
      </c>
      <c r="S743" s="7" t="n">
        <v>0.03251216131</v>
      </c>
    </row>
    <row r="744" customFormat="false" ht="15" hidden="false" customHeight="false" outlineLevel="0" collapsed="false">
      <c r="A744" s="5" t="s">
        <v>4</v>
      </c>
      <c r="B744" s="5" t="s">
        <v>78</v>
      </c>
      <c r="C744" s="5" t="s">
        <v>58</v>
      </c>
      <c r="D744" s="2" t="n">
        <v>16</v>
      </c>
      <c r="E744" s="5" t="s">
        <v>164</v>
      </c>
      <c r="F744" s="5" t="s">
        <v>166</v>
      </c>
      <c r="G744" s="2" t="n">
        <v>1</v>
      </c>
      <c r="H744" s="7" t="n">
        <v>-0.9481083016</v>
      </c>
      <c r="I744" s="7" t="n">
        <v>0.3179372775</v>
      </c>
      <c r="J744" s="7" t="n">
        <v>-0.002556581636</v>
      </c>
      <c r="K744" s="7" t="n">
        <v>-0.3179082291</v>
      </c>
      <c r="L744" s="7" t="n">
        <v>-0.9480868485</v>
      </c>
      <c r="M744" s="7" t="n">
        <v>-0.008104664189</v>
      </c>
      <c r="N744" s="7" t="n">
        <v>-0.005000636293</v>
      </c>
      <c r="O744" s="7" t="n">
        <v>-0.006871341058</v>
      </c>
      <c r="P744" s="7" t="n">
        <v>0.9999638885</v>
      </c>
      <c r="Q744" s="7" t="n">
        <v>12.61792404</v>
      </c>
      <c r="R744" s="7" t="n">
        <v>2.173711867</v>
      </c>
      <c r="S744" s="7" t="n">
        <v>0.8708749816</v>
      </c>
    </row>
    <row r="745" customFormat="false" ht="15" hidden="false" customHeight="false" outlineLevel="0" collapsed="false">
      <c r="A745" s="5" t="s">
        <v>4</v>
      </c>
      <c r="B745" s="5" t="s">
        <v>78</v>
      </c>
      <c r="C745" s="5" t="s">
        <v>62</v>
      </c>
      <c r="D745" s="2" t="n">
        <v>16</v>
      </c>
      <c r="E745" s="5" t="s">
        <v>164</v>
      </c>
      <c r="F745" s="5" t="s">
        <v>166</v>
      </c>
      <c r="G745" s="2" t="n">
        <v>1</v>
      </c>
      <c r="H745" s="7" t="n">
        <v>-0.9481083016</v>
      </c>
      <c r="I745" s="7" t="n">
        <v>0.3179372775</v>
      </c>
      <c r="J745" s="7" t="n">
        <v>-0.002556581636</v>
      </c>
      <c r="K745" s="7" t="n">
        <v>-0.3179082291</v>
      </c>
      <c r="L745" s="7" t="n">
        <v>-0.9480868485</v>
      </c>
      <c r="M745" s="7" t="n">
        <v>-0.008104664189</v>
      </c>
      <c r="N745" s="7" t="n">
        <v>-0.005000636293</v>
      </c>
      <c r="O745" s="7" t="n">
        <v>-0.006871341058</v>
      </c>
      <c r="P745" s="7" t="n">
        <v>0.9999638885</v>
      </c>
      <c r="Q745" s="7" t="n">
        <v>12.61792404</v>
      </c>
      <c r="R745" s="7" t="n">
        <v>2.173711867</v>
      </c>
      <c r="S745" s="7" t="n">
        <v>0.8708749816</v>
      </c>
    </row>
    <row r="746" customFormat="false" ht="15" hidden="false" customHeight="false" outlineLevel="0" collapsed="false">
      <c r="A746" s="5" t="s">
        <v>4</v>
      </c>
      <c r="B746" s="5" t="s">
        <v>78</v>
      </c>
      <c r="C746" s="5" t="s">
        <v>58</v>
      </c>
      <c r="D746" s="2" t="n">
        <v>16</v>
      </c>
      <c r="E746" s="5" t="s">
        <v>164</v>
      </c>
      <c r="F746" s="5" t="s">
        <v>167</v>
      </c>
      <c r="G746" s="2" t="n">
        <v>1</v>
      </c>
      <c r="H746" s="7" t="n">
        <v>0.5150811346</v>
      </c>
      <c r="I746" s="7" t="n">
        <v>0.8571139613</v>
      </c>
      <c r="J746" s="7" t="n">
        <v>0.006861636672</v>
      </c>
      <c r="K746" s="7" t="n">
        <v>-0.8570519973</v>
      </c>
      <c r="L746" s="7" t="n">
        <v>0.515126527</v>
      </c>
      <c r="M746" s="7" t="n">
        <v>-0.01032158282</v>
      </c>
      <c r="N746" s="7" t="n">
        <v>-0.01238138381</v>
      </c>
      <c r="O746" s="7" t="n">
        <v>-0.0005643268236</v>
      </c>
      <c r="P746" s="7" t="n">
        <v>0.9999231885</v>
      </c>
      <c r="Q746" s="7" t="n">
        <v>-10.0449635</v>
      </c>
      <c r="R746" s="7" t="n">
        <v>11.43827493</v>
      </c>
      <c r="S746" s="7" t="n">
        <v>0.5122346528</v>
      </c>
    </row>
    <row r="747" customFormat="false" ht="15" hidden="false" customHeight="false" outlineLevel="0" collapsed="false">
      <c r="A747" s="5" t="s">
        <v>4</v>
      </c>
      <c r="B747" s="5" t="s">
        <v>78</v>
      </c>
      <c r="C747" s="5" t="s">
        <v>62</v>
      </c>
      <c r="D747" s="2" t="n">
        <v>16</v>
      </c>
      <c r="E747" s="5" t="s">
        <v>164</v>
      </c>
      <c r="F747" s="5" t="s">
        <v>167</v>
      </c>
      <c r="G747" s="2" t="n">
        <v>1</v>
      </c>
      <c r="H747" s="7" t="n">
        <v>0.5150811346</v>
      </c>
      <c r="I747" s="7" t="n">
        <v>0.8571139613</v>
      </c>
      <c r="J747" s="7" t="n">
        <v>0.006861636672</v>
      </c>
      <c r="K747" s="7" t="n">
        <v>-0.8570519973</v>
      </c>
      <c r="L747" s="7" t="n">
        <v>0.515126527</v>
      </c>
      <c r="M747" s="7" t="n">
        <v>-0.01032158282</v>
      </c>
      <c r="N747" s="7" t="n">
        <v>-0.01238138381</v>
      </c>
      <c r="O747" s="7" t="n">
        <v>-0.0005643268236</v>
      </c>
      <c r="P747" s="7" t="n">
        <v>0.9999231885</v>
      </c>
      <c r="Q747" s="7" t="n">
        <v>-10.0449635</v>
      </c>
      <c r="R747" s="7" t="n">
        <v>11.43827493</v>
      </c>
      <c r="S747" s="7" t="n">
        <v>0.5122346528</v>
      </c>
    </row>
    <row r="748" customFormat="false" ht="15" hidden="false" customHeight="false" outlineLevel="0" collapsed="false">
      <c r="A748" s="5" t="s">
        <v>4</v>
      </c>
      <c r="B748" s="5" t="s">
        <v>78</v>
      </c>
      <c r="C748" s="5" t="s">
        <v>58</v>
      </c>
      <c r="D748" s="2" t="n">
        <v>16</v>
      </c>
      <c r="E748" s="5" t="s">
        <v>164</v>
      </c>
      <c r="F748" s="5" t="s">
        <v>168</v>
      </c>
      <c r="G748" s="2" t="n">
        <v>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customFormat="false" ht="15" hidden="false" customHeight="false" outlineLevel="0" collapsed="false">
      <c r="A749" s="5" t="s">
        <v>4</v>
      </c>
      <c r="B749" s="5" t="s">
        <v>78</v>
      </c>
      <c r="C749" s="5" t="s">
        <v>62</v>
      </c>
      <c r="D749" s="2" t="n">
        <v>16</v>
      </c>
      <c r="E749" s="5" t="s">
        <v>164</v>
      </c>
      <c r="F749" s="5" t="s">
        <v>168</v>
      </c>
      <c r="G749" s="2" t="n">
        <v>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customFormat="false" ht="15" hidden="false" customHeight="false" outlineLevel="0" collapsed="false">
      <c r="A750" s="5" t="s">
        <v>4</v>
      </c>
      <c r="B750" s="5" t="s">
        <v>78</v>
      </c>
      <c r="C750" s="5" t="s">
        <v>58</v>
      </c>
      <c r="D750" s="2" t="n">
        <v>17</v>
      </c>
      <c r="E750" s="5" t="s">
        <v>164</v>
      </c>
      <c r="F750" s="5" t="s">
        <v>165</v>
      </c>
      <c r="G750" s="2" t="n">
        <v>1</v>
      </c>
      <c r="H750" s="7" t="n">
        <v>-0.919739647</v>
      </c>
      <c r="I750" s="7" t="n">
        <v>0.3925285225</v>
      </c>
      <c r="J750" s="7" t="n">
        <v>0.0005836815653</v>
      </c>
      <c r="K750" s="7" t="n">
        <v>-0.3925211617</v>
      </c>
      <c r="L750" s="7" t="n">
        <v>-0.9197109951</v>
      </c>
      <c r="M750" s="7" t="n">
        <v>-0.007669629909</v>
      </c>
      <c r="N750" s="7" t="n">
        <v>-0.002473730143</v>
      </c>
      <c r="O750" s="7" t="n">
        <v>-0.007283170071</v>
      </c>
      <c r="P750" s="7" t="n">
        <v>0.9999704176</v>
      </c>
      <c r="Q750" s="7" t="n">
        <v>-1.450645951</v>
      </c>
      <c r="R750" s="7" t="n">
        <v>-3.791702942</v>
      </c>
      <c r="S750" s="7" t="n">
        <v>0.09639278851</v>
      </c>
    </row>
    <row r="751" customFormat="false" ht="15" hidden="false" customHeight="false" outlineLevel="0" collapsed="false">
      <c r="A751" s="5" t="s">
        <v>4</v>
      </c>
      <c r="B751" s="5" t="s">
        <v>78</v>
      </c>
      <c r="C751" s="5" t="s">
        <v>62</v>
      </c>
      <c r="D751" s="2" t="n">
        <v>17</v>
      </c>
      <c r="E751" s="5" t="s">
        <v>164</v>
      </c>
      <c r="F751" s="5" t="s">
        <v>165</v>
      </c>
      <c r="G751" s="2" t="n">
        <v>1</v>
      </c>
      <c r="H751" s="7" t="n">
        <v>-0.919739647</v>
      </c>
      <c r="I751" s="7" t="n">
        <v>0.3925285225</v>
      </c>
      <c r="J751" s="7" t="n">
        <v>0.0005836815653</v>
      </c>
      <c r="K751" s="7" t="n">
        <v>-0.3925211617</v>
      </c>
      <c r="L751" s="7" t="n">
        <v>-0.9197109951</v>
      </c>
      <c r="M751" s="7" t="n">
        <v>-0.007669629909</v>
      </c>
      <c r="N751" s="7" t="n">
        <v>-0.002473730143</v>
      </c>
      <c r="O751" s="7" t="n">
        <v>-0.007283170071</v>
      </c>
      <c r="P751" s="7" t="n">
        <v>0.9999704176</v>
      </c>
      <c r="Q751" s="7" t="n">
        <v>-1.450645951</v>
      </c>
      <c r="R751" s="7" t="n">
        <v>-3.791702942</v>
      </c>
      <c r="S751" s="7" t="n">
        <v>0.09639278851</v>
      </c>
    </row>
    <row r="752" customFormat="false" ht="15" hidden="false" customHeight="false" outlineLevel="0" collapsed="false">
      <c r="A752" s="5" t="s">
        <v>4</v>
      </c>
      <c r="B752" s="5" t="s">
        <v>78</v>
      </c>
      <c r="C752" s="5" t="s">
        <v>58</v>
      </c>
      <c r="D752" s="2" t="n">
        <v>17</v>
      </c>
      <c r="E752" s="5" t="s">
        <v>164</v>
      </c>
      <c r="F752" s="5" t="s">
        <v>166</v>
      </c>
      <c r="G752" s="2" t="n">
        <v>1</v>
      </c>
      <c r="H752" s="7" t="n">
        <v>-0.9484905999</v>
      </c>
      <c r="I752" s="7" t="n">
        <v>0.3167559356</v>
      </c>
      <c r="J752" s="7" t="n">
        <v>-0.005590982875</v>
      </c>
      <c r="K752" s="7" t="n">
        <v>-0.3168036049</v>
      </c>
      <c r="L752" s="7" t="n">
        <v>-0.9483951795</v>
      </c>
      <c r="M752" s="7" t="n">
        <v>0.01349294246</v>
      </c>
      <c r="N752" s="7" t="n">
        <v>-0.001028491593</v>
      </c>
      <c r="O752" s="7" t="n">
        <v>0.01456917262</v>
      </c>
      <c r="P752" s="7" t="n">
        <v>0.999893335</v>
      </c>
      <c r="Q752" s="7" t="n">
        <v>12.59715186</v>
      </c>
      <c r="R752" s="7" t="n">
        <v>2.225241759</v>
      </c>
      <c r="S752" s="7" t="n">
        <v>0.8657177379</v>
      </c>
    </row>
    <row r="753" customFormat="false" ht="15" hidden="false" customHeight="false" outlineLevel="0" collapsed="false">
      <c r="A753" s="5" t="s">
        <v>4</v>
      </c>
      <c r="B753" s="5" t="s">
        <v>78</v>
      </c>
      <c r="C753" s="5" t="s">
        <v>62</v>
      </c>
      <c r="D753" s="2" t="n">
        <v>17</v>
      </c>
      <c r="E753" s="5" t="s">
        <v>164</v>
      </c>
      <c r="F753" s="5" t="s">
        <v>166</v>
      </c>
      <c r="G753" s="2" t="n">
        <v>1</v>
      </c>
      <c r="H753" s="7" t="n">
        <v>-0.9482012629</v>
      </c>
      <c r="I753" s="7" t="n">
        <v>0.317645536</v>
      </c>
      <c r="J753" s="7" t="n">
        <v>-0.003959602208</v>
      </c>
      <c r="K753" s="7" t="n">
        <v>-0.3175225663</v>
      </c>
      <c r="L753" s="7" t="n">
        <v>-0.9480669116</v>
      </c>
      <c r="M753" s="7" t="n">
        <v>-0.01866951986</v>
      </c>
      <c r="N753" s="7" t="n">
        <v>-0.009684257478</v>
      </c>
      <c r="O753" s="7" t="n">
        <v>-0.01644519925</v>
      </c>
      <c r="P753" s="7" t="n">
        <v>0.9998178687</v>
      </c>
      <c r="Q753" s="7" t="n">
        <v>12.62331258</v>
      </c>
      <c r="R753" s="7" t="n">
        <v>2.132664027</v>
      </c>
      <c r="S753" s="7" t="n">
        <v>0.7864743246</v>
      </c>
    </row>
    <row r="754" customFormat="false" ht="15" hidden="false" customHeight="false" outlineLevel="0" collapsed="false">
      <c r="A754" s="5" t="s">
        <v>4</v>
      </c>
      <c r="B754" s="5" t="s">
        <v>78</v>
      </c>
      <c r="C754" s="5" t="s">
        <v>58</v>
      </c>
      <c r="D754" s="2" t="n">
        <v>17</v>
      </c>
      <c r="E754" s="5" t="s">
        <v>164</v>
      </c>
      <c r="F754" s="5" t="s">
        <v>167</v>
      </c>
      <c r="G754" s="2" t="n">
        <v>1</v>
      </c>
      <c r="H754" s="7" t="n">
        <v>0.5144391362</v>
      </c>
      <c r="I754" s="7" t="n">
        <v>0.8575219304</v>
      </c>
      <c r="J754" s="7" t="n">
        <v>0.002917868221</v>
      </c>
      <c r="K754" s="7" t="n">
        <v>-0.8575236765</v>
      </c>
      <c r="L754" s="7" t="n">
        <v>0.5144435496</v>
      </c>
      <c r="M754" s="7" t="n">
        <v>-0.0009891839019</v>
      </c>
      <c r="N754" s="7" t="n">
        <v>-0.002349325374</v>
      </c>
      <c r="O754" s="7" t="n">
        <v>-0.001993266172</v>
      </c>
      <c r="P754" s="7" t="n">
        <v>0.9999952538</v>
      </c>
      <c r="Q754" s="7" t="n">
        <v>-10.04800529</v>
      </c>
      <c r="R754" s="7" t="n">
        <v>11.46664176</v>
      </c>
      <c r="S754" s="7" t="n">
        <v>0.4551237918</v>
      </c>
    </row>
    <row r="755" customFormat="false" ht="15" hidden="false" customHeight="false" outlineLevel="0" collapsed="false">
      <c r="A755" s="5" t="s">
        <v>4</v>
      </c>
      <c r="B755" s="5" t="s">
        <v>78</v>
      </c>
      <c r="C755" s="5" t="s">
        <v>62</v>
      </c>
      <c r="D755" s="2" t="n">
        <v>17</v>
      </c>
      <c r="E755" s="5" t="s">
        <v>164</v>
      </c>
      <c r="F755" s="5" t="s">
        <v>167</v>
      </c>
      <c r="G755" s="2" t="n">
        <v>1</v>
      </c>
      <c r="H755" s="7" t="n">
        <v>0.5144391362</v>
      </c>
      <c r="I755" s="7" t="n">
        <v>0.8575219304</v>
      </c>
      <c r="J755" s="7" t="n">
        <v>0.002917868221</v>
      </c>
      <c r="K755" s="7" t="n">
        <v>-0.8575236765</v>
      </c>
      <c r="L755" s="7" t="n">
        <v>0.5144435496</v>
      </c>
      <c r="M755" s="7" t="n">
        <v>-0.0009891839019</v>
      </c>
      <c r="N755" s="7" t="n">
        <v>-0.002349325374</v>
      </c>
      <c r="O755" s="7" t="n">
        <v>-0.001993266172</v>
      </c>
      <c r="P755" s="7" t="n">
        <v>0.9999952538</v>
      </c>
      <c r="Q755" s="7" t="n">
        <v>-10.04800529</v>
      </c>
      <c r="R755" s="7" t="n">
        <v>11.46664176</v>
      </c>
      <c r="S755" s="7" t="n">
        <v>0.4551237918</v>
      </c>
    </row>
    <row r="756" customFormat="false" ht="15" hidden="false" customHeight="false" outlineLevel="0" collapsed="false">
      <c r="A756" s="5" t="s">
        <v>4</v>
      </c>
      <c r="B756" s="5" t="s">
        <v>78</v>
      </c>
      <c r="C756" s="5" t="s">
        <v>58</v>
      </c>
      <c r="D756" s="2" t="n">
        <v>17</v>
      </c>
      <c r="E756" s="5" t="s">
        <v>164</v>
      </c>
      <c r="F756" s="5" t="s">
        <v>168</v>
      </c>
      <c r="G756" s="2" t="n">
        <v>1</v>
      </c>
      <c r="H756" s="7" t="n">
        <v>-0.8132273857</v>
      </c>
      <c r="I756" s="7" t="n">
        <v>0.5816480461</v>
      </c>
      <c r="J756" s="7" t="n">
        <v>-0.01862175082</v>
      </c>
      <c r="K756" s="7" t="n">
        <v>-0.5817698971</v>
      </c>
      <c r="L756" s="7" t="n">
        <v>-0.8133521749</v>
      </c>
      <c r="M756" s="7" t="n">
        <v>0.001423562438</v>
      </c>
      <c r="N756" s="7" t="n">
        <v>-0.01431802922</v>
      </c>
      <c r="O756" s="7" t="n">
        <v>0.01199125402</v>
      </c>
      <c r="P756" s="7" t="n">
        <v>0.9998255867</v>
      </c>
      <c r="Q756" s="7" t="n">
        <v>16.6248915</v>
      </c>
      <c r="R756" s="7" t="n">
        <v>12.65629216</v>
      </c>
      <c r="S756" s="7" t="n">
        <v>1.472081671</v>
      </c>
    </row>
    <row r="757" customFormat="false" ht="15" hidden="false" customHeight="false" outlineLevel="0" collapsed="false">
      <c r="A757" s="5" t="s">
        <v>4</v>
      </c>
      <c r="B757" s="5" t="s">
        <v>78</v>
      </c>
      <c r="C757" s="5" t="s">
        <v>62</v>
      </c>
      <c r="D757" s="2" t="n">
        <v>17</v>
      </c>
      <c r="E757" s="5" t="s">
        <v>164</v>
      </c>
      <c r="F757" s="5" t="s">
        <v>168</v>
      </c>
      <c r="G757" s="2" t="n">
        <v>1</v>
      </c>
      <c r="H757" s="7" t="n">
        <v>-0.8132273857</v>
      </c>
      <c r="I757" s="7" t="n">
        <v>0.5816480461</v>
      </c>
      <c r="J757" s="7" t="n">
        <v>-0.01862175082</v>
      </c>
      <c r="K757" s="7" t="n">
        <v>-0.5817698971</v>
      </c>
      <c r="L757" s="7" t="n">
        <v>-0.8133521749</v>
      </c>
      <c r="M757" s="7" t="n">
        <v>0.001423562438</v>
      </c>
      <c r="N757" s="7" t="n">
        <v>-0.01431802922</v>
      </c>
      <c r="O757" s="7" t="n">
        <v>0.01199125402</v>
      </c>
      <c r="P757" s="7" t="n">
        <v>0.9998255867</v>
      </c>
      <c r="Q757" s="7" t="n">
        <v>16.6248915</v>
      </c>
      <c r="R757" s="7" t="n">
        <v>12.65629216</v>
      </c>
      <c r="S757" s="7" t="n">
        <v>1.472081671</v>
      </c>
    </row>
    <row r="758" customFormat="false" ht="15" hidden="false" customHeight="false" outlineLevel="0" collapsed="false">
      <c r="A758" s="5" t="s">
        <v>4</v>
      </c>
      <c r="B758" s="5" t="s">
        <v>78</v>
      </c>
      <c r="C758" s="5" t="s">
        <v>58</v>
      </c>
      <c r="D758" s="2" t="n">
        <v>18</v>
      </c>
      <c r="E758" s="5" t="s">
        <v>164</v>
      </c>
      <c r="F758" s="5" t="s">
        <v>165</v>
      </c>
      <c r="G758" s="2" t="n">
        <v>1</v>
      </c>
      <c r="H758" s="7" t="n">
        <v>-0.9195983657</v>
      </c>
      <c r="I758" s="7" t="n">
        <v>0.3928353721</v>
      </c>
      <c r="J758" s="7" t="n">
        <v>-0.004383622565</v>
      </c>
      <c r="K758" s="7" t="n">
        <v>-0.3928175068</v>
      </c>
      <c r="L758" s="7" t="n">
        <v>-0.9196058363</v>
      </c>
      <c r="M758" s="7" t="n">
        <v>-0.004417252378</v>
      </c>
      <c r="N758" s="7" t="n">
        <v>-0.005766457877</v>
      </c>
      <c r="O758" s="7" t="n">
        <v>-0.002340134381</v>
      </c>
      <c r="P758" s="7" t="n">
        <v>0.9999806357</v>
      </c>
      <c r="Q758" s="7" t="n">
        <v>-1.470777283</v>
      </c>
      <c r="R758" s="7" t="n">
        <v>-3.775018994</v>
      </c>
      <c r="S758" s="7" t="n">
        <v>0.1525514723</v>
      </c>
    </row>
    <row r="759" customFormat="false" ht="15" hidden="false" customHeight="false" outlineLevel="0" collapsed="false">
      <c r="A759" s="5" t="s">
        <v>4</v>
      </c>
      <c r="B759" s="5" t="s">
        <v>78</v>
      </c>
      <c r="C759" s="5" t="s">
        <v>62</v>
      </c>
      <c r="D759" s="2" t="n">
        <v>18</v>
      </c>
      <c r="E759" s="5" t="s">
        <v>164</v>
      </c>
      <c r="F759" s="5" t="s">
        <v>165</v>
      </c>
      <c r="G759" s="2" t="n">
        <v>1</v>
      </c>
      <c r="H759" s="7" t="n">
        <v>-0.9195983657</v>
      </c>
      <c r="I759" s="7" t="n">
        <v>0.3928353721</v>
      </c>
      <c r="J759" s="7" t="n">
        <v>-0.004383622565</v>
      </c>
      <c r="K759" s="7" t="n">
        <v>-0.3928175068</v>
      </c>
      <c r="L759" s="7" t="n">
        <v>-0.9196058363</v>
      </c>
      <c r="M759" s="7" t="n">
        <v>-0.004417252378</v>
      </c>
      <c r="N759" s="7" t="n">
        <v>-0.005766457877</v>
      </c>
      <c r="O759" s="7" t="n">
        <v>-0.002340134381</v>
      </c>
      <c r="P759" s="7" t="n">
        <v>0.9999806357</v>
      </c>
      <c r="Q759" s="7" t="n">
        <v>-1.470777283</v>
      </c>
      <c r="R759" s="7" t="n">
        <v>-3.775018994</v>
      </c>
      <c r="S759" s="7" t="n">
        <v>0.1525514723</v>
      </c>
    </row>
    <row r="760" customFormat="false" ht="15" hidden="false" customHeight="false" outlineLevel="0" collapsed="false">
      <c r="A760" s="5" t="s">
        <v>4</v>
      </c>
      <c r="B760" s="5" t="s">
        <v>78</v>
      </c>
      <c r="C760" s="5" t="s">
        <v>58</v>
      </c>
      <c r="D760" s="2" t="n">
        <v>18</v>
      </c>
      <c r="E760" s="5" t="s">
        <v>164</v>
      </c>
      <c r="F760" s="5" t="s">
        <v>166</v>
      </c>
      <c r="G760" s="2" t="n">
        <v>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customFormat="false" ht="15" hidden="false" customHeight="false" outlineLevel="0" collapsed="false">
      <c r="A761" s="5" t="s">
        <v>4</v>
      </c>
      <c r="B761" s="5" t="s">
        <v>78</v>
      </c>
      <c r="C761" s="5" t="s">
        <v>62</v>
      </c>
      <c r="D761" s="2" t="n">
        <v>18</v>
      </c>
      <c r="E761" s="5" t="s">
        <v>164</v>
      </c>
      <c r="F761" s="5" t="s">
        <v>166</v>
      </c>
      <c r="G761" s="2" t="n">
        <v>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customFormat="false" ht="15" hidden="false" customHeight="false" outlineLevel="0" collapsed="false">
      <c r="A762" s="5" t="s">
        <v>4</v>
      </c>
      <c r="B762" s="5" t="s">
        <v>78</v>
      </c>
      <c r="C762" s="5" t="s">
        <v>58</v>
      </c>
      <c r="D762" s="2" t="n">
        <v>18</v>
      </c>
      <c r="E762" s="5" t="s">
        <v>164</v>
      </c>
      <c r="F762" s="5" t="s">
        <v>167</v>
      </c>
      <c r="G762" s="2" t="n">
        <v>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customFormat="false" ht="15" hidden="false" customHeight="false" outlineLevel="0" collapsed="false">
      <c r="A763" s="5" t="s">
        <v>4</v>
      </c>
      <c r="B763" s="5" t="s">
        <v>78</v>
      </c>
      <c r="C763" s="5" t="s">
        <v>62</v>
      </c>
      <c r="D763" s="2" t="n">
        <v>18</v>
      </c>
      <c r="E763" s="5" t="s">
        <v>164</v>
      </c>
      <c r="F763" s="5" t="s">
        <v>167</v>
      </c>
      <c r="G763" s="2" t="n">
        <v>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customFormat="false" ht="15" hidden="false" customHeight="false" outlineLevel="0" collapsed="false">
      <c r="A764" s="5" t="s">
        <v>4</v>
      </c>
      <c r="B764" s="5" t="s">
        <v>78</v>
      </c>
      <c r="C764" s="5" t="s">
        <v>58</v>
      </c>
      <c r="D764" s="2" t="n">
        <v>18</v>
      </c>
      <c r="E764" s="5" t="s">
        <v>164</v>
      </c>
      <c r="F764" s="5" t="s">
        <v>168</v>
      </c>
      <c r="G764" s="2" t="n">
        <v>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customFormat="false" ht="15" hidden="false" customHeight="false" outlineLevel="0" collapsed="false">
      <c r="A765" s="5" t="s">
        <v>4</v>
      </c>
      <c r="B765" s="5" t="s">
        <v>78</v>
      </c>
      <c r="C765" s="5" t="s">
        <v>62</v>
      </c>
      <c r="D765" s="2" t="n">
        <v>18</v>
      </c>
      <c r="E765" s="5" t="s">
        <v>164</v>
      </c>
      <c r="F765" s="5" t="s">
        <v>168</v>
      </c>
      <c r="G765" s="2" t="n">
        <v>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customFormat="false" ht="15" hidden="false" customHeight="false" outlineLevel="0" collapsed="false">
      <c r="A766" s="5" t="s">
        <v>4</v>
      </c>
      <c r="B766" s="5" t="s">
        <v>78</v>
      </c>
      <c r="C766" s="5" t="s">
        <v>58</v>
      </c>
      <c r="D766" s="2" t="n">
        <v>19</v>
      </c>
      <c r="E766" s="5" t="s">
        <v>164</v>
      </c>
      <c r="F766" s="5" t="s">
        <v>165</v>
      </c>
      <c r="G766" s="2" t="n">
        <v>1</v>
      </c>
      <c r="H766" s="7" t="n">
        <v>-0.9192698464</v>
      </c>
      <c r="I766" s="7" t="n">
        <v>0.3936241373</v>
      </c>
      <c r="J766" s="7" t="n">
        <v>0.001728597121</v>
      </c>
      <c r="K766" s="7" t="n">
        <v>-0.3936276152</v>
      </c>
      <c r="L766" s="7" t="n">
        <v>-0.9192658195</v>
      </c>
      <c r="M766" s="7" t="n">
        <v>-0.002766514147</v>
      </c>
      <c r="N766" s="7" t="n">
        <v>0.0005000735052</v>
      </c>
      <c r="O766" s="7" t="n">
        <v>-0.003223596597</v>
      </c>
      <c r="P766" s="7" t="n">
        <v>0.9999946792</v>
      </c>
      <c r="Q766" s="7" t="n">
        <v>-1.455663892</v>
      </c>
      <c r="R766" s="7" t="n">
        <v>-3.777661796</v>
      </c>
      <c r="S766" s="7" t="n">
        <v>0.1204733855</v>
      </c>
    </row>
    <row r="767" customFormat="false" ht="15" hidden="false" customHeight="false" outlineLevel="0" collapsed="false">
      <c r="A767" s="5" t="s">
        <v>4</v>
      </c>
      <c r="B767" s="5" t="s">
        <v>78</v>
      </c>
      <c r="C767" s="5" t="s">
        <v>62</v>
      </c>
      <c r="D767" s="2" t="n">
        <v>19</v>
      </c>
      <c r="E767" s="5" t="s">
        <v>164</v>
      </c>
      <c r="F767" s="5" t="s">
        <v>165</v>
      </c>
      <c r="G767" s="2" t="n">
        <v>1</v>
      </c>
      <c r="H767" s="7" t="n">
        <v>-0.9192698464</v>
      </c>
      <c r="I767" s="7" t="n">
        <v>0.3936241373</v>
      </c>
      <c r="J767" s="7" t="n">
        <v>0.001728597121</v>
      </c>
      <c r="K767" s="7" t="n">
        <v>-0.3936276152</v>
      </c>
      <c r="L767" s="7" t="n">
        <v>-0.9192658195</v>
      </c>
      <c r="M767" s="7" t="n">
        <v>-0.002766514147</v>
      </c>
      <c r="N767" s="7" t="n">
        <v>0.0005000735052</v>
      </c>
      <c r="O767" s="7" t="n">
        <v>-0.003223596597</v>
      </c>
      <c r="P767" s="7" t="n">
        <v>0.9999946792</v>
      </c>
      <c r="Q767" s="7" t="n">
        <v>-1.455663892</v>
      </c>
      <c r="R767" s="7" t="n">
        <v>-3.777661796</v>
      </c>
      <c r="S767" s="7" t="n">
        <v>0.1204733855</v>
      </c>
    </row>
    <row r="768" customFormat="false" ht="15" hidden="false" customHeight="false" outlineLevel="0" collapsed="false">
      <c r="A768" s="5" t="s">
        <v>4</v>
      </c>
      <c r="B768" s="5" t="s">
        <v>78</v>
      </c>
      <c r="C768" s="5" t="s">
        <v>58</v>
      </c>
      <c r="D768" s="2" t="n">
        <v>19</v>
      </c>
      <c r="E768" s="5" t="s">
        <v>164</v>
      </c>
      <c r="F768" s="5" t="s">
        <v>166</v>
      </c>
      <c r="G768" s="2" t="n">
        <v>1</v>
      </c>
      <c r="H768" s="7" t="n">
        <v>-0.9484306297</v>
      </c>
      <c r="I768" s="7" t="n">
        <v>0.3167184784</v>
      </c>
      <c r="J768" s="7" t="n">
        <v>-0.01299023322</v>
      </c>
      <c r="K768" s="7" t="n">
        <v>-0.3167766309</v>
      </c>
      <c r="L768" s="7" t="n">
        <v>-0.9484964928</v>
      </c>
      <c r="M768" s="7" t="n">
        <v>0.002639951313</v>
      </c>
      <c r="N768" s="7" t="n">
        <v>-0.01148506928</v>
      </c>
      <c r="O768" s="7" t="n">
        <v>0.006618813</v>
      </c>
      <c r="P768" s="7" t="n">
        <v>0.9999121384</v>
      </c>
      <c r="Q768" s="7" t="n">
        <v>12.6141652</v>
      </c>
      <c r="R768" s="7" t="n">
        <v>2.167915909</v>
      </c>
      <c r="S768" s="7" t="n">
        <v>0.8205665644</v>
      </c>
    </row>
    <row r="769" customFormat="false" ht="15" hidden="false" customHeight="false" outlineLevel="0" collapsed="false">
      <c r="A769" s="5" t="s">
        <v>4</v>
      </c>
      <c r="B769" s="5" t="s">
        <v>78</v>
      </c>
      <c r="C769" s="5" t="s">
        <v>62</v>
      </c>
      <c r="D769" s="2" t="n">
        <v>19</v>
      </c>
      <c r="E769" s="5" t="s">
        <v>164</v>
      </c>
      <c r="F769" s="5" t="s">
        <v>166</v>
      </c>
      <c r="G769" s="2" t="n">
        <v>1</v>
      </c>
      <c r="H769" s="7" t="n">
        <v>-0.9484306297</v>
      </c>
      <c r="I769" s="7" t="n">
        <v>0.3167184784</v>
      </c>
      <c r="J769" s="7" t="n">
        <v>-0.01299023322</v>
      </c>
      <c r="K769" s="7" t="n">
        <v>-0.3167766309</v>
      </c>
      <c r="L769" s="7" t="n">
        <v>-0.9484964928</v>
      </c>
      <c r="M769" s="7" t="n">
        <v>0.002639951313</v>
      </c>
      <c r="N769" s="7" t="n">
        <v>-0.01148506928</v>
      </c>
      <c r="O769" s="7" t="n">
        <v>0.006618813</v>
      </c>
      <c r="P769" s="7" t="n">
        <v>0.9999121384</v>
      </c>
      <c r="Q769" s="7" t="n">
        <v>12.6141652</v>
      </c>
      <c r="R769" s="7" t="n">
        <v>2.167915909</v>
      </c>
      <c r="S769" s="7" t="n">
        <v>0.8205665644</v>
      </c>
    </row>
    <row r="770" customFormat="false" ht="15" hidden="false" customHeight="false" outlineLevel="0" collapsed="false">
      <c r="A770" s="5" t="s">
        <v>4</v>
      </c>
      <c r="B770" s="5" t="s">
        <v>78</v>
      </c>
      <c r="C770" s="5" t="s">
        <v>58</v>
      </c>
      <c r="D770" s="2" t="n">
        <v>19</v>
      </c>
      <c r="E770" s="5" t="s">
        <v>164</v>
      </c>
      <c r="F770" s="5" t="s">
        <v>167</v>
      </c>
      <c r="G770" s="2" t="n">
        <v>1</v>
      </c>
      <c r="H770" s="7" t="n">
        <v>0.5153525966</v>
      </c>
      <c r="I770" s="7" t="n">
        <v>0.8569500186</v>
      </c>
      <c r="J770" s="7" t="n">
        <v>0.006954630429</v>
      </c>
      <c r="K770" s="7" t="n">
        <v>-0.8568869548</v>
      </c>
      <c r="L770" s="7" t="n">
        <v>0.5153991794</v>
      </c>
      <c r="M770" s="7" t="n">
        <v>-0.01041309187</v>
      </c>
      <c r="N770" s="7" t="n">
        <v>-0.01250791008</v>
      </c>
      <c r="O770" s="7" t="n">
        <v>-0.0005929181593</v>
      </c>
      <c r="P770" s="7" t="n">
        <v>0.9999215972</v>
      </c>
      <c r="Q770" s="7" t="n">
        <v>-10.05030982</v>
      </c>
      <c r="R770" s="7" t="n">
        <v>11.44471394</v>
      </c>
      <c r="S770" s="7" t="n">
        <v>0.514473617</v>
      </c>
    </row>
    <row r="771" customFormat="false" ht="15" hidden="false" customHeight="false" outlineLevel="0" collapsed="false">
      <c r="A771" s="5" t="s">
        <v>4</v>
      </c>
      <c r="B771" s="5" t="s">
        <v>78</v>
      </c>
      <c r="C771" s="5" t="s">
        <v>62</v>
      </c>
      <c r="D771" s="2" t="n">
        <v>19</v>
      </c>
      <c r="E771" s="5" t="s">
        <v>164</v>
      </c>
      <c r="F771" s="5" t="s">
        <v>167</v>
      </c>
      <c r="G771" s="2" t="n">
        <v>1</v>
      </c>
      <c r="H771" s="7" t="n">
        <v>0.5153525966</v>
      </c>
      <c r="I771" s="7" t="n">
        <v>0.8569500186</v>
      </c>
      <c r="J771" s="7" t="n">
        <v>0.006954630429</v>
      </c>
      <c r="K771" s="7" t="n">
        <v>-0.8568869548</v>
      </c>
      <c r="L771" s="7" t="n">
        <v>0.5153991794</v>
      </c>
      <c r="M771" s="7" t="n">
        <v>-0.01041309187</v>
      </c>
      <c r="N771" s="7" t="n">
        <v>-0.01250791008</v>
      </c>
      <c r="O771" s="7" t="n">
        <v>-0.0005929181593</v>
      </c>
      <c r="P771" s="7" t="n">
        <v>0.9999215972</v>
      </c>
      <c r="Q771" s="7" t="n">
        <v>-10.05030982</v>
      </c>
      <c r="R771" s="7" t="n">
        <v>11.44471394</v>
      </c>
      <c r="S771" s="7" t="n">
        <v>0.514473617</v>
      </c>
    </row>
    <row r="772" customFormat="false" ht="15" hidden="false" customHeight="false" outlineLevel="0" collapsed="false">
      <c r="A772" s="5" t="s">
        <v>4</v>
      </c>
      <c r="B772" s="5" t="s">
        <v>78</v>
      </c>
      <c r="C772" s="5" t="s">
        <v>58</v>
      </c>
      <c r="D772" s="2" t="n">
        <v>19</v>
      </c>
      <c r="E772" s="5" t="s">
        <v>164</v>
      </c>
      <c r="F772" s="5" t="s">
        <v>168</v>
      </c>
      <c r="G772" s="2" t="n">
        <v>1</v>
      </c>
      <c r="H772" s="7" t="n">
        <v>-0.811349268</v>
      </c>
      <c r="I772" s="7" t="n">
        <v>0.584353904</v>
      </c>
      <c r="J772" s="7" t="n">
        <v>-0.01558461517</v>
      </c>
      <c r="K772" s="7" t="n">
        <v>-0.584434387</v>
      </c>
      <c r="L772" s="7" t="n">
        <v>-0.8114406089</v>
      </c>
      <c r="M772" s="7" t="n">
        <v>0.0007651412297</v>
      </c>
      <c r="N772" s="7" t="n">
        <v>-0.01219887635</v>
      </c>
      <c r="O772" s="7" t="n">
        <v>0.009728981788</v>
      </c>
      <c r="P772" s="7" t="n">
        <v>0.9998782598</v>
      </c>
      <c r="Q772" s="7" t="n">
        <v>16.62911158</v>
      </c>
      <c r="R772" s="7" t="n">
        <v>12.62361989</v>
      </c>
      <c r="S772" s="7" t="n">
        <v>1.432045462</v>
      </c>
    </row>
    <row r="773" customFormat="false" ht="15" hidden="false" customHeight="false" outlineLevel="0" collapsed="false">
      <c r="A773" s="5" t="s">
        <v>4</v>
      </c>
      <c r="B773" s="5" t="s">
        <v>78</v>
      </c>
      <c r="C773" s="5" t="s">
        <v>62</v>
      </c>
      <c r="D773" s="2" t="n">
        <v>19</v>
      </c>
      <c r="E773" s="5" t="s">
        <v>164</v>
      </c>
      <c r="F773" s="5" t="s">
        <v>168</v>
      </c>
      <c r="G773" s="2" t="n">
        <v>1</v>
      </c>
      <c r="H773" s="7" t="n">
        <v>-0.811349268</v>
      </c>
      <c r="I773" s="7" t="n">
        <v>0.584353904</v>
      </c>
      <c r="J773" s="7" t="n">
        <v>-0.01558461517</v>
      </c>
      <c r="K773" s="7" t="n">
        <v>-0.584434387</v>
      </c>
      <c r="L773" s="7" t="n">
        <v>-0.8114406089</v>
      </c>
      <c r="M773" s="7" t="n">
        <v>0.0007651412297</v>
      </c>
      <c r="N773" s="7" t="n">
        <v>-0.01219887635</v>
      </c>
      <c r="O773" s="7" t="n">
        <v>0.009728981788</v>
      </c>
      <c r="P773" s="7" t="n">
        <v>0.9998782598</v>
      </c>
      <c r="Q773" s="7" t="n">
        <v>16.62911158</v>
      </c>
      <c r="R773" s="7" t="n">
        <v>12.62361989</v>
      </c>
      <c r="S773" s="7" t="n">
        <v>1.432045462</v>
      </c>
    </row>
    <row r="774" customFormat="false" ht="15" hidden="false" customHeight="false" outlineLevel="0" collapsed="false">
      <c r="A774" s="5" t="s">
        <v>4</v>
      </c>
      <c r="B774" s="5" t="s">
        <v>78</v>
      </c>
      <c r="C774" s="5" t="s">
        <v>58</v>
      </c>
      <c r="D774" s="2" t="n">
        <v>20</v>
      </c>
      <c r="E774" s="5" t="s">
        <v>164</v>
      </c>
      <c r="F774" s="5" t="s">
        <v>165</v>
      </c>
      <c r="G774" s="2" t="n">
        <v>1</v>
      </c>
      <c r="H774" s="7" t="n">
        <v>-0.9191374055</v>
      </c>
      <c r="I774" s="7" t="n">
        <v>0.3938754687</v>
      </c>
      <c r="J774" s="7" t="n">
        <v>-0.006967417975</v>
      </c>
      <c r="K774" s="7" t="n">
        <v>-0.3939017953</v>
      </c>
      <c r="L774" s="7" t="n">
        <v>-0.9191480459</v>
      </c>
      <c r="M774" s="7" t="n">
        <v>0.002871475096</v>
      </c>
      <c r="N774" s="7" t="n">
        <v>-0.005273085017</v>
      </c>
      <c r="O774" s="7" t="n">
        <v>0.005383758619</v>
      </c>
      <c r="P774" s="7" t="n">
        <v>0.9999716045</v>
      </c>
      <c r="Q774" s="7" t="n">
        <v>-1.467557245</v>
      </c>
      <c r="R774" s="7" t="n">
        <v>-3.765459502</v>
      </c>
      <c r="S774" s="7" t="n">
        <v>0.1887089641</v>
      </c>
    </row>
    <row r="775" customFormat="false" ht="15" hidden="false" customHeight="false" outlineLevel="0" collapsed="false">
      <c r="A775" s="5" t="s">
        <v>4</v>
      </c>
      <c r="B775" s="5" t="s">
        <v>78</v>
      </c>
      <c r="C775" s="5" t="s">
        <v>62</v>
      </c>
      <c r="D775" s="2" t="n">
        <v>20</v>
      </c>
      <c r="E775" s="5" t="s">
        <v>164</v>
      </c>
      <c r="F775" s="5" t="s">
        <v>165</v>
      </c>
      <c r="G775" s="2" t="n">
        <v>1</v>
      </c>
      <c r="H775" s="7" t="n">
        <v>-0.9191374055</v>
      </c>
      <c r="I775" s="7" t="n">
        <v>0.3938754687</v>
      </c>
      <c r="J775" s="7" t="n">
        <v>-0.006967417975</v>
      </c>
      <c r="K775" s="7" t="n">
        <v>-0.3939017953</v>
      </c>
      <c r="L775" s="7" t="n">
        <v>-0.9191480459</v>
      </c>
      <c r="M775" s="7" t="n">
        <v>0.002871475096</v>
      </c>
      <c r="N775" s="7" t="n">
        <v>-0.005273085017</v>
      </c>
      <c r="O775" s="7" t="n">
        <v>0.005383758619</v>
      </c>
      <c r="P775" s="7" t="n">
        <v>0.9999716045</v>
      </c>
      <c r="Q775" s="7" t="n">
        <v>-1.467557245</v>
      </c>
      <c r="R775" s="7" t="n">
        <v>-3.765459502</v>
      </c>
      <c r="S775" s="7" t="n">
        <v>0.1887089641</v>
      </c>
    </row>
    <row r="776" customFormat="false" ht="15" hidden="false" customHeight="false" outlineLevel="0" collapsed="false">
      <c r="A776" s="5" t="s">
        <v>4</v>
      </c>
      <c r="B776" s="5" t="s">
        <v>78</v>
      </c>
      <c r="C776" s="5" t="s">
        <v>58</v>
      </c>
      <c r="D776" s="2" t="n">
        <v>20</v>
      </c>
      <c r="E776" s="5" t="s">
        <v>164</v>
      </c>
      <c r="F776" s="5" t="s">
        <v>166</v>
      </c>
      <c r="G776" s="2" t="n">
        <v>1</v>
      </c>
      <c r="H776" s="7" t="n">
        <v>-0.9473824915</v>
      </c>
      <c r="I776" s="7" t="n">
        <v>0.3176069754</v>
      </c>
      <c r="J776" s="7" t="n">
        <v>0.03990268264</v>
      </c>
      <c r="K776" s="7" t="n">
        <v>-0.3200892366</v>
      </c>
      <c r="L776" s="7" t="n">
        <v>-0.9411376437</v>
      </c>
      <c r="M776" s="7" t="n">
        <v>-0.108640767</v>
      </c>
      <c r="N776" s="7" t="n">
        <v>0.003048851296</v>
      </c>
      <c r="O776" s="7" t="n">
        <v>-0.1156967798</v>
      </c>
      <c r="P776" s="7" t="n">
        <v>0.9932799</v>
      </c>
      <c r="Q776" s="7" t="n">
        <v>12.70180212</v>
      </c>
      <c r="R776" s="7" t="n">
        <v>1.99052904</v>
      </c>
      <c r="S776" s="7" t="n">
        <v>0.3879533468</v>
      </c>
    </row>
    <row r="777" customFormat="false" ht="15" hidden="false" customHeight="false" outlineLevel="0" collapsed="false">
      <c r="A777" s="5" t="s">
        <v>4</v>
      </c>
      <c r="B777" s="5" t="s">
        <v>78</v>
      </c>
      <c r="C777" s="5" t="s">
        <v>62</v>
      </c>
      <c r="D777" s="2" t="n">
        <v>20</v>
      </c>
      <c r="E777" s="5" t="s">
        <v>164</v>
      </c>
      <c r="F777" s="5" t="s">
        <v>166</v>
      </c>
      <c r="G777" s="2" t="n">
        <v>1</v>
      </c>
      <c r="H777" s="7" t="n">
        <v>-0.9473824915</v>
      </c>
      <c r="I777" s="7" t="n">
        <v>0.3176069754</v>
      </c>
      <c r="J777" s="7" t="n">
        <v>0.03990268264</v>
      </c>
      <c r="K777" s="7" t="n">
        <v>-0.3200892366</v>
      </c>
      <c r="L777" s="7" t="n">
        <v>-0.9411376437</v>
      </c>
      <c r="M777" s="7" t="n">
        <v>-0.108640767</v>
      </c>
      <c r="N777" s="7" t="n">
        <v>0.003048851296</v>
      </c>
      <c r="O777" s="7" t="n">
        <v>-0.1156967798</v>
      </c>
      <c r="P777" s="7" t="n">
        <v>0.9932799</v>
      </c>
      <c r="Q777" s="7" t="n">
        <v>12.70180212</v>
      </c>
      <c r="R777" s="7" t="n">
        <v>1.99052904</v>
      </c>
      <c r="S777" s="7" t="n">
        <v>0.3879533468</v>
      </c>
    </row>
    <row r="778" customFormat="false" ht="15" hidden="false" customHeight="false" outlineLevel="0" collapsed="false">
      <c r="A778" s="5" t="s">
        <v>4</v>
      </c>
      <c r="B778" s="5" t="s">
        <v>78</v>
      </c>
      <c r="C778" s="5" t="s">
        <v>58</v>
      </c>
      <c r="D778" s="2" t="n">
        <v>20</v>
      </c>
      <c r="E778" s="5" t="s">
        <v>164</v>
      </c>
      <c r="F778" s="5" t="s">
        <v>167</v>
      </c>
      <c r="G778" s="2" t="n">
        <v>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customFormat="false" ht="15" hidden="false" customHeight="false" outlineLevel="0" collapsed="false">
      <c r="A779" s="5" t="s">
        <v>4</v>
      </c>
      <c r="B779" s="5" t="s">
        <v>78</v>
      </c>
      <c r="C779" s="5" t="s">
        <v>62</v>
      </c>
      <c r="D779" s="2" t="n">
        <v>20</v>
      </c>
      <c r="E779" s="5" t="s">
        <v>164</v>
      </c>
      <c r="F779" s="5" t="s">
        <v>167</v>
      </c>
      <c r="G779" s="2" t="n">
        <v>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customFormat="false" ht="15" hidden="false" customHeight="false" outlineLevel="0" collapsed="false">
      <c r="A780" s="5" t="s">
        <v>4</v>
      </c>
      <c r="B780" s="5" t="s">
        <v>78</v>
      </c>
      <c r="C780" s="5" t="s">
        <v>58</v>
      </c>
      <c r="D780" s="2" t="n">
        <v>20</v>
      </c>
      <c r="E780" s="5" t="s">
        <v>164</v>
      </c>
      <c r="F780" s="5" t="s">
        <v>168</v>
      </c>
      <c r="G780" s="2" t="n">
        <v>1</v>
      </c>
      <c r="H780" s="7" t="n">
        <v>-0.8134399341</v>
      </c>
      <c r="I780" s="7" t="n">
        <v>0.5814420104</v>
      </c>
      <c r="J780" s="7" t="n">
        <v>-0.01551328942</v>
      </c>
      <c r="K780" s="7" t="n">
        <v>-0.5814866216</v>
      </c>
      <c r="L780" s="7" t="n">
        <v>-0.8135536895</v>
      </c>
      <c r="M780" s="7" t="n">
        <v>-0.001924387</v>
      </c>
      <c r="N780" s="7" t="n">
        <v>-0.01373981329</v>
      </c>
      <c r="O780" s="7" t="n">
        <v>0.007455397022</v>
      </c>
      <c r="P780" s="7" t="n">
        <v>0.9998778098</v>
      </c>
      <c r="Q780" s="7" t="n">
        <v>16.64704089</v>
      </c>
      <c r="R780" s="7" t="n">
        <v>12.63193692</v>
      </c>
      <c r="S780" s="7" t="n">
        <v>1.458821988</v>
      </c>
    </row>
    <row r="781" customFormat="false" ht="15" hidden="false" customHeight="false" outlineLevel="0" collapsed="false">
      <c r="A781" s="5" t="s">
        <v>4</v>
      </c>
      <c r="B781" s="5" t="s">
        <v>78</v>
      </c>
      <c r="C781" s="5" t="s">
        <v>62</v>
      </c>
      <c r="D781" s="2" t="n">
        <v>20</v>
      </c>
      <c r="E781" s="5" t="s">
        <v>164</v>
      </c>
      <c r="F781" s="5" t="s">
        <v>168</v>
      </c>
      <c r="G781" s="2" t="n">
        <v>1</v>
      </c>
      <c r="H781" s="7" t="n">
        <v>-0.8134399341</v>
      </c>
      <c r="I781" s="7" t="n">
        <v>0.5814420104</v>
      </c>
      <c r="J781" s="7" t="n">
        <v>-0.01551328942</v>
      </c>
      <c r="K781" s="7" t="n">
        <v>-0.5814866216</v>
      </c>
      <c r="L781" s="7" t="n">
        <v>-0.8135536895</v>
      </c>
      <c r="M781" s="7" t="n">
        <v>-0.001924387</v>
      </c>
      <c r="N781" s="7" t="n">
        <v>-0.01373981329</v>
      </c>
      <c r="O781" s="7" t="n">
        <v>0.007455397022</v>
      </c>
      <c r="P781" s="7" t="n">
        <v>0.9998778098</v>
      </c>
      <c r="Q781" s="7" t="n">
        <v>16.64704089</v>
      </c>
      <c r="R781" s="7" t="n">
        <v>12.63193692</v>
      </c>
      <c r="S781" s="7" t="n">
        <v>1.458821988</v>
      </c>
    </row>
    <row r="782" customFormat="false" ht="15" hidden="false" customHeight="false" outlineLevel="0" collapsed="false">
      <c r="A782" s="5" t="s">
        <v>4</v>
      </c>
      <c r="B782" s="5" t="s">
        <v>78</v>
      </c>
      <c r="C782" s="5" t="s">
        <v>58</v>
      </c>
      <c r="D782" s="2" t="n">
        <v>11</v>
      </c>
      <c r="E782" s="5" t="s">
        <v>165</v>
      </c>
      <c r="F782" s="5" t="s">
        <v>166</v>
      </c>
      <c r="G782" s="2" t="n">
        <v>1</v>
      </c>
      <c r="H782" s="7" t="n">
        <v>0.9966448417</v>
      </c>
      <c r="I782" s="7" t="n">
        <v>0.08130653733</v>
      </c>
      <c r="J782" s="7" t="n">
        <v>-0.009397153165</v>
      </c>
      <c r="K782" s="7" t="n">
        <v>-0.08125512437</v>
      </c>
      <c r="L782" s="7" t="n">
        <v>0.9966768652</v>
      </c>
      <c r="M782" s="7" t="n">
        <v>0.005729839987</v>
      </c>
      <c r="N782" s="7" t="n">
        <v>0.009831798607</v>
      </c>
      <c r="O782" s="7" t="n">
        <v>-0.004947048618</v>
      </c>
      <c r="P782" s="7" t="n">
        <v>0.9999394294</v>
      </c>
      <c r="Q782" s="7" t="n">
        <v>14.37412812</v>
      </c>
      <c r="R782" s="7" t="n">
        <v>5.834180675</v>
      </c>
      <c r="S782" s="7" t="n">
        <v>0.7275324621</v>
      </c>
    </row>
    <row r="783" customFormat="false" ht="15" hidden="false" customHeight="false" outlineLevel="0" collapsed="false">
      <c r="A783" s="5" t="s">
        <v>4</v>
      </c>
      <c r="B783" s="5" t="s">
        <v>78</v>
      </c>
      <c r="C783" s="5" t="s">
        <v>62</v>
      </c>
      <c r="D783" s="2" t="n">
        <v>11</v>
      </c>
      <c r="E783" s="5" t="s">
        <v>165</v>
      </c>
      <c r="F783" s="5" t="s">
        <v>166</v>
      </c>
      <c r="G783" s="2" t="n">
        <v>1</v>
      </c>
      <c r="H783" s="7" t="n">
        <v>0.9966448417</v>
      </c>
      <c r="I783" s="7" t="n">
        <v>0.08130653733</v>
      </c>
      <c r="J783" s="7" t="n">
        <v>-0.009397153165</v>
      </c>
      <c r="K783" s="7" t="n">
        <v>-0.08125512437</v>
      </c>
      <c r="L783" s="7" t="n">
        <v>0.9966768652</v>
      </c>
      <c r="M783" s="7" t="n">
        <v>0.005729839987</v>
      </c>
      <c r="N783" s="7" t="n">
        <v>0.009831798607</v>
      </c>
      <c r="O783" s="7" t="n">
        <v>-0.004947048618</v>
      </c>
      <c r="P783" s="7" t="n">
        <v>0.9999394294</v>
      </c>
      <c r="Q783" s="7" t="n">
        <v>14.37412812</v>
      </c>
      <c r="R783" s="7" t="n">
        <v>5.834180675</v>
      </c>
      <c r="S783" s="7" t="n">
        <v>0.7275324621</v>
      </c>
    </row>
    <row r="784" customFormat="false" ht="15" hidden="false" customHeight="false" outlineLevel="0" collapsed="false">
      <c r="A784" s="5" t="s">
        <v>4</v>
      </c>
      <c r="B784" s="5" t="s">
        <v>78</v>
      </c>
      <c r="C784" s="5" t="s">
        <v>58</v>
      </c>
      <c r="D784" s="2" t="n">
        <v>11</v>
      </c>
      <c r="E784" s="5" t="s">
        <v>165</v>
      </c>
      <c r="F784" s="5" t="s">
        <v>167</v>
      </c>
      <c r="G784" s="2" t="n">
        <v>1</v>
      </c>
      <c r="H784" s="7" t="n">
        <v>-0.1348375391</v>
      </c>
      <c r="I784" s="7" t="n">
        <v>-0.9907625661</v>
      </c>
      <c r="J784" s="7" t="n">
        <v>-0.0144352217</v>
      </c>
      <c r="K784" s="7" t="n">
        <v>0.9908466061</v>
      </c>
      <c r="L784" s="7" t="n">
        <v>-0.1347252539</v>
      </c>
      <c r="M784" s="7" t="n">
        <v>-0.008491707366</v>
      </c>
      <c r="N784" s="7" t="n">
        <v>0.00646847687</v>
      </c>
      <c r="O784" s="7" t="n">
        <v>-0.01544809136</v>
      </c>
      <c r="P784" s="7" t="n">
        <v>0.9998597478</v>
      </c>
      <c r="Q784" s="7" t="n">
        <v>-14.00714117</v>
      </c>
      <c r="R784" s="7" t="n">
        <v>12.40114003</v>
      </c>
      <c r="S784" s="7" t="n">
        <v>0.1141369932</v>
      </c>
    </row>
    <row r="785" customFormat="false" ht="15" hidden="false" customHeight="false" outlineLevel="0" collapsed="false">
      <c r="A785" s="5" t="s">
        <v>4</v>
      </c>
      <c r="B785" s="5" t="s">
        <v>78</v>
      </c>
      <c r="C785" s="5" t="s">
        <v>62</v>
      </c>
      <c r="D785" s="2" t="n">
        <v>11</v>
      </c>
      <c r="E785" s="5" t="s">
        <v>165</v>
      </c>
      <c r="F785" s="5" t="s">
        <v>167</v>
      </c>
      <c r="G785" s="2" t="n">
        <v>1</v>
      </c>
      <c r="H785" s="7" t="n">
        <v>-0.1348375391</v>
      </c>
      <c r="I785" s="7" t="n">
        <v>-0.9907625661</v>
      </c>
      <c r="J785" s="7" t="n">
        <v>-0.0144352217</v>
      </c>
      <c r="K785" s="7" t="n">
        <v>0.9908466061</v>
      </c>
      <c r="L785" s="7" t="n">
        <v>-0.1347252539</v>
      </c>
      <c r="M785" s="7" t="n">
        <v>-0.008491707366</v>
      </c>
      <c r="N785" s="7" t="n">
        <v>0.00646847687</v>
      </c>
      <c r="O785" s="7" t="n">
        <v>-0.01544809136</v>
      </c>
      <c r="P785" s="7" t="n">
        <v>0.9998597478</v>
      </c>
      <c r="Q785" s="7" t="n">
        <v>-14.00714117</v>
      </c>
      <c r="R785" s="7" t="n">
        <v>12.40114003</v>
      </c>
      <c r="S785" s="7" t="n">
        <v>0.1141369932</v>
      </c>
    </row>
    <row r="786" customFormat="false" ht="15" hidden="false" customHeight="false" outlineLevel="0" collapsed="false">
      <c r="A786" s="5" t="s">
        <v>4</v>
      </c>
      <c r="B786" s="5" t="s">
        <v>78</v>
      </c>
      <c r="C786" s="5" t="s">
        <v>58</v>
      </c>
      <c r="D786" s="2" t="n">
        <v>11</v>
      </c>
      <c r="E786" s="5" t="s">
        <v>165</v>
      </c>
      <c r="F786" s="5" t="s">
        <v>168</v>
      </c>
      <c r="G786" s="2" t="n">
        <v>1</v>
      </c>
      <c r="H786" s="7" t="n">
        <v>0.9763902506</v>
      </c>
      <c r="I786" s="7" t="n">
        <v>-0.2159853879</v>
      </c>
      <c r="J786" s="7" t="n">
        <v>-0.003520047223</v>
      </c>
      <c r="K786" s="7" t="n">
        <v>0.2159717897</v>
      </c>
      <c r="L786" s="7" t="n">
        <v>0.9763919177</v>
      </c>
      <c r="M786" s="7" t="n">
        <v>-0.003874160811</v>
      </c>
      <c r="N786" s="7" t="n">
        <v>0.004273707784</v>
      </c>
      <c r="O786" s="7" t="n">
        <v>0.003022461947</v>
      </c>
      <c r="P786" s="7" t="n">
        <v>0.9999863</v>
      </c>
      <c r="Q786" s="7" t="n">
        <v>17.24294487</v>
      </c>
      <c r="R786" s="7" t="n">
        <v>16.6562995</v>
      </c>
      <c r="S786" s="7" t="n">
        <v>1.472328037</v>
      </c>
    </row>
    <row r="787" customFormat="false" ht="15" hidden="false" customHeight="false" outlineLevel="0" collapsed="false">
      <c r="A787" s="5" t="s">
        <v>4</v>
      </c>
      <c r="B787" s="5" t="s">
        <v>78</v>
      </c>
      <c r="C787" s="5" t="s">
        <v>62</v>
      </c>
      <c r="D787" s="2" t="n">
        <v>11</v>
      </c>
      <c r="E787" s="5" t="s">
        <v>165</v>
      </c>
      <c r="F787" s="5" t="s">
        <v>168</v>
      </c>
      <c r="G787" s="2" t="n">
        <v>1</v>
      </c>
      <c r="H787" s="7" t="n">
        <v>0.9763902506</v>
      </c>
      <c r="I787" s="7" t="n">
        <v>-0.2159853879</v>
      </c>
      <c r="J787" s="7" t="n">
        <v>-0.003520047223</v>
      </c>
      <c r="K787" s="7" t="n">
        <v>0.2159717897</v>
      </c>
      <c r="L787" s="7" t="n">
        <v>0.9763919177</v>
      </c>
      <c r="M787" s="7" t="n">
        <v>-0.003874160811</v>
      </c>
      <c r="N787" s="7" t="n">
        <v>0.004273707784</v>
      </c>
      <c r="O787" s="7" t="n">
        <v>0.003022461947</v>
      </c>
      <c r="P787" s="7" t="n">
        <v>0.9999863</v>
      </c>
      <c r="Q787" s="7" t="n">
        <v>17.24294487</v>
      </c>
      <c r="R787" s="7" t="n">
        <v>16.6562995</v>
      </c>
      <c r="S787" s="7" t="n">
        <v>1.472328037</v>
      </c>
    </row>
    <row r="788" customFormat="false" ht="15" hidden="false" customHeight="false" outlineLevel="0" collapsed="false">
      <c r="A788" s="5" t="s">
        <v>4</v>
      </c>
      <c r="B788" s="5" t="s">
        <v>78</v>
      </c>
      <c r="C788" s="5" t="s">
        <v>58</v>
      </c>
      <c r="D788" s="2" t="n">
        <v>12</v>
      </c>
      <c r="E788" s="5" t="s">
        <v>165</v>
      </c>
      <c r="F788" s="5" t="s">
        <v>166</v>
      </c>
      <c r="G788" s="2" t="n">
        <v>1</v>
      </c>
      <c r="H788" s="7" t="n">
        <v>0.9963408097</v>
      </c>
      <c r="I788" s="7" t="n">
        <v>0.08321474761</v>
      </c>
      <c r="J788" s="7" t="n">
        <v>-0.01950119972</v>
      </c>
      <c r="K788" s="7" t="n">
        <v>-0.08276907359</v>
      </c>
      <c r="L788" s="7" t="n">
        <v>0.9963114453</v>
      </c>
      <c r="M788" s="7" t="n">
        <v>0.02264474361</v>
      </c>
      <c r="N788" s="7" t="n">
        <v>0.0213136451</v>
      </c>
      <c r="O788" s="7" t="n">
        <v>-0.02094778595</v>
      </c>
      <c r="P788" s="7" t="n">
        <v>0.9995533597</v>
      </c>
      <c r="Q788" s="7" t="n">
        <v>14.36134829</v>
      </c>
      <c r="R788" s="7" t="n">
        <v>5.866974958</v>
      </c>
      <c r="S788" s="7" t="n">
        <v>0.6886450012</v>
      </c>
    </row>
    <row r="789" customFormat="false" ht="15" hidden="false" customHeight="false" outlineLevel="0" collapsed="false">
      <c r="A789" s="5" t="s">
        <v>4</v>
      </c>
      <c r="B789" s="5" t="s">
        <v>78</v>
      </c>
      <c r="C789" s="5" t="s">
        <v>62</v>
      </c>
      <c r="D789" s="2" t="n">
        <v>12</v>
      </c>
      <c r="E789" s="5" t="s">
        <v>165</v>
      </c>
      <c r="F789" s="5" t="s">
        <v>166</v>
      </c>
      <c r="G789" s="2" t="n">
        <v>1</v>
      </c>
      <c r="H789" s="7" t="n">
        <v>0.9963408097</v>
      </c>
      <c r="I789" s="7" t="n">
        <v>0.08321474761</v>
      </c>
      <c r="J789" s="7" t="n">
        <v>-0.01950119972</v>
      </c>
      <c r="K789" s="7" t="n">
        <v>-0.08276907359</v>
      </c>
      <c r="L789" s="7" t="n">
        <v>0.9963114453</v>
      </c>
      <c r="M789" s="7" t="n">
        <v>0.02264474361</v>
      </c>
      <c r="N789" s="7" t="n">
        <v>0.0213136451</v>
      </c>
      <c r="O789" s="7" t="n">
        <v>-0.02094778595</v>
      </c>
      <c r="P789" s="7" t="n">
        <v>0.9995533597</v>
      </c>
      <c r="Q789" s="7" t="n">
        <v>14.36134829</v>
      </c>
      <c r="R789" s="7" t="n">
        <v>5.866974958</v>
      </c>
      <c r="S789" s="7" t="n">
        <v>0.6886450012</v>
      </c>
    </row>
    <row r="790" customFormat="false" ht="15" hidden="false" customHeight="false" outlineLevel="0" collapsed="false">
      <c r="A790" s="5" t="s">
        <v>4</v>
      </c>
      <c r="B790" s="5" t="s">
        <v>78</v>
      </c>
      <c r="C790" s="5" t="s">
        <v>58</v>
      </c>
      <c r="D790" s="2" t="n">
        <v>12</v>
      </c>
      <c r="E790" s="5" t="s">
        <v>165</v>
      </c>
      <c r="F790" s="5" t="s">
        <v>167</v>
      </c>
      <c r="G790" s="2" t="n">
        <v>1</v>
      </c>
      <c r="H790" s="7" t="n">
        <v>-0.1358459117</v>
      </c>
      <c r="I790" s="7" t="n">
        <v>-0.9907200104</v>
      </c>
      <c r="J790" s="7" t="n">
        <v>0.004444021231</v>
      </c>
      <c r="K790" s="7" t="n">
        <v>0.9906863902</v>
      </c>
      <c r="L790" s="7" t="n">
        <v>-0.1358806444</v>
      </c>
      <c r="M790" s="7" t="n">
        <v>-0.008770792496</v>
      </c>
      <c r="N790" s="7" t="n">
        <v>0.009293256102</v>
      </c>
      <c r="O790" s="7" t="n">
        <v>0.003211155048</v>
      </c>
      <c r="P790" s="7" t="n">
        <v>0.9999516608</v>
      </c>
      <c r="Q790" s="7" t="n">
        <v>-13.98806818</v>
      </c>
      <c r="R790" s="7" t="n">
        <v>12.39402072</v>
      </c>
      <c r="S790" s="7" t="n">
        <v>0.3653732358</v>
      </c>
    </row>
    <row r="791" customFormat="false" ht="15" hidden="false" customHeight="false" outlineLevel="0" collapsed="false">
      <c r="A791" s="5" t="s">
        <v>4</v>
      </c>
      <c r="B791" s="5" t="s">
        <v>78</v>
      </c>
      <c r="C791" s="5" t="s">
        <v>62</v>
      </c>
      <c r="D791" s="2" t="n">
        <v>12</v>
      </c>
      <c r="E791" s="5" t="s">
        <v>165</v>
      </c>
      <c r="F791" s="5" t="s">
        <v>167</v>
      </c>
      <c r="G791" s="2" t="n">
        <v>1</v>
      </c>
      <c r="H791" s="7" t="n">
        <v>-0.1358459117</v>
      </c>
      <c r="I791" s="7" t="n">
        <v>-0.9907200104</v>
      </c>
      <c r="J791" s="7" t="n">
        <v>0.004444021231</v>
      </c>
      <c r="K791" s="7" t="n">
        <v>0.9906863902</v>
      </c>
      <c r="L791" s="7" t="n">
        <v>-0.1358806444</v>
      </c>
      <c r="M791" s="7" t="n">
        <v>-0.008770792496</v>
      </c>
      <c r="N791" s="7" t="n">
        <v>0.009293256102</v>
      </c>
      <c r="O791" s="7" t="n">
        <v>0.003211155048</v>
      </c>
      <c r="P791" s="7" t="n">
        <v>0.9999516608</v>
      </c>
      <c r="Q791" s="7" t="n">
        <v>-13.98806818</v>
      </c>
      <c r="R791" s="7" t="n">
        <v>12.39402072</v>
      </c>
      <c r="S791" s="7" t="n">
        <v>0.3653732358</v>
      </c>
    </row>
    <row r="792" customFormat="false" ht="15" hidden="false" customHeight="false" outlineLevel="0" collapsed="false">
      <c r="A792" s="5" t="s">
        <v>4</v>
      </c>
      <c r="B792" s="5" t="s">
        <v>78</v>
      </c>
      <c r="C792" s="5" t="s">
        <v>58</v>
      </c>
      <c r="D792" s="2" t="n">
        <v>12</v>
      </c>
      <c r="E792" s="5" t="s">
        <v>165</v>
      </c>
      <c r="F792" s="5" t="s">
        <v>168</v>
      </c>
      <c r="G792" s="2" t="n">
        <v>1</v>
      </c>
      <c r="H792" s="7" t="n">
        <v>0.9745581481</v>
      </c>
      <c r="I792" s="7" t="n">
        <v>-0.2031187476</v>
      </c>
      <c r="J792" s="7" t="n">
        <v>0.09475858965</v>
      </c>
      <c r="K792" s="7" t="n">
        <v>0.2027471981</v>
      </c>
      <c r="L792" s="7" t="n">
        <v>0.9791361882</v>
      </c>
      <c r="M792" s="7" t="n">
        <v>0.01363446184</v>
      </c>
      <c r="N792" s="7" t="n">
        <v>-0.09555097909</v>
      </c>
      <c r="O792" s="7" t="n">
        <v>0.005924462664</v>
      </c>
      <c r="P792" s="7" t="n">
        <v>0.9954069073</v>
      </c>
      <c r="Q792" s="7" t="n">
        <v>17.6017748</v>
      </c>
      <c r="R792" s="7" t="n">
        <v>16.4703729</v>
      </c>
      <c r="S792" s="7" t="n">
        <v>-0.376637739</v>
      </c>
    </row>
    <row r="793" customFormat="false" ht="15" hidden="false" customHeight="false" outlineLevel="0" collapsed="false">
      <c r="A793" s="5" t="s">
        <v>4</v>
      </c>
      <c r="B793" s="5" t="s">
        <v>78</v>
      </c>
      <c r="C793" s="5" t="s">
        <v>62</v>
      </c>
      <c r="D793" s="2" t="n">
        <v>12</v>
      </c>
      <c r="E793" s="5" t="s">
        <v>165</v>
      </c>
      <c r="F793" s="5" t="s">
        <v>168</v>
      </c>
      <c r="G793" s="2" t="n">
        <v>1</v>
      </c>
      <c r="H793" s="7" t="n">
        <v>0.9745581481</v>
      </c>
      <c r="I793" s="7" t="n">
        <v>-0.2031187476</v>
      </c>
      <c r="J793" s="7" t="n">
        <v>0.09475858965</v>
      </c>
      <c r="K793" s="7" t="n">
        <v>0.2027471981</v>
      </c>
      <c r="L793" s="7" t="n">
        <v>0.9791361882</v>
      </c>
      <c r="M793" s="7" t="n">
        <v>0.01363446184</v>
      </c>
      <c r="N793" s="7" t="n">
        <v>-0.09555097909</v>
      </c>
      <c r="O793" s="7" t="n">
        <v>0.005924462664</v>
      </c>
      <c r="P793" s="7" t="n">
        <v>0.9954069073</v>
      </c>
      <c r="Q793" s="7" t="n">
        <v>17.6017748</v>
      </c>
      <c r="R793" s="7" t="n">
        <v>16.4703729</v>
      </c>
      <c r="S793" s="7" t="n">
        <v>-0.376637739</v>
      </c>
    </row>
    <row r="794" customFormat="false" ht="15" hidden="false" customHeight="false" outlineLevel="0" collapsed="false">
      <c r="A794" s="5" t="s">
        <v>4</v>
      </c>
      <c r="B794" s="5" t="s">
        <v>78</v>
      </c>
      <c r="C794" s="5" t="s">
        <v>58</v>
      </c>
      <c r="D794" s="2" t="n">
        <v>13</v>
      </c>
      <c r="E794" s="5" t="s">
        <v>165</v>
      </c>
      <c r="F794" s="5" t="s">
        <v>166</v>
      </c>
      <c r="G794" s="2" t="n">
        <v>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customFormat="false" ht="15" hidden="false" customHeight="false" outlineLevel="0" collapsed="false">
      <c r="A795" s="5" t="s">
        <v>4</v>
      </c>
      <c r="B795" s="5" t="s">
        <v>78</v>
      </c>
      <c r="C795" s="5" t="s">
        <v>62</v>
      </c>
      <c r="D795" s="2" t="n">
        <v>13</v>
      </c>
      <c r="E795" s="5" t="s">
        <v>165</v>
      </c>
      <c r="F795" s="5" t="s">
        <v>166</v>
      </c>
      <c r="G795" s="2" t="n">
        <v>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customFormat="false" ht="15" hidden="false" customHeight="false" outlineLevel="0" collapsed="false">
      <c r="A796" s="5" t="s">
        <v>4</v>
      </c>
      <c r="B796" s="5" t="s">
        <v>78</v>
      </c>
      <c r="C796" s="5" t="s">
        <v>58</v>
      </c>
      <c r="D796" s="2" t="n">
        <v>13</v>
      </c>
      <c r="E796" s="5" t="s">
        <v>165</v>
      </c>
      <c r="F796" s="5" t="s">
        <v>167</v>
      </c>
      <c r="G796" s="2" t="n">
        <v>1</v>
      </c>
      <c r="H796" s="7" t="n">
        <v>-0.1356870294</v>
      </c>
      <c r="I796" s="7" t="n">
        <v>-0.9907402072</v>
      </c>
      <c r="J796" s="7" t="n">
        <v>-0.004782445005</v>
      </c>
      <c r="K796" s="7" t="n">
        <v>0.9907008915</v>
      </c>
      <c r="L796" s="7" t="n">
        <v>-0.1356295739</v>
      </c>
      <c r="M796" s="7" t="n">
        <v>-0.01078713036</v>
      </c>
      <c r="N796" s="7" t="n">
        <v>0.01003860279</v>
      </c>
      <c r="O796" s="7" t="n">
        <v>-0.006201646205</v>
      </c>
      <c r="P796" s="7" t="n">
        <v>0.9999303806</v>
      </c>
      <c r="Q796" s="7" t="n">
        <v>-14.00354825</v>
      </c>
      <c r="R796" s="7" t="n">
        <v>12.38017642</v>
      </c>
      <c r="S796" s="7" t="n">
        <v>0.3794793899</v>
      </c>
    </row>
    <row r="797" customFormat="false" ht="15" hidden="false" customHeight="false" outlineLevel="0" collapsed="false">
      <c r="A797" s="5" t="s">
        <v>4</v>
      </c>
      <c r="B797" s="5" t="s">
        <v>78</v>
      </c>
      <c r="C797" s="5" t="s">
        <v>62</v>
      </c>
      <c r="D797" s="2" t="n">
        <v>13</v>
      </c>
      <c r="E797" s="5" t="s">
        <v>165</v>
      </c>
      <c r="F797" s="5" t="s">
        <v>167</v>
      </c>
      <c r="G797" s="2" t="n">
        <v>1</v>
      </c>
      <c r="H797" s="7" t="n">
        <v>-0.1356870294</v>
      </c>
      <c r="I797" s="7" t="n">
        <v>-0.9907402072</v>
      </c>
      <c r="J797" s="7" t="n">
        <v>-0.004782445005</v>
      </c>
      <c r="K797" s="7" t="n">
        <v>0.9907008915</v>
      </c>
      <c r="L797" s="7" t="n">
        <v>-0.1356295739</v>
      </c>
      <c r="M797" s="7" t="n">
        <v>-0.01078713036</v>
      </c>
      <c r="N797" s="7" t="n">
        <v>0.01003860279</v>
      </c>
      <c r="O797" s="7" t="n">
        <v>-0.006201646205</v>
      </c>
      <c r="P797" s="7" t="n">
        <v>0.9999303806</v>
      </c>
      <c r="Q797" s="7" t="n">
        <v>-14.00354825</v>
      </c>
      <c r="R797" s="7" t="n">
        <v>12.38017642</v>
      </c>
      <c r="S797" s="7" t="n">
        <v>0.3794793899</v>
      </c>
    </row>
    <row r="798" customFormat="false" ht="15" hidden="false" customHeight="false" outlineLevel="0" collapsed="false">
      <c r="A798" s="5" t="s">
        <v>4</v>
      </c>
      <c r="B798" s="5" t="s">
        <v>78</v>
      </c>
      <c r="C798" s="5" t="s">
        <v>58</v>
      </c>
      <c r="D798" s="2" t="n">
        <v>13</v>
      </c>
      <c r="E798" s="5" t="s">
        <v>165</v>
      </c>
      <c r="F798" s="5" t="s">
        <v>168</v>
      </c>
      <c r="G798" s="2" t="n">
        <v>1</v>
      </c>
      <c r="H798" s="7" t="n">
        <v>0.9766484462</v>
      </c>
      <c r="I798" s="7" t="n">
        <v>-0.2146841385</v>
      </c>
      <c r="J798" s="7" t="n">
        <v>-0.008278474344</v>
      </c>
      <c r="K798" s="7" t="n">
        <v>0.2147584745</v>
      </c>
      <c r="L798" s="7" t="n">
        <v>0.9766212197</v>
      </c>
      <c r="M798" s="7" t="n">
        <v>0.009475806206</v>
      </c>
      <c r="N798" s="7" t="n">
        <v>0.00605062842</v>
      </c>
      <c r="O798" s="7" t="n">
        <v>-0.01103240393</v>
      </c>
      <c r="P798" s="7" t="n">
        <v>0.9999208348</v>
      </c>
      <c r="Q798" s="7" t="n">
        <v>17.25777655</v>
      </c>
      <c r="R798" s="7" t="n">
        <v>16.65315741</v>
      </c>
      <c r="S798" s="7" t="n">
        <v>1.28016061</v>
      </c>
    </row>
    <row r="799" customFormat="false" ht="15" hidden="false" customHeight="false" outlineLevel="0" collapsed="false">
      <c r="A799" s="5" t="s">
        <v>4</v>
      </c>
      <c r="B799" s="5" t="s">
        <v>78</v>
      </c>
      <c r="C799" s="5" t="s">
        <v>62</v>
      </c>
      <c r="D799" s="2" t="n">
        <v>13</v>
      </c>
      <c r="E799" s="5" t="s">
        <v>165</v>
      </c>
      <c r="F799" s="5" t="s">
        <v>168</v>
      </c>
      <c r="G799" s="2" t="n">
        <v>1</v>
      </c>
      <c r="H799" s="7" t="n">
        <v>0.9766484462</v>
      </c>
      <c r="I799" s="7" t="n">
        <v>-0.2146841385</v>
      </c>
      <c r="J799" s="7" t="n">
        <v>-0.008278474344</v>
      </c>
      <c r="K799" s="7" t="n">
        <v>0.2147584745</v>
      </c>
      <c r="L799" s="7" t="n">
        <v>0.9766212197</v>
      </c>
      <c r="M799" s="7" t="n">
        <v>0.009475806206</v>
      </c>
      <c r="N799" s="7" t="n">
        <v>0.00605062842</v>
      </c>
      <c r="O799" s="7" t="n">
        <v>-0.01103240393</v>
      </c>
      <c r="P799" s="7" t="n">
        <v>0.9999208348</v>
      </c>
      <c r="Q799" s="7" t="n">
        <v>17.25777655</v>
      </c>
      <c r="R799" s="7" t="n">
        <v>16.65315741</v>
      </c>
      <c r="S799" s="7" t="n">
        <v>1.28016061</v>
      </c>
    </row>
    <row r="800" customFormat="false" ht="15" hidden="false" customHeight="false" outlineLevel="0" collapsed="false">
      <c r="A800" s="5" t="s">
        <v>4</v>
      </c>
      <c r="B800" s="5" t="s">
        <v>78</v>
      </c>
      <c r="C800" s="5" t="s">
        <v>58</v>
      </c>
      <c r="D800" s="2" t="n">
        <v>14</v>
      </c>
      <c r="E800" s="5" t="s">
        <v>165</v>
      </c>
      <c r="F800" s="5" t="s">
        <v>166</v>
      </c>
      <c r="G800" s="2" t="n">
        <v>1</v>
      </c>
      <c r="H800" s="7" t="n">
        <v>0.9963847135</v>
      </c>
      <c r="I800" s="7" t="n">
        <v>0.08285720601</v>
      </c>
      <c r="J800" s="7" t="n">
        <v>-0.01876662337</v>
      </c>
      <c r="K800" s="7" t="n">
        <v>-0.08289165758</v>
      </c>
      <c r="L800" s="7" t="n">
        <v>0.9965579967</v>
      </c>
      <c r="M800" s="7" t="n">
        <v>-0.001064083365</v>
      </c>
      <c r="N800" s="7" t="n">
        <v>0.01861386161</v>
      </c>
      <c r="O800" s="7" t="n">
        <v>0.002615832917</v>
      </c>
      <c r="P800" s="7" t="n">
        <v>0.9998233252</v>
      </c>
      <c r="Q800" s="7" t="n">
        <v>14.37441248</v>
      </c>
      <c r="R800" s="7" t="n">
        <v>5.814021566</v>
      </c>
      <c r="S800" s="7" t="n">
        <v>0.8759100045</v>
      </c>
    </row>
    <row r="801" customFormat="false" ht="15" hidden="false" customHeight="false" outlineLevel="0" collapsed="false">
      <c r="A801" s="5" t="s">
        <v>4</v>
      </c>
      <c r="B801" s="5" t="s">
        <v>78</v>
      </c>
      <c r="C801" s="5" t="s">
        <v>62</v>
      </c>
      <c r="D801" s="2" t="n">
        <v>14</v>
      </c>
      <c r="E801" s="5" t="s">
        <v>165</v>
      </c>
      <c r="F801" s="5" t="s">
        <v>166</v>
      </c>
      <c r="G801" s="2" t="n">
        <v>1</v>
      </c>
      <c r="H801" s="7" t="n">
        <v>0.9963847135</v>
      </c>
      <c r="I801" s="7" t="n">
        <v>0.08285720601</v>
      </c>
      <c r="J801" s="7" t="n">
        <v>-0.01876662337</v>
      </c>
      <c r="K801" s="7" t="n">
        <v>-0.08289165758</v>
      </c>
      <c r="L801" s="7" t="n">
        <v>0.9965579967</v>
      </c>
      <c r="M801" s="7" t="n">
        <v>-0.001064083365</v>
      </c>
      <c r="N801" s="7" t="n">
        <v>0.01861386161</v>
      </c>
      <c r="O801" s="7" t="n">
        <v>0.002615832917</v>
      </c>
      <c r="P801" s="7" t="n">
        <v>0.9998233252</v>
      </c>
      <c r="Q801" s="7" t="n">
        <v>14.37441248</v>
      </c>
      <c r="R801" s="7" t="n">
        <v>5.814021566</v>
      </c>
      <c r="S801" s="7" t="n">
        <v>0.8759100045</v>
      </c>
    </row>
    <row r="802" customFormat="false" ht="15" hidden="false" customHeight="false" outlineLevel="0" collapsed="false">
      <c r="A802" s="5" t="s">
        <v>4</v>
      </c>
      <c r="B802" s="5" t="s">
        <v>78</v>
      </c>
      <c r="C802" s="5" t="s">
        <v>58</v>
      </c>
      <c r="D802" s="2" t="n">
        <v>14</v>
      </c>
      <c r="E802" s="5" t="s">
        <v>165</v>
      </c>
      <c r="F802" s="5" t="s">
        <v>167</v>
      </c>
      <c r="G802" s="2" t="n">
        <v>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customFormat="false" ht="15" hidden="false" customHeight="false" outlineLevel="0" collapsed="false">
      <c r="A803" s="5" t="s">
        <v>4</v>
      </c>
      <c r="B803" s="5" t="s">
        <v>78</v>
      </c>
      <c r="C803" s="5" t="s">
        <v>62</v>
      </c>
      <c r="D803" s="2" t="n">
        <v>14</v>
      </c>
      <c r="E803" s="5" t="s">
        <v>165</v>
      </c>
      <c r="F803" s="5" t="s">
        <v>167</v>
      </c>
      <c r="G803" s="2" t="n">
        <v>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customFormat="false" ht="15" hidden="false" customHeight="false" outlineLevel="0" collapsed="false">
      <c r="A804" s="5" t="s">
        <v>4</v>
      </c>
      <c r="B804" s="5" t="s">
        <v>78</v>
      </c>
      <c r="C804" s="5" t="s">
        <v>58</v>
      </c>
      <c r="D804" s="2" t="n">
        <v>14</v>
      </c>
      <c r="E804" s="5" t="s">
        <v>165</v>
      </c>
      <c r="F804" s="5" t="s">
        <v>168</v>
      </c>
      <c r="G804" s="2" t="n">
        <v>1</v>
      </c>
      <c r="H804" s="7" t="n">
        <v>0.9766159418</v>
      </c>
      <c r="I804" s="7" t="n">
        <v>-0.2149908869</v>
      </c>
      <c r="J804" s="7" t="n">
        <v>0.0004697955633</v>
      </c>
      <c r="K804" s="7" t="n">
        <v>0.2149895405</v>
      </c>
      <c r="L804" s="7" t="n">
        <v>0.9765960735</v>
      </c>
      <c r="M804" s="7" t="n">
        <v>-0.006293384008</v>
      </c>
      <c r="N804" s="7" t="n">
        <v>0.000894219707</v>
      </c>
      <c r="O804" s="7" t="n">
        <v>0.006247220282</v>
      </c>
      <c r="P804" s="7" t="n">
        <v>0.9999800861</v>
      </c>
      <c r="Q804" s="7" t="n">
        <v>17.27724297</v>
      </c>
      <c r="R804" s="7" t="n">
        <v>16.63645033</v>
      </c>
      <c r="S804" s="7" t="n">
        <v>1.527678631</v>
      </c>
    </row>
    <row r="805" customFormat="false" ht="15" hidden="false" customHeight="false" outlineLevel="0" collapsed="false">
      <c r="A805" s="5" t="s">
        <v>4</v>
      </c>
      <c r="B805" s="5" t="s">
        <v>78</v>
      </c>
      <c r="C805" s="5" t="s">
        <v>62</v>
      </c>
      <c r="D805" s="2" t="n">
        <v>14</v>
      </c>
      <c r="E805" s="5" t="s">
        <v>165</v>
      </c>
      <c r="F805" s="5" t="s">
        <v>168</v>
      </c>
      <c r="G805" s="2" t="n">
        <v>1</v>
      </c>
      <c r="H805" s="7" t="n">
        <v>0.9766159418</v>
      </c>
      <c r="I805" s="7" t="n">
        <v>-0.2149908869</v>
      </c>
      <c r="J805" s="7" t="n">
        <v>0.0004697955633</v>
      </c>
      <c r="K805" s="7" t="n">
        <v>0.2149895405</v>
      </c>
      <c r="L805" s="7" t="n">
        <v>0.9765960735</v>
      </c>
      <c r="M805" s="7" t="n">
        <v>-0.006293384008</v>
      </c>
      <c r="N805" s="7" t="n">
        <v>0.000894219707</v>
      </c>
      <c r="O805" s="7" t="n">
        <v>0.006247220282</v>
      </c>
      <c r="P805" s="7" t="n">
        <v>0.9999800861</v>
      </c>
      <c r="Q805" s="7" t="n">
        <v>17.27724297</v>
      </c>
      <c r="R805" s="7" t="n">
        <v>16.63645033</v>
      </c>
      <c r="S805" s="7" t="n">
        <v>1.527678631</v>
      </c>
    </row>
    <row r="806" customFormat="false" ht="15" hidden="false" customHeight="false" outlineLevel="0" collapsed="false">
      <c r="A806" s="5" t="s">
        <v>4</v>
      </c>
      <c r="B806" s="5" t="s">
        <v>78</v>
      </c>
      <c r="C806" s="5" t="s">
        <v>58</v>
      </c>
      <c r="D806" s="2" t="n">
        <v>15</v>
      </c>
      <c r="E806" s="5" t="s">
        <v>165</v>
      </c>
      <c r="F806" s="5" t="s">
        <v>166</v>
      </c>
      <c r="G806" s="2" t="n">
        <v>1</v>
      </c>
      <c r="H806" s="7" t="n">
        <v>0.9966988176</v>
      </c>
      <c r="I806" s="7" t="n">
        <v>0.08098095394</v>
      </c>
      <c r="J806" s="7" t="n">
        <v>-0.005792419648</v>
      </c>
      <c r="K806" s="7" t="n">
        <v>-0.08100307642</v>
      </c>
      <c r="L806" s="7" t="n">
        <v>0.9967070134</v>
      </c>
      <c r="M806" s="7" t="n">
        <v>-0.003692022457</v>
      </c>
      <c r="N806" s="7" t="n">
        <v>0.005474361787</v>
      </c>
      <c r="O806" s="7" t="n">
        <v>0.004149038229</v>
      </c>
      <c r="P806" s="7" t="n">
        <v>0.9999764081</v>
      </c>
      <c r="Q806" s="7" t="n">
        <v>14.38158515</v>
      </c>
      <c r="R806" s="7" t="n">
        <v>5.841253172</v>
      </c>
      <c r="S806" s="7" t="n">
        <v>0.8202673628</v>
      </c>
    </row>
    <row r="807" customFormat="false" ht="15" hidden="false" customHeight="false" outlineLevel="0" collapsed="false">
      <c r="A807" s="5" t="s">
        <v>4</v>
      </c>
      <c r="B807" s="5" t="s">
        <v>78</v>
      </c>
      <c r="C807" s="5" t="s">
        <v>62</v>
      </c>
      <c r="D807" s="2" t="n">
        <v>15</v>
      </c>
      <c r="E807" s="5" t="s">
        <v>165</v>
      </c>
      <c r="F807" s="5" t="s">
        <v>166</v>
      </c>
      <c r="G807" s="2" t="n">
        <v>1</v>
      </c>
      <c r="H807" s="7" t="n">
        <v>0.9966988176</v>
      </c>
      <c r="I807" s="7" t="n">
        <v>0.08098095394</v>
      </c>
      <c r="J807" s="7" t="n">
        <v>-0.005792419648</v>
      </c>
      <c r="K807" s="7" t="n">
        <v>-0.08100307642</v>
      </c>
      <c r="L807" s="7" t="n">
        <v>0.9967070134</v>
      </c>
      <c r="M807" s="7" t="n">
        <v>-0.003692022457</v>
      </c>
      <c r="N807" s="7" t="n">
        <v>0.005474361787</v>
      </c>
      <c r="O807" s="7" t="n">
        <v>0.004149038229</v>
      </c>
      <c r="P807" s="7" t="n">
        <v>0.9999764081</v>
      </c>
      <c r="Q807" s="7" t="n">
        <v>14.38158515</v>
      </c>
      <c r="R807" s="7" t="n">
        <v>5.841253172</v>
      </c>
      <c r="S807" s="7" t="n">
        <v>0.8202673628</v>
      </c>
    </row>
    <row r="808" customFormat="false" ht="15" hidden="false" customHeight="false" outlineLevel="0" collapsed="false">
      <c r="A808" s="5" t="s">
        <v>4</v>
      </c>
      <c r="B808" s="5" t="s">
        <v>78</v>
      </c>
      <c r="C808" s="5" t="s">
        <v>58</v>
      </c>
      <c r="D808" s="2" t="n">
        <v>15</v>
      </c>
      <c r="E808" s="5" t="s">
        <v>165</v>
      </c>
      <c r="F808" s="5" t="s">
        <v>167</v>
      </c>
      <c r="G808" s="2" t="n">
        <v>1</v>
      </c>
      <c r="H808" s="7" t="n">
        <v>-0.1366941146</v>
      </c>
      <c r="I808" s="7" t="n">
        <v>-0.9906118349</v>
      </c>
      <c r="J808" s="7" t="n">
        <v>0.001706354323</v>
      </c>
      <c r="K808" s="7" t="n">
        <v>0.9906121917</v>
      </c>
      <c r="L808" s="7" t="n">
        <v>-0.1366963401</v>
      </c>
      <c r="M808" s="7" t="n">
        <v>-0.001263401863</v>
      </c>
      <c r="N808" s="7" t="n">
        <v>0.001484793229</v>
      </c>
      <c r="O808" s="7" t="n">
        <v>0.001517635797</v>
      </c>
      <c r="P808" s="7" t="n">
        <v>0.9999977461</v>
      </c>
      <c r="Q808" s="7" t="n">
        <v>-14.02159791</v>
      </c>
      <c r="R808" s="7" t="n">
        <v>12.39722246</v>
      </c>
      <c r="S808" s="7" t="n">
        <v>0.3064115423</v>
      </c>
    </row>
    <row r="809" customFormat="false" ht="15" hidden="false" customHeight="false" outlineLevel="0" collapsed="false">
      <c r="A809" s="5" t="s">
        <v>4</v>
      </c>
      <c r="B809" s="5" t="s">
        <v>78</v>
      </c>
      <c r="C809" s="5" t="s">
        <v>62</v>
      </c>
      <c r="D809" s="2" t="n">
        <v>15</v>
      </c>
      <c r="E809" s="5" t="s">
        <v>165</v>
      </c>
      <c r="F809" s="5" t="s">
        <v>167</v>
      </c>
      <c r="G809" s="2" t="n">
        <v>1</v>
      </c>
      <c r="H809" s="7" t="n">
        <v>-0.1366941146</v>
      </c>
      <c r="I809" s="7" t="n">
        <v>-0.9906118349</v>
      </c>
      <c r="J809" s="7" t="n">
        <v>0.001706354323</v>
      </c>
      <c r="K809" s="7" t="n">
        <v>0.9906121917</v>
      </c>
      <c r="L809" s="7" t="n">
        <v>-0.1366963401</v>
      </c>
      <c r="M809" s="7" t="n">
        <v>-0.001263401863</v>
      </c>
      <c r="N809" s="7" t="n">
        <v>0.001484793229</v>
      </c>
      <c r="O809" s="7" t="n">
        <v>0.001517635797</v>
      </c>
      <c r="P809" s="7" t="n">
        <v>0.9999977461</v>
      </c>
      <c r="Q809" s="7" t="n">
        <v>-14.02159791</v>
      </c>
      <c r="R809" s="7" t="n">
        <v>12.39722246</v>
      </c>
      <c r="S809" s="7" t="n">
        <v>0.3064115423</v>
      </c>
    </row>
    <row r="810" customFormat="false" ht="15" hidden="false" customHeight="false" outlineLevel="0" collapsed="false">
      <c r="A810" s="5" t="s">
        <v>4</v>
      </c>
      <c r="B810" s="5" t="s">
        <v>78</v>
      </c>
      <c r="C810" s="5" t="s">
        <v>58</v>
      </c>
      <c r="D810" s="2" t="n">
        <v>15</v>
      </c>
      <c r="E810" s="5" t="s">
        <v>165</v>
      </c>
      <c r="F810" s="5" t="s">
        <v>168</v>
      </c>
      <c r="G810" s="2" t="n">
        <v>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customFormat="false" ht="15" hidden="false" customHeight="false" outlineLevel="0" collapsed="false">
      <c r="A811" s="5" t="s">
        <v>4</v>
      </c>
      <c r="B811" s="5" t="s">
        <v>78</v>
      </c>
      <c r="C811" s="5" t="s">
        <v>62</v>
      </c>
      <c r="D811" s="2" t="n">
        <v>15</v>
      </c>
      <c r="E811" s="5" t="s">
        <v>165</v>
      </c>
      <c r="F811" s="5" t="s">
        <v>168</v>
      </c>
      <c r="G811" s="2" t="n">
        <v>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customFormat="false" ht="15" hidden="false" customHeight="false" outlineLevel="0" collapsed="false">
      <c r="A812" s="5" t="s">
        <v>4</v>
      </c>
      <c r="B812" s="5" t="s">
        <v>78</v>
      </c>
      <c r="C812" s="5" t="s">
        <v>58</v>
      </c>
      <c r="D812" s="2" t="n">
        <v>16</v>
      </c>
      <c r="E812" s="5" t="s">
        <v>165</v>
      </c>
      <c r="F812" s="5" t="s">
        <v>166</v>
      </c>
      <c r="G812" s="2" t="n">
        <v>1</v>
      </c>
      <c r="H812" s="7" t="n">
        <v>0.9966637008</v>
      </c>
      <c r="I812" s="7" t="n">
        <v>0.08063865968</v>
      </c>
      <c r="J812" s="7" t="n">
        <v>-0.01260452685</v>
      </c>
      <c r="K812" s="7" t="n">
        <v>-0.08063820165</v>
      </c>
      <c r="L812" s="7" t="n">
        <v>0.9967432884</v>
      </c>
      <c r="M812" s="7" t="n">
        <v>0.0005453860806</v>
      </c>
      <c r="N812" s="7" t="n">
        <v>0.01260745674</v>
      </c>
      <c r="O812" s="7" t="n">
        <v>0.0004728398684</v>
      </c>
      <c r="P812" s="7" t="n">
        <v>0.9999204111</v>
      </c>
      <c r="Q812" s="7" t="n">
        <v>14.37637</v>
      </c>
      <c r="R812" s="7" t="n">
        <v>5.8360804</v>
      </c>
      <c r="S812" s="7" t="n">
        <v>0.7782170523</v>
      </c>
    </row>
    <row r="813" customFormat="false" ht="15" hidden="false" customHeight="false" outlineLevel="0" collapsed="false">
      <c r="A813" s="5" t="s">
        <v>4</v>
      </c>
      <c r="B813" s="5" t="s">
        <v>78</v>
      </c>
      <c r="C813" s="5" t="s">
        <v>62</v>
      </c>
      <c r="D813" s="2" t="n">
        <v>16</v>
      </c>
      <c r="E813" s="5" t="s">
        <v>165</v>
      </c>
      <c r="F813" s="5" t="s">
        <v>166</v>
      </c>
      <c r="G813" s="2" t="n">
        <v>1</v>
      </c>
      <c r="H813" s="7" t="n">
        <v>0.9966637008</v>
      </c>
      <c r="I813" s="7" t="n">
        <v>0.08063865968</v>
      </c>
      <c r="J813" s="7" t="n">
        <v>-0.01260452685</v>
      </c>
      <c r="K813" s="7" t="n">
        <v>-0.08063820165</v>
      </c>
      <c r="L813" s="7" t="n">
        <v>0.9967432884</v>
      </c>
      <c r="M813" s="7" t="n">
        <v>0.0005453860806</v>
      </c>
      <c r="N813" s="7" t="n">
        <v>0.01260745674</v>
      </c>
      <c r="O813" s="7" t="n">
        <v>0.0004728398684</v>
      </c>
      <c r="P813" s="7" t="n">
        <v>0.9999204111</v>
      </c>
      <c r="Q813" s="7" t="n">
        <v>14.37637</v>
      </c>
      <c r="R813" s="7" t="n">
        <v>5.8360804</v>
      </c>
      <c r="S813" s="7" t="n">
        <v>0.7782170523</v>
      </c>
    </row>
    <row r="814" customFormat="false" ht="15" hidden="false" customHeight="false" outlineLevel="0" collapsed="false">
      <c r="A814" s="5" t="s">
        <v>4</v>
      </c>
      <c r="B814" s="5" t="s">
        <v>78</v>
      </c>
      <c r="C814" s="5" t="s">
        <v>58</v>
      </c>
      <c r="D814" s="2" t="n">
        <v>16</v>
      </c>
      <c r="E814" s="5" t="s">
        <v>165</v>
      </c>
      <c r="F814" s="5" t="s">
        <v>167</v>
      </c>
      <c r="G814" s="2" t="n">
        <v>1</v>
      </c>
      <c r="H814" s="7" t="n">
        <v>-0.1361399791</v>
      </c>
      <c r="I814" s="7" t="n">
        <v>-0.9906849506</v>
      </c>
      <c r="J814" s="7" t="n">
        <v>0.00303888208</v>
      </c>
      <c r="K814" s="7" t="n">
        <v>0.9906882858</v>
      </c>
      <c r="L814" s="7" t="n">
        <v>-0.1361441744</v>
      </c>
      <c r="M814" s="7" t="n">
        <v>-0.001218267842</v>
      </c>
      <c r="N814" s="7" t="n">
        <v>0.001620645708</v>
      </c>
      <c r="O814" s="7" t="n">
        <v>0.00284472992</v>
      </c>
      <c r="P814" s="7" t="n">
        <v>0.9999946405</v>
      </c>
      <c r="Q814" s="7" t="n">
        <v>-14.01632526</v>
      </c>
      <c r="R814" s="7" t="n">
        <v>12.40553293</v>
      </c>
      <c r="S814" s="7" t="n">
        <v>0.3238021418</v>
      </c>
    </row>
    <row r="815" customFormat="false" ht="15" hidden="false" customHeight="false" outlineLevel="0" collapsed="false">
      <c r="A815" s="5" t="s">
        <v>4</v>
      </c>
      <c r="B815" s="5" t="s">
        <v>78</v>
      </c>
      <c r="C815" s="5" t="s">
        <v>62</v>
      </c>
      <c r="D815" s="2" t="n">
        <v>16</v>
      </c>
      <c r="E815" s="5" t="s">
        <v>165</v>
      </c>
      <c r="F815" s="5" t="s">
        <v>167</v>
      </c>
      <c r="G815" s="2" t="n">
        <v>1</v>
      </c>
      <c r="H815" s="7" t="n">
        <v>-0.1361399791</v>
      </c>
      <c r="I815" s="7" t="n">
        <v>-0.9906849506</v>
      </c>
      <c r="J815" s="7" t="n">
        <v>0.00303888208</v>
      </c>
      <c r="K815" s="7" t="n">
        <v>0.9906882858</v>
      </c>
      <c r="L815" s="7" t="n">
        <v>-0.1361441744</v>
      </c>
      <c r="M815" s="7" t="n">
        <v>-0.001218267842</v>
      </c>
      <c r="N815" s="7" t="n">
        <v>0.001620645708</v>
      </c>
      <c r="O815" s="7" t="n">
        <v>0.00284472992</v>
      </c>
      <c r="P815" s="7" t="n">
        <v>0.9999946405</v>
      </c>
      <c r="Q815" s="7" t="n">
        <v>-14.01632526</v>
      </c>
      <c r="R815" s="7" t="n">
        <v>12.40553293</v>
      </c>
      <c r="S815" s="7" t="n">
        <v>0.3238021418</v>
      </c>
    </row>
    <row r="816" customFormat="false" ht="15" hidden="false" customHeight="false" outlineLevel="0" collapsed="false">
      <c r="A816" s="5" t="s">
        <v>4</v>
      </c>
      <c r="B816" s="5" t="s">
        <v>78</v>
      </c>
      <c r="C816" s="5" t="s">
        <v>58</v>
      </c>
      <c r="D816" s="2" t="n">
        <v>16</v>
      </c>
      <c r="E816" s="5" t="s">
        <v>165</v>
      </c>
      <c r="F816" s="5" t="s">
        <v>168</v>
      </c>
      <c r="G816" s="2" t="n">
        <v>1</v>
      </c>
      <c r="H816" s="7" t="n">
        <v>0.9759835056</v>
      </c>
      <c r="I816" s="7" t="n">
        <v>-0.2172182505</v>
      </c>
      <c r="J816" s="7" t="n">
        <v>-0.01650540622</v>
      </c>
      <c r="K816" s="7" t="n">
        <v>0.2173522232</v>
      </c>
      <c r="L816" s="7" t="n">
        <v>0.9760696325</v>
      </c>
      <c r="M816" s="7" t="n">
        <v>0.006788492128</v>
      </c>
      <c r="N816" s="7" t="n">
        <v>0.0146358414</v>
      </c>
      <c r="O816" s="7" t="n">
        <v>-0.01021294308</v>
      </c>
      <c r="P816" s="7" t="n">
        <v>0.9998407313</v>
      </c>
      <c r="Q816" s="7" t="n">
        <v>17.17551504</v>
      </c>
      <c r="R816" s="7" t="n">
        <v>16.70808454</v>
      </c>
      <c r="S816" s="7" t="n">
        <v>1.322441319</v>
      </c>
    </row>
    <row r="817" customFormat="false" ht="15" hidden="false" customHeight="false" outlineLevel="0" collapsed="false">
      <c r="A817" s="5" t="s">
        <v>4</v>
      </c>
      <c r="B817" s="5" t="s">
        <v>78</v>
      </c>
      <c r="C817" s="5" t="s">
        <v>62</v>
      </c>
      <c r="D817" s="2" t="n">
        <v>16</v>
      </c>
      <c r="E817" s="5" t="s">
        <v>165</v>
      </c>
      <c r="F817" s="5" t="s">
        <v>168</v>
      </c>
      <c r="G817" s="2" t="n">
        <v>1</v>
      </c>
      <c r="H817" s="7" t="n">
        <v>0.9759835056</v>
      </c>
      <c r="I817" s="7" t="n">
        <v>-0.2172182505</v>
      </c>
      <c r="J817" s="7" t="n">
        <v>-0.01650540622</v>
      </c>
      <c r="K817" s="7" t="n">
        <v>0.2173522232</v>
      </c>
      <c r="L817" s="7" t="n">
        <v>0.9760696325</v>
      </c>
      <c r="M817" s="7" t="n">
        <v>0.006788492128</v>
      </c>
      <c r="N817" s="7" t="n">
        <v>0.0146358414</v>
      </c>
      <c r="O817" s="7" t="n">
        <v>-0.01021294308</v>
      </c>
      <c r="P817" s="7" t="n">
        <v>0.9998407313</v>
      </c>
      <c r="Q817" s="7" t="n">
        <v>17.17551504</v>
      </c>
      <c r="R817" s="7" t="n">
        <v>16.70808454</v>
      </c>
      <c r="S817" s="7" t="n">
        <v>1.322441319</v>
      </c>
    </row>
    <row r="818" customFormat="false" ht="15" hidden="false" customHeight="false" outlineLevel="0" collapsed="false">
      <c r="A818" s="5" t="s">
        <v>4</v>
      </c>
      <c r="B818" s="5" t="s">
        <v>78</v>
      </c>
      <c r="C818" s="5" t="s">
        <v>58</v>
      </c>
      <c r="D818" s="2" t="n">
        <v>17</v>
      </c>
      <c r="E818" s="5" t="s">
        <v>165</v>
      </c>
      <c r="F818" s="5" t="s">
        <v>166</v>
      </c>
      <c r="G818" s="2" t="n">
        <v>1</v>
      </c>
      <c r="H818" s="7" t="n">
        <v>0.9965564271</v>
      </c>
      <c r="I818" s="7" t="n">
        <v>0.08221768493</v>
      </c>
      <c r="J818" s="7" t="n">
        <v>-0.01074894444</v>
      </c>
      <c r="K818" s="7" t="n">
        <v>-0.08223429605</v>
      </c>
      <c r="L818" s="7" t="n">
        <v>0.9966124042</v>
      </c>
      <c r="M818" s="7" t="n">
        <v>-0.001111886598</v>
      </c>
      <c r="N818" s="7" t="n">
        <v>0.01062111462</v>
      </c>
      <c r="O818" s="7" t="n">
        <v>0.001991989615</v>
      </c>
      <c r="P818" s="7" t="n">
        <v>0.9999416102</v>
      </c>
      <c r="Q818" s="7" t="n">
        <v>14.37216163</v>
      </c>
      <c r="R818" s="7" t="n">
        <v>5.832759311</v>
      </c>
      <c r="S818" s="7" t="n">
        <v>0.8156153771</v>
      </c>
    </row>
    <row r="819" customFormat="false" ht="15" hidden="false" customHeight="false" outlineLevel="0" collapsed="false">
      <c r="A819" s="5" t="s">
        <v>4</v>
      </c>
      <c r="B819" s="5" t="s">
        <v>78</v>
      </c>
      <c r="C819" s="5" t="s">
        <v>62</v>
      </c>
      <c r="D819" s="2" t="n">
        <v>17</v>
      </c>
      <c r="E819" s="5" t="s">
        <v>165</v>
      </c>
      <c r="F819" s="5" t="s">
        <v>166</v>
      </c>
      <c r="G819" s="2" t="n">
        <v>1</v>
      </c>
      <c r="H819" s="7" t="n">
        <v>0.9965564271</v>
      </c>
      <c r="I819" s="7" t="n">
        <v>0.08221768493</v>
      </c>
      <c r="J819" s="7" t="n">
        <v>-0.01074894444</v>
      </c>
      <c r="K819" s="7" t="n">
        <v>-0.08223429605</v>
      </c>
      <c r="L819" s="7" t="n">
        <v>0.9966124042</v>
      </c>
      <c r="M819" s="7" t="n">
        <v>-0.001111886598</v>
      </c>
      <c r="N819" s="7" t="n">
        <v>0.01062111462</v>
      </c>
      <c r="O819" s="7" t="n">
        <v>0.001991989615</v>
      </c>
      <c r="P819" s="7" t="n">
        <v>0.9999416102</v>
      </c>
      <c r="Q819" s="7" t="n">
        <v>14.37216163</v>
      </c>
      <c r="R819" s="7" t="n">
        <v>5.832759311</v>
      </c>
      <c r="S819" s="7" t="n">
        <v>0.8156153771</v>
      </c>
    </row>
    <row r="820" customFormat="false" ht="15" hidden="false" customHeight="false" outlineLevel="0" collapsed="false">
      <c r="A820" s="5" t="s">
        <v>4</v>
      </c>
      <c r="B820" s="5" t="s">
        <v>78</v>
      </c>
      <c r="C820" s="5" t="s">
        <v>58</v>
      </c>
      <c r="D820" s="2" t="n">
        <v>17</v>
      </c>
      <c r="E820" s="5" t="s">
        <v>165</v>
      </c>
      <c r="F820" s="5" t="s">
        <v>167</v>
      </c>
      <c r="G820" s="2" t="n">
        <v>1</v>
      </c>
      <c r="H820" s="7" t="n">
        <v>-0.1350972387</v>
      </c>
      <c r="I820" s="7" t="n">
        <v>-0.9908274096</v>
      </c>
      <c r="J820" s="7" t="n">
        <v>0.003127384333</v>
      </c>
      <c r="K820" s="7" t="n">
        <v>0.9908317561</v>
      </c>
      <c r="L820" s="7" t="n">
        <v>-0.1350930441</v>
      </c>
      <c r="M820" s="7" t="n">
        <v>0.001516725734</v>
      </c>
      <c r="N820" s="7" t="n">
        <v>-0.00108032556</v>
      </c>
      <c r="O820" s="7" t="n">
        <v>0.003303617169</v>
      </c>
      <c r="P820" s="7" t="n">
        <v>0.9999939595</v>
      </c>
      <c r="Q820" s="7" t="n">
        <v>-14.00194471</v>
      </c>
      <c r="R820" s="7" t="n">
        <v>12.41474044</v>
      </c>
      <c r="S820" s="7" t="n">
        <v>0.3126046621</v>
      </c>
    </row>
    <row r="821" customFormat="false" ht="15" hidden="false" customHeight="false" outlineLevel="0" collapsed="false">
      <c r="A821" s="5" t="s">
        <v>4</v>
      </c>
      <c r="B821" s="5" t="s">
        <v>78</v>
      </c>
      <c r="C821" s="5" t="s">
        <v>62</v>
      </c>
      <c r="D821" s="2" t="n">
        <v>17</v>
      </c>
      <c r="E821" s="5" t="s">
        <v>165</v>
      </c>
      <c r="F821" s="5" t="s">
        <v>167</v>
      </c>
      <c r="G821" s="2" t="n">
        <v>1</v>
      </c>
      <c r="H821" s="7" t="n">
        <v>-0.1350972387</v>
      </c>
      <c r="I821" s="7" t="n">
        <v>-0.9908274096</v>
      </c>
      <c r="J821" s="7" t="n">
        <v>0.003127384333</v>
      </c>
      <c r="K821" s="7" t="n">
        <v>0.9908317561</v>
      </c>
      <c r="L821" s="7" t="n">
        <v>-0.1350930441</v>
      </c>
      <c r="M821" s="7" t="n">
        <v>0.001516725734</v>
      </c>
      <c r="N821" s="7" t="n">
        <v>-0.00108032556</v>
      </c>
      <c r="O821" s="7" t="n">
        <v>0.003303617169</v>
      </c>
      <c r="P821" s="7" t="n">
        <v>0.9999939595</v>
      </c>
      <c r="Q821" s="7" t="n">
        <v>-14.00194471</v>
      </c>
      <c r="R821" s="7" t="n">
        <v>12.41474044</v>
      </c>
      <c r="S821" s="7" t="n">
        <v>0.3126046621</v>
      </c>
    </row>
    <row r="822" customFormat="false" ht="15" hidden="false" customHeight="false" outlineLevel="0" collapsed="false">
      <c r="A822" s="5" t="s">
        <v>4</v>
      </c>
      <c r="B822" s="5" t="s">
        <v>78</v>
      </c>
      <c r="C822" s="5" t="s">
        <v>58</v>
      </c>
      <c r="D822" s="2" t="n">
        <v>17</v>
      </c>
      <c r="E822" s="5" t="s">
        <v>165</v>
      </c>
      <c r="F822" s="5" t="s">
        <v>168</v>
      </c>
      <c r="G822" s="2" t="n">
        <v>1</v>
      </c>
      <c r="H822" s="7" t="n">
        <v>0.9762893255</v>
      </c>
      <c r="I822" s="7" t="n">
        <v>-0.2164190949</v>
      </c>
      <c r="J822" s="7" t="n">
        <v>-0.004682769839</v>
      </c>
      <c r="K822" s="7" t="n">
        <v>0.2163973553</v>
      </c>
      <c r="L822" s="7" t="n">
        <v>0.9762938589</v>
      </c>
      <c r="M822" s="7" t="n">
        <v>-0.004741903698</v>
      </c>
      <c r="N822" s="7" t="n">
        <v>0.005597997943</v>
      </c>
      <c r="O822" s="7" t="n">
        <v>0.003616130954</v>
      </c>
      <c r="P822" s="7" t="n">
        <v>0.9999777928</v>
      </c>
      <c r="Q822" s="7" t="n">
        <v>17.23886766</v>
      </c>
      <c r="R822" s="7" t="n">
        <v>16.66729281</v>
      </c>
      <c r="S822" s="7" t="n">
        <v>1.496579323</v>
      </c>
    </row>
    <row r="823" customFormat="false" ht="15" hidden="false" customHeight="false" outlineLevel="0" collapsed="false">
      <c r="A823" s="5" t="s">
        <v>4</v>
      </c>
      <c r="B823" s="5" t="s">
        <v>78</v>
      </c>
      <c r="C823" s="5" t="s">
        <v>62</v>
      </c>
      <c r="D823" s="2" t="n">
        <v>17</v>
      </c>
      <c r="E823" s="5" t="s">
        <v>165</v>
      </c>
      <c r="F823" s="5" t="s">
        <v>168</v>
      </c>
      <c r="G823" s="2" t="n">
        <v>1</v>
      </c>
      <c r="H823" s="7" t="n">
        <v>0.9762893255</v>
      </c>
      <c r="I823" s="7" t="n">
        <v>-0.2164190949</v>
      </c>
      <c r="J823" s="7" t="n">
        <v>-0.004682769839</v>
      </c>
      <c r="K823" s="7" t="n">
        <v>0.2163973553</v>
      </c>
      <c r="L823" s="7" t="n">
        <v>0.9762938589</v>
      </c>
      <c r="M823" s="7" t="n">
        <v>-0.004741903698</v>
      </c>
      <c r="N823" s="7" t="n">
        <v>0.005597997943</v>
      </c>
      <c r="O823" s="7" t="n">
        <v>0.003616130954</v>
      </c>
      <c r="P823" s="7" t="n">
        <v>0.9999777928</v>
      </c>
      <c r="Q823" s="7" t="n">
        <v>17.23886766</v>
      </c>
      <c r="R823" s="7" t="n">
        <v>16.66729281</v>
      </c>
      <c r="S823" s="7" t="n">
        <v>1.496579323</v>
      </c>
    </row>
    <row r="824" customFormat="false" ht="15" hidden="false" customHeight="false" outlineLevel="0" collapsed="false">
      <c r="A824" s="5" t="s">
        <v>4</v>
      </c>
      <c r="B824" s="5" t="s">
        <v>78</v>
      </c>
      <c r="C824" s="5" t="s">
        <v>58</v>
      </c>
      <c r="D824" s="2" t="n">
        <v>18</v>
      </c>
      <c r="E824" s="5" t="s">
        <v>165</v>
      </c>
      <c r="F824" s="5" t="s">
        <v>166</v>
      </c>
      <c r="G824" s="2" t="n">
        <v>1</v>
      </c>
      <c r="H824" s="7" t="n">
        <v>0.9967245939</v>
      </c>
      <c r="I824" s="7" t="n">
        <v>0.08053436944</v>
      </c>
      <c r="J824" s="7" t="n">
        <v>-0.007368806555</v>
      </c>
      <c r="K824" s="7" t="n">
        <v>-0.0805519289</v>
      </c>
      <c r="L824" s="7" t="n">
        <v>0.9967481642</v>
      </c>
      <c r="M824" s="7" t="n">
        <v>-0.002117537227</v>
      </c>
      <c r="N824" s="7" t="n">
        <v>0.007174309881</v>
      </c>
      <c r="O824" s="7" t="n">
        <v>0.002704173014</v>
      </c>
      <c r="P824" s="7" t="n">
        <v>0.9999706079</v>
      </c>
      <c r="Q824" s="7" t="n">
        <v>14.38858447</v>
      </c>
      <c r="R824" s="7" t="n">
        <v>5.805983862</v>
      </c>
      <c r="S824" s="7" t="n">
        <v>0.751041299</v>
      </c>
    </row>
    <row r="825" customFormat="false" ht="15" hidden="false" customHeight="false" outlineLevel="0" collapsed="false">
      <c r="A825" s="5" t="s">
        <v>4</v>
      </c>
      <c r="B825" s="5" t="s">
        <v>78</v>
      </c>
      <c r="C825" s="5" t="s">
        <v>62</v>
      </c>
      <c r="D825" s="2" t="n">
        <v>18</v>
      </c>
      <c r="E825" s="5" t="s">
        <v>165</v>
      </c>
      <c r="F825" s="5" t="s">
        <v>166</v>
      </c>
      <c r="G825" s="2" t="n">
        <v>1</v>
      </c>
      <c r="H825" s="7" t="n">
        <v>0.9967245939</v>
      </c>
      <c r="I825" s="7" t="n">
        <v>0.08053436944</v>
      </c>
      <c r="J825" s="7" t="n">
        <v>-0.007368806555</v>
      </c>
      <c r="K825" s="7" t="n">
        <v>-0.0805519289</v>
      </c>
      <c r="L825" s="7" t="n">
        <v>0.9967481642</v>
      </c>
      <c r="M825" s="7" t="n">
        <v>-0.002117537227</v>
      </c>
      <c r="N825" s="7" t="n">
        <v>0.007174309881</v>
      </c>
      <c r="O825" s="7" t="n">
        <v>0.002704173014</v>
      </c>
      <c r="P825" s="7" t="n">
        <v>0.9999706079</v>
      </c>
      <c r="Q825" s="7" t="n">
        <v>14.38858447</v>
      </c>
      <c r="R825" s="7" t="n">
        <v>5.805983862</v>
      </c>
      <c r="S825" s="7" t="n">
        <v>0.751041299</v>
      </c>
    </row>
    <row r="826" customFormat="false" ht="15" hidden="false" customHeight="false" outlineLevel="0" collapsed="false">
      <c r="A826" s="5" t="s">
        <v>4</v>
      </c>
      <c r="B826" s="5" t="s">
        <v>78</v>
      </c>
      <c r="C826" s="5" t="s">
        <v>58</v>
      </c>
      <c r="D826" s="2" t="n">
        <v>18</v>
      </c>
      <c r="E826" s="5" t="s">
        <v>165</v>
      </c>
      <c r="F826" s="5" t="s">
        <v>167</v>
      </c>
      <c r="G826" s="2" t="n">
        <v>1</v>
      </c>
      <c r="H826" s="7" t="n">
        <v>-0.1370684552</v>
      </c>
      <c r="I826" s="7" t="n">
        <v>-0.9905436213</v>
      </c>
      <c r="J826" s="7" t="n">
        <v>-0.005964302946</v>
      </c>
      <c r="K826" s="7" t="n">
        <v>0.990516515</v>
      </c>
      <c r="L826" s="7" t="n">
        <v>-0.1370023031</v>
      </c>
      <c r="M826" s="7" t="n">
        <v>-0.01036351581</v>
      </c>
      <c r="N826" s="7" t="n">
        <v>0.009448391245</v>
      </c>
      <c r="O826" s="7" t="n">
        <v>-0.007328251672</v>
      </c>
      <c r="P826" s="7" t="n">
        <v>0.9999285098</v>
      </c>
      <c r="Q826" s="7" t="n">
        <v>-14.00966871</v>
      </c>
      <c r="R826" s="7" t="n">
        <v>12.37118383</v>
      </c>
      <c r="S826" s="7" t="n">
        <v>0.2756003187</v>
      </c>
    </row>
    <row r="827" customFormat="false" ht="15" hidden="false" customHeight="false" outlineLevel="0" collapsed="false">
      <c r="A827" s="5" t="s">
        <v>4</v>
      </c>
      <c r="B827" s="5" t="s">
        <v>78</v>
      </c>
      <c r="C827" s="5" t="s">
        <v>62</v>
      </c>
      <c r="D827" s="2" t="n">
        <v>18</v>
      </c>
      <c r="E827" s="5" t="s">
        <v>165</v>
      </c>
      <c r="F827" s="5" t="s">
        <v>167</v>
      </c>
      <c r="G827" s="2" t="n">
        <v>1</v>
      </c>
      <c r="H827" s="7" t="n">
        <v>-0.1370339072</v>
      </c>
      <c r="I827" s="7" t="n">
        <v>-0.9905662482</v>
      </c>
      <c r="J827" s="7" t="n">
        <v>-0.0004649216011</v>
      </c>
      <c r="K827" s="7" t="n">
        <v>0.9905661203</v>
      </c>
      <c r="L827" s="7" t="n">
        <v>-0.1370335346</v>
      </c>
      <c r="M827" s="7" t="n">
        <v>-0.0007560686789</v>
      </c>
      <c r="N827" s="7" t="n">
        <v>0.0006852262643</v>
      </c>
      <c r="O827" s="7" t="n">
        <v>-0.0005641426318</v>
      </c>
      <c r="P827" s="7" t="n">
        <v>0.9999996061</v>
      </c>
      <c r="Q827" s="7" t="n">
        <v>-13.98958224</v>
      </c>
      <c r="R827" s="7" t="n">
        <v>12.38555761</v>
      </c>
      <c r="S827" s="7" t="n">
        <v>0.3263649535</v>
      </c>
    </row>
    <row r="828" customFormat="false" ht="15" hidden="false" customHeight="false" outlineLevel="0" collapsed="false">
      <c r="A828" s="5" t="s">
        <v>4</v>
      </c>
      <c r="B828" s="5" t="s">
        <v>78</v>
      </c>
      <c r="C828" s="5" t="s">
        <v>58</v>
      </c>
      <c r="D828" s="2" t="n">
        <v>18</v>
      </c>
      <c r="E828" s="5" t="s">
        <v>165</v>
      </c>
      <c r="F828" s="5" t="s">
        <v>168</v>
      </c>
      <c r="G828" s="2" t="n">
        <v>1</v>
      </c>
      <c r="H828" s="7" t="n">
        <v>0.9766308952</v>
      </c>
      <c r="I828" s="7" t="n">
        <v>-0.2145430084</v>
      </c>
      <c r="J828" s="7" t="n">
        <v>0.01278248988</v>
      </c>
      <c r="K828" s="7" t="n">
        <v>0.2145111247</v>
      </c>
      <c r="L828" s="7" t="n">
        <v>0.9767140307</v>
      </c>
      <c r="M828" s="7" t="n">
        <v>0.003831395038</v>
      </c>
      <c r="N828" s="7" t="n">
        <v>-0.01330683623</v>
      </c>
      <c r="O828" s="7" t="n">
        <v>-0.0009998724844</v>
      </c>
      <c r="P828" s="7" t="n">
        <v>0.9999109602</v>
      </c>
      <c r="Q828" s="7" t="n">
        <v>17.30824003</v>
      </c>
      <c r="R828" s="7" t="n">
        <v>16.65449081</v>
      </c>
      <c r="S828" s="7" t="n">
        <v>1.007238657</v>
      </c>
    </row>
    <row r="829" customFormat="false" ht="15" hidden="false" customHeight="false" outlineLevel="0" collapsed="false">
      <c r="A829" s="5" t="s">
        <v>4</v>
      </c>
      <c r="B829" s="5" t="s">
        <v>78</v>
      </c>
      <c r="C829" s="5" t="s">
        <v>62</v>
      </c>
      <c r="D829" s="2" t="n">
        <v>18</v>
      </c>
      <c r="E829" s="5" t="s">
        <v>165</v>
      </c>
      <c r="F829" s="5" t="s">
        <v>168</v>
      </c>
      <c r="G829" s="2" t="n">
        <v>1</v>
      </c>
      <c r="H829" s="7" t="n">
        <v>0.9766308952</v>
      </c>
      <c r="I829" s="7" t="n">
        <v>-0.2145430084</v>
      </c>
      <c r="J829" s="7" t="n">
        <v>0.01278248988</v>
      </c>
      <c r="K829" s="7" t="n">
        <v>0.2145111247</v>
      </c>
      <c r="L829" s="7" t="n">
        <v>0.9767140307</v>
      </c>
      <c r="M829" s="7" t="n">
        <v>0.003831395038</v>
      </c>
      <c r="N829" s="7" t="n">
        <v>-0.01330683623</v>
      </c>
      <c r="O829" s="7" t="n">
        <v>-0.0009998724844</v>
      </c>
      <c r="P829" s="7" t="n">
        <v>0.9999109602</v>
      </c>
      <c r="Q829" s="7" t="n">
        <v>17.30824003</v>
      </c>
      <c r="R829" s="7" t="n">
        <v>16.65449081</v>
      </c>
      <c r="S829" s="7" t="n">
        <v>1.007238657</v>
      </c>
    </row>
    <row r="830" customFormat="false" ht="15" hidden="false" customHeight="false" outlineLevel="0" collapsed="false">
      <c r="A830" s="5" t="s">
        <v>4</v>
      </c>
      <c r="B830" s="5" t="s">
        <v>78</v>
      </c>
      <c r="C830" s="5" t="s">
        <v>58</v>
      </c>
      <c r="D830" s="2" t="n">
        <v>19</v>
      </c>
      <c r="E830" s="5" t="s">
        <v>165</v>
      </c>
      <c r="F830" s="5" t="s">
        <v>166</v>
      </c>
      <c r="G830" s="2" t="n">
        <v>1</v>
      </c>
      <c r="H830" s="7" t="n">
        <v>0.9967132</v>
      </c>
      <c r="I830" s="7" t="n">
        <v>0.07890858053</v>
      </c>
      <c r="J830" s="7" t="n">
        <v>-0.01833665147</v>
      </c>
      <c r="K830" s="7" t="n">
        <v>-0.07891557489</v>
      </c>
      <c r="L830" s="7" t="n">
        <v>0.9968812439</v>
      </c>
      <c r="M830" s="7" t="n">
        <v>0.0003429598197</v>
      </c>
      <c r="N830" s="7" t="n">
        <v>0.0183065264</v>
      </c>
      <c r="O830" s="7" t="n">
        <v>0.001105214813</v>
      </c>
      <c r="P830" s="7" t="n">
        <v>0.9998318107</v>
      </c>
      <c r="Q830" s="7" t="n">
        <v>14.33234467</v>
      </c>
      <c r="R830" s="7" t="n">
        <v>5.836454624</v>
      </c>
      <c r="S830" s="7" t="n">
        <v>0.8559200797</v>
      </c>
    </row>
    <row r="831" customFormat="false" ht="15" hidden="false" customHeight="false" outlineLevel="0" collapsed="false">
      <c r="A831" s="5" t="s">
        <v>4</v>
      </c>
      <c r="B831" s="5" t="s">
        <v>78</v>
      </c>
      <c r="C831" s="5" t="s">
        <v>62</v>
      </c>
      <c r="D831" s="2" t="n">
        <v>19</v>
      </c>
      <c r="E831" s="5" t="s">
        <v>165</v>
      </c>
      <c r="F831" s="5" t="s">
        <v>166</v>
      </c>
      <c r="G831" s="2" t="n">
        <v>1</v>
      </c>
      <c r="H831" s="7" t="n">
        <v>0.9967132</v>
      </c>
      <c r="I831" s="7" t="n">
        <v>0.07890858053</v>
      </c>
      <c r="J831" s="7" t="n">
        <v>-0.01833665147</v>
      </c>
      <c r="K831" s="7" t="n">
        <v>-0.07891557489</v>
      </c>
      <c r="L831" s="7" t="n">
        <v>0.9968812439</v>
      </c>
      <c r="M831" s="7" t="n">
        <v>0.0003429598197</v>
      </c>
      <c r="N831" s="7" t="n">
        <v>0.0183065264</v>
      </c>
      <c r="O831" s="7" t="n">
        <v>0.001105214813</v>
      </c>
      <c r="P831" s="7" t="n">
        <v>0.9998318107</v>
      </c>
      <c r="Q831" s="7" t="n">
        <v>14.33234467</v>
      </c>
      <c r="R831" s="7" t="n">
        <v>5.836454624</v>
      </c>
      <c r="S831" s="7" t="n">
        <v>0.8559200797</v>
      </c>
    </row>
    <row r="832" customFormat="false" ht="15" hidden="false" customHeight="false" outlineLevel="0" collapsed="false">
      <c r="A832" s="5" t="s">
        <v>4</v>
      </c>
      <c r="B832" s="5" t="s">
        <v>78</v>
      </c>
      <c r="C832" s="5" t="s">
        <v>58</v>
      </c>
      <c r="D832" s="2" t="n">
        <v>19</v>
      </c>
      <c r="E832" s="5" t="s">
        <v>165</v>
      </c>
      <c r="F832" s="5" t="s">
        <v>167</v>
      </c>
      <c r="G832" s="2" t="n">
        <v>1</v>
      </c>
      <c r="H832" s="7" t="n">
        <v>-0.1349176005</v>
      </c>
      <c r="I832" s="7" t="n">
        <v>-0.9908232833</v>
      </c>
      <c r="J832" s="7" t="n">
        <v>0.008152443885</v>
      </c>
      <c r="K832" s="7" t="n">
        <v>0.9908476962</v>
      </c>
      <c r="L832" s="7" t="n">
        <v>-0.1349471026</v>
      </c>
      <c r="M832" s="7" t="n">
        <v>-0.003181575842</v>
      </c>
      <c r="N832" s="7" t="n">
        <v>0.004252528103</v>
      </c>
      <c r="O832" s="7" t="n">
        <v>0.007648579663</v>
      </c>
      <c r="P832" s="7" t="n">
        <v>0.9999617069</v>
      </c>
      <c r="Q832" s="7" t="n">
        <v>-13.9893697</v>
      </c>
      <c r="R832" s="7" t="n">
        <v>12.40486758</v>
      </c>
      <c r="S832" s="7" t="n">
        <v>0.397184985</v>
      </c>
    </row>
    <row r="833" customFormat="false" ht="15" hidden="false" customHeight="false" outlineLevel="0" collapsed="false">
      <c r="A833" s="5" t="s">
        <v>4</v>
      </c>
      <c r="B833" s="5" t="s">
        <v>78</v>
      </c>
      <c r="C833" s="5" t="s">
        <v>62</v>
      </c>
      <c r="D833" s="2" t="n">
        <v>19</v>
      </c>
      <c r="E833" s="5" t="s">
        <v>165</v>
      </c>
      <c r="F833" s="5" t="s">
        <v>167</v>
      </c>
      <c r="G833" s="2" t="n">
        <v>1</v>
      </c>
      <c r="H833" s="7" t="n">
        <v>-0.1349176005</v>
      </c>
      <c r="I833" s="7" t="n">
        <v>-0.9908232833</v>
      </c>
      <c r="J833" s="7" t="n">
        <v>0.008152443885</v>
      </c>
      <c r="K833" s="7" t="n">
        <v>0.9908476962</v>
      </c>
      <c r="L833" s="7" t="n">
        <v>-0.1349471026</v>
      </c>
      <c r="M833" s="7" t="n">
        <v>-0.003181575842</v>
      </c>
      <c r="N833" s="7" t="n">
        <v>0.004252528103</v>
      </c>
      <c r="O833" s="7" t="n">
        <v>0.007648579663</v>
      </c>
      <c r="P833" s="7" t="n">
        <v>0.9999617069</v>
      </c>
      <c r="Q833" s="7" t="n">
        <v>-13.9893697</v>
      </c>
      <c r="R833" s="7" t="n">
        <v>12.40486758</v>
      </c>
      <c r="S833" s="7" t="n">
        <v>0.397184985</v>
      </c>
    </row>
    <row r="834" customFormat="false" ht="15" hidden="false" customHeight="false" outlineLevel="0" collapsed="false">
      <c r="A834" s="5" t="s">
        <v>4</v>
      </c>
      <c r="B834" s="5" t="s">
        <v>78</v>
      </c>
      <c r="C834" s="5" t="s">
        <v>58</v>
      </c>
      <c r="D834" s="2" t="n">
        <v>19</v>
      </c>
      <c r="E834" s="5" t="s">
        <v>165</v>
      </c>
      <c r="F834" s="5" t="s">
        <v>168</v>
      </c>
      <c r="G834" s="2" t="n">
        <v>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customFormat="false" ht="15" hidden="false" customHeight="false" outlineLevel="0" collapsed="false">
      <c r="A835" s="5" t="s">
        <v>4</v>
      </c>
      <c r="B835" s="5" t="s">
        <v>78</v>
      </c>
      <c r="C835" s="5" t="s">
        <v>62</v>
      </c>
      <c r="D835" s="2" t="n">
        <v>19</v>
      </c>
      <c r="E835" s="5" t="s">
        <v>165</v>
      </c>
      <c r="F835" s="5" t="s">
        <v>168</v>
      </c>
      <c r="G835" s="2" t="n">
        <v>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customFormat="false" ht="15" hidden="false" customHeight="false" outlineLevel="0" collapsed="false">
      <c r="A836" s="5" t="s">
        <v>4</v>
      </c>
      <c r="B836" s="5" t="s">
        <v>78</v>
      </c>
      <c r="C836" s="5" t="s">
        <v>58</v>
      </c>
      <c r="D836" s="2" t="n">
        <v>20</v>
      </c>
      <c r="E836" s="5" t="s">
        <v>165</v>
      </c>
      <c r="F836" s="5" t="s">
        <v>166</v>
      </c>
      <c r="G836" s="2" t="n">
        <v>1</v>
      </c>
      <c r="H836" s="7" t="n">
        <v>0.9966655718</v>
      </c>
      <c r="I836" s="7" t="n">
        <v>0.08147808761</v>
      </c>
      <c r="J836" s="7" t="n">
        <v>-0.004365689847</v>
      </c>
      <c r="K836" s="7" t="n">
        <v>-0.08149738182</v>
      </c>
      <c r="L836" s="7" t="n">
        <v>0.9966636643</v>
      </c>
      <c r="M836" s="7" t="n">
        <v>-0.004440373976</v>
      </c>
      <c r="N836" s="7" t="n">
        <v>0.003989331261</v>
      </c>
      <c r="O836" s="7" t="n">
        <v>0.004781360161</v>
      </c>
      <c r="P836" s="7" t="n">
        <v>0.9999806117</v>
      </c>
      <c r="Q836" s="7" t="n">
        <v>14.38184735</v>
      </c>
      <c r="R836" s="7" t="n">
        <v>5.846436734</v>
      </c>
      <c r="S836" s="7" t="n">
        <v>0.7970939635</v>
      </c>
    </row>
    <row r="837" customFormat="false" ht="15" hidden="false" customHeight="false" outlineLevel="0" collapsed="false">
      <c r="A837" s="5" t="s">
        <v>4</v>
      </c>
      <c r="B837" s="5" t="s">
        <v>78</v>
      </c>
      <c r="C837" s="5" t="s">
        <v>62</v>
      </c>
      <c r="D837" s="2" t="n">
        <v>20</v>
      </c>
      <c r="E837" s="5" t="s">
        <v>165</v>
      </c>
      <c r="F837" s="5" t="s">
        <v>166</v>
      </c>
      <c r="G837" s="2" t="n">
        <v>1</v>
      </c>
      <c r="H837" s="7" t="n">
        <v>0.9966655718</v>
      </c>
      <c r="I837" s="7" t="n">
        <v>0.08147808761</v>
      </c>
      <c r="J837" s="7" t="n">
        <v>-0.004365689847</v>
      </c>
      <c r="K837" s="7" t="n">
        <v>-0.08149738182</v>
      </c>
      <c r="L837" s="7" t="n">
        <v>0.9966636643</v>
      </c>
      <c r="M837" s="7" t="n">
        <v>-0.004440373976</v>
      </c>
      <c r="N837" s="7" t="n">
        <v>0.003989331261</v>
      </c>
      <c r="O837" s="7" t="n">
        <v>0.004781360161</v>
      </c>
      <c r="P837" s="7" t="n">
        <v>0.9999806117</v>
      </c>
      <c r="Q837" s="7" t="n">
        <v>14.38184735</v>
      </c>
      <c r="R837" s="7" t="n">
        <v>5.846436734</v>
      </c>
      <c r="S837" s="7" t="n">
        <v>0.7970939635</v>
      </c>
    </row>
    <row r="838" customFormat="false" ht="15" hidden="false" customHeight="false" outlineLevel="0" collapsed="false">
      <c r="A838" s="5" t="s">
        <v>4</v>
      </c>
      <c r="B838" s="5" t="s">
        <v>78</v>
      </c>
      <c r="C838" s="5" t="s">
        <v>58</v>
      </c>
      <c r="D838" s="2" t="n">
        <v>20</v>
      </c>
      <c r="E838" s="5" t="s">
        <v>165</v>
      </c>
      <c r="F838" s="5" t="s">
        <v>167</v>
      </c>
      <c r="G838" s="2" t="n">
        <v>1</v>
      </c>
      <c r="H838" s="7" t="n">
        <v>-0.1351655599</v>
      </c>
      <c r="I838" s="7" t="n">
        <v>-0.9907883568</v>
      </c>
      <c r="J838" s="7" t="n">
        <v>-0.00828875683</v>
      </c>
      <c r="K838" s="7" t="n">
        <v>0.9908142385</v>
      </c>
      <c r="L838" s="7" t="n">
        <v>-0.1351243963</v>
      </c>
      <c r="M838" s="7" t="n">
        <v>-0.005342507568</v>
      </c>
      <c r="N838" s="7" t="n">
        <v>0.004173281031</v>
      </c>
      <c r="O838" s="7" t="n">
        <v>-0.008934741313</v>
      </c>
      <c r="P838" s="7" t="n">
        <v>0.9999513759</v>
      </c>
      <c r="Q838" s="7" t="n">
        <v>-14.01662476</v>
      </c>
      <c r="R838" s="7" t="n">
        <v>12.39765953</v>
      </c>
      <c r="S838" s="7" t="n">
        <v>0.2047972355</v>
      </c>
    </row>
    <row r="839" customFormat="false" ht="15" hidden="false" customHeight="false" outlineLevel="0" collapsed="false">
      <c r="A839" s="5" t="s">
        <v>4</v>
      </c>
      <c r="B839" s="5" t="s">
        <v>78</v>
      </c>
      <c r="C839" s="5" t="s">
        <v>62</v>
      </c>
      <c r="D839" s="2" t="n">
        <v>20</v>
      </c>
      <c r="E839" s="5" t="s">
        <v>165</v>
      </c>
      <c r="F839" s="5" t="s">
        <v>167</v>
      </c>
      <c r="G839" s="2" t="n">
        <v>1</v>
      </c>
      <c r="H839" s="7" t="n">
        <v>-0.1351655599</v>
      </c>
      <c r="I839" s="7" t="n">
        <v>-0.9907883568</v>
      </c>
      <c r="J839" s="7" t="n">
        <v>-0.00828875683</v>
      </c>
      <c r="K839" s="7" t="n">
        <v>0.9908142385</v>
      </c>
      <c r="L839" s="7" t="n">
        <v>-0.1351243963</v>
      </c>
      <c r="M839" s="7" t="n">
        <v>-0.005342507568</v>
      </c>
      <c r="N839" s="7" t="n">
        <v>0.004173281031</v>
      </c>
      <c r="O839" s="7" t="n">
        <v>-0.008934741313</v>
      </c>
      <c r="P839" s="7" t="n">
        <v>0.9999513759</v>
      </c>
      <c r="Q839" s="7" t="n">
        <v>-14.01662476</v>
      </c>
      <c r="R839" s="7" t="n">
        <v>12.39765953</v>
      </c>
      <c r="S839" s="7" t="n">
        <v>0.2047972355</v>
      </c>
    </row>
    <row r="840" customFormat="false" ht="15" hidden="false" customHeight="false" outlineLevel="0" collapsed="false">
      <c r="A840" s="5" t="s">
        <v>4</v>
      </c>
      <c r="B840" s="5" t="s">
        <v>78</v>
      </c>
      <c r="C840" s="5" t="s">
        <v>58</v>
      </c>
      <c r="D840" s="2" t="n">
        <v>20</v>
      </c>
      <c r="E840" s="5" t="s">
        <v>165</v>
      </c>
      <c r="F840" s="5" t="s">
        <v>168</v>
      </c>
      <c r="G840" s="2" t="n">
        <v>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customFormat="false" ht="15" hidden="false" customHeight="false" outlineLevel="0" collapsed="false">
      <c r="A841" s="5" t="s">
        <v>4</v>
      </c>
      <c r="B841" s="5" t="s">
        <v>78</v>
      </c>
      <c r="C841" s="5" t="s">
        <v>62</v>
      </c>
      <c r="D841" s="2" t="n">
        <v>20</v>
      </c>
      <c r="E841" s="5" t="s">
        <v>165</v>
      </c>
      <c r="F841" s="5" t="s">
        <v>168</v>
      </c>
      <c r="G841" s="2" t="n">
        <v>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customFormat="false" ht="15" hidden="false" customHeight="false" outlineLevel="0" collapsed="false">
      <c r="A842" s="5" t="s">
        <v>4</v>
      </c>
      <c r="B842" s="5" t="s">
        <v>78</v>
      </c>
      <c r="C842" s="5" t="s">
        <v>58</v>
      </c>
      <c r="D842" s="2" t="n">
        <v>11</v>
      </c>
      <c r="E842" s="5" t="s">
        <v>166</v>
      </c>
      <c r="F842" s="5" t="s">
        <v>167</v>
      </c>
      <c r="G842" s="2" t="n">
        <v>1</v>
      </c>
      <c r="H842" s="7" t="n">
        <v>-0.2158681878</v>
      </c>
      <c r="I842" s="7" t="n">
        <v>-0.9764130574</v>
      </c>
      <c r="J842" s="7" t="n">
        <v>0.004297306906</v>
      </c>
      <c r="K842" s="7" t="n">
        <v>0.9764218861</v>
      </c>
      <c r="L842" s="7" t="n">
        <v>-0.2158709487</v>
      </c>
      <c r="M842" s="7" t="n">
        <v>-0.0001838134941</v>
      </c>
      <c r="N842" s="7" t="n">
        <v>0.001107141614</v>
      </c>
      <c r="O842" s="7" t="n">
        <v>0.004156305028</v>
      </c>
      <c r="P842" s="7" t="n">
        <v>0.9999907496</v>
      </c>
      <c r="Q842" s="7" t="n">
        <v>-5.182272427</v>
      </c>
      <c r="R842" s="7" t="n">
        <v>-0.3731301452</v>
      </c>
      <c r="S842" s="7" t="n">
        <v>-0.3987712215</v>
      </c>
    </row>
    <row r="843" customFormat="false" ht="15" hidden="false" customHeight="false" outlineLevel="0" collapsed="false">
      <c r="A843" s="5" t="s">
        <v>4</v>
      </c>
      <c r="B843" s="5" t="s">
        <v>78</v>
      </c>
      <c r="C843" s="5" t="s">
        <v>62</v>
      </c>
      <c r="D843" s="2" t="n">
        <v>11</v>
      </c>
      <c r="E843" s="5" t="s">
        <v>166</v>
      </c>
      <c r="F843" s="5" t="s">
        <v>167</v>
      </c>
      <c r="G843" s="2" t="n">
        <v>1</v>
      </c>
      <c r="H843" s="7" t="n">
        <v>-0.2158681878</v>
      </c>
      <c r="I843" s="7" t="n">
        <v>-0.9764130574</v>
      </c>
      <c r="J843" s="7" t="n">
        <v>0.004297306906</v>
      </c>
      <c r="K843" s="7" t="n">
        <v>0.9764218861</v>
      </c>
      <c r="L843" s="7" t="n">
        <v>-0.2158709487</v>
      </c>
      <c r="M843" s="7" t="n">
        <v>-0.0001838134941</v>
      </c>
      <c r="N843" s="7" t="n">
        <v>0.001107141614</v>
      </c>
      <c r="O843" s="7" t="n">
        <v>0.004156305028</v>
      </c>
      <c r="P843" s="7" t="n">
        <v>0.9999907496</v>
      </c>
      <c r="Q843" s="7" t="n">
        <v>-5.182272427</v>
      </c>
      <c r="R843" s="7" t="n">
        <v>-0.3731301452</v>
      </c>
      <c r="S843" s="7" t="n">
        <v>-0.3987712215</v>
      </c>
    </row>
    <row r="844" customFormat="false" ht="15" hidden="false" customHeight="false" outlineLevel="0" collapsed="false">
      <c r="A844" s="5" t="s">
        <v>4</v>
      </c>
      <c r="B844" s="5" t="s">
        <v>78</v>
      </c>
      <c r="C844" s="5" t="s">
        <v>58</v>
      </c>
      <c r="D844" s="2" t="n">
        <v>11</v>
      </c>
      <c r="E844" s="5" t="s">
        <v>166</v>
      </c>
      <c r="F844" s="5" t="s">
        <v>168</v>
      </c>
      <c r="G844" s="2" t="n">
        <v>1</v>
      </c>
      <c r="H844" s="7" t="n">
        <v>0.9558419724</v>
      </c>
      <c r="I844" s="7" t="n">
        <v>-0.2938771592</v>
      </c>
      <c r="J844" s="7" t="n">
        <v>-0.001529428029</v>
      </c>
      <c r="K844" s="7" t="n">
        <v>0.293877984</v>
      </c>
      <c r="L844" s="7" t="n">
        <v>0.9558428816</v>
      </c>
      <c r="M844" s="7" t="n">
        <v>0.0003407886726</v>
      </c>
      <c r="N844" s="7" t="n">
        <v>0.001361742887</v>
      </c>
      <c r="O844" s="7" t="n">
        <v>-0.0007752053427</v>
      </c>
      <c r="P844" s="7" t="n">
        <v>0.9999987724</v>
      </c>
      <c r="Q844" s="7" t="n">
        <v>5.219062774</v>
      </c>
      <c r="R844" s="7" t="n">
        <v>6.862412999</v>
      </c>
      <c r="S844" s="7" t="n">
        <v>0.7373115371</v>
      </c>
    </row>
    <row r="845" customFormat="false" ht="15" hidden="false" customHeight="false" outlineLevel="0" collapsed="false">
      <c r="A845" s="5" t="s">
        <v>4</v>
      </c>
      <c r="B845" s="5" t="s">
        <v>78</v>
      </c>
      <c r="C845" s="5" t="s">
        <v>62</v>
      </c>
      <c r="D845" s="2" t="n">
        <v>11</v>
      </c>
      <c r="E845" s="5" t="s">
        <v>166</v>
      </c>
      <c r="F845" s="5" t="s">
        <v>168</v>
      </c>
      <c r="G845" s="2" t="n">
        <v>1</v>
      </c>
      <c r="H845" s="7" t="n">
        <v>0.9558419724</v>
      </c>
      <c r="I845" s="7" t="n">
        <v>-0.2938771592</v>
      </c>
      <c r="J845" s="7" t="n">
        <v>-0.001529428029</v>
      </c>
      <c r="K845" s="7" t="n">
        <v>0.293877984</v>
      </c>
      <c r="L845" s="7" t="n">
        <v>0.9558428816</v>
      </c>
      <c r="M845" s="7" t="n">
        <v>0.0003407886726</v>
      </c>
      <c r="N845" s="7" t="n">
        <v>0.001361742887</v>
      </c>
      <c r="O845" s="7" t="n">
        <v>-0.0007752053427</v>
      </c>
      <c r="P845" s="7" t="n">
        <v>0.9999987724</v>
      </c>
      <c r="Q845" s="7" t="n">
        <v>5.219062774</v>
      </c>
      <c r="R845" s="7" t="n">
        <v>6.862412999</v>
      </c>
      <c r="S845" s="7" t="n">
        <v>0.7373115371</v>
      </c>
    </row>
    <row r="846" customFormat="false" ht="15" hidden="false" customHeight="false" outlineLevel="0" collapsed="false">
      <c r="A846" s="5" t="s">
        <v>4</v>
      </c>
      <c r="B846" s="5" t="s">
        <v>78</v>
      </c>
      <c r="C846" s="5" t="s">
        <v>58</v>
      </c>
      <c r="D846" s="2" t="n">
        <v>12</v>
      </c>
      <c r="E846" s="5" t="s">
        <v>166</v>
      </c>
      <c r="F846" s="5" t="s">
        <v>167</v>
      </c>
      <c r="G846" s="2" t="n">
        <v>1</v>
      </c>
      <c r="H846" s="7" t="n">
        <v>-0.215102301</v>
      </c>
      <c r="I846" s="7" t="n">
        <v>-0.9765258655</v>
      </c>
      <c r="J846" s="7" t="n">
        <v>0.01132405158</v>
      </c>
      <c r="K846" s="7" t="n">
        <v>0.9765915122</v>
      </c>
      <c r="L846" s="7" t="n">
        <v>-0.2150894453</v>
      </c>
      <c r="M846" s="7" t="n">
        <v>0.00235558174</v>
      </c>
      <c r="N846" s="7" t="n">
        <v>0.0001353974765</v>
      </c>
      <c r="O846" s="7" t="n">
        <v>0.01156566371</v>
      </c>
      <c r="P846" s="7" t="n">
        <v>0.9999331063</v>
      </c>
      <c r="Q846" s="7" t="n">
        <v>-5.166878336</v>
      </c>
      <c r="R846" s="7" t="n">
        <v>-0.3693348837</v>
      </c>
      <c r="S846" s="7" t="n">
        <v>-0.369196282</v>
      </c>
    </row>
    <row r="847" customFormat="false" ht="15" hidden="false" customHeight="false" outlineLevel="0" collapsed="false">
      <c r="A847" s="5" t="s">
        <v>4</v>
      </c>
      <c r="B847" s="5" t="s">
        <v>78</v>
      </c>
      <c r="C847" s="5" t="s">
        <v>62</v>
      </c>
      <c r="D847" s="2" t="n">
        <v>12</v>
      </c>
      <c r="E847" s="5" t="s">
        <v>166</v>
      </c>
      <c r="F847" s="5" t="s">
        <v>167</v>
      </c>
      <c r="G847" s="2" t="n">
        <v>1</v>
      </c>
      <c r="H847" s="7" t="n">
        <v>-0.215102301</v>
      </c>
      <c r="I847" s="7" t="n">
        <v>-0.9765258655</v>
      </c>
      <c r="J847" s="7" t="n">
        <v>0.01132405158</v>
      </c>
      <c r="K847" s="7" t="n">
        <v>0.9765915122</v>
      </c>
      <c r="L847" s="7" t="n">
        <v>-0.2150894453</v>
      </c>
      <c r="M847" s="7" t="n">
        <v>0.00235558174</v>
      </c>
      <c r="N847" s="7" t="n">
        <v>0.0001353974765</v>
      </c>
      <c r="O847" s="7" t="n">
        <v>0.01156566371</v>
      </c>
      <c r="P847" s="7" t="n">
        <v>0.9999331063</v>
      </c>
      <c r="Q847" s="7" t="n">
        <v>-5.166878336</v>
      </c>
      <c r="R847" s="7" t="n">
        <v>-0.3693348837</v>
      </c>
      <c r="S847" s="7" t="n">
        <v>-0.369196282</v>
      </c>
    </row>
    <row r="848" customFormat="false" ht="15" hidden="false" customHeight="false" outlineLevel="0" collapsed="false">
      <c r="A848" s="5" t="s">
        <v>4</v>
      </c>
      <c r="B848" s="5" t="s">
        <v>78</v>
      </c>
      <c r="C848" s="5" t="s">
        <v>58</v>
      </c>
      <c r="D848" s="2" t="n">
        <v>12</v>
      </c>
      <c r="E848" s="5" t="s">
        <v>166</v>
      </c>
      <c r="F848" s="5" t="s">
        <v>168</v>
      </c>
      <c r="G848" s="2" t="n">
        <v>1</v>
      </c>
      <c r="H848" s="7" t="n">
        <v>0.9556575537</v>
      </c>
      <c r="I848" s="7" t="n">
        <v>-0.2944796817</v>
      </c>
      <c r="J848" s="7" t="n">
        <v>-0.0005976252137</v>
      </c>
      <c r="K848" s="7" t="n">
        <v>0.2944791531</v>
      </c>
      <c r="L848" s="7" t="n">
        <v>0.9556575369</v>
      </c>
      <c r="M848" s="7" t="n">
        <v>-0.0008370020135</v>
      </c>
      <c r="N848" s="7" t="n">
        <v>0.0008176051262</v>
      </c>
      <c r="O848" s="7" t="n">
        <v>0.0006238991299</v>
      </c>
      <c r="P848" s="7" t="n">
        <v>0.9999994711</v>
      </c>
      <c r="Q848" s="7" t="n">
        <v>5.198708518</v>
      </c>
      <c r="R848" s="7" t="n">
        <v>6.858461059</v>
      </c>
      <c r="S848" s="7" t="n">
        <v>0.7060862568</v>
      </c>
    </row>
    <row r="849" customFormat="false" ht="15" hidden="false" customHeight="false" outlineLevel="0" collapsed="false">
      <c r="A849" s="5" t="s">
        <v>4</v>
      </c>
      <c r="B849" s="5" t="s">
        <v>78</v>
      </c>
      <c r="C849" s="5" t="s">
        <v>62</v>
      </c>
      <c r="D849" s="2" t="n">
        <v>12</v>
      </c>
      <c r="E849" s="5" t="s">
        <v>166</v>
      </c>
      <c r="F849" s="5" t="s">
        <v>168</v>
      </c>
      <c r="G849" s="2" t="n">
        <v>1</v>
      </c>
      <c r="H849" s="7" t="n">
        <v>0.9556575537</v>
      </c>
      <c r="I849" s="7" t="n">
        <v>-0.2944796817</v>
      </c>
      <c r="J849" s="7" t="n">
        <v>-0.0005976252137</v>
      </c>
      <c r="K849" s="7" t="n">
        <v>0.2944791531</v>
      </c>
      <c r="L849" s="7" t="n">
        <v>0.9556575369</v>
      </c>
      <c r="M849" s="7" t="n">
        <v>-0.0008370020135</v>
      </c>
      <c r="N849" s="7" t="n">
        <v>0.0008176051262</v>
      </c>
      <c r="O849" s="7" t="n">
        <v>0.0006238991299</v>
      </c>
      <c r="P849" s="7" t="n">
        <v>0.9999994711</v>
      </c>
      <c r="Q849" s="7" t="n">
        <v>5.198708518</v>
      </c>
      <c r="R849" s="7" t="n">
        <v>6.858461059</v>
      </c>
      <c r="S849" s="7" t="n">
        <v>0.7060862568</v>
      </c>
    </row>
    <row r="850" customFormat="false" ht="15" hidden="false" customHeight="false" outlineLevel="0" collapsed="false">
      <c r="A850" s="5" t="s">
        <v>4</v>
      </c>
      <c r="B850" s="5" t="s">
        <v>78</v>
      </c>
      <c r="C850" s="5" t="s">
        <v>58</v>
      </c>
      <c r="D850" s="2" t="n">
        <v>13</v>
      </c>
      <c r="E850" s="5" t="s">
        <v>166</v>
      </c>
      <c r="F850" s="5" t="s">
        <v>167</v>
      </c>
      <c r="G850" s="2" t="n">
        <v>1</v>
      </c>
      <c r="H850" s="7" t="n">
        <v>-0.2137090342</v>
      </c>
      <c r="I850" s="7" t="n">
        <v>-0.9768410413</v>
      </c>
      <c r="J850" s="7" t="n">
        <v>-0.01048945842</v>
      </c>
      <c r="K850" s="7" t="n">
        <v>0.9768576466</v>
      </c>
      <c r="L850" s="7" t="n">
        <v>-0.2137848437</v>
      </c>
      <c r="M850" s="7" t="n">
        <v>0.006721522221</v>
      </c>
      <c r="N850" s="7" t="n">
        <v>-0.008808345993</v>
      </c>
      <c r="O850" s="7" t="n">
        <v>-0.008810257641</v>
      </c>
      <c r="P850" s="7" t="n">
        <v>0.9999223932</v>
      </c>
      <c r="Q850" s="7" t="n">
        <v>-5.20986432</v>
      </c>
      <c r="R850" s="7" t="n">
        <v>-0.3728034828</v>
      </c>
      <c r="S850" s="7" t="n">
        <v>-0.3955638882</v>
      </c>
    </row>
    <row r="851" customFormat="false" ht="15" hidden="false" customHeight="false" outlineLevel="0" collapsed="false">
      <c r="A851" s="5" t="s">
        <v>4</v>
      </c>
      <c r="B851" s="5" t="s">
        <v>78</v>
      </c>
      <c r="C851" s="5" t="s">
        <v>62</v>
      </c>
      <c r="D851" s="2" t="n">
        <v>13</v>
      </c>
      <c r="E851" s="5" t="s">
        <v>166</v>
      </c>
      <c r="F851" s="5" t="s">
        <v>167</v>
      </c>
      <c r="G851" s="2" t="n">
        <v>1</v>
      </c>
      <c r="H851" s="7" t="n">
        <v>-0.2137090342</v>
      </c>
      <c r="I851" s="7" t="n">
        <v>-0.9768410413</v>
      </c>
      <c r="J851" s="7" t="n">
        <v>-0.01048945842</v>
      </c>
      <c r="K851" s="7" t="n">
        <v>0.9768576466</v>
      </c>
      <c r="L851" s="7" t="n">
        <v>-0.2137848437</v>
      </c>
      <c r="M851" s="7" t="n">
        <v>0.006721522221</v>
      </c>
      <c r="N851" s="7" t="n">
        <v>-0.008808345993</v>
      </c>
      <c r="O851" s="7" t="n">
        <v>-0.008810257641</v>
      </c>
      <c r="P851" s="7" t="n">
        <v>0.9999223932</v>
      </c>
      <c r="Q851" s="7" t="n">
        <v>-5.20986432</v>
      </c>
      <c r="R851" s="7" t="n">
        <v>-0.3728034828</v>
      </c>
      <c r="S851" s="7" t="n">
        <v>-0.3955638882</v>
      </c>
    </row>
    <row r="852" customFormat="false" ht="15" hidden="false" customHeight="false" outlineLevel="0" collapsed="false">
      <c r="A852" s="5" t="s">
        <v>4</v>
      </c>
      <c r="B852" s="5" t="s">
        <v>78</v>
      </c>
      <c r="C852" s="5" t="s">
        <v>58</v>
      </c>
      <c r="D852" s="2" t="n">
        <v>13</v>
      </c>
      <c r="E852" s="5" t="s">
        <v>166</v>
      </c>
      <c r="F852" s="5" t="s">
        <v>168</v>
      </c>
      <c r="G852" s="2" t="n">
        <v>1</v>
      </c>
      <c r="H852" s="7" t="n">
        <v>0.9554219004</v>
      </c>
      <c r="I852" s="7" t="n">
        <v>-0.2952439534</v>
      </c>
      <c r="J852" s="7" t="n">
        <v>1.629887284E-005</v>
      </c>
      <c r="K852" s="7" t="n">
        <v>0.2952431879</v>
      </c>
      <c r="L852" s="7" t="n">
        <v>0.9554192946</v>
      </c>
      <c r="M852" s="7" t="n">
        <v>-0.002330562149</v>
      </c>
      <c r="N852" s="7" t="n">
        <v>0.0006725121249</v>
      </c>
      <c r="O852" s="7" t="n">
        <v>0.002231482249</v>
      </c>
      <c r="P852" s="7" t="n">
        <v>0.9999972841</v>
      </c>
      <c r="Q852" s="7" t="n">
        <v>5.209027968</v>
      </c>
      <c r="R852" s="7" t="n">
        <v>6.853925485</v>
      </c>
      <c r="S852" s="7" t="n">
        <v>0.7234981583</v>
      </c>
    </row>
    <row r="853" customFormat="false" ht="15" hidden="false" customHeight="false" outlineLevel="0" collapsed="false">
      <c r="A853" s="5" t="s">
        <v>4</v>
      </c>
      <c r="B853" s="5" t="s">
        <v>78</v>
      </c>
      <c r="C853" s="5" t="s">
        <v>62</v>
      </c>
      <c r="D853" s="2" t="n">
        <v>13</v>
      </c>
      <c r="E853" s="5" t="s">
        <v>166</v>
      </c>
      <c r="F853" s="5" t="s">
        <v>168</v>
      </c>
      <c r="G853" s="2" t="n">
        <v>1</v>
      </c>
      <c r="H853" s="7" t="n">
        <v>0.9554219004</v>
      </c>
      <c r="I853" s="7" t="n">
        <v>-0.2952439534</v>
      </c>
      <c r="J853" s="7" t="n">
        <v>1.629887284E-005</v>
      </c>
      <c r="K853" s="7" t="n">
        <v>0.2952431879</v>
      </c>
      <c r="L853" s="7" t="n">
        <v>0.9554192946</v>
      </c>
      <c r="M853" s="7" t="n">
        <v>-0.002330562149</v>
      </c>
      <c r="N853" s="7" t="n">
        <v>0.0006725121249</v>
      </c>
      <c r="O853" s="7" t="n">
        <v>0.002231482249</v>
      </c>
      <c r="P853" s="7" t="n">
        <v>0.9999972841</v>
      </c>
      <c r="Q853" s="7" t="n">
        <v>5.209027968</v>
      </c>
      <c r="R853" s="7" t="n">
        <v>6.853925485</v>
      </c>
      <c r="S853" s="7" t="n">
        <v>0.7234981583</v>
      </c>
    </row>
    <row r="854" customFormat="false" ht="15" hidden="false" customHeight="false" outlineLevel="0" collapsed="false">
      <c r="A854" s="5" t="s">
        <v>4</v>
      </c>
      <c r="B854" s="5" t="s">
        <v>78</v>
      </c>
      <c r="C854" s="5" t="s">
        <v>58</v>
      </c>
      <c r="D854" s="2" t="n">
        <v>14</v>
      </c>
      <c r="E854" s="5" t="s">
        <v>166</v>
      </c>
      <c r="F854" s="5" t="s">
        <v>167</v>
      </c>
      <c r="G854" s="2" t="n">
        <v>1</v>
      </c>
      <c r="H854" s="7" t="n">
        <v>-0.2176374493</v>
      </c>
      <c r="I854" s="7" t="n">
        <v>-0.9759636281</v>
      </c>
      <c r="J854" s="7" t="n">
        <v>0.01135505596</v>
      </c>
      <c r="K854" s="7" t="n">
        <v>0.9760274941</v>
      </c>
      <c r="L854" s="7" t="n">
        <v>-0.2175975978</v>
      </c>
      <c r="M854" s="7" t="n">
        <v>0.004649313496</v>
      </c>
      <c r="N854" s="7" t="n">
        <v>-0.002066727968</v>
      </c>
      <c r="O854" s="7" t="n">
        <v>0.01209471154</v>
      </c>
      <c r="P854" s="7" t="n">
        <v>0.9999247205</v>
      </c>
      <c r="Q854" s="7" t="n">
        <v>-5.172464037</v>
      </c>
      <c r="R854" s="7" t="n">
        <v>-0.3893720118</v>
      </c>
      <c r="S854" s="7" t="n">
        <v>-0.4001463262</v>
      </c>
    </row>
    <row r="855" customFormat="false" ht="15" hidden="false" customHeight="false" outlineLevel="0" collapsed="false">
      <c r="A855" s="5" t="s">
        <v>4</v>
      </c>
      <c r="B855" s="5" t="s">
        <v>78</v>
      </c>
      <c r="C855" s="5" t="s">
        <v>62</v>
      </c>
      <c r="D855" s="2" t="n">
        <v>14</v>
      </c>
      <c r="E855" s="5" t="s">
        <v>166</v>
      </c>
      <c r="F855" s="5" t="s">
        <v>167</v>
      </c>
      <c r="G855" s="2" t="n">
        <v>1</v>
      </c>
      <c r="H855" s="7" t="n">
        <v>-0.2176374493</v>
      </c>
      <c r="I855" s="7" t="n">
        <v>-0.9759636281</v>
      </c>
      <c r="J855" s="7" t="n">
        <v>0.01135505596</v>
      </c>
      <c r="K855" s="7" t="n">
        <v>0.9760274941</v>
      </c>
      <c r="L855" s="7" t="n">
        <v>-0.2175975978</v>
      </c>
      <c r="M855" s="7" t="n">
        <v>0.004649313496</v>
      </c>
      <c r="N855" s="7" t="n">
        <v>-0.002066727968</v>
      </c>
      <c r="O855" s="7" t="n">
        <v>0.01209471154</v>
      </c>
      <c r="P855" s="7" t="n">
        <v>0.9999247205</v>
      </c>
      <c r="Q855" s="7" t="n">
        <v>-5.172464037</v>
      </c>
      <c r="R855" s="7" t="n">
        <v>-0.3893720118</v>
      </c>
      <c r="S855" s="7" t="n">
        <v>-0.4001463262</v>
      </c>
    </row>
    <row r="856" customFormat="false" ht="15" hidden="false" customHeight="false" outlineLevel="0" collapsed="false">
      <c r="A856" s="5" t="s">
        <v>4</v>
      </c>
      <c r="B856" s="5" t="s">
        <v>78</v>
      </c>
      <c r="C856" s="5" t="s">
        <v>58</v>
      </c>
      <c r="D856" s="2" t="n">
        <v>14</v>
      </c>
      <c r="E856" s="5" t="s">
        <v>166</v>
      </c>
      <c r="F856" s="5" t="s">
        <v>168</v>
      </c>
      <c r="G856" s="2" t="n">
        <v>1</v>
      </c>
      <c r="H856" s="7" t="n">
        <v>0.9557573524</v>
      </c>
      <c r="I856" s="7" t="n">
        <v>-0.2941437383</v>
      </c>
      <c r="J856" s="7" t="n">
        <v>-0.002710083478</v>
      </c>
      <c r="K856" s="7" t="n">
        <v>0.2941463044</v>
      </c>
      <c r="L856" s="7" t="n">
        <v>0.9557602206</v>
      </c>
      <c r="M856" s="7" t="n">
        <v>0.000593655479</v>
      </c>
      <c r="N856" s="7" t="n">
        <v>0.002415569941</v>
      </c>
      <c r="O856" s="7" t="n">
        <v>-0.001364551628</v>
      </c>
      <c r="P856" s="7" t="n">
        <v>0.9999961515</v>
      </c>
      <c r="Q856" s="7" t="n">
        <v>5.20527353</v>
      </c>
      <c r="R856" s="7" t="n">
        <v>6.868319844</v>
      </c>
      <c r="S856" s="7" t="n">
        <v>0.7130486565</v>
      </c>
    </row>
    <row r="857" customFormat="false" ht="15" hidden="false" customHeight="false" outlineLevel="0" collapsed="false">
      <c r="A857" s="5" t="s">
        <v>4</v>
      </c>
      <c r="B857" s="5" t="s">
        <v>78</v>
      </c>
      <c r="C857" s="5" t="s">
        <v>62</v>
      </c>
      <c r="D857" s="2" t="n">
        <v>14</v>
      </c>
      <c r="E857" s="5" t="s">
        <v>166</v>
      </c>
      <c r="F857" s="5" t="s">
        <v>168</v>
      </c>
      <c r="G857" s="2" t="n">
        <v>1</v>
      </c>
      <c r="H857" s="7" t="n">
        <v>0.9557573524</v>
      </c>
      <c r="I857" s="7" t="n">
        <v>-0.2941437383</v>
      </c>
      <c r="J857" s="7" t="n">
        <v>-0.002710083478</v>
      </c>
      <c r="K857" s="7" t="n">
        <v>0.2941463044</v>
      </c>
      <c r="L857" s="7" t="n">
        <v>0.9557602206</v>
      </c>
      <c r="M857" s="7" t="n">
        <v>0.000593655479</v>
      </c>
      <c r="N857" s="7" t="n">
        <v>0.002415569941</v>
      </c>
      <c r="O857" s="7" t="n">
        <v>-0.001364551628</v>
      </c>
      <c r="P857" s="7" t="n">
        <v>0.9999961515</v>
      </c>
      <c r="Q857" s="7" t="n">
        <v>5.20527353</v>
      </c>
      <c r="R857" s="7" t="n">
        <v>6.868319844</v>
      </c>
      <c r="S857" s="7" t="n">
        <v>0.7130486565</v>
      </c>
    </row>
    <row r="858" customFormat="false" ht="15" hidden="false" customHeight="false" outlineLevel="0" collapsed="false">
      <c r="A858" s="5" t="s">
        <v>4</v>
      </c>
      <c r="B858" s="5" t="s">
        <v>78</v>
      </c>
      <c r="C858" s="5" t="s">
        <v>58</v>
      </c>
      <c r="D858" s="2" t="n">
        <v>15</v>
      </c>
      <c r="E858" s="5" t="s">
        <v>166</v>
      </c>
      <c r="F858" s="5" t="s">
        <v>167</v>
      </c>
      <c r="G858" s="2" t="n">
        <v>1</v>
      </c>
      <c r="H858" s="7" t="n">
        <v>-0.2170292342</v>
      </c>
      <c r="I858" s="7" t="n">
        <v>-0.976149486</v>
      </c>
      <c r="J858" s="7" t="n">
        <v>0.005522009083</v>
      </c>
      <c r="K858" s="7" t="n">
        <v>0.9761611295</v>
      </c>
      <c r="L858" s="7" t="n">
        <v>-0.2170410216</v>
      </c>
      <c r="M858" s="7" t="n">
        <v>-0.001626098881</v>
      </c>
      <c r="N858" s="7" t="n">
        <v>0.002785818079</v>
      </c>
      <c r="O858" s="7" t="n">
        <v>0.005037459629</v>
      </c>
      <c r="P858" s="7" t="n">
        <v>0.9999834315</v>
      </c>
      <c r="Q858" s="7" t="n">
        <v>-5.194278785</v>
      </c>
      <c r="R858" s="7" t="n">
        <v>-0.398270935</v>
      </c>
      <c r="S858" s="7" t="n">
        <v>-0.419639135</v>
      </c>
    </row>
    <row r="859" customFormat="false" ht="15" hidden="false" customHeight="false" outlineLevel="0" collapsed="false">
      <c r="A859" s="5" t="s">
        <v>4</v>
      </c>
      <c r="B859" s="5" t="s">
        <v>78</v>
      </c>
      <c r="C859" s="5" t="s">
        <v>62</v>
      </c>
      <c r="D859" s="2" t="n">
        <v>15</v>
      </c>
      <c r="E859" s="5" t="s">
        <v>166</v>
      </c>
      <c r="F859" s="5" t="s">
        <v>167</v>
      </c>
      <c r="G859" s="2" t="n">
        <v>1</v>
      </c>
      <c r="H859" s="7" t="n">
        <v>-0.2170292342</v>
      </c>
      <c r="I859" s="7" t="n">
        <v>-0.976149486</v>
      </c>
      <c r="J859" s="7" t="n">
        <v>0.005522009083</v>
      </c>
      <c r="K859" s="7" t="n">
        <v>0.9761611295</v>
      </c>
      <c r="L859" s="7" t="n">
        <v>-0.2170410216</v>
      </c>
      <c r="M859" s="7" t="n">
        <v>-0.001626098881</v>
      </c>
      <c r="N859" s="7" t="n">
        <v>0.002785818079</v>
      </c>
      <c r="O859" s="7" t="n">
        <v>0.005037459629</v>
      </c>
      <c r="P859" s="7" t="n">
        <v>0.9999834315</v>
      </c>
      <c r="Q859" s="7" t="n">
        <v>-5.194278785</v>
      </c>
      <c r="R859" s="7" t="n">
        <v>-0.398270935</v>
      </c>
      <c r="S859" s="7" t="n">
        <v>-0.419639135</v>
      </c>
    </row>
    <row r="860" customFormat="false" ht="15" hidden="false" customHeight="false" outlineLevel="0" collapsed="false">
      <c r="A860" s="5" t="s">
        <v>4</v>
      </c>
      <c r="B860" s="5" t="s">
        <v>78</v>
      </c>
      <c r="C860" s="5" t="s">
        <v>58</v>
      </c>
      <c r="D860" s="2" t="n">
        <v>15</v>
      </c>
      <c r="E860" s="5" t="s">
        <v>166</v>
      </c>
      <c r="F860" s="5" t="s">
        <v>168</v>
      </c>
      <c r="G860" s="2" t="n">
        <v>1</v>
      </c>
      <c r="H860" s="7" t="n">
        <v>0.9558079212</v>
      </c>
      <c r="I860" s="7" t="n">
        <v>-0.2939765603</v>
      </c>
      <c r="J860" s="7" t="n">
        <v>-0.002999962895</v>
      </c>
      <c r="K860" s="7" t="n">
        <v>0.2939807739</v>
      </c>
      <c r="L860" s="7" t="n">
        <v>0.9558107382</v>
      </c>
      <c r="M860" s="7" t="n">
        <v>0.001066414503</v>
      </c>
      <c r="N860" s="7" t="n">
        <v>0.002553895882</v>
      </c>
      <c r="O860" s="7" t="n">
        <v>-0.001901218843</v>
      </c>
      <c r="P860" s="7" t="n">
        <v>0.9999949315</v>
      </c>
      <c r="Q860" s="7" t="n">
        <v>5.196457086</v>
      </c>
      <c r="R860" s="7" t="n">
        <v>6.861572257</v>
      </c>
      <c r="S860" s="7" t="n">
        <v>0.716131602</v>
      </c>
    </row>
    <row r="861" customFormat="false" ht="15" hidden="false" customHeight="false" outlineLevel="0" collapsed="false">
      <c r="A861" s="5" t="s">
        <v>4</v>
      </c>
      <c r="B861" s="5" t="s">
        <v>78</v>
      </c>
      <c r="C861" s="5" t="s">
        <v>62</v>
      </c>
      <c r="D861" s="2" t="n">
        <v>15</v>
      </c>
      <c r="E861" s="5" t="s">
        <v>166</v>
      </c>
      <c r="F861" s="5" t="s">
        <v>168</v>
      </c>
      <c r="G861" s="2" t="n">
        <v>1</v>
      </c>
      <c r="H861" s="7" t="n">
        <v>0.9558079212</v>
      </c>
      <c r="I861" s="7" t="n">
        <v>-0.2939765603</v>
      </c>
      <c r="J861" s="7" t="n">
        <v>-0.002999962895</v>
      </c>
      <c r="K861" s="7" t="n">
        <v>0.2939807739</v>
      </c>
      <c r="L861" s="7" t="n">
        <v>0.9558107382</v>
      </c>
      <c r="M861" s="7" t="n">
        <v>0.001066414503</v>
      </c>
      <c r="N861" s="7" t="n">
        <v>0.002553895882</v>
      </c>
      <c r="O861" s="7" t="n">
        <v>-0.001901218843</v>
      </c>
      <c r="P861" s="7" t="n">
        <v>0.9999949315</v>
      </c>
      <c r="Q861" s="7" t="n">
        <v>5.196457086</v>
      </c>
      <c r="R861" s="7" t="n">
        <v>6.861572257</v>
      </c>
      <c r="S861" s="7" t="n">
        <v>0.716131602</v>
      </c>
    </row>
    <row r="862" customFormat="false" ht="15" hidden="false" customHeight="false" outlineLevel="0" collapsed="false">
      <c r="A862" s="5" t="s">
        <v>4</v>
      </c>
      <c r="B862" s="5" t="s">
        <v>78</v>
      </c>
      <c r="C862" s="5" t="s">
        <v>58</v>
      </c>
      <c r="D862" s="2" t="n">
        <v>16</v>
      </c>
      <c r="E862" s="5" t="s">
        <v>166</v>
      </c>
      <c r="F862" s="5" t="s">
        <v>167</v>
      </c>
      <c r="G862" s="2" t="n">
        <v>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customFormat="false" ht="15" hidden="false" customHeight="false" outlineLevel="0" collapsed="false">
      <c r="A863" s="5" t="s">
        <v>4</v>
      </c>
      <c r="B863" s="5" t="s">
        <v>78</v>
      </c>
      <c r="C863" s="5" t="s">
        <v>62</v>
      </c>
      <c r="D863" s="2" t="n">
        <v>16</v>
      </c>
      <c r="E863" s="5" t="s">
        <v>166</v>
      </c>
      <c r="F863" s="5" t="s">
        <v>167</v>
      </c>
      <c r="G863" s="2" t="n">
        <v>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customFormat="false" ht="15" hidden="false" customHeight="false" outlineLevel="0" collapsed="false">
      <c r="A864" s="5" t="s">
        <v>4</v>
      </c>
      <c r="B864" s="5" t="s">
        <v>78</v>
      </c>
      <c r="C864" s="5" t="s">
        <v>58</v>
      </c>
      <c r="D864" s="2" t="n">
        <v>16</v>
      </c>
      <c r="E864" s="5" t="s">
        <v>166</v>
      </c>
      <c r="F864" s="5" t="s">
        <v>168</v>
      </c>
      <c r="G864" s="2" t="n">
        <v>1</v>
      </c>
      <c r="H864" s="7" t="n">
        <v>0.9556267555</v>
      </c>
      <c r="I864" s="7" t="n">
        <v>-0.2945794583</v>
      </c>
      <c r="J864" s="7" t="n">
        <v>-0.000668561193</v>
      </c>
      <c r="K864" s="7" t="n">
        <v>0.2945793973</v>
      </c>
      <c r="L864" s="7" t="n">
        <v>0.9556269892</v>
      </c>
      <c r="M864" s="7" t="n">
        <v>-0.0001902254356</v>
      </c>
      <c r="N864" s="7" t="n">
        <v>0.0006949316257</v>
      </c>
      <c r="O864" s="7" t="n">
        <v>-1.515983745E-005</v>
      </c>
      <c r="P864" s="7" t="n">
        <v>0.9999997584</v>
      </c>
      <c r="Q864" s="7" t="n">
        <v>5.209977189</v>
      </c>
      <c r="R864" s="7" t="n">
        <v>6.851782062</v>
      </c>
      <c r="S864" s="7" t="n">
        <v>0.6743706945</v>
      </c>
    </row>
    <row r="865" customFormat="false" ht="15" hidden="false" customHeight="false" outlineLevel="0" collapsed="false">
      <c r="A865" s="5" t="s">
        <v>4</v>
      </c>
      <c r="B865" s="5" t="s">
        <v>78</v>
      </c>
      <c r="C865" s="5" t="s">
        <v>62</v>
      </c>
      <c r="D865" s="2" t="n">
        <v>16</v>
      </c>
      <c r="E865" s="5" t="s">
        <v>166</v>
      </c>
      <c r="F865" s="5" t="s">
        <v>168</v>
      </c>
      <c r="G865" s="2" t="n">
        <v>1</v>
      </c>
      <c r="H865" s="7" t="n">
        <v>0.9556267555</v>
      </c>
      <c r="I865" s="7" t="n">
        <v>-0.2945794583</v>
      </c>
      <c r="J865" s="7" t="n">
        <v>-0.000668561193</v>
      </c>
      <c r="K865" s="7" t="n">
        <v>0.2945793973</v>
      </c>
      <c r="L865" s="7" t="n">
        <v>0.9556269892</v>
      </c>
      <c r="M865" s="7" t="n">
        <v>-0.0001902254356</v>
      </c>
      <c r="N865" s="7" t="n">
        <v>0.0006949316257</v>
      </c>
      <c r="O865" s="7" t="n">
        <v>-1.515983745E-005</v>
      </c>
      <c r="P865" s="7" t="n">
        <v>0.9999997584</v>
      </c>
      <c r="Q865" s="7" t="n">
        <v>5.209977189</v>
      </c>
      <c r="R865" s="7" t="n">
        <v>6.851782062</v>
      </c>
      <c r="S865" s="7" t="n">
        <v>0.6743706945</v>
      </c>
    </row>
    <row r="866" customFormat="false" ht="15" hidden="false" customHeight="false" outlineLevel="0" collapsed="false">
      <c r="A866" s="5" t="s">
        <v>4</v>
      </c>
      <c r="B866" s="5" t="s">
        <v>78</v>
      </c>
      <c r="C866" s="5" t="s">
        <v>58</v>
      </c>
      <c r="D866" s="2" t="n">
        <v>17</v>
      </c>
      <c r="E866" s="5" t="s">
        <v>166</v>
      </c>
      <c r="F866" s="5" t="s">
        <v>167</v>
      </c>
      <c r="G866" s="2" t="n">
        <v>1</v>
      </c>
      <c r="H866" s="7" t="n">
        <v>-0.2170803217</v>
      </c>
      <c r="I866" s="7" t="n">
        <v>-0.9761522562</v>
      </c>
      <c r="J866" s="7" t="n">
        <v>0.00170488525</v>
      </c>
      <c r="K866" s="7" t="n">
        <v>0.9761426058</v>
      </c>
      <c r="L866" s="7" t="n">
        <v>-0.2170691697</v>
      </c>
      <c r="M866" s="7" t="n">
        <v>0.005156415872</v>
      </c>
      <c r="N866" s="7" t="n">
        <v>-0.004663368961</v>
      </c>
      <c r="O866" s="7" t="n">
        <v>0.002783567547</v>
      </c>
      <c r="P866" s="7" t="n">
        <v>0.9999852523</v>
      </c>
      <c r="Q866" s="7" t="n">
        <v>-5.189979623</v>
      </c>
      <c r="R866" s="7" t="n">
        <v>-0.3661202045</v>
      </c>
      <c r="S866" s="7" t="n">
        <v>-0.3395947844</v>
      </c>
    </row>
    <row r="867" customFormat="false" ht="15" hidden="false" customHeight="false" outlineLevel="0" collapsed="false">
      <c r="A867" s="5" t="s">
        <v>4</v>
      </c>
      <c r="B867" s="5" t="s">
        <v>78</v>
      </c>
      <c r="C867" s="5" t="s">
        <v>62</v>
      </c>
      <c r="D867" s="2" t="n">
        <v>17</v>
      </c>
      <c r="E867" s="5" t="s">
        <v>166</v>
      </c>
      <c r="F867" s="5" t="s">
        <v>167</v>
      </c>
      <c r="G867" s="2" t="n">
        <v>1</v>
      </c>
      <c r="H867" s="7" t="n">
        <v>-0.2170803217</v>
      </c>
      <c r="I867" s="7" t="n">
        <v>-0.9761522562</v>
      </c>
      <c r="J867" s="7" t="n">
        <v>0.00170488525</v>
      </c>
      <c r="K867" s="7" t="n">
        <v>0.9761426058</v>
      </c>
      <c r="L867" s="7" t="n">
        <v>-0.2170691697</v>
      </c>
      <c r="M867" s="7" t="n">
        <v>0.005156415872</v>
      </c>
      <c r="N867" s="7" t="n">
        <v>-0.004663368961</v>
      </c>
      <c r="O867" s="7" t="n">
        <v>0.002783567547</v>
      </c>
      <c r="P867" s="7" t="n">
        <v>0.9999852523</v>
      </c>
      <c r="Q867" s="7" t="n">
        <v>-5.189979623</v>
      </c>
      <c r="R867" s="7" t="n">
        <v>-0.3661202045</v>
      </c>
      <c r="S867" s="7" t="n">
        <v>-0.3395947844</v>
      </c>
    </row>
    <row r="868" customFormat="false" ht="15" hidden="false" customHeight="false" outlineLevel="0" collapsed="false">
      <c r="A868" s="5" t="s">
        <v>4</v>
      </c>
      <c r="B868" s="5" t="s">
        <v>78</v>
      </c>
      <c r="C868" s="5" t="s">
        <v>58</v>
      </c>
      <c r="D868" s="2" t="n">
        <v>17</v>
      </c>
      <c r="E868" s="5" t="s">
        <v>166</v>
      </c>
      <c r="F868" s="5" t="s">
        <v>168</v>
      </c>
      <c r="G868" s="2" t="n">
        <v>1</v>
      </c>
      <c r="H868" s="7" t="n">
        <v>0.9553747434</v>
      </c>
      <c r="I868" s="7" t="n">
        <v>-0.2953951149</v>
      </c>
      <c r="J868" s="7" t="n">
        <v>0.000908677067</v>
      </c>
      <c r="K868" s="7" t="n">
        <v>0.2953959762</v>
      </c>
      <c r="L868" s="7" t="n">
        <v>0.9553743504</v>
      </c>
      <c r="M868" s="7" t="n">
        <v>-0.001033361316</v>
      </c>
      <c r="N868" s="7" t="n">
        <v>-0.0005628768781</v>
      </c>
      <c r="O868" s="7" t="n">
        <v>0.001255666851</v>
      </c>
      <c r="P868" s="7" t="n">
        <v>0.9999990532</v>
      </c>
      <c r="Q868" s="7" t="n">
        <v>5.235259749</v>
      </c>
      <c r="R868" s="7" t="n">
        <v>6.862257902</v>
      </c>
      <c r="S868" s="7" t="n">
        <v>0.7617519571</v>
      </c>
    </row>
    <row r="869" customFormat="false" ht="15" hidden="false" customHeight="false" outlineLevel="0" collapsed="false">
      <c r="A869" s="5" t="s">
        <v>4</v>
      </c>
      <c r="B869" s="5" t="s">
        <v>78</v>
      </c>
      <c r="C869" s="5" t="s">
        <v>62</v>
      </c>
      <c r="D869" s="2" t="n">
        <v>17</v>
      </c>
      <c r="E869" s="5" t="s">
        <v>166</v>
      </c>
      <c r="F869" s="5" t="s">
        <v>168</v>
      </c>
      <c r="G869" s="2" t="n">
        <v>1</v>
      </c>
      <c r="H869" s="7" t="n">
        <v>0.9553747434</v>
      </c>
      <c r="I869" s="7" t="n">
        <v>-0.2953951149</v>
      </c>
      <c r="J869" s="7" t="n">
        <v>0.000908677067</v>
      </c>
      <c r="K869" s="7" t="n">
        <v>0.2953959762</v>
      </c>
      <c r="L869" s="7" t="n">
        <v>0.9553743504</v>
      </c>
      <c r="M869" s="7" t="n">
        <v>-0.001033361316</v>
      </c>
      <c r="N869" s="7" t="n">
        <v>-0.0005628768781</v>
      </c>
      <c r="O869" s="7" t="n">
        <v>0.001255666851</v>
      </c>
      <c r="P869" s="7" t="n">
        <v>0.9999990532</v>
      </c>
      <c r="Q869" s="7" t="n">
        <v>5.235259749</v>
      </c>
      <c r="R869" s="7" t="n">
        <v>6.862257902</v>
      </c>
      <c r="S869" s="7" t="n">
        <v>0.7617519571</v>
      </c>
    </row>
    <row r="870" customFormat="false" ht="15" hidden="false" customHeight="false" outlineLevel="0" collapsed="false">
      <c r="A870" s="5" t="s">
        <v>4</v>
      </c>
      <c r="B870" s="5" t="s">
        <v>78</v>
      </c>
      <c r="C870" s="5" t="s">
        <v>58</v>
      </c>
      <c r="D870" s="2" t="n">
        <v>18</v>
      </c>
      <c r="E870" s="5" t="s">
        <v>166</v>
      </c>
      <c r="F870" s="5" t="s">
        <v>167</v>
      </c>
      <c r="G870" s="2" t="n">
        <v>1</v>
      </c>
      <c r="H870" s="7" t="n">
        <v>-0.2159798531</v>
      </c>
      <c r="I870" s="7" t="n">
        <v>-0.9763806929</v>
      </c>
      <c r="J870" s="7" t="n">
        <v>0.005783222254</v>
      </c>
      <c r="K870" s="7" t="n">
        <v>0.976397347</v>
      </c>
      <c r="L870" s="7" t="n">
        <v>-0.2159817902</v>
      </c>
      <c r="M870" s="7" t="n">
        <v>0.0002949180366</v>
      </c>
      <c r="N870" s="7" t="n">
        <v>0.0009611184188</v>
      </c>
      <c r="O870" s="7" t="n">
        <v>0.00571041922</v>
      </c>
      <c r="P870" s="7" t="n">
        <v>0.9999832335</v>
      </c>
      <c r="Q870" s="7" t="n">
        <v>-5.190260649</v>
      </c>
      <c r="R870" s="7" t="n">
        <v>-0.384530838</v>
      </c>
      <c r="S870" s="7" t="n">
        <v>-0.4148667503</v>
      </c>
    </row>
    <row r="871" customFormat="false" ht="15" hidden="false" customHeight="false" outlineLevel="0" collapsed="false">
      <c r="A871" s="5" t="s">
        <v>4</v>
      </c>
      <c r="B871" s="5" t="s">
        <v>78</v>
      </c>
      <c r="C871" s="5" t="s">
        <v>62</v>
      </c>
      <c r="D871" s="2" t="n">
        <v>18</v>
      </c>
      <c r="E871" s="5" t="s">
        <v>166</v>
      </c>
      <c r="F871" s="5" t="s">
        <v>167</v>
      </c>
      <c r="G871" s="2" t="n">
        <v>1</v>
      </c>
      <c r="H871" s="7" t="n">
        <v>-0.2159798531</v>
      </c>
      <c r="I871" s="7" t="n">
        <v>-0.9763806929</v>
      </c>
      <c r="J871" s="7" t="n">
        <v>0.005783222254</v>
      </c>
      <c r="K871" s="7" t="n">
        <v>0.976397347</v>
      </c>
      <c r="L871" s="7" t="n">
        <v>-0.2159817902</v>
      </c>
      <c r="M871" s="7" t="n">
        <v>0.0002949180366</v>
      </c>
      <c r="N871" s="7" t="n">
        <v>0.0009611184188</v>
      </c>
      <c r="O871" s="7" t="n">
        <v>0.00571041922</v>
      </c>
      <c r="P871" s="7" t="n">
        <v>0.9999832335</v>
      </c>
      <c r="Q871" s="7" t="n">
        <v>-5.190260649</v>
      </c>
      <c r="R871" s="7" t="n">
        <v>-0.384530838</v>
      </c>
      <c r="S871" s="7" t="n">
        <v>-0.4148667503</v>
      </c>
    </row>
    <row r="872" customFormat="false" ht="15" hidden="false" customHeight="false" outlineLevel="0" collapsed="false">
      <c r="A872" s="5" t="s">
        <v>4</v>
      </c>
      <c r="B872" s="5" t="s">
        <v>78</v>
      </c>
      <c r="C872" s="5" t="s">
        <v>58</v>
      </c>
      <c r="D872" s="2" t="n">
        <v>18</v>
      </c>
      <c r="E872" s="5" t="s">
        <v>166</v>
      </c>
      <c r="F872" s="5" t="s">
        <v>168</v>
      </c>
      <c r="G872" s="2" t="n">
        <v>1</v>
      </c>
      <c r="H872" s="7" t="n">
        <v>0.9560120345</v>
      </c>
      <c r="I872" s="7" t="n">
        <v>-0.2931322192</v>
      </c>
      <c r="J872" s="7" t="n">
        <v>-0.01070009478</v>
      </c>
      <c r="K872" s="7" t="n">
        <v>0.2929168178</v>
      </c>
      <c r="L872" s="7" t="n">
        <v>0.9559678335</v>
      </c>
      <c r="M872" s="7" t="n">
        <v>-0.01803438666</v>
      </c>
      <c r="N872" s="7" t="n">
        <v>0.01551540621</v>
      </c>
      <c r="O872" s="7" t="n">
        <v>0.01410685297</v>
      </c>
      <c r="P872" s="7" t="n">
        <v>0.9997801103</v>
      </c>
      <c r="Q872" s="7" t="n">
        <v>5.209219478</v>
      </c>
      <c r="R872" s="7" t="n">
        <v>6.850961568</v>
      </c>
      <c r="S872" s="7" t="n">
        <v>0.7921422503</v>
      </c>
    </row>
    <row r="873" customFormat="false" ht="15" hidden="false" customHeight="false" outlineLevel="0" collapsed="false">
      <c r="A873" s="5" t="s">
        <v>4</v>
      </c>
      <c r="B873" s="5" t="s">
        <v>78</v>
      </c>
      <c r="C873" s="5" t="s">
        <v>62</v>
      </c>
      <c r="D873" s="2" t="n">
        <v>18</v>
      </c>
      <c r="E873" s="5" t="s">
        <v>166</v>
      </c>
      <c r="F873" s="5" t="s">
        <v>168</v>
      </c>
      <c r="G873" s="2" t="n">
        <v>1</v>
      </c>
      <c r="H873" s="7" t="n">
        <v>0.9560120345</v>
      </c>
      <c r="I873" s="7" t="n">
        <v>-0.2931322192</v>
      </c>
      <c r="J873" s="7" t="n">
        <v>-0.01070009478</v>
      </c>
      <c r="K873" s="7" t="n">
        <v>0.2929168178</v>
      </c>
      <c r="L873" s="7" t="n">
        <v>0.9559678335</v>
      </c>
      <c r="M873" s="7" t="n">
        <v>-0.01803438666</v>
      </c>
      <c r="N873" s="7" t="n">
        <v>0.01551540621</v>
      </c>
      <c r="O873" s="7" t="n">
        <v>0.01410685297</v>
      </c>
      <c r="P873" s="7" t="n">
        <v>0.9997801103</v>
      </c>
      <c r="Q873" s="7" t="n">
        <v>5.209219478</v>
      </c>
      <c r="R873" s="7" t="n">
        <v>6.850961568</v>
      </c>
      <c r="S873" s="7" t="n">
        <v>0.7921422503</v>
      </c>
    </row>
    <row r="874" customFormat="false" ht="15" hidden="false" customHeight="false" outlineLevel="0" collapsed="false">
      <c r="A874" s="5" t="s">
        <v>4</v>
      </c>
      <c r="B874" s="5" t="s">
        <v>78</v>
      </c>
      <c r="C874" s="5" t="s">
        <v>58</v>
      </c>
      <c r="D874" s="2" t="n">
        <v>19</v>
      </c>
      <c r="E874" s="5" t="s">
        <v>166</v>
      </c>
      <c r="F874" s="5" t="s">
        <v>167</v>
      </c>
      <c r="G874" s="2" t="n">
        <v>1</v>
      </c>
      <c r="H874" s="7" t="n">
        <v>-0.2134264977</v>
      </c>
      <c r="I874" s="7" t="n">
        <v>-0.976956393</v>
      </c>
      <c r="J874" s="7" t="n">
        <v>-0.002310019341</v>
      </c>
      <c r="K874" s="7" t="n">
        <v>0.9767666404</v>
      </c>
      <c r="L874" s="7" t="n">
        <v>-0.2134307856</v>
      </c>
      <c r="M874" s="7" t="n">
        <v>0.01934502377</v>
      </c>
      <c r="N874" s="7" t="n">
        <v>-0.01939227389</v>
      </c>
      <c r="O874" s="7" t="n">
        <v>0.001872390839</v>
      </c>
      <c r="P874" s="7" t="n">
        <v>0.9998101989</v>
      </c>
      <c r="Q874" s="7" t="n">
        <v>-5.216917471</v>
      </c>
      <c r="R874" s="7" t="n">
        <v>-0.3572453207</v>
      </c>
      <c r="S874" s="7" t="n">
        <v>-0.2980346497</v>
      </c>
    </row>
    <row r="875" customFormat="false" ht="15" hidden="false" customHeight="false" outlineLevel="0" collapsed="false">
      <c r="A875" s="5" t="s">
        <v>4</v>
      </c>
      <c r="B875" s="5" t="s">
        <v>78</v>
      </c>
      <c r="C875" s="5" t="s">
        <v>62</v>
      </c>
      <c r="D875" s="2" t="n">
        <v>19</v>
      </c>
      <c r="E875" s="5" t="s">
        <v>166</v>
      </c>
      <c r="F875" s="5" t="s">
        <v>167</v>
      </c>
      <c r="G875" s="2" t="n">
        <v>1</v>
      </c>
      <c r="H875" s="7" t="n">
        <v>-0.2134264977</v>
      </c>
      <c r="I875" s="7" t="n">
        <v>-0.976956393</v>
      </c>
      <c r="J875" s="7" t="n">
        <v>-0.002310019341</v>
      </c>
      <c r="K875" s="7" t="n">
        <v>0.9767666404</v>
      </c>
      <c r="L875" s="7" t="n">
        <v>-0.2134307856</v>
      </c>
      <c r="M875" s="7" t="n">
        <v>0.01934502377</v>
      </c>
      <c r="N875" s="7" t="n">
        <v>-0.01939227389</v>
      </c>
      <c r="O875" s="7" t="n">
        <v>0.001872390839</v>
      </c>
      <c r="P875" s="7" t="n">
        <v>0.9998101989</v>
      </c>
      <c r="Q875" s="7" t="n">
        <v>-5.216917471</v>
      </c>
      <c r="R875" s="7" t="n">
        <v>-0.3572453207</v>
      </c>
      <c r="S875" s="7" t="n">
        <v>-0.2980346497</v>
      </c>
    </row>
    <row r="876" customFormat="false" ht="15" hidden="false" customHeight="false" outlineLevel="0" collapsed="false">
      <c r="A876" s="5" t="s">
        <v>4</v>
      </c>
      <c r="B876" s="5" t="s">
        <v>78</v>
      </c>
      <c r="C876" s="5" t="s">
        <v>58</v>
      </c>
      <c r="D876" s="2" t="n">
        <v>19</v>
      </c>
      <c r="E876" s="5" t="s">
        <v>166</v>
      </c>
      <c r="F876" s="5" t="s">
        <v>168</v>
      </c>
      <c r="G876" s="2" t="n">
        <v>1</v>
      </c>
      <c r="H876" s="7" t="n">
        <v>0.9556228975</v>
      </c>
      <c r="I876" s="7" t="n">
        <v>-0.2945919635</v>
      </c>
      <c r="J876" s="7" t="n">
        <v>-0.0006729215981</v>
      </c>
      <c r="K876" s="7" t="n">
        <v>0.2945911636</v>
      </c>
      <c r="L876" s="7" t="n">
        <v>0.9556227704</v>
      </c>
      <c r="M876" s="7" t="n">
        <v>-0.001080270595</v>
      </c>
      <c r="N876" s="7" t="n">
        <v>0.0009612982376</v>
      </c>
      <c r="O876" s="7" t="n">
        <v>0.0008340945597</v>
      </c>
      <c r="P876" s="7" t="n">
        <v>0.9999991901</v>
      </c>
      <c r="Q876" s="7" t="n">
        <v>5.2089489</v>
      </c>
      <c r="R876" s="7" t="n">
        <v>6.856006748</v>
      </c>
      <c r="S876" s="7" t="n">
        <v>0.730774298</v>
      </c>
    </row>
    <row r="877" customFormat="false" ht="15" hidden="false" customHeight="false" outlineLevel="0" collapsed="false">
      <c r="A877" s="5" t="s">
        <v>4</v>
      </c>
      <c r="B877" s="5" t="s">
        <v>78</v>
      </c>
      <c r="C877" s="5" t="s">
        <v>62</v>
      </c>
      <c r="D877" s="2" t="n">
        <v>19</v>
      </c>
      <c r="E877" s="5" t="s">
        <v>166</v>
      </c>
      <c r="F877" s="5" t="s">
        <v>168</v>
      </c>
      <c r="G877" s="2" t="n">
        <v>1</v>
      </c>
      <c r="H877" s="7" t="n">
        <v>0.9556228975</v>
      </c>
      <c r="I877" s="7" t="n">
        <v>-0.2945919635</v>
      </c>
      <c r="J877" s="7" t="n">
        <v>-0.0006729215981</v>
      </c>
      <c r="K877" s="7" t="n">
        <v>0.2945911636</v>
      </c>
      <c r="L877" s="7" t="n">
        <v>0.9556227704</v>
      </c>
      <c r="M877" s="7" t="n">
        <v>-0.001080270595</v>
      </c>
      <c r="N877" s="7" t="n">
        <v>0.0009612982376</v>
      </c>
      <c r="O877" s="7" t="n">
        <v>0.0008340945597</v>
      </c>
      <c r="P877" s="7" t="n">
        <v>0.9999991901</v>
      </c>
      <c r="Q877" s="7" t="n">
        <v>5.2089489</v>
      </c>
      <c r="R877" s="7" t="n">
        <v>6.856006748</v>
      </c>
      <c r="S877" s="7" t="n">
        <v>0.730774298</v>
      </c>
    </row>
    <row r="878" customFormat="false" ht="15" hidden="false" customHeight="false" outlineLevel="0" collapsed="false">
      <c r="A878" s="5" t="s">
        <v>4</v>
      </c>
      <c r="B878" s="5" t="s">
        <v>78</v>
      </c>
      <c r="C878" s="5" t="s">
        <v>58</v>
      </c>
      <c r="D878" s="2" t="n">
        <v>20</v>
      </c>
      <c r="E878" s="5" t="s">
        <v>166</v>
      </c>
      <c r="F878" s="5" t="s">
        <v>167</v>
      </c>
      <c r="G878" s="2" t="n">
        <v>1</v>
      </c>
      <c r="H878" s="7" t="n">
        <v>-0.2122867699</v>
      </c>
      <c r="I878" s="7" t="n">
        <v>-0.9771380652</v>
      </c>
      <c r="J878" s="7" t="n">
        <v>-0.01164168634</v>
      </c>
      <c r="K878" s="7" t="n">
        <v>0.9770972809</v>
      </c>
      <c r="L878" s="7" t="n">
        <v>-0.2124266343</v>
      </c>
      <c r="M878" s="7" t="n">
        <v>0.01248313998</v>
      </c>
      <c r="N878" s="7" t="n">
        <v>-0.0146707555</v>
      </c>
      <c r="O878" s="7" t="n">
        <v>-0.008725054598</v>
      </c>
      <c r="P878" s="7" t="n">
        <v>0.9998543106</v>
      </c>
      <c r="Q878" s="7" t="n">
        <v>-5.221326771</v>
      </c>
      <c r="R878" s="7" t="n">
        <v>-0.3559251689</v>
      </c>
      <c r="S878" s="7" t="n">
        <v>-0.3950225666</v>
      </c>
    </row>
    <row r="879" customFormat="false" ht="15" hidden="false" customHeight="false" outlineLevel="0" collapsed="false">
      <c r="A879" s="5" t="s">
        <v>4</v>
      </c>
      <c r="B879" s="5" t="s">
        <v>78</v>
      </c>
      <c r="C879" s="5" t="s">
        <v>62</v>
      </c>
      <c r="D879" s="2" t="n">
        <v>20</v>
      </c>
      <c r="E879" s="5" t="s">
        <v>166</v>
      </c>
      <c r="F879" s="5" t="s">
        <v>167</v>
      </c>
      <c r="G879" s="2" t="n">
        <v>1</v>
      </c>
      <c r="H879" s="7" t="n">
        <v>-0.2122867699</v>
      </c>
      <c r="I879" s="7" t="n">
        <v>-0.9771380652</v>
      </c>
      <c r="J879" s="7" t="n">
        <v>-0.01164168634</v>
      </c>
      <c r="K879" s="7" t="n">
        <v>0.9770972809</v>
      </c>
      <c r="L879" s="7" t="n">
        <v>-0.2124266343</v>
      </c>
      <c r="M879" s="7" t="n">
        <v>0.01248313998</v>
      </c>
      <c r="N879" s="7" t="n">
        <v>-0.0146707555</v>
      </c>
      <c r="O879" s="7" t="n">
        <v>-0.008725054598</v>
      </c>
      <c r="P879" s="7" t="n">
        <v>0.9998543106</v>
      </c>
      <c r="Q879" s="7" t="n">
        <v>-5.221326771</v>
      </c>
      <c r="R879" s="7" t="n">
        <v>-0.3559251689</v>
      </c>
      <c r="S879" s="7" t="n">
        <v>-0.3950225666</v>
      </c>
    </row>
    <row r="880" customFormat="false" ht="15" hidden="false" customHeight="false" outlineLevel="0" collapsed="false">
      <c r="A880" s="5" t="s">
        <v>4</v>
      </c>
      <c r="B880" s="5" t="s">
        <v>78</v>
      </c>
      <c r="C880" s="5" t="s">
        <v>58</v>
      </c>
      <c r="D880" s="2" t="n">
        <v>20</v>
      </c>
      <c r="E880" s="5" t="s">
        <v>166</v>
      </c>
      <c r="F880" s="5" t="s">
        <v>168</v>
      </c>
      <c r="G880" s="2" t="n">
        <v>1</v>
      </c>
      <c r="H880" s="7" t="n">
        <v>0.9557708171</v>
      </c>
      <c r="I880" s="7" t="n">
        <v>-0.2941099143</v>
      </c>
      <c r="J880" s="7" t="n">
        <v>-0.001226194972</v>
      </c>
      <c r="K880" s="7" t="n">
        <v>0.2941065466</v>
      </c>
      <c r="L880" s="7" t="n">
        <v>0.9557697211</v>
      </c>
      <c r="M880" s="7" t="n">
        <v>-0.002362114733</v>
      </c>
      <c r="N880" s="7" t="n">
        <v>0.001866681388</v>
      </c>
      <c r="O880" s="7" t="n">
        <v>0.001897008359</v>
      </c>
      <c r="P880" s="7" t="n">
        <v>0.9999964584</v>
      </c>
      <c r="Q880" s="7" t="n">
        <v>5.214139676</v>
      </c>
      <c r="R880" s="7" t="n">
        <v>6.847828678</v>
      </c>
      <c r="S880" s="7" t="n">
        <v>0.7268518355</v>
      </c>
    </row>
    <row r="881" customFormat="false" ht="15" hidden="false" customHeight="false" outlineLevel="0" collapsed="false">
      <c r="A881" s="5" t="s">
        <v>4</v>
      </c>
      <c r="B881" s="5" t="s">
        <v>78</v>
      </c>
      <c r="C881" s="5" t="s">
        <v>62</v>
      </c>
      <c r="D881" s="2" t="n">
        <v>20</v>
      </c>
      <c r="E881" s="5" t="s">
        <v>166</v>
      </c>
      <c r="F881" s="5" t="s">
        <v>168</v>
      </c>
      <c r="G881" s="2" t="n">
        <v>1</v>
      </c>
      <c r="H881" s="7" t="n">
        <v>0.9557708171</v>
      </c>
      <c r="I881" s="7" t="n">
        <v>-0.2941099143</v>
      </c>
      <c r="J881" s="7" t="n">
        <v>-0.001226194972</v>
      </c>
      <c r="K881" s="7" t="n">
        <v>0.2941065466</v>
      </c>
      <c r="L881" s="7" t="n">
        <v>0.9557697211</v>
      </c>
      <c r="M881" s="7" t="n">
        <v>-0.002362114733</v>
      </c>
      <c r="N881" s="7" t="n">
        <v>0.001866681388</v>
      </c>
      <c r="O881" s="7" t="n">
        <v>0.001897008359</v>
      </c>
      <c r="P881" s="7" t="n">
        <v>0.9999964584</v>
      </c>
      <c r="Q881" s="7" t="n">
        <v>5.214139676</v>
      </c>
      <c r="R881" s="7" t="n">
        <v>6.847828678</v>
      </c>
      <c r="S881" s="7" t="n">
        <v>0.7268518355</v>
      </c>
    </row>
    <row r="882" customFormat="false" ht="15" hidden="false" customHeight="false" outlineLevel="0" collapsed="false">
      <c r="A882" s="5" t="s">
        <v>4</v>
      </c>
      <c r="B882" s="5" t="s">
        <v>78</v>
      </c>
      <c r="C882" s="5" t="s">
        <v>58</v>
      </c>
      <c r="D882" s="2" t="n">
        <v>11</v>
      </c>
      <c r="E882" s="5" t="s">
        <v>167</v>
      </c>
      <c r="F882" s="5" t="s">
        <v>168</v>
      </c>
      <c r="G882" s="2" t="n">
        <v>1</v>
      </c>
      <c r="H882" s="7" t="n">
        <v>0.08188773986</v>
      </c>
      <c r="I882" s="7" t="n">
        <v>0.9966409329</v>
      </c>
      <c r="J882" s="7" t="n">
        <v>0.00111756921</v>
      </c>
      <c r="K882" s="7" t="n">
        <v>-0.9966414965</v>
      </c>
      <c r="L882" s="7" t="n">
        <v>0.08188808166</v>
      </c>
      <c r="M882" s="7" t="n">
        <v>-0.0002635156633</v>
      </c>
      <c r="N882" s="7" t="n">
        <v>-0.0003541460953</v>
      </c>
      <c r="O882" s="7" t="n">
        <v>-0.001092237148</v>
      </c>
      <c r="P882" s="7" t="n">
        <v>0.9999993408</v>
      </c>
      <c r="Q882" s="7" t="n">
        <v>6.011846541</v>
      </c>
      <c r="R882" s="7" t="n">
        <v>1.704816854</v>
      </c>
      <c r="S882" s="7" t="n">
        <v>1.159614525</v>
      </c>
    </row>
    <row r="883" customFormat="false" ht="15" hidden="false" customHeight="false" outlineLevel="0" collapsed="false">
      <c r="A883" s="5" t="s">
        <v>4</v>
      </c>
      <c r="B883" s="5" t="s">
        <v>78</v>
      </c>
      <c r="C883" s="5" t="s">
        <v>62</v>
      </c>
      <c r="D883" s="2" t="n">
        <v>11</v>
      </c>
      <c r="E883" s="5" t="s">
        <v>167</v>
      </c>
      <c r="F883" s="5" t="s">
        <v>168</v>
      </c>
      <c r="G883" s="2" t="n">
        <v>1</v>
      </c>
      <c r="H883" s="7" t="n">
        <v>0.08188773986</v>
      </c>
      <c r="I883" s="7" t="n">
        <v>0.9966409329</v>
      </c>
      <c r="J883" s="7" t="n">
        <v>0.00111756921</v>
      </c>
      <c r="K883" s="7" t="n">
        <v>-0.9966414965</v>
      </c>
      <c r="L883" s="7" t="n">
        <v>0.08188808166</v>
      </c>
      <c r="M883" s="7" t="n">
        <v>-0.0002635156633</v>
      </c>
      <c r="N883" s="7" t="n">
        <v>-0.0003541460953</v>
      </c>
      <c r="O883" s="7" t="n">
        <v>-0.001092237148</v>
      </c>
      <c r="P883" s="7" t="n">
        <v>0.9999993408</v>
      </c>
      <c r="Q883" s="7" t="n">
        <v>6.011846541</v>
      </c>
      <c r="R883" s="7" t="n">
        <v>1.704816854</v>
      </c>
      <c r="S883" s="7" t="n">
        <v>1.159614525</v>
      </c>
    </row>
    <row r="884" customFormat="false" ht="15" hidden="false" customHeight="false" outlineLevel="0" collapsed="false">
      <c r="A884" s="5" t="s">
        <v>4</v>
      </c>
      <c r="B884" s="5" t="s">
        <v>78</v>
      </c>
      <c r="C884" s="5" t="s">
        <v>58</v>
      </c>
      <c r="D884" s="2" t="n">
        <v>12</v>
      </c>
      <c r="E884" s="5" t="s">
        <v>167</v>
      </c>
      <c r="F884" s="5" t="s">
        <v>168</v>
      </c>
      <c r="G884" s="2" t="n">
        <v>1</v>
      </c>
      <c r="H884" s="7" t="n">
        <v>0.08076531133</v>
      </c>
      <c r="I884" s="7" t="n">
        <v>0.9966968311</v>
      </c>
      <c r="J884" s="7" t="n">
        <v>-0.008508306179</v>
      </c>
      <c r="K884" s="7" t="n">
        <v>-0.9966649569</v>
      </c>
      <c r="L884" s="7" t="n">
        <v>0.08085669173</v>
      </c>
      <c r="M884" s="7" t="n">
        <v>0.01100723054</v>
      </c>
      <c r="N884" s="7" t="n">
        <v>0.01165882529</v>
      </c>
      <c r="O884" s="7" t="n">
        <v>0.00759092821</v>
      </c>
      <c r="P884" s="7" t="n">
        <v>0.9999032201</v>
      </c>
      <c r="Q884" s="7" t="n">
        <v>5.998363845</v>
      </c>
      <c r="R884" s="7" t="n">
        <v>1.734803689</v>
      </c>
      <c r="S884" s="7" t="n">
        <v>1.240673211</v>
      </c>
    </row>
    <row r="885" customFormat="false" ht="15" hidden="false" customHeight="false" outlineLevel="0" collapsed="false">
      <c r="A885" s="5" t="s">
        <v>4</v>
      </c>
      <c r="B885" s="5" t="s">
        <v>78</v>
      </c>
      <c r="C885" s="5" t="s">
        <v>62</v>
      </c>
      <c r="D885" s="2" t="n">
        <v>12</v>
      </c>
      <c r="E885" s="5" t="s">
        <v>167</v>
      </c>
      <c r="F885" s="5" t="s">
        <v>168</v>
      </c>
      <c r="G885" s="2" t="n">
        <v>1</v>
      </c>
      <c r="H885" s="7" t="n">
        <v>0.08135733441</v>
      </c>
      <c r="I885" s="7" t="n">
        <v>0.9966825659</v>
      </c>
      <c r="J885" s="7" t="n">
        <v>-0.002201590193</v>
      </c>
      <c r="K885" s="7" t="n">
        <v>-0.996677126</v>
      </c>
      <c r="L885" s="7" t="n">
        <v>0.0813477145</v>
      </c>
      <c r="M885" s="7" t="n">
        <v>-0.004154011422</v>
      </c>
      <c r="N885" s="7" t="n">
        <v>-0.003961136432</v>
      </c>
      <c r="O885" s="7" t="n">
        <v>0.002532233883</v>
      </c>
      <c r="P885" s="7" t="n">
        <v>0.9999889485</v>
      </c>
      <c r="Q885" s="7" t="n">
        <v>6.008670742</v>
      </c>
      <c r="R885" s="7" t="n">
        <v>1.7005131</v>
      </c>
      <c r="S885" s="7" t="n">
        <v>1.188234851</v>
      </c>
    </row>
    <row r="886" customFormat="false" ht="15" hidden="false" customHeight="false" outlineLevel="0" collapsed="false">
      <c r="A886" s="5" t="s">
        <v>4</v>
      </c>
      <c r="B886" s="5" t="s">
        <v>78</v>
      </c>
      <c r="C886" s="5" t="s">
        <v>58</v>
      </c>
      <c r="D886" s="2" t="n">
        <v>13</v>
      </c>
      <c r="E886" s="5" t="s">
        <v>167</v>
      </c>
      <c r="F886" s="5" t="s">
        <v>168</v>
      </c>
      <c r="G886" s="2" t="n">
        <v>1</v>
      </c>
      <c r="H886" s="7" t="n">
        <v>0.08501632554</v>
      </c>
      <c r="I886" s="7" t="n">
        <v>0.9963717236</v>
      </c>
      <c r="J886" s="7" t="n">
        <v>-0.003951300371</v>
      </c>
      <c r="K886" s="7" t="n">
        <v>-0.9961692418</v>
      </c>
      <c r="L886" s="7" t="n">
        <v>0.0849162355</v>
      </c>
      <c r="M886" s="7" t="n">
        <v>-0.02088239795</v>
      </c>
      <c r="N886" s="7" t="n">
        <v>-0.02047110128</v>
      </c>
      <c r="O886" s="7" t="n">
        <v>0.005711508637</v>
      </c>
      <c r="P886" s="7" t="n">
        <v>0.9997741308</v>
      </c>
      <c r="Q886" s="7" t="n">
        <v>6.030497959</v>
      </c>
      <c r="R886" s="7" t="n">
        <v>1.659710031</v>
      </c>
      <c r="S886" s="7" t="n">
        <v>1.083013002</v>
      </c>
    </row>
    <row r="887" customFormat="false" ht="15" hidden="false" customHeight="false" outlineLevel="0" collapsed="false">
      <c r="A887" s="5" t="s">
        <v>4</v>
      </c>
      <c r="B887" s="5" t="s">
        <v>78</v>
      </c>
      <c r="C887" s="5" t="s">
        <v>62</v>
      </c>
      <c r="D887" s="2" t="n">
        <v>13</v>
      </c>
      <c r="E887" s="5" t="s">
        <v>167</v>
      </c>
      <c r="F887" s="5" t="s">
        <v>168</v>
      </c>
      <c r="G887" s="2" t="n">
        <v>1</v>
      </c>
      <c r="H887" s="7" t="n">
        <v>0.08501632554</v>
      </c>
      <c r="I887" s="7" t="n">
        <v>0.9963717236</v>
      </c>
      <c r="J887" s="7" t="n">
        <v>-0.003951300371</v>
      </c>
      <c r="K887" s="7" t="n">
        <v>-0.9961692418</v>
      </c>
      <c r="L887" s="7" t="n">
        <v>0.0849162355</v>
      </c>
      <c r="M887" s="7" t="n">
        <v>-0.02088239795</v>
      </c>
      <c r="N887" s="7" t="n">
        <v>-0.02047110128</v>
      </c>
      <c r="O887" s="7" t="n">
        <v>0.005711508637</v>
      </c>
      <c r="P887" s="7" t="n">
        <v>0.9997741308</v>
      </c>
      <c r="Q887" s="7" t="n">
        <v>6.030497959</v>
      </c>
      <c r="R887" s="7" t="n">
        <v>1.659710031</v>
      </c>
      <c r="S887" s="7" t="n">
        <v>1.083013002</v>
      </c>
    </row>
    <row r="888" customFormat="false" ht="15" hidden="false" customHeight="false" outlineLevel="0" collapsed="false">
      <c r="A888" s="5" t="s">
        <v>4</v>
      </c>
      <c r="B888" s="5" t="s">
        <v>78</v>
      </c>
      <c r="C888" s="5" t="s">
        <v>58</v>
      </c>
      <c r="D888" s="2" t="n">
        <v>14</v>
      </c>
      <c r="E888" s="5" t="s">
        <v>167</v>
      </c>
      <c r="F888" s="5" t="s">
        <v>168</v>
      </c>
      <c r="G888" s="2" t="n">
        <v>1</v>
      </c>
      <c r="H888" s="7" t="n">
        <v>0.07989586872</v>
      </c>
      <c r="I888" s="7" t="n">
        <v>0.9967929088</v>
      </c>
      <c r="J888" s="7" t="n">
        <v>0.004532895814</v>
      </c>
      <c r="K888" s="7" t="n">
        <v>-0.9967325304</v>
      </c>
      <c r="L888" s="7" t="n">
        <v>0.07994353136</v>
      </c>
      <c r="M888" s="7" t="n">
        <v>-0.01154532584</v>
      </c>
      <c r="N888" s="7" t="n">
        <v>-0.01187067462</v>
      </c>
      <c r="O888" s="7" t="n">
        <v>-0.003595660878</v>
      </c>
      <c r="P888" s="7" t="n">
        <v>0.9999230762</v>
      </c>
      <c r="Q888" s="7" t="n">
        <v>6.041582494</v>
      </c>
      <c r="R888" s="7" t="n">
        <v>1.689901525</v>
      </c>
      <c r="S888" s="7" t="n">
        <v>1.233644735</v>
      </c>
    </row>
    <row r="889" customFormat="false" ht="15" hidden="false" customHeight="false" outlineLevel="0" collapsed="false">
      <c r="A889" s="5" t="s">
        <v>4</v>
      </c>
      <c r="B889" s="5" t="s">
        <v>78</v>
      </c>
      <c r="C889" s="5" t="s">
        <v>62</v>
      </c>
      <c r="D889" s="2" t="n">
        <v>14</v>
      </c>
      <c r="E889" s="5" t="s">
        <v>167</v>
      </c>
      <c r="F889" s="5" t="s">
        <v>168</v>
      </c>
      <c r="G889" s="2" t="n">
        <v>1</v>
      </c>
      <c r="H889" s="7" t="n">
        <v>0.07989586872</v>
      </c>
      <c r="I889" s="7" t="n">
        <v>0.9967929088</v>
      </c>
      <c r="J889" s="7" t="n">
        <v>0.004532895814</v>
      </c>
      <c r="K889" s="7" t="n">
        <v>-0.9967325304</v>
      </c>
      <c r="L889" s="7" t="n">
        <v>0.07994353136</v>
      </c>
      <c r="M889" s="7" t="n">
        <v>-0.01154532584</v>
      </c>
      <c r="N889" s="7" t="n">
        <v>-0.01187067462</v>
      </c>
      <c r="O889" s="7" t="n">
        <v>-0.003595660878</v>
      </c>
      <c r="P889" s="7" t="n">
        <v>0.9999230762</v>
      </c>
      <c r="Q889" s="7" t="n">
        <v>6.041582494</v>
      </c>
      <c r="R889" s="7" t="n">
        <v>1.689901525</v>
      </c>
      <c r="S889" s="7" t="n">
        <v>1.233644735</v>
      </c>
    </row>
    <row r="890" customFormat="false" ht="15" hidden="false" customHeight="false" outlineLevel="0" collapsed="false">
      <c r="A890" s="5" t="s">
        <v>4</v>
      </c>
      <c r="B890" s="5" t="s">
        <v>78</v>
      </c>
      <c r="C890" s="5" t="s">
        <v>58</v>
      </c>
      <c r="D890" s="2" t="n">
        <v>15</v>
      </c>
      <c r="E890" s="5" t="s">
        <v>167</v>
      </c>
      <c r="F890" s="5" t="s">
        <v>168</v>
      </c>
      <c r="G890" s="2" t="n">
        <v>1</v>
      </c>
      <c r="H890" s="7" t="n">
        <v>0.07960828994</v>
      </c>
      <c r="I890" s="7" t="n">
        <v>0.9964205168</v>
      </c>
      <c r="J890" s="7" t="n">
        <v>0.02843719259</v>
      </c>
      <c r="K890" s="7" t="n">
        <v>-0.9968125098</v>
      </c>
      <c r="L890" s="7" t="n">
        <v>0.07972443599</v>
      </c>
      <c r="M890" s="7" t="n">
        <v>-0.00297231909</v>
      </c>
      <c r="N890" s="7" t="n">
        <v>-0.005228818863</v>
      </c>
      <c r="O890" s="7" t="n">
        <v>-0.02810992807</v>
      </c>
      <c r="P890" s="7" t="n">
        <v>0.9995911621</v>
      </c>
      <c r="Q890" s="7" t="n">
        <v>6.09550724</v>
      </c>
      <c r="R890" s="7" t="n">
        <v>1.677986494</v>
      </c>
      <c r="S890" s="7" t="n">
        <v>0.8611980317</v>
      </c>
    </row>
    <row r="891" customFormat="false" ht="15" hidden="false" customHeight="false" outlineLevel="0" collapsed="false">
      <c r="A891" s="5" t="s">
        <v>4</v>
      </c>
      <c r="B891" s="5" t="s">
        <v>78</v>
      </c>
      <c r="C891" s="5" t="s">
        <v>62</v>
      </c>
      <c r="D891" s="2" t="n">
        <v>15</v>
      </c>
      <c r="E891" s="5" t="s">
        <v>167</v>
      </c>
      <c r="F891" s="5" t="s">
        <v>168</v>
      </c>
      <c r="G891" s="2" t="n">
        <v>1</v>
      </c>
      <c r="H891" s="7" t="n">
        <v>0.07960828994</v>
      </c>
      <c r="I891" s="7" t="n">
        <v>0.9964205168</v>
      </c>
      <c r="J891" s="7" t="n">
        <v>0.02843719259</v>
      </c>
      <c r="K891" s="7" t="n">
        <v>-0.9968125098</v>
      </c>
      <c r="L891" s="7" t="n">
        <v>0.07972443599</v>
      </c>
      <c r="M891" s="7" t="n">
        <v>-0.00297231909</v>
      </c>
      <c r="N891" s="7" t="n">
        <v>-0.005228818863</v>
      </c>
      <c r="O891" s="7" t="n">
        <v>-0.02810992807</v>
      </c>
      <c r="P891" s="7" t="n">
        <v>0.9995911621</v>
      </c>
      <c r="Q891" s="7" t="n">
        <v>6.09550724</v>
      </c>
      <c r="R891" s="7" t="n">
        <v>1.677986494</v>
      </c>
      <c r="S891" s="7" t="n">
        <v>0.8611980317</v>
      </c>
    </row>
    <row r="892" customFormat="false" ht="15" hidden="false" customHeight="false" outlineLevel="0" collapsed="false">
      <c r="A892" s="5" t="s">
        <v>4</v>
      </c>
      <c r="B892" s="5" t="s">
        <v>78</v>
      </c>
      <c r="C892" s="5" t="s">
        <v>58</v>
      </c>
      <c r="D892" s="2" t="n">
        <v>16</v>
      </c>
      <c r="E892" s="5" t="s">
        <v>167</v>
      </c>
      <c r="F892" s="5" t="s">
        <v>168</v>
      </c>
      <c r="G892" s="2" t="n">
        <v>1</v>
      </c>
      <c r="H892" s="7" t="n">
        <v>0.08393693373</v>
      </c>
      <c r="I892" s="7" t="n">
        <v>0.9964504633</v>
      </c>
      <c r="J892" s="7" t="n">
        <v>-0.006408227628</v>
      </c>
      <c r="K892" s="7" t="n">
        <v>-0.9962560969</v>
      </c>
      <c r="L892" s="7" t="n">
        <v>0.08378351597</v>
      </c>
      <c r="M892" s="7" t="n">
        <v>-0.02130989812</v>
      </c>
      <c r="N892" s="7" t="n">
        <v>-0.02069735401</v>
      </c>
      <c r="O892" s="7" t="n">
        <v>0.008172923351</v>
      </c>
      <c r="P892" s="7" t="n">
        <v>0.9997523808</v>
      </c>
      <c r="Q892" s="7" t="n">
        <v>6.042568711</v>
      </c>
      <c r="R892" s="7" t="n">
        <v>1.661633635</v>
      </c>
      <c r="S892" s="7" t="n">
        <v>1.093325499</v>
      </c>
    </row>
    <row r="893" customFormat="false" ht="15" hidden="false" customHeight="false" outlineLevel="0" collapsed="false">
      <c r="A893" s="5" t="s">
        <v>4</v>
      </c>
      <c r="B893" s="5" t="s">
        <v>78</v>
      </c>
      <c r="C893" s="5" t="s">
        <v>62</v>
      </c>
      <c r="D893" s="2" t="n">
        <v>16</v>
      </c>
      <c r="E893" s="5" t="s">
        <v>167</v>
      </c>
      <c r="F893" s="5" t="s">
        <v>168</v>
      </c>
      <c r="G893" s="2" t="n">
        <v>1</v>
      </c>
      <c r="H893" s="7" t="n">
        <v>0.08393693373</v>
      </c>
      <c r="I893" s="7" t="n">
        <v>0.9964504633</v>
      </c>
      <c r="J893" s="7" t="n">
        <v>-0.006408227628</v>
      </c>
      <c r="K893" s="7" t="n">
        <v>-0.9962560969</v>
      </c>
      <c r="L893" s="7" t="n">
        <v>0.08378351597</v>
      </c>
      <c r="M893" s="7" t="n">
        <v>-0.02130989812</v>
      </c>
      <c r="N893" s="7" t="n">
        <v>-0.02069735401</v>
      </c>
      <c r="O893" s="7" t="n">
        <v>0.008172923351</v>
      </c>
      <c r="P893" s="7" t="n">
        <v>0.9997523808</v>
      </c>
      <c r="Q893" s="7" t="n">
        <v>6.042568711</v>
      </c>
      <c r="R893" s="7" t="n">
        <v>1.661633635</v>
      </c>
      <c r="S893" s="7" t="n">
        <v>1.093325499</v>
      </c>
    </row>
    <row r="894" customFormat="false" ht="15" hidden="false" customHeight="false" outlineLevel="0" collapsed="false">
      <c r="A894" s="5" t="s">
        <v>4</v>
      </c>
      <c r="B894" s="5" t="s">
        <v>78</v>
      </c>
      <c r="C894" s="5" t="s">
        <v>58</v>
      </c>
      <c r="D894" s="2" t="n">
        <v>17</v>
      </c>
      <c r="E894" s="5" t="s">
        <v>167</v>
      </c>
      <c r="F894" s="5" t="s">
        <v>168</v>
      </c>
      <c r="G894" s="2" t="n">
        <v>1</v>
      </c>
      <c r="H894" s="7" t="n">
        <v>0.07961793861</v>
      </c>
      <c r="I894" s="7" t="n">
        <v>0.9968223459</v>
      </c>
      <c r="J894" s="7" t="n">
        <v>-0.002488906753</v>
      </c>
      <c r="K894" s="7" t="n">
        <v>-0.9966556663</v>
      </c>
      <c r="L894" s="7" t="n">
        <v>0.07965021103</v>
      </c>
      <c r="M894" s="7" t="n">
        <v>0.01825723625</v>
      </c>
      <c r="N894" s="7" t="n">
        <v>0.01839746302</v>
      </c>
      <c r="O894" s="7" t="n">
        <v>0.001026979503</v>
      </c>
      <c r="P894" s="7" t="n">
        <v>0.9998302249</v>
      </c>
      <c r="Q894" s="7" t="n">
        <v>6.032109749</v>
      </c>
      <c r="R894" s="7" t="n">
        <v>1.729769465</v>
      </c>
      <c r="S894" s="7" t="n">
        <v>1.177769162</v>
      </c>
    </row>
    <row r="895" customFormat="false" ht="15" hidden="false" customHeight="false" outlineLevel="0" collapsed="false">
      <c r="A895" s="5" t="s">
        <v>4</v>
      </c>
      <c r="B895" s="5" t="s">
        <v>78</v>
      </c>
      <c r="C895" s="5" t="s">
        <v>62</v>
      </c>
      <c r="D895" s="2" t="n">
        <v>17</v>
      </c>
      <c r="E895" s="5" t="s">
        <v>167</v>
      </c>
      <c r="F895" s="5" t="s">
        <v>168</v>
      </c>
      <c r="G895" s="2" t="n">
        <v>1</v>
      </c>
      <c r="H895" s="7" t="n">
        <v>0.08048046527</v>
      </c>
      <c r="I895" s="7" t="n">
        <v>0.9967560946</v>
      </c>
      <c r="J895" s="7" t="n">
        <v>-0.0004273087883</v>
      </c>
      <c r="K895" s="7" t="n">
        <v>-0.9967561577</v>
      </c>
      <c r="L895" s="7" t="n">
        <v>0.08048035313</v>
      </c>
      <c r="M895" s="7" t="n">
        <v>-0.0002734885011</v>
      </c>
      <c r="N895" s="7" t="n">
        <v>-0.0002382113681</v>
      </c>
      <c r="O895" s="7" t="n">
        <v>0.0004479331478</v>
      </c>
      <c r="P895" s="7" t="n">
        <v>0.9999998713</v>
      </c>
      <c r="Q895" s="7" t="n">
        <v>6.030984675</v>
      </c>
      <c r="R895" s="7" t="n">
        <v>1.707945923</v>
      </c>
      <c r="S895" s="7" t="n">
        <v>1.186165556</v>
      </c>
    </row>
    <row r="896" customFormat="false" ht="15" hidden="false" customHeight="false" outlineLevel="0" collapsed="false">
      <c r="A896" s="5" t="s">
        <v>4</v>
      </c>
      <c r="B896" s="5" t="s">
        <v>78</v>
      </c>
      <c r="C896" s="5" t="s">
        <v>58</v>
      </c>
      <c r="D896" s="2" t="n">
        <v>18</v>
      </c>
      <c r="E896" s="5" t="s">
        <v>167</v>
      </c>
      <c r="F896" s="5" t="s">
        <v>168</v>
      </c>
      <c r="G896" s="2" t="n">
        <v>1</v>
      </c>
      <c r="H896" s="7" t="n">
        <v>0.07844170701</v>
      </c>
      <c r="I896" s="7" t="n">
        <v>0.9969155245</v>
      </c>
      <c r="J896" s="7" t="n">
        <v>0.002517049137</v>
      </c>
      <c r="K896" s="7" t="n">
        <v>-0.9968945236</v>
      </c>
      <c r="L896" s="7" t="n">
        <v>0.07842197008</v>
      </c>
      <c r="M896" s="7" t="n">
        <v>0.007162637037</v>
      </c>
      <c r="N896" s="7" t="n">
        <v>0.006943152107</v>
      </c>
      <c r="O896" s="7" t="n">
        <v>-0.003071081977</v>
      </c>
      <c r="P896" s="7" t="n">
        <v>0.9999711801</v>
      </c>
      <c r="Q896" s="7" t="n">
        <v>6.022197599</v>
      </c>
      <c r="R896" s="7" t="n">
        <v>1.691165875</v>
      </c>
      <c r="S896" s="7" t="n">
        <v>1.08081999</v>
      </c>
    </row>
    <row r="897" customFormat="false" ht="15" hidden="false" customHeight="false" outlineLevel="0" collapsed="false">
      <c r="A897" s="5" t="s">
        <v>4</v>
      </c>
      <c r="B897" s="5" t="s">
        <v>78</v>
      </c>
      <c r="C897" s="5" t="s">
        <v>62</v>
      </c>
      <c r="D897" s="2" t="n">
        <v>18</v>
      </c>
      <c r="E897" s="5" t="s">
        <v>167</v>
      </c>
      <c r="F897" s="5" t="s">
        <v>168</v>
      </c>
      <c r="G897" s="2" t="n">
        <v>1</v>
      </c>
      <c r="H897" s="7" t="n">
        <v>0.07844170701</v>
      </c>
      <c r="I897" s="7" t="n">
        <v>0.9969155245</v>
      </c>
      <c r="J897" s="7" t="n">
        <v>0.002517049137</v>
      </c>
      <c r="K897" s="7" t="n">
        <v>-0.9968945236</v>
      </c>
      <c r="L897" s="7" t="n">
        <v>0.07842197008</v>
      </c>
      <c r="M897" s="7" t="n">
        <v>0.007162637037</v>
      </c>
      <c r="N897" s="7" t="n">
        <v>0.006943152107</v>
      </c>
      <c r="O897" s="7" t="n">
        <v>-0.003071081977</v>
      </c>
      <c r="P897" s="7" t="n">
        <v>0.9999711801</v>
      </c>
      <c r="Q897" s="7" t="n">
        <v>6.022197599</v>
      </c>
      <c r="R897" s="7" t="n">
        <v>1.691165875</v>
      </c>
      <c r="S897" s="7" t="n">
        <v>1.08081999</v>
      </c>
    </row>
    <row r="898" customFormat="false" ht="15" hidden="false" customHeight="false" outlineLevel="0" collapsed="false">
      <c r="A898" s="5" t="s">
        <v>4</v>
      </c>
      <c r="B898" s="5" t="s">
        <v>78</v>
      </c>
      <c r="C898" s="5" t="s">
        <v>58</v>
      </c>
      <c r="D898" s="2" t="n">
        <v>19</v>
      </c>
      <c r="E898" s="5" t="s">
        <v>167</v>
      </c>
      <c r="F898" s="5" t="s">
        <v>168</v>
      </c>
      <c r="G898" s="2" t="n">
        <v>1</v>
      </c>
      <c r="H898" s="7" t="n">
        <v>0.07624609233</v>
      </c>
      <c r="I898" s="7" t="n">
        <v>0.9970887954</v>
      </c>
      <c r="J898" s="7" t="n">
        <v>-0.0006837747078</v>
      </c>
      <c r="K898" s="7" t="n">
        <v>-0.9967890287</v>
      </c>
      <c r="L898" s="7" t="n">
        <v>0.07623995488</v>
      </c>
      <c r="M898" s="7" t="n">
        <v>0.02447654894</v>
      </c>
      <c r="N898" s="7" t="n">
        <v>0.02445742365</v>
      </c>
      <c r="O898" s="7" t="n">
        <v>-0.001184662084</v>
      </c>
      <c r="P898" s="7" t="n">
        <v>0.9997001706</v>
      </c>
      <c r="Q898" s="7" t="n">
        <v>6.049084359</v>
      </c>
      <c r="R898" s="7" t="n">
        <v>1.744403514</v>
      </c>
      <c r="S898" s="7" t="n">
        <v>1.183918918</v>
      </c>
    </row>
    <row r="899" customFormat="false" ht="15" hidden="false" customHeight="false" outlineLevel="0" collapsed="false">
      <c r="A899" s="5" t="s">
        <v>4</v>
      </c>
      <c r="B899" s="5" t="s">
        <v>78</v>
      </c>
      <c r="C899" s="5" t="s">
        <v>62</v>
      </c>
      <c r="D899" s="2" t="n">
        <v>19</v>
      </c>
      <c r="E899" s="5" t="s">
        <v>167</v>
      </c>
      <c r="F899" s="5" t="s">
        <v>168</v>
      </c>
      <c r="G899" s="2" t="n">
        <v>1</v>
      </c>
      <c r="H899" s="7" t="n">
        <v>0.07732028471</v>
      </c>
      <c r="I899" s="7" t="n">
        <v>0.9970062747</v>
      </c>
      <c r="J899" s="7" t="n">
        <v>-0.0002484832385</v>
      </c>
      <c r="K899" s="7" t="n">
        <v>-0.9970029586</v>
      </c>
      <c r="L899" s="7" t="n">
        <v>0.07731937693</v>
      </c>
      <c r="M899" s="7" t="n">
        <v>-0.002610454919</v>
      </c>
      <c r="N899" s="7" t="n">
        <v>-0.002583427365</v>
      </c>
      <c r="O899" s="7" t="n">
        <v>0.0004495796415</v>
      </c>
      <c r="P899" s="7" t="n">
        <v>0.9999965619</v>
      </c>
      <c r="Q899" s="7" t="n">
        <v>6.038565674</v>
      </c>
      <c r="R899" s="7" t="n">
        <v>1.68761756</v>
      </c>
      <c r="S899" s="7" t="n">
        <v>1.157169305</v>
      </c>
    </row>
    <row r="900" customFormat="false" ht="15" hidden="false" customHeight="false" outlineLevel="0" collapsed="false">
      <c r="A900" s="5" t="s">
        <v>4</v>
      </c>
      <c r="B900" s="5" t="s">
        <v>78</v>
      </c>
      <c r="C900" s="5" t="s">
        <v>58</v>
      </c>
      <c r="D900" s="2" t="n">
        <v>20</v>
      </c>
      <c r="E900" s="5" t="s">
        <v>167</v>
      </c>
      <c r="F900" s="5" t="s">
        <v>168</v>
      </c>
      <c r="G900" s="2" t="n">
        <v>1</v>
      </c>
      <c r="H900" s="7" t="n">
        <v>0.08075021831</v>
      </c>
      <c r="I900" s="7" t="n">
        <v>0.9967342366</v>
      </c>
      <c r="J900" s="7" t="n">
        <v>0.0005137009736</v>
      </c>
      <c r="K900" s="7" t="n">
        <v>-0.9967012439</v>
      </c>
      <c r="L900" s="7" t="n">
        <v>0.08074332222</v>
      </c>
      <c r="M900" s="7" t="n">
        <v>0.008194281208</v>
      </c>
      <c r="N900" s="7" t="n">
        <v>0.008126042701</v>
      </c>
      <c r="O900" s="7" t="n">
        <v>-0.001173696396</v>
      </c>
      <c r="P900" s="7" t="n">
        <v>0.9999662944</v>
      </c>
      <c r="Q900" s="7" t="n">
        <v>6.019411998</v>
      </c>
      <c r="R900" s="7" t="n">
        <v>1.731288748</v>
      </c>
      <c r="S900" s="7" t="n">
        <v>1.088338623</v>
      </c>
    </row>
    <row r="901" customFormat="false" ht="15" hidden="false" customHeight="false" outlineLevel="0" collapsed="false">
      <c r="A901" s="5" t="s">
        <v>4</v>
      </c>
      <c r="B901" s="5" t="s">
        <v>78</v>
      </c>
      <c r="C901" s="5" t="s">
        <v>62</v>
      </c>
      <c r="D901" s="2" t="n">
        <v>20</v>
      </c>
      <c r="E901" s="5" t="s">
        <v>167</v>
      </c>
      <c r="F901" s="5" t="s">
        <v>168</v>
      </c>
      <c r="G901" s="2" t="n">
        <v>1</v>
      </c>
      <c r="H901" s="7" t="n">
        <v>0.08075021831</v>
      </c>
      <c r="I901" s="7" t="n">
        <v>0.9967342366</v>
      </c>
      <c r="J901" s="7" t="n">
        <v>0.0005137009736</v>
      </c>
      <c r="K901" s="7" t="n">
        <v>-0.9967012439</v>
      </c>
      <c r="L901" s="7" t="n">
        <v>0.08074332222</v>
      </c>
      <c r="M901" s="7" t="n">
        <v>0.008194281208</v>
      </c>
      <c r="N901" s="7" t="n">
        <v>0.008126042701</v>
      </c>
      <c r="O901" s="7" t="n">
        <v>-0.001173696396</v>
      </c>
      <c r="P901" s="7" t="n">
        <v>0.9999662944</v>
      </c>
      <c r="Q901" s="7" t="n">
        <v>6.019411998</v>
      </c>
      <c r="R901" s="7" t="n">
        <v>1.731288748</v>
      </c>
      <c r="S901" s="7" t="n">
        <v>1.088338623</v>
      </c>
    </row>
    <row r="902" customFormat="false" ht="15" hidden="false" customHeight="false" outlineLevel="0" collapsed="false">
      <c r="A902" s="5" t="s">
        <v>4</v>
      </c>
      <c r="B902" s="5" t="s">
        <v>80</v>
      </c>
      <c r="C902" s="5" t="s">
        <v>58</v>
      </c>
      <c r="D902" s="2" t="n">
        <v>11</v>
      </c>
      <c r="E902" s="5" t="s">
        <v>163</v>
      </c>
      <c r="F902" s="5" t="s">
        <v>164</v>
      </c>
      <c r="G902" s="2" t="n">
        <v>1</v>
      </c>
      <c r="H902" s="7" t="n">
        <v>-0.7190998105</v>
      </c>
      <c r="I902" s="7" t="n">
        <v>-0.6948450576</v>
      </c>
      <c r="J902" s="7" t="n">
        <v>0.009263284805</v>
      </c>
      <c r="K902" s="7" t="n">
        <v>0.6948340429</v>
      </c>
      <c r="L902" s="7" t="n">
        <v>-0.7191535271</v>
      </c>
      <c r="M902" s="7" t="n">
        <v>-0.004884385841</v>
      </c>
      <c r="N902" s="7" t="n">
        <v>0.0100556153</v>
      </c>
      <c r="O902" s="7" t="n">
        <v>0.002924084699</v>
      </c>
      <c r="P902" s="7" t="n">
        <v>0.9999451657</v>
      </c>
      <c r="Q902" s="7" t="n">
        <v>-11.08673038</v>
      </c>
      <c r="R902" s="7" t="n">
        <v>-0.8771213071</v>
      </c>
      <c r="S902" s="7" t="n">
        <v>0.589970155</v>
      </c>
    </row>
    <row r="903" customFormat="false" ht="15" hidden="false" customHeight="false" outlineLevel="0" collapsed="false">
      <c r="A903" s="5" t="s">
        <v>4</v>
      </c>
      <c r="B903" s="5" t="s">
        <v>80</v>
      </c>
      <c r="C903" s="5" t="s">
        <v>62</v>
      </c>
      <c r="D903" s="2" t="n">
        <v>11</v>
      </c>
      <c r="E903" s="5" t="s">
        <v>163</v>
      </c>
      <c r="F903" s="5" t="s">
        <v>164</v>
      </c>
      <c r="G903" s="2" t="n">
        <v>1</v>
      </c>
      <c r="H903" s="7" t="n">
        <v>-0.7190998105</v>
      </c>
      <c r="I903" s="7" t="n">
        <v>-0.6948450576</v>
      </c>
      <c r="J903" s="7" t="n">
        <v>0.009263284805</v>
      </c>
      <c r="K903" s="7" t="n">
        <v>0.6948340429</v>
      </c>
      <c r="L903" s="7" t="n">
        <v>-0.7191535271</v>
      </c>
      <c r="M903" s="7" t="n">
        <v>-0.004884385841</v>
      </c>
      <c r="N903" s="7" t="n">
        <v>0.0100556153</v>
      </c>
      <c r="O903" s="7" t="n">
        <v>0.002924084699</v>
      </c>
      <c r="P903" s="7" t="n">
        <v>0.9999451657</v>
      </c>
      <c r="Q903" s="7" t="n">
        <v>-11.08673038</v>
      </c>
      <c r="R903" s="7" t="n">
        <v>-0.8771213071</v>
      </c>
      <c r="S903" s="7" t="n">
        <v>0.589970155</v>
      </c>
    </row>
    <row r="904" customFormat="false" ht="15" hidden="false" customHeight="false" outlineLevel="0" collapsed="false">
      <c r="A904" s="5" t="s">
        <v>4</v>
      </c>
      <c r="B904" s="5" t="s">
        <v>80</v>
      </c>
      <c r="C904" s="5" t="s">
        <v>58</v>
      </c>
      <c r="D904" s="2" t="n">
        <v>11</v>
      </c>
      <c r="E904" s="5" t="s">
        <v>163</v>
      </c>
      <c r="F904" s="5" t="s">
        <v>165</v>
      </c>
      <c r="G904" s="2" t="n">
        <v>1</v>
      </c>
      <c r="H904" s="7" t="n">
        <v>0.9339683538</v>
      </c>
      <c r="I904" s="7" t="n">
        <v>0.3573123511</v>
      </c>
      <c r="J904" s="7" t="n">
        <v>-0.005567572161</v>
      </c>
      <c r="K904" s="7" t="n">
        <v>-0.3573070982</v>
      </c>
      <c r="L904" s="7" t="n">
        <v>0.9339849324</v>
      </c>
      <c r="M904" s="7" t="n">
        <v>0.001945159462</v>
      </c>
      <c r="N904" s="7" t="n">
        <v>0.005895058009</v>
      </c>
      <c r="O904" s="7" t="n">
        <v>0.0001726156721</v>
      </c>
      <c r="P904" s="7" t="n">
        <v>0.9999826091</v>
      </c>
      <c r="Q904" s="7" t="n">
        <v>8.390206454</v>
      </c>
      <c r="R904" s="7" t="n">
        <v>1.379135061</v>
      </c>
      <c r="S904" s="7" t="n">
        <v>0.6085183626</v>
      </c>
    </row>
    <row r="905" customFormat="false" ht="15" hidden="false" customHeight="false" outlineLevel="0" collapsed="false">
      <c r="A905" s="5" t="s">
        <v>4</v>
      </c>
      <c r="B905" s="5" t="s">
        <v>80</v>
      </c>
      <c r="C905" s="5" t="s">
        <v>62</v>
      </c>
      <c r="D905" s="2" t="n">
        <v>11</v>
      </c>
      <c r="E905" s="5" t="s">
        <v>163</v>
      </c>
      <c r="F905" s="5" t="s">
        <v>165</v>
      </c>
      <c r="G905" s="2" t="n">
        <v>1</v>
      </c>
      <c r="H905" s="7" t="n">
        <v>0.9338554152</v>
      </c>
      <c r="I905" s="7" t="n">
        <v>0.3576478223</v>
      </c>
      <c r="J905" s="7" t="n">
        <v>-0.001448685366</v>
      </c>
      <c r="K905" s="7" t="n">
        <v>-0.3576418221</v>
      </c>
      <c r="L905" s="7" t="n">
        <v>0.9338530568</v>
      </c>
      <c r="M905" s="7" t="n">
        <v>0.003285633548</v>
      </c>
      <c r="N905" s="7" t="n">
        <v>0.002527958941</v>
      </c>
      <c r="O905" s="7" t="n">
        <v>-0.002550196207</v>
      </c>
      <c r="P905" s="7" t="n">
        <v>0.9999935529</v>
      </c>
      <c r="Q905" s="7" t="n">
        <v>8.400886115</v>
      </c>
      <c r="R905" s="7" t="n">
        <v>1.378690245</v>
      </c>
      <c r="S905" s="7" t="n">
        <v>0.5920822756</v>
      </c>
    </row>
    <row r="906" customFormat="false" ht="15" hidden="false" customHeight="false" outlineLevel="0" collapsed="false">
      <c r="A906" s="5" t="s">
        <v>4</v>
      </c>
      <c r="B906" s="5" t="s">
        <v>80</v>
      </c>
      <c r="C906" s="5" t="s">
        <v>58</v>
      </c>
      <c r="D906" s="2" t="n">
        <v>11</v>
      </c>
      <c r="E906" s="5" t="s">
        <v>163</v>
      </c>
      <c r="F906" s="5" t="s">
        <v>166</v>
      </c>
      <c r="G906" s="2" t="n">
        <v>1</v>
      </c>
      <c r="H906" s="7" t="n">
        <v>0.9016845486</v>
      </c>
      <c r="I906" s="7" t="n">
        <v>0.431664984</v>
      </c>
      <c r="J906" s="7" t="n">
        <v>-0.02510610424</v>
      </c>
      <c r="K906" s="7" t="n">
        <v>-0.4319338149</v>
      </c>
      <c r="L906" s="7" t="n">
        <v>0.9018837924</v>
      </c>
      <c r="M906" s="7" t="n">
        <v>-0.006229326589</v>
      </c>
      <c r="N906" s="7" t="n">
        <v>0.01995380634</v>
      </c>
      <c r="O906" s="7" t="n">
        <v>0.01646106292</v>
      </c>
      <c r="P906" s="7" t="n">
        <v>0.9996653835</v>
      </c>
      <c r="Q906" s="7" t="n">
        <v>22.80565183</v>
      </c>
      <c r="R906" s="7" t="n">
        <v>6.487576891</v>
      </c>
      <c r="S906" s="7" t="n">
        <v>1.676690789</v>
      </c>
    </row>
    <row r="907" customFormat="false" ht="15" hidden="false" customHeight="false" outlineLevel="0" collapsed="false">
      <c r="A907" s="5" t="s">
        <v>4</v>
      </c>
      <c r="B907" s="5" t="s">
        <v>80</v>
      </c>
      <c r="C907" s="5" t="s">
        <v>62</v>
      </c>
      <c r="D907" s="2" t="n">
        <v>11</v>
      </c>
      <c r="E907" s="5" t="s">
        <v>163</v>
      </c>
      <c r="F907" s="5" t="s">
        <v>166</v>
      </c>
      <c r="G907" s="2" t="n">
        <v>1</v>
      </c>
      <c r="H907" s="7" t="n">
        <v>0.9016845486</v>
      </c>
      <c r="I907" s="7" t="n">
        <v>0.431664984</v>
      </c>
      <c r="J907" s="7" t="n">
        <v>-0.02510610424</v>
      </c>
      <c r="K907" s="7" t="n">
        <v>-0.4319338149</v>
      </c>
      <c r="L907" s="7" t="n">
        <v>0.9018837924</v>
      </c>
      <c r="M907" s="7" t="n">
        <v>-0.006229326589</v>
      </c>
      <c r="N907" s="7" t="n">
        <v>0.01995380634</v>
      </c>
      <c r="O907" s="7" t="n">
        <v>0.01646106292</v>
      </c>
      <c r="P907" s="7" t="n">
        <v>0.9996653835</v>
      </c>
      <c r="Q907" s="7" t="n">
        <v>22.80565183</v>
      </c>
      <c r="R907" s="7" t="n">
        <v>6.487576891</v>
      </c>
      <c r="S907" s="7" t="n">
        <v>1.676690789</v>
      </c>
    </row>
    <row r="908" customFormat="false" ht="15" hidden="false" customHeight="false" outlineLevel="0" collapsed="false">
      <c r="A908" s="5" t="s">
        <v>4</v>
      </c>
      <c r="B908" s="5" t="s">
        <v>80</v>
      </c>
      <c r="C908" s="5" t="s">
        <v>58</v>
      </c>
      <c r="D908" s="2" t="n">
        <v>11</v>
      </c>
      <c r="E908" s="5" t="s">
        <v>163</v>
      </c>
      <c r="F908" s="5" t="s">
        <v>167</v>
      </c>
      <c r="G908" s="2" t="n">
        <v>1</v>
      </c>
      <c r="H908" s="7" t="n">
        <v>0.2273785088</v>
      </c>
      <c r="I908" s="7" t="n">
        <v>-0.9737994548</v>
      </c>
      <c r="J908" s="7" t="n">
        <v>-0.003692646026</v>
      </c>
      <c r="K908" s="7" t="n">
        <v>0.9737471234</v>
      </c>
      <c r="L908" s="7" t="n">
        <v>0.2274048788</v>
      </c>
      <c r="M908" s="7" t="n">
        <v>-0.01017647611</v>
      </c>
      <c r="N908" s="7" t="n">
        <v>0.01074957261</v>
      </c>
      <c r="O908" s="7" t="n">
        <v>-0.001281791483</v>
      </c>
      <c r="P908" s="7" t="n">
        <v>0.9999414001</v>
      </c>
      <c r="Q908" s="7" t="n">
        <v>-16.45900139</v>
      </c>
      <c r="R908" s="7" t="n">
        <v>20.55061622</v>
      </c>
      <c r="S908" s="7" t="n">
        <v>1.004076647</v>
      </c>
    </row>
    <row r="909" customFormat="false" ht="15" hidden="false" customHeight="false" outlineLevel="0" collapsed="false">
      <c r="A909" s="5" t="s">
        <v>4</v>
      </c>
      <c r="B909" s="5" t="s">
        <v>80</v>
      </c>
      <c r="C909" s="5" t="s">
        <v>62</v>
      </c>
      <c r="D909" s="2" t="n">
        <v>11</v>
      </c>
      <c r="E909" s="5" t="s">
        <v>163</v>
      </c>
      <c r="F909" s="5" t="s">
        <v>167</v>
      </c>
      <c r="G909" s="2" t="n">
        <v>1</v>
      </c>
      <c r="H909" s="7" t="n">
        <v>0.2273785088</v>
      </c>
      <c r="I909" s="7" t="n">
        <v>-0.9737994548</v>
      </c>
      <c r="J909" s="7" t="n">
        <v>-0.003692646026</v>
      </c>
      <c r="K909" s="7" t="n">
        <v>0.9737471234</v>
      </c>
      <c r="L909" s="7" t="n">
        <v>0.2274048788</v>
      </c>
      <c r="M909" s="7" t="n">
        <v>-0.01017647611</v>
      </c>
      <c r="N909" s="7" t="n">
        <v>0.01074957261</v>
      </c>
      <c r="O909" s="7" t="n">
        <v>-0.001281791483</v>
      </c>
      <c r="P909" s="7" t="n">
        <v>0.9999414001</v>
      </c>
      <c r="Q909" s="7" t="n">
        <v>-16.45900139</v>
      </c>
      <c r="R909" s="7" t="n">
        <v>20.55061622</v>
      </c>
      <c r="S909" s="7" t="n">
        <v>1.004076647</v>
      </c>
    </row>
    <row r="910" customFormat="false" ht="15" hidden="false" customHeight="false" outlineLevel="0" collapsed="false">
      <c r="A910" s="5" t="s">
        <v>4</v>
      </c>
      <c r="B910" s="5" t="s">
        <v>80</v>
      </c>
      <c r="C910" s="5" t="s">
        <v>58</v>
      </c>
      <c r="D910" s="2" t="n">
        <v>11</v>
      </c>
      <c r="E910" s="5" t="s">
        <v>163</v>
      </c>
      <c r="F910" s="5" t="s">
        <v>168</v>
      </c>
      <c r="G910" s="2" t="n">
        <v>1</v>
      </c>
      <c r="H910" s="7" t="n">
        <v>0.9901575852</v>
      </c>
      <c r="I910" s="7" t="n">
        <v>0.1383833835</v>
      </c>
      <c r="J910" s="7" t="n">
        <v>-0.02092834419</v>
      </c>
      <c r="K910" s="7" t="n">
        <v>-0.1392138629</v>
      </c>
      <c r="L910" s="7" t="n">
        <v>0.9892155393</v>
      </c>
      <c r="M910" s="7" t="n">
        <v>-0.04552051415</v>
      </c>
      <c r="N910" s="7" t="n">
        <v>0.01440336052</v>
      </c>
      <c r="O910" s="7" t="n">
        <v>0.04798599801</v>
      </c>
      <c r="P910" s="7" t="n">
        <v>0.998744155</v>
      </c>
      <c r="Q910" s="7" t="n">
        <v>25.01132507</v>
      </c>
      <c r="R910" s="7" t="n">
        <v>19.78467171</v>
      </c>
      <c r="S910" s="7" t="n">
        <v>2.970963009</v>
      </c>
    </row>
    <row r="911" customFormat="false" ht="15" hidden="false" customHeight="false" outlineLevel="0" collapsed="false">
      <c r="A911" s="5" t="s">
        <v>4</v>
      </c>
      <c r="B911" s="5" t="s">
        <v>80</v>
      </c>
      <c r="C911" s="5" t="s">
        <v>62</v>
      </c>
      <c r="D911" s="2" t="n">
        <v>11</v>
      </c>
      <c r="E911" s="5" t="s">
        <v>163</v>
      </c>
      <c r="F911" s="5" t="s">
        <v>168</v>
      </c>
      <c r="G911" s="2" t="n">
        <v>1</v>
      </c>
      <c r="H911" s="7" t="n">
        <v>0.9901575852</v>
      </c>
      <c r="I911" s="7" t="n">
        <v>0.1383833835</v>
      </c>
      <c r="J911" s="7" t="n">
        <v>-0.02092834419</v>
      </c>
      <c r="K911" s="7" t="n">
        <v>-0.1392138629</v>
      </c>
      <c r="L911" s="7" t="n">
        <v>0.9892155393</v>
      </c>
      <c r="M911" s="7" t="n">
        <v>-0.04552051415</v>
      </c>
      <c r="N911" s="7" t="n">
        <v>0.01440336052</v>
      </c>
      <c r="O911" s="7" t="n">
        <v>0.04798599801</v>
      </c>
      <c r="P911" s="7" t="n">
        <v>0.998744155</v>
      </c>
      <c r="Q911" s="7" t="n">
        <v>25.01132507</v>
      </c>
      <c r="R911" s="7" t="n">
        <v>19.78467171</v>
      </c>
      <c r="S911" s="7" t="n">
        <v>2.970963009</v>
      </c>
    </row>
    <row r="912" customFormat="false" ht="15" hidden="false" customHeight="false" outlineLevel="0" collapsed="false">
      <c r="A912" s="5" t="s">
        <v>4</v>
      </c>
      <c r="B912" s="5" t="s">
        <v>80</v>
      </c>
      <c r="C912" s="5" t="s">
        <v>58</v>
      </c>
      <c r="D912" s="2" t="n">
        <v>12</v>
      </c>
      <c r="E912" s="5" t="s">
        <v>163</v>
      </c>
      <c r="F912" s="5" t="s">
        <v>164</v>
      </c>
      <c r="G912" s="2" t="n">
        <v>1</v>
      </c>
      <c r="H912" s="7" t="n">
        <v>-0.7192868726</v>
      </c>
      <c r="I912" s="7" t="n">
        <v>-0.6947077656</v>
      </c>
      <c r="J912" s="7" t="n">
        <v>0.002741418193</v>
      </c>
      <c r="K912" s="7" t="n">
        <v>0.6946869201</v>
      </c>
      <c r="L912" s="7" t="n">
        <v>-0.7192883961</v>
      </c>
      <c r="M912" s="7" t="n">
        <v>-0.005855446998</v>
      </c>
      <c r="N912" s="7" t="n">
        <v>0.006039694795</v>
      </c>
      <c r="O912" s="7" t="n">
        <v>-0.002307318798</v>
      </c>
      <c r="P912" s="7" t="n">
        <v>0.999979099</v>
      </c>
      <c r="Q912" s="7" t="n">
        <v>-11.08627492</v>
      </c>
      <c r="R912" s="7" t="n">
        <v>-0.8856613509</v>
      </c>
      <c r="S912" s="7" t="n">
        <v>0.5405162058</v>
      </c>
    </row>
    <row r="913" customFormat="false" ht="15" hidden="false" customHeight="false" outlineLevel="0" collapsed="false">
      <c r="A913" s="5" t="s">
        <v>4</v>
      </c>
      <c r="B913" s="5" t="s">
        <v>80</v>
      </c>
      <c r="C913" s="5" t="s">
        <v>62</v>
      </c>
      <c r="D913" s="2" t="n">
        <v>12</v>
      </c>
      <c r="E913" s="5" t="s">
        <v>163</v>
      </c>
      <c r="F913" s="5" t="s">
        <v>164</v>
      </c>
      <c r="G913" s="2" t="n">
        <v>1</v>
      </c>
      <c r="H913" s="7" t="n">
        <v>-0.7192868726</v>
      </c>
      <c r="I913" s="7" t="n">
        <v>-0.6947077656</v>
      </c>
      <c r="J913" s="7" t="n">
        <v>0.002741418193</v>
      </c>
      <c r="K913" s="7" t="n">
        <v>0.6946869201</v>
      </c>
      <c r="L913" s="7" t="n">
        <v>-0.7192883961</v>
      </c>
      <c r="M913" s="7" t="n">
        <v>-0.005855446998</v>
      </c>
      <c r="N913" s="7" t="n">
        <v>0.006039694795</v>
      </c>
      <c r="O913" s="7" t="n">
        <v>-0.002307318798</v>
      </c>
      <c r="P913" s="7" t="n">
        <v>0.999979099</v>
      </c>
      <c r="Q913" s="7" t="n">
        <v>-11.08627492</v>
      </c>
      <c r="R913" s="7" t="n">
        <v>-0.8856613509</v>
      </c>
      <c r="S913" s="7" t="n">
        <v>0.5405162058</v>
      </c>
    </row>
    <row r="914" customFormat="false" ht="15" hidden="false" customHeight="false" outlineLevel="0" collapsed="false">
      <c r="A914" s="5" t="s">
        <v>4</v>
      </c>
      <c r="B914" s="5" t="s">
        <v>80</v>
      </c>
      <c r="C914" s="5" t="s">
        <v>58</v>
      </c>
      <c r="D914" s="2" t="n">
        <v>12</v>
      </c>
      <c r="E914" s="5" t="s">
        <v>163</v>
      </c>
      <c r="F914" s="5" t="s">
        <v>165</v>
      </c>
      <c r="G914" s="2" t="n">
        <v>1</v>
      </c>
      <c r="H914" s="7" t="n">
        <v>0.9335019153</v>
      </c>
      <c r="I914" s="7" t="n">
        <v>0.3585332621</v>
      </c>
      <c r="J914" s="7" t="n">
        <v>-0.005298492059</v>
      </c>
      <c r="K914" s="7" t="n">
        <v>-0.3584956561</v>
      </c>
      <c r="L914" s="7" t="n">
        <v>0.9335059201</v>
      </c>
      <c r="M914" s="7" t="n">
        <v>0.00689650375</v>
      </c>
      <c r="N914" s="7" t="n">
        <v>0.007418799691</v>
      </c>
      <c r="O914" s="7" t="n">
        <v>-0.004538413073</v>
      </c>
      <c r="P914" s="7" t="n">
        <v>0.9999621814</v>
      </c>
      <c r="Q914" s="7" t="n">
        <v>8.402067903</v>
      </c>
      <c r="R914" s="7" t="n">
        <v>1.353724822</v>
      </c>
      <c r="S914" s="7" t="n">
        <v>0.6443351265</v>
      </c>
    </row>
    <row r="915" customFormat="false" ht="15" hidden="false" customHeight="false" outlineLevel="0" collapsed="false">
      <c r="A915" s="5" t="s">
        <v>4</v>
      </c>
      <c r="B915" s="5" t="s">
        <v>80</v>
      </c>
      <c r="C915" s="5" t="s">
        <v>62</v>
      </c>
      <c r="D915" s="2" t="n">
        <v>12</v>
      </c>
      <c r="E915" s="5" t="s">
        <v>163</v>
      </c>
      <c r="F915" s="5" t="s">
        <v>165</v>
      </c>
      <c r="G915" s="2" t="n">
        <v>1</v>
      </c>
      <c r="H915" s="7" t="n">
        <v>0.9335019153</v>
      </c>
      <c r="I915" s="7" t="n">
        <v>0.3585332621</v>
      </c>
      <c r="J915" s="7" t="n">
        <v>-0.005298492059</v>
      </c>
      <c r="K915" s="7" t="n">
        <v>-0.3584956561</v>
      </c>
      <c r="L915" s="7" t="n">
        <v>0.9335059201</v>
      </c>
      <c r="M915" s="7" t="n">
        <v>0.00689650375</v>
      </c>
      <c r="N915" s="7" t="n">
        <v>0.007418799691</v>
      </c>
      <c r="O915" s="7" t="n">
        <v>-0.004538413073</v>
      </c>
      <c r="P915" s="7" t="n">
        <v>0.9999621814</v>
      </c>
      <c r="Q915" s="7" t="n">
        <v>8.402067903</v>
      </c>
      <c r="R915" s="7" t="n">
        <v>1.353724822</v>
      </c>
      <c r="S915" s="7" t="n">
        <v>0.6443351265</v>
      </c>
    </row>
    <row r="916" customFormat="false" ht="15" hidden="false" customHeight="false" outlineLevel="0" collapsed="false">
      <c r="A916" s="5" t="s">
        <v>4</v>
      </c>
      <c r="B916" s="5" t="s">
        <v>80</v>
      </c>
      <c r="C916" s="5" t="s">
        <v>58</v>
      </c>
      <c r="D916" s="2" t="n">
        <v>12</v>
      </c>
      <c r="E916" s="5" t="s">
        <v>163</v>
      </c>
      <c r="F916" s="5" t="s">
        <v>166</v>
      </c>
      <c r="G916" s="2" t="n">
        <v>1</v>
      </c>
      <c r="H916" s="7" t="n">
        <v>0.9021595049</v>
      </c>
      <c r="I916" s="7" t="n">
        <v>0.4311871193</v>
      </c>
      <c r="J916" s="7" t="n">
        <v>-0.01363436742</v>
      </c>
      <c r="K916" s="7" t="n">
        <v>-0.4311792478</v>
      </c>
      <c r="L916" s="7" t="n">
        <v>0.9022588544</v>
      </c>
      <c r="M916" s="7" t="n">
        <v>0.003662773897</v>
      </c>
      <c r="N916" s="7" t="n">
        <v>0.01388106965</v>
      </c>
      <c r="O916" s="7" t="n">
        <v>0.002574450003</v>
      </c>
      <c r="P916" s="7" t="n">
        <v>0.9999003391</v>
      </c>
      <c r="Q916" s="7" t="n">
        <v>22.84549126</v>
      </c>
      <c r="R916" s="7" t="n">
        <v>6.514546557</v>
      </c>
      <c r="S916" s="7" t="n">
        <v>1.505729219</v>
      </c>
    </row>
    <row r="917" customFormat="false" ht="15" hidden="false" customHeight="false" outlineLevel="0" collapsed="false">
      <c r="A917" s="5" t="s">
        <v>4</v>
      </c>
      <c r="B917" s="5" t="s">
        <v>80</v>
      </c>
      <c r="C917" s="5" t="s">
        <v>62</v>
      </c>
      <c r="D917" s="2" t="n">
        <v>12</v>
      </c>
      <c r="E917" s="5" t="s">
        <v>163</v>
      </c>
      <c r="F917" s="5" t="s">
        <v>166</v>
      </c>
      <c r="G917" s="2" t="n">
        <v>1</v>
      </c>
      <c r="H917" s="7" t="n">
        <v>0.9021595049</v>
      </c>
      <c r="I917" s="7" t="n">
        <v>0.4311871193</v>
      </c>
      <c r="J917" s="7" t="n">
        <v>-0.01363436742</v>
      </c>
      <c r="K917" s="7" t="n">
        <v>-0.4311792478</v>
      </c>
      <c r="L917" s="7" t="n">
        <v>0.9022588544</v>
      </c>
      <c r="M917" s="7" t="n">
        <v>0.003662773897</v>
      </c>
      <c r="N917" s="7" t="n">
        <v>0.01388106965</v>
      </c>
      <c r="O917" s="7" t="n">
        <v>0.002574450003</v>
      </c>
      <c r="P917" s="7" t="n">
        <v>0.9999003391</v>
      </c>
      <c r="Q917" s="7" t="n">
        <v>22.84549126</v>
      </c>
      <c r="R917" s="7" t="n">
        <v>6.514546557</v>
      </c>
      <c r="S917" s="7" t="n">
        <v>1.505729219</v>
      </c>
    </row>
    <row r="918" customFormat="false" ht="15" hidden="false" customHeight="false" outlineLevel="0" collapsed="false">
      <c r="A918" s="5" t="s">
        <v>4</v>
      </c>
      <c r="B918" s="5" t="s">
        <v>80</v>
      </c>
      <c r="C918" s="5" t="s">
        <v>58</v>
      </c>
      <c r="D918" s="2" t="n">
        <v>12</v>
      </c>
      <c r="E918" s="5" t="s">
        <v>163</v>
      </c>
      <c r="F918" s="5" t="s">
        <v>167</v>
      </c>
      <c r="G918" s="2" t="n">
        <v>1</v>
      </c>
      <c r="H918" s="7" t="n">
        <v>0.2233941495</v>
      </c>
      <c r="I918" s="7" t="n">
        <v>-0.9746952721</v>
      </c>
      <c r="J918" s="7" t="n">
        <v>-0.008011272946</v>
      </c>
      <c r="K918" s="7" t="n">
        <v>0.9745706428</v>
      </c>
      <c r="L918" s="7" t="n">
        <v>0.2234982664</v>
      </c>
      <c r="M918" s="7" t="n">
        <v>-0.01614271126</v>
      </c>
      <c r="N918" s="7" t="n">
        <v>0.01752472996</v>
      </c>
      <c r="O918" s="7" t="n">
        <v>-0.004201364171</v>
      </c>
      <c r="P918" s="7" t="n">
        <v>0.999837603</v>
      </c>
      <c r="Q918" s="7" t="n">
        <v>-16.54707779</v>
      </c>
      <c r="R918" s="7" t="n">
        <v>20.48893406</v>
      </c>
      <c r="S918" s="7" t="n">
        <v>0.9893222045</v>
      </c>
    </row>
    <row r="919" customFormat="false" ht="15" hidden="false" customHeight="false" outlineLevel="0" collapsed="false">
      <c r="A919" s="5" t="s">
        <v>4</v>
      </c>
      <c r="B919" s="5" t="s">
        <v>80</v>
      </c>
      <c r="C919" s="5" t="s">
        <v>62</v>
      </c>
      <c r="D919" s="2" t="n">
        <v>12</v>
      </c>
      <c r="E919" s="5" t="s">
        <v>163</v>
      </c>
      <c r="F919" s="5" t="s">
        <v>167</v>
      </c>
      <c r="G919" s="2" t="n">
        <v>1</v>
      </c>
      <c r="H919" s="7" t="n">
        <v>0.2226875355</v>
      </c>
      <c r="I919" s="7" t="n">
        <v>-0.9748898628</v>
      </c>
      <c r="J919" s="7" t="n">
        <v>-0.0001298746373</v>
      </c>
      <c r="K919" s="7" t="n">
        <v>0.9748209293</v>
      </c>
      <c r="L919" s="7" t="n">
        <v>0.2226733698</v>
      </c>
      <c r="M919" s="7" t="n">
        <v>-0.01186280923</v>
      </c>
      <c r="N919" s="7" t="n">
        <v>0.01159385209</v>
      </c>
      <c r="O919" s="7" t="n">
        <v>0.002515095237</v>
      </c>
      <c r="P919" s="7" t="n">
        <v>0.999929626</v>
      </c>
      <c r="Q919" s="7" t="n">
        <v>-16.53574346</v>
      </c>
      <c r="R919" s="7" t="n">
        <v>20.4820236</v>
      </c>
      <c r="S919" s="7" t="n">
        <v>1.074427656</v>
      </c>
    </row>
    <row r="920" customFormat="false" ht="15" hidden="false" customHeight="false" outlineLevel="0" collapsed="false">
      <c r="A920" s="5" t="s">
        <v>4</v>
      </c>
      <c r="B920" s="5" t="s">
        <v>80</v>
      </c>
      <c r="C920" s="5" t="s">
        <v>58</v>
      </c>
      <c r="D920" s="2" t="n">
        <v>12</v>
      </c>
      <c r="E920" s="5" t="s">
        <v>163</v>
      </c>
      <c r="F920" s="5" t="s">
        <v>168</v>
      </c>
      <c r="G920" s="2" t="n">
        <v>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customFormat="false" ht="15" hidden="false" customHeight="false" outlineLevel="0" collapsed="false">
      <c r="A921" s="5" t="s">
        <v>4</v>
      </c>
      <c r="B921" s="5" t="s">
        <v>80</v>
      </c>
      <c r="C921" s="5" t="s">
        <v>62</v>
      </c>
      <c r="D921" s="2" t="n">
        <v>12</v>
      </c>
      <c r="E921" s="5" t="s">
        <v>163</v>
      </c>
      <c r="F921" s="5" t="s">
        <v>168</v>
      </c>
      <c r="G921" s="2" t="n">
        <v>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customFormat="false" ht="15" hidden="false" customHeight="false" outlineLevel="0" collapsed="false">
      <c r="A922" s="5" t="s">
        <v>4</v>
      </c>
      <c r="B922" s="5" t="s">
        <v>80</v>
      </c>
      <c r="C922" s="5" t="s">
        <v>58</v>
      </c>
      <c r="D922" s="2" t="n">
        <v>13</v>
      </c>
      <c r="E922" s="5" t="s">
        <v>163</v>
      </c>
      <c r="F922" s="5" t="s">
        <v>164</v>
      </c>
      <c r="G922" s="2" t="n">
        <v>1</v>
      </c>
      <c r="H922" s="7" t="n">
        <v>-0.7168690679</v>
      </c>
      <c r="I922" s="7" t="n">
        <v>-0.6971441339</v>
      </c>
      <c r="J922" s="7" t="n">
        <v>0.009423161782</v>
      </c>
      <c r="K922" s="7" t="n">
        <v>0.6971247363</v>
      </c>
      <c r="L922" s="7" t="n">
        <v>-0.7169268173</v>
      </c>
      <c r="M922" s="7" t="n">
        <v>-0.00574809208</v>
      </c>
      <c r="N922" s="7" t="n">
        <v>0.01076296606</v>
      </c>
      <c r="O922" s="7" t="n">
        <v>0.002448489761</v>
      </c>
      <c r="P922" s="7" t="n">
        <v>0.9999390799</v>
      </c>
      <c r="Q922" s="7" t="n">
        <v>-11.07012641</v>
      </c>
      <c r="R922" s="7" t="n">
        <v>-0.8251700449</v>
      </c>
      <c r="S922" s="7" t="n">
        <v>0.6040895069</v>
      </c>
    </row>
    <row r="923" customFormat="false" ht="15" hidden="false" customHeight="false" outlineLevel="0" collapsed="false">
      <c r="A923" s="5" t="s">
        <v>4</v>
      </c>
      <c r="B923" s="5" t="s">
        <v>80</v>
      </c>
      <c r="C923" s="5" t="s">
        <v>62</v>
      </c>
      <c r="D923" s="2" t="n">
        <v>13</v>
      </c>
      <c r="E923" s="5" t="s">
        <v>163</v>
      </c>
      <c r="F923" s="5" t="s">
        <v>164</v>
      </c>
      <c r="G923" s="2" t="n">
        <v>1</v>
      </c>
      <c r="H923" s="7" t="n">
        <v>-0.7168690679</v>
      </c>
      <c r="I923" s="7" t="n">
        <v>-0.6971441339</v>
      </c>
      <c r="J923" s="7" t="n">
        <v>0.009423161782</v>
      </c>
      <c r="K923" s="7" t="n">
        <v>0.6971247363</v>
      </c>
      <c r="L923" s="7" t="n">
        <v>-0.7169268173</v>
      </c>
      <c r="M923" s="7" t="n">
        <v>-0.00574809208</v>
      </c>
      <c r="N923" s="7" t="n">
        <v>0.01076296606</v>
      </c>
      <c r="O923" s="7" t="n">
        <v>0.002448489761</v>
      </c>
      <c r="P923" s="7" t="n">
        <v>0.9999390799</v>
      </c>
      <c r="Q923" s="7" t="n">
        <v>-11.07012641</v>
      </c>
      <c r="R923" s="7" t="n">
        <v>-0.8251700449</v>
      </c>
      <c r="S923" s="7" t="n">
        <v>0.6040895069</v>
      </c>
    </row>
    <row r="924" customFormat="false" ht="15" hidden="false" customHeight="false" outlineLevel="0" collapsed="false">
      <c r="A924" s="5" t="s">
        <v>4</v>
      </c>
      <c r="B924" s="5" t="s">
        <v>80</v>
      </c>
      <c r="C924" s="5" t="s">
        <v>58</v>
      </c>
      <c r="D924" s="2" t="n">
        <v>13</v>
      </c>
      <c r="E924" s="5" t="s">
        <v>163</v>
      </c>
      <c r="F924" s="5" t="s">
        <v>165</v>
      </c>
      <c r="G924" s="2" t="n">
        <v>1</v>
      </c>
      <c r="H924" s="7" t="n">
        <v>0.9335091464</v>
      </c>
      <c r="I924" s="7" t="n">
        <v>0.3583766681</v>
      </c>
      <c r="J924" s="7" t="n">
        <v>-0.01126221234</v>
      </c>
      <c r="K924" s="7" t="n">
        <v>-0.3583620604</v>
      </c>
      <c r="L924" s="7" t="n">
        <v>0.9335766454</v>
      </c>
      <c r="M924" s="7" t="n">
        <v>0.003358705141</v>
      </c>
      <c r="N924" s="7" t="n">
        <v>0.01171781997</v>
      </c>
      <c r="O924" s="7" t="n">
        <v>0.0009005676492</v>
      </c>
      <c r="P924" s="7" t="n">
        <v>0.9999309385</v>
      </c>
      <c r="Q924" s="7" t="n">
        <v>8.39135106</v>
      </c>
      <c r="R924" s="7" t="n">
        <v>1.338404666</v>
      </c>
      <c r="S924" s="7" t="n">
        <v>0.6921358071</v>
      </c>
    </row>
    <row r="925" customFormat="false" ht="15" hidden="false" customHeight="false" outlineLevel="0" collapsed="false">
      <c r="A925" s="5" t="s">
        <v>4</v>
      </c>
      <c r="B925" s="5" t="s">
        <v>80</v>
      </c>
      <c r="C925" s="5" t="s">
        <v>62</v>
      </c>
      <c r="D925" s="2" t="n">
        <v>13</v>
      </c>
      <c r="E925" s="5" t="s">
        <v>163</v>
      </c>
      <c r="F925" s="5" t="s">
        <v>165</v>
      </c>
      <c r="G925" s="2" t="n">
        <v>1</v>
      </c>
      <c r="H925" s="7" t="n">
        <v>0.9334700005</v>
      </c>
      <c r="I925" s="7" t="n">
        <v>0.3585899919</v>
      </c>
      <c r="J925" s="7" t="n">
        <v>-0.006853888172</v>
      </c>
      <c r="K925" s="7" t="n">
        <v>-0.3585470549</v>
      </c>
      <c r="L925" s="7" t="n">
        <v>0.9334872487</v>
      </c>
      <c r="M925" s="7" t="n">
        <v>0.006750255742</v>
      </c>
      <c r="N925" s="7" t="n">
        <v>0.008818591365</v>
      </c>
      <c r="O925" s="7" t="n">
        <v>-0.003843719813</v>
      </c>
      <c r="P925" s="7" t="n">
        <v>0.9999537281</v>
      </c>
      <c r="Q925" s="7" t="n">
        <v>8.411114012</v>
      </c>
      <c r="R925" s="7" t="n">
        <v>1.344617817</v>
      </c>
      <c r="S925" s="7" t="n">
        <v>0.6631241758</v>
      </c>
    </row>
    <row r="926" customFormat="false" ht="15" hidden="false" customHeight="false" outlineLevel="0" collapsed="false">
      <c r="A926" s="5" t="s">
        <v>4</v>
      </c>
      <c r="B926" s="5" t="s">
        <v>80</v>
      </c>
      <c r="C926" s="5" t="s">
        <v>58</v>
      </c>
      <c r="D926" s="2" t="n">
        <v>13</v>
      </c>
      <c r="E926" s="5" t="s">
        <v>163</v>
      </c>
      <c r="F926" s="5" t="s">
        <v>166</v>
      </c>
      <c r="G926" s="2" t="n">
        <v>1</v>
      </c>
      <c r="H926" s="7" t="n">
        <v>0.9023221482</v>
      </c>
      <c r="I926" s="7" t="n">
        <v>0.4309278063</v>
      </c>
      <c r="J926" s="7" t="n">
        <v>-0.01076877794</v>
      </c>
      <c r="K926" s="7" t="n">
        <v>-0.4309934335</v>
      </c>
      <c r="L926" s="7" t="n">
        <v>0.9023430089</v>
      </c>
      <c r="M926" s="7" t="n">
        <v>-0.004664169835</v>
      </c>
      <c r="N926" s="7" t="n">
        <v>0.007707211012</v>
      </c>
      <c r="O926" s="7" t="n">
        <v>0.008849856323</v>
      </c>
      <c r="P926" s="7" t="n">
        <v>0.9999311371</v>
      </c>
      <c r="Q926" s="7" t="n">
        <v>22.85600441</v>
      </c>
      <c r="R926" s="7" t="n">
        <v>6.504725786</v>
      </c>
      <c r="S926" s="7" t="n">
        <v>1.521664261</v>
      </c>
    </row>
    <row r="927" customFormat="false" ht="15" hidden="false" customHeight="false" outlineLevel="0" collapsed="false">
      <c r="A927" s="5" t="s">
        <v>4</v>
      </c>
      <c r="B927" s="5" t="s">
        <v>80</v>
      </c>
      <c r="C927" s="5" t="s">
        <v>62</v>
      </c>
      <c r="D927" s="2" t="n">
        <v>13</v>
      </c>
      <c r="E927" s="5" t="s">
        <v>163</v>
      </c>
      <c r="F927" s="5" t="s">
        <v>166</v>
      </c>
      <c r="G927" s="2" t="n">
        <v>1</v>
      </c>
      <c r="H927" s="7" t="n">
        <v>0.9023221482</v>
      </c>
      <c r="I927" s="7" t="n">
        <v>0.4309278063</v>
      </c>
      <c r="J927" s="7" t="n">
        <v>-0.01076877794</v>
      </c>
      <c r="K927" s="7" t="n">
        <v>-0.4309934335</v>
      </c>
      <c r="L927" s="7" t="n">
        <v>0.9023430089</v>
      </c>
      <c r="M927" s="7" t="n">
        <v>-0.004664169835</v>
      </c>
      <c r="N927" s="7" t="n">
        <v>0.007707211012</v>
      </c>
      <c r="O927" s="7" t="n">
        <v>0.008849856323</v>
      </c>
      <c r="P927" s="7" t="n">
        <v>0.9999311371</v>
      </c>
      <c r="Q927" s="7" t="n">
        <v>22.85600441</v>
      </c>
      <c r="R927" s="7" t="n">
        <v>6.504725786</v>
      </c>
      <c r="S927" s="7" t="n">
        <v>1.521664261</v>
      </c>
    </row>
    <row r="928" customFormat="false" ht="15" hidden="false" customHeight="false" outlineLevel="0" collapsed="false">
      <c r="A928" s="5" t="s">
        <v>4</v>
      </c>
      <c r="B928" s="5" t="s">
        <v>80</v>
      </c>
      <c r="C928" s="5" t="s">
        <v>58</v>
      </c>
      <c r="D928" s="2" t="n">
        <v>13</v>
      </c>
      <c r="E928" s="5" t="s">
        <v>163</v>
      </c>
      <c r="F928" s="5" t="s">
        <v>167</v>
      </c>
      <c r="G928" s="2" t="n">
        <v>1</v>
      </c>
      <c r="H928" s="7" t="n">
        <v>0.2263229821</v>
      </c>
      <c r="I928" s="7" t="n">
        <v>-0.9738581044</v>
      </c>
      <c r="J928" s="7" t="n">
        <v>-0.01944994005</v>
      </c>
      <c r="K928" s="7" t="n">
        <v>0.973858059</v>
      </c>
      <c r="L928" s="7" t="n">
        <v>0.2266315015</v>
      </c>
      <c r="M928" s="7" t="n">
        <v>-0.01544808826</v>
      </c>
      <c r="N928" s="7" t="n">
        <v>0.01945221507</v>
      </c>
      <c r="O928" s="7" t="n">
        <v>-0.01544522346</v>
      </c>
      <c r="P928" s="7" t="n">
        <v>0.9996914806</v>
      </c>
      <c r="Q928" s="7" t="n">
        <v>-16.5191064</v>
      </c>
      <c r="R928" s="7" t="n">
        <v>20.52013017</v>
      </c>
      <c r="S928" s="7" t="n">
        <v>0.7057453415</v>
      </c>
    </row>
    <row r="929" customFormat="false" ht="15" hidden="false" customHeight="false" outlineLevel="0" collapsed="false">
      <c r="A929" s="5" t="s">
        <v>4</v>
      </c>
      <c r="B929" s="5" t="s">
        <v>80</v>
      </c>
      <c r="C929" s="5" t="s">
        <v>62</v>
      </c>
      <c r="D929" s="2" t="n">
        <v>13</v>
      </c>
      <c r="E929" s="5" t="s">
        <v>163</v>
      </c>
      <c r="F929" s="5" t="s">
        <v>167</v>
      </c>
      <c r="G929" s="2" t="n">
        <v>1</v>
      </c>
      <c r="H929" s="7" t="n">
        <v>0.2280246276</v>
      </c>
      <c r="I929" s="7" t="n">
        <v>-0.9731674084</v>
      </c>
      <c r="J929" s="7" t="n">
        <v>-0.03082149401</v>
      </c>
      <c r="K929" s="7" t="n">
        <v>0.9736399589</v>
      </c>
      <c r="L929" s="7" t="n">
        <v>0.2280848191</v>
      </c>
      <c r="M929" s="7" t="n">
        <v>0.001595536202</v>
      </c>
      <c r="N929" s="7" t="n">
        <v>0.005477191055</v>
      </c>
      <c r="O929" s="7" t="n">
        <v>-0.03037285971</v>
      </c>
      <c r="P929" s="7" t="n">
        <v>0.9995236314</v>
      </c>
      <c r="Q929" s="7" t="n">
        <v>-16.50474116</v>
      </c>
      <c r="R929" s="7" t="n">
        <v>20.58431751</v>
      </c>
      <c r="S929" s="7" t="n">
        <v>0.3818858123</v>
      </c>
    </row>
    <row r="930" customFormat="false" ht="15" hidden="false" customHeight="false" outlineLevel="0" collapsed="false">
      <c r="A930" s="5" t="s">
        <v>4</v>
      </c>
      <c r="B930" s="5" t="s">
        <v>80</v>
      </c>
      <c r="C930" s="5" t="s">
        <v>58</v>
      </c>
      <c r="D930" s="2" t="n">
        <v>13</v>
      </c>
      <c r="E930" s="5" t="s">
        <v>163</v>
      </c>
      <c r="F930" s="5" t="s">
        <v>168</v>
      </c>
      <c r="G930" s="2" t="n">
        <v>1</v>
      </c>
      <c r="H930" s="7" t="n">
        <v>0.9831927799</v>
      </c>
      <c r="I930" s="7" t="n">
        <v>0.1634353045</v>
      </c>
      <c r="J930" s="7" t="n">
        <v>0.08136866033</v>
      </c>
      <c r="K930" s="7" t="n">
        <v>-0.1756281646</v>
      </c>
      <c r="L930" s="7" t="n">
        <v>0.9684103194</v>
      </c>
      <c r="M930" s="7" t="n">
        <v>0.1770203406</v>
      </c>
      <c r="N930" s="7" t="n">
        <v>-0.04986687707</v>
      </c>
      <c r="O930" s="7" t="n">
        <v>-0.1883357493</v>
      </c>
      <c r="P930" s="7" t="n">
        <v>0.9808378766</v>
      </c>
      <c r="Q930" s="7" t="n">
        <v>25.47396602</v>
      </c>
      <c r="R930" s="7" t="n">
        <v>19.52328081</v>
      </c>
      <c r="S930" s="7" t="n">
        <v>-1.012403132</v>
      </c>
    </row>
    <row r="931" customFormat="false" ht="15" hidden="false" customHeight="false" outlineLevel="0" collapsed="false">
      <c r="A931" s="5" t="s">
        <v>4</v>
      </c>
      <c r="B931" s="5" t="s">
        <v>80</v>
      </c>
      <c r="C931" s="5" t="s">
        <v>62</v>
      </c>
      <c r="D931" s="2" t="n">
        <v>13</v>
      </c>
      <c r="E931" s="5" t="s">
        <v>163</v>
      </c>
      <c r="F931" s="5" t="s">
        <v>168</v>
      </c>
      <c r="G931" s="2" t="n">
        <v>1</v>
      </c>
      <c r="H931" s="7" t="n">
        <v>0.9831927799</v>
      </c>
      <c r="I931" s="7" t="n">
        <v>0.1634353045</v>
      </c>
      <c r="J931" s="7" t="n">
        <v>0.08136866033</v>
      </c>
      <c r="K931" s="7" t="n">
        <v>-0.1756281646</v>
      </c>
      <c r="L931" s="7" t="n">
        <v>0.9684103194</v>
      </c>
      <c r="M931" s="7" t="n">
        <v>0.1770203406</v>
      </c>
      <c r="N931" s="7" t="n">
        <v>-0.04986687707</v>
      </c>
      <c r="O931" s="7" t="n">
        <v>-0.1883357493</v>
      </c>
      <c r="P931" s="7" t="n">
        <v>0.9808378766</v>
      </c>
      <c r="Q931" s="7" t="n">
        <v>25.47396602</v>
      </c>
      <c r="R931" s="7" t="n">
        <v>19.52328081</v>
      </c>
      <c r="S931" s="7" t="n">
        <v>-1.012403132</v>
      </c>
    </row>
    <row r="932" customFormat="false" ht="15" hidden="false" customHeight="false" outlineLevel="0" collapsed="false">
      <c r="A932" s="5" t="s">
        <v>4</v>
      </c>
      <c r="B932" s="5" t="s">
        <v>80</v>
      </c>
      <c r="C932" s="5" t="s">
        <v>58</v>
      </c>
      <c r="D932" s="2" t="n">
        <v>14</v>
      </c>
      <c r="E932" s="5" t="s">
        <v>163</v>
      </c>
      <c r="F932" s="5" t="s">
        <v>164</v>
      </c>
      <c r="G932" s="2" t="n">
        <v>1</v>
      </c>
      <c r="H932" s="7" t="n">
        <v>-0.7183976585</v>
      </c>
      <c r="I932" s="7" t="n">
        <v>-0.6956064248</v>
      </c>
      <c r="J932" s="7" t="n">
        <v>0.006042024149</v>
      </c>
      <c r="K932" s="7" t="n">
        <v>0.6955895962</v>
      </c>
      <c r="L932" s="7" t="n">
        <v>-0.7184227333</v>
      </c>
      <c r="M932" s="7" t="n">
        <v>-0.004887730666</v>
      </c>
      <c r="N932" s="7" t="n">
        <v>0.007740664358</v>
      </c>
      <c r="O932" s="7" t="n">
        <v>0.0006914348723</v>
      </c>
      <c r="P932" s="7" t="n">
        <v>0.9999698016</v>
      </c>
      <c r="Q932" s="7" t="n">
        <v>-11.07373148</v>
      </c>
      <c r="R932" s="7" t="n">
        <v>-0.8705728268</v>
      </c>
      <c r="S932" s="7" t="n">
        <v>0.5752375933</v>
      </c>
    </row>
    <row r="933" customFormat="false" ht="15" hidden="false" customHeight="false" outlineLevel="0" collapsed="false">
      <c r="A933" s="5" t="s">
        <v>4</v>
      </c>
      <c r="B933" s="5" t="s">
        <v>80</v>
      </c>
      <c r="C933" s="5" t="s">
        <v>62</v>
      </c>
      <c r="D933" s="2" t="n">
        <v>14</v>
      </c>
      <c r="E933" s="5" t="s">
        <v>163</v>
      </c>
      <c r="F933" s="5" t="s">
        <v>164</v>
      </c>
      <c r="G933" s="2" t="n">
        <v>1</v>
      </c>
      <c r="H933" s="7" t="n">
        <v>-0.7183976585</v>
      </c>
      <c r="I933" s="7" t="n">
        <v>-0.6956064248</v>
      </c>
      <c r="J933" s="7" t="n">
        <v>0.006042024149</v>
      </c>
      <c r="K933" s="7" t="n">
        <v>0.6955895962</v>
      </c>
      <c r="L933" s="7" t="n">
        <v>-0.7184227333</v>
      </c>
      <c r="M933" s="7" t="n">
        <v>-0.004887730666</v>
      </c>
      <c r="N933" s="7" t="n">
        <v>0.007740664358</v>
      </c>
      <c r="O933" s="7" t="n">
        <v>0.0006914348723</v>
      </c>
      <c r="P933" s="7" t="n">
        <v>0.9999698016</v>
      </c>
      <c r="Q933" s="7" t="n">
        <v>-11.07373148</v>
      </c>
      <c r="R933" s="7" t="n">
        <v>-0.8705728268</v>
      </c>
      <c r="S933" s="7" t="n">
        <v>0.5752375933</v>
      </c>
    </row>
    <row r="934" customFormat="false" ht="15" hidden="false" customHeight="false" outlineLevel="0" collapsed="false">
      <c r="A934" s="5" t="s">
        <v>4</v>
      </c>
      <c r="B934" s="5" t="s">
        <v>80</v>
      </c>
      <c r="C934" s="5" t="s">
        <v>58</v>
      </c>
      <c r="D934" s="2" t="n">
        <v>14</v>
      </c>
      <c r="E934" s="5" t="s">
        <v>163</v>
      </c>
      <c r="F934" s="5" t="s">
        <v>165</v>
      </c>
      <c r="G934" s="2" t="n">
        <v>1</v>
      </c>
      <c r="H934" s="7" t="n">
        <v>0.9335722689</v>
      </c>
      <c r="I934" s="7" t="n">
        <v>0.3582940121</v>
      </c>
      <c r="J934" s="7" t="n">
        <v>-0.008259523215</v>
      </c>
      <c r="K934" s="7" t="n">
        <v>-0.3582584473</v>
      </c>
      <c r="L934" s="7" t="n">
        <v>0.9336062804</v>
      </c>
      <c r="M934" s="7" t="n">
        <v>0.005495289565</v>
      </c>
      <c r="N934" s="7" t="n">
        <v>0.009680072093</v>
      </c>
      <c r="O934" s="7" t="n">
        <v>-0.002171205985</v>
      </c>
      <c r="P934" s="7" t="n">
        <v>0.9999507898</v>
      </c>
      <c r="Q934" s="7" t="n">
        <v>8.393360339</v>
      </c>
      <c r="R934" s="7" t="n">
        <v>1.354267718</v>
      </c>
      <c r="S934" s="7" t="n">
        <v>0.6347991054</v>
      </c>
    </row>
    <row r="935" customFormat="false" ht="15" hidden="false" customHeight="false" outlineLevel="0" collapsed="false">
      <c r="A935" s="5" t="s">
        <v>4</v>
      </c>
      <c r="B935" s="5" t="s">
        <v>80</v>
      </c>
      <c r="C935" s="5" t="s">
        <v>62</v>
      </c>
      <c r="D935" s="2" t="n">
        <v>14</v>
      </c>
      <c r="E935" s="5" t="s">
        <v>163</v>
      </c>
      <c r="F935" s="5" t="s">
        <v>165</v>
      </c>
      <c r="G935" s="2" t="n">
        <v>1</v>
      </c>
      <c r="H935" s="7" t="n">
        <v>0.9334964897</v>
      </c>
      <c r="I935" s="7" t="n">
        <v>0.358546111</v>
      </c>
      <c r="J935" s="7" t="n">
        <v>-0.00538423004</v>
      </c>
      <c r="K935" s="7" t="n">
        <v>-0.3584975316</v>
      </c>
      <c r="L935" s="7" t="n">
        <v>0.9334941006</v>
      </c>
      <c r="M935" s="7" t="n">
        <v>0.0082634098</v>
      </c>
      <c r="N935" s="7" t="n">
        <v>0.007988960426</v>
      </c>
      <c r="O935" s="7" t="n">
        <v>-0.005783630862</v>
      </c>
      <c r="P935" s="7" t="n">
        <v>0.9999513619</v>
      </c>
      <c r="Q935" s="7" t="n">
        <v>8.402907736</v>
      </c>
      <c r="R935" s="7" t="n">
        <v>1.357614723</v>
      </c>
      <c r="S935" s="7" t="n">
        <v>0.6298397045</v>
      </c>
    </row>
    <row r="936" customFormat="false" ht="15" hidden="false" customHeight="false" outlineLevel="0" collapsed="false">
      <c r="A936" s="5" t="s">
        <v>4</v>
      </c>
      <c r="B936" s="5" t="s">
        <v>80</v>
      </c>
      <c r="C936" s="5" t="s">
        <v>58</v>
      </c>
      <c r="D936" s="2" t="n">
        <v>14</v>
      </c>
      <c r="E936" s="5" t="s">
        <v>163</v>
      </c>
      <c r="F936" s="5" t="s">
        <v>166</v>
      </c>
      <c r="G936" s="2" t="n">
        <v>1</v>
      </c>
      <c r="H936" s="7" t="n">
        <v>0.9020763726</v>
      </c>
      <c r="I936" s="7" t="n">
        <v>0.4313512933</v>
      </c>
      <c r="J936" s="7" t="n">
        <v>-0.01393842788</v>
      </c>
      <c r="K936" s="7" t="n">
        <v>-0.4314666367</v>
      </c>
      <c r="L936" s="7" t="n">
        <v>0.9021048768</v>
      </c>
      <c r="M936" s="7" t="n">
        <v>-0.006582758123</v>
      </c>
      <c r="N936" s="7" t="n">
        <v>0.00973444254</v>
      </c>
      <c r="O936" s="7" t="n">
        <v>0.01195211717</v>
      </c>
      <c r="P936" s="7" t="n">
        <v>0.9998811867</v>
      </c>
      <c r="Q936" s="7" t="n">
        <v>22.84365518</v>
      </c>
      <c r="R936" s="7" t="n">
        <v>6.511385834</v>
      </c>
      <c r="S936" s="7" t="n">
        <v>1.568365324</v>
      </c>
    </row>
    <row r="937" customFormat="false" ht="15" hidden="false" customHeight="false" outlineLevel="0" collapsed="false">
      <c r="A937" s="5" t="s">
        <v>4</v>
      </c>
      <c r="B937" s="5" t="s">
        <v>80</v>
      </c>
      <c r="C937" s="5" t="s">
        <v>62</v>
      </c>
      <c r="D937" s="2" t="n">
        <v>14</v>
      </c>
      <c r="E937" s="5" t="s">
        <v>163</v>
      </c>
      <c r="F937" s="5" t="s">
        <v>166</v>
      </c>
      <c r="G937" s="2" t="n">
        <v>1</v>
      </c>
      <c r="H937" s="7" t="n">
        <v>0.9020763726</v>
      </c>
      <c r="I937" s="7" t="n">
        <v>0.4313512933</v>
      </c>
      <c r="J937" s="7" t="n">
        <v>-0.01393842788</v>
      </c>
      <c r="K937" s="7" t="n">
        <v>-0.4314666367</v>
      </c>
      <c r="L937" s="7" t="n">
        <v>0.9021048768</v>
      </c>
      <c r="M937" s="7" t="n">
        <v>-0.006582758123</v>
      </c>
      <c r="N937" s="7" t="n">
        <v>0.00973444254</v>
      </c>
      <c r="O937" s="7" t="n">
        <v>0.01195211717</v>
      </c>
      <c r="P937" s="7" t="n">
        <v>0.9998811867</v>
      </c>
      <c r="Q937" s="7" t="n">
        <v>22.84365518</v>
      </c>
      <c r="R937" s="7" t="n">
        <v>6.511385834</v>
      </c>
      <c r="S937" s="7" t="n">
        <v>1.568365324</v>
      </c>
    </row>
    <row r="938" customFormat="false" ht="15" hidden="false" customHeight="false" outlineLevel="0" collapsed="false">
      <c r="A938" s="5" t="s">
        <v>4</v>
      </c>
      <c r="B938" s="5" t="s">
        <v>80</v>
      </c>
      <c r="C938" s="5" t="s">
        <v>58</v>
      </c>
      <c r="D938" s="2" t="n">
        <v>14</v>
      </c>
      <c r="E938" s="5" t="s">
        <v>163</v>
      </c>
      <c r="F938" s="5" t="s">
        <v>167</v>
      </c>
      <c r="G938" s="2" t="n">
        <v>1</v>
      </c>
      <c r="H938" s="7" t="n">
        <v>0.2268876489</v>
      </c>
      <c r="I938" s="7" t="n">
        <v>-0.9737515233</v>
      </c>
      <c r="J938" s="7" t="n">
        <v>-0.01816495689</v>
      </c>
      <c r="K938" s="7" t="n">
        <v>0.9736780206</v>
      </c>
      <c r="L938" s="7" t="n">
        <v>0.2272081498</v>
      </c>
      <c r="M938" s="7" t="n">
        <v>-0.01809886477</v>
      </c>
      <c r="N938" s="7" t="n">
        <v>0.02175102339</v>
      </c>
      <c r="O938" s="7" t="n">
        <v>-0.01358041039</v>
      </c>
      <c r="P938" s="7" t="n">
        <v>0.9996711787</v>
      </c>
      <c r="Q938" s="7" t="n">
        <v>-16.50450755</v>
      </c>
      <c r="R938" s="7" t="n">
        <v>20.49824273</v>
      </c>
      <c r="S938" s="7" t="n">
        <v>0.7697346783</v>
      </c>
    </row>
    <row r="939" customFormat="false" ht="15" hidden="false" customHeight="false" outlineLevel="0" collapsed="false">
      <c r="A939" s="5" t="s">
        <v>4</v>
      </c>
      <c r="B939" s="5" t="s">
        <v>80</v>
      </c>
      <c r="C939" s="5" t="s">
        <v>62</v>
      </c>
      <c r="D939" s="2" t="n">
        <v>14</v>
      </c>
      <c r="E939" s="5" t="s">
        <v>163</v>
      </c>
      <c r="F939" s="5" t="s">
        <v>167</v>
      </c>
      <c r="G939" s="2" t="n">
        <v>1</v>
      </c>
      <c r="H939" s="7" t="n">
        <v>0.2295732125</v>
      </c>
      <c r="I939" s="7" t="n">
        <v>-0.9727893636</v>
      </c>
      <c r="J939" s="7" t="n">
        <v>-0.03125690447</v>
      </c>
      <c r="K939" s="7" t="n">
        <v>0.9732845861</v>
      </c>
      <c r="L939" s="7" t="n">
        <v>0.2295733191</v>
      </c>
      <c r="M939" s="7" t="n">
        <v>0.003633954913</v>
      </c>
      <c r="N939" s="7" t="n">
        <v>0.003640678617</v>
      </c>
      <c r="O939" s="7" t="n">
        <v>-0.03125612204</v>
      </c>
      <c r="P939" s="7" t="n">
        <v>0.9995047775</v>
      </c>
      <c r="Q939" s="7" t="n">
        <v>-16.48458665</v>
      </c>
      <c r="R939" s="7" t="n">
        <v>20.57784268</v>
      </c>
      <c r="S939" s="7" t="n">
        <v>0.3794735521</v>
      </c>
    </row>
    <row r="940" customFormat="false" ht="15" hidden="false" customHeight="false" outlineLevel="0" collapsed="false">
      <c r="A940" s="5" t="s">
        <v>4</v>
      </c>
      <c r="B940" s="5" t="s">
        <v>80</v>
      </c>
      <c r="C940" s="5" t="s">
        <v>58</v>
      </c>
      <c r="D940" s="2" t="n">
        <v>14</v>
      </c>
      <c r="E940" s="5" t="s">
        <v>163</v>
      </c>
      <c r="F940" s="5" t="s">
        <v>168</v>
      </c>
      <c r="G940" s="2" t="n">
        <v>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customFormat="false" ht="15" hidden="false" customHeight="false" outlineLevel="0" collapsed="false">
      <c r="A941" s="5" t="s">
        <v>4</v>
      </c>
      <c r="B941" s="5" t="s">
        <v>80</v>
      </c>
      <c r="C941" s="5" t="s">
        <v>62</v>
      </c>
      <c r="D941" s="2" t="n">
        <v>14</v>
      </c>
      <c r="E941" s="5" t="s">
        <v>163</v>
      </c>
      <c r="F941" s="5" t="s">
        <v>168</v>
      </c>
      <c r="G941" s="2" t="n">
        <v>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customFormat="false" ht="15" hidden="false" customHeight="false" outlineLevel="0" collapsed="false">
      <c r="A942" s="5" t="s">
        <v>4</v>
      </c>
      <c r="B942" s="5" t="s">
        <v>80</v>
      </c>
      <c r="C942" s="5" t="s">
        <v>58</v>
      </c>
      <c r="D942" s="2" t="n">
        <v>15</v>
      </c>
      <c r="E942" s="5" t="s">
        <v>163</v>
      </c>
      <c r="F942" s="5" t="s">
        <v>164</v>
      </c>
      <c r="G942" s="2" t="n">
        <v>1</v>
      </c>
      <c r="H942" s="7" t="n">
        <v>-0.7195356797</v>
      </c>
      <c r="I942" s="7" t="n">
        <v>-0.694432347</v>
      </c>
      <c r="J942" s="7" t="n">
        <v>0.00566754545</v>
      </c>
      <c r="K942" s="7" t="n">
        <v>0.6944128603</v>
      </c>
      <c r="L942" s="7" t="n">
        <v>-0.719557975</v>
      </c>
      <c r="M942" s="7" t="n">
        <v>-0.005205783097</v>
      </c>
      <c r="N942" s="7" t="n">
        <v>0.007693191701</v>
      </c>
      <c r="O942" s="7" t="n">
        <v>0.0001898697675</v>
      </c>
      <c r="P942" s="7" t="n">
        <v>0.9999703889</v>
      </c>
      <c r="Q942" s="7" t="n">
        <v>-11.08599947</v>
      </c>
      <c r="R942" s="7" t="n">
        <v>-0.9116533286</v>
      </c>
      <c r="S942" s="7" t="n">
        <v>0.5747266148</v>
      </c>
    </row>
    <row r="943" customFormat="false" ht="15" hidden="false" customHeight="false" outlineLevel="0" collapsed="false">
      <c r="A943" s="5" t="s">
        <v>4</v>
      </c>
      <c r="B943" s="5" t="s">
        <v>80</v>
      </c>
      <c r="C943" s="5" t="s">
        <v>62</v>
      </c>
      <c r="D943" s="2" t="n">
        <v>15</v>
      </c>
      <c r="E943" s="5" t="s">
        <v>163</v>
      </c>
      <c r="F943" s="5" t="s">
        <v>164</v>
      </c>
      <c r="G943" s="2" t="n">
        <v>1</v>
      </c>
      <c r="H943" s="7" t="n">
        <v>-0.7195356797</v>
      </c>
      <c r="I943" s="7" t="n">
        <v>-0.694432347</v>
      </c>
      <c r="J943" s="7" t="n">
        <v>0.00566754545</v>
      </c>
      <c r="K943" s="7" t="n">
        <v>0.6944128603</v>
      </c>
      <c r="L943" s="7" t="n">
        <v>-0.719557975</v>
      </c>
      <c r="M943" s="7" t="n">
        <v>-0.005205783097</v>
      </c>
      <c r="N943" s="7" t="n">
        <v>0.007693191701</v>
      </c>
      <c r="O943" s="7" t="n">
        <v>0.0001898697675</v>
      </c>
      <c r="P943" s="7" t="n">
        <v>0.9999703889</v>
      </c>
      <c r="Q943" s="7" t="n">
        <v>-11.08599947</v>
      </c>
      <c r="R943" s="7" t="n">
        <v>-0.9116533286</v>
      </c>
      <c r="S943" s="7" t="n">
        <v>0.5747266148</v>
      </c>
    </row>
    <row r="944" customFormat="false" ht="15" hidden="false" customHeight="false" outlineLevel="0" collapsed="false">
      <c r="A944" s="5" t="s">
        <v>4</v>
      </c>
      <c r="B944" s="5" t="s">
        <v>80</v>
      </c>
      <c r="C944" s="5" t="s">
        <v>58</v>
      </c>
      <c r="D944" s="2" t="n">
        <v>15</v>
      </c>
      <c r="E944" s="5" t="s">
        <v>163</v>
      </c>
      <c r="F944" s="5" t="s">
        <v>165</v>
      </c>
      <c r="G944" s="2" t="n">
        <v>1</v>
      </c>
      <c r="H944" s="7" t="n">
        <v>0.9340589478</v>
      </c>
      <c r="I944" s="7" t="n">
        <v>0.3569962499</v>
      </c>
      <c r="J944" s="7" t="n">
        <v>-0.009357331683</v>
      </c>
      <c r="K944" s="7" t="n">
        <v>-0.3569713694</v>
      </c>
      <c r="L944" s="7" t="n">
        <v>0.9341055966</v>
      </c>
      <c r="M944" s="7" t="n">
        <v>0.004263320033</v>
      </c>
      <c r="N944" s="7" t="n">
        <v>0.01026272516</v>
      </c>
      <c r="O944" s="7" t="n">
        <v>-0.0006418927197</v>
      </c>
      <c r="P944" s="7" t="n">
        <v>0.9999471308</v>
      </c>
      <c r="Q944" s="7" t="n">
        <v>8.380761634</v>
      </c>
      <c r="R944" s="7" t="n">
        <v>1.377496315</v>
      </c>
      <c r="S944" s="7" t="n">
        <v>0.7225118603</v>
      </c>
    </row>
    <row r="945" customFormat="false" ht="15" hidden="false" customHeight="false" outlineLevel="0" collapsed="false">
      <c r="A945" s="5" t="s">
        <v>4</v>
      </c>
      <c r="B945" s="5" t="s">
        <v>80</v>
      </c>
      <c r="C945" s="5" t="s">
        <v>62</v>
      </c>
      <c r="D945" s="2" t="n">
        <v>15</v>
      </c>
      <c r="E945" s="5" t="s">
        <v>163</v>
      </c>
      <c r="F945" s="5" t="s">
        <v>165</v>
      </c>
      <c r="G945" s="2" t="n">
        <v>1</v>
      </c>
      <c r="H945" s="7" t="n">
        <v>0.9340589478</v>
      </c>
      <c r="I945" s="7" t="n">
        <v>0.3569962499</v>
      </c>
      <c r="J945" s="7" t="n">
        <v>-0.009357331683</v>
      </c>
      <c r="K945" s="7" t="n">
        <v>-0.3569713694</v>
      </c>
      <c r="L945" s="7" t="n">
        <v>0.9341055966</v>
      </c>
      <c r="M945" s="7" t="n">
        <v>0.004263320033</v>
      </c>
      <c r="N945" s="7" t="n">
        <v>0.01026272516</v>
      </c>
      <c r="O945" s="7" t="n">
        <v>-0.0006418927197</v>
      </c>
      <c r="P945" s="7" t="n">
        <v>0.9999471308</v>
      </c>
      <c r="Q945" s="7" t="n">
        <v>8.380761634</v>
      </c>
      <c r="R945" s="7" t="n">
        <v>1.377496315</v>
      </c>
      <c r="S945" s="7" t="n">
        <v>0.7225118603</v>
      </c>
    </row>
    <row r="946" customFormat="false" ht="15" hidden="false" customHeight="false" outlineLevel="0" collapsed="false">
      <c r="A946" s="5" t="s">
        <v>4</v>
      </c>
      <c r="B946" s="5" t="s">
        <v>80</v>
      </c>
      <c r="C946" s="5" t="s">
        <v>58</v>
      </c>
      <c r="D946" s="2" t="n">
        <v>15</v>
      </c>
      <c r="E946" s="5" t="s">
        <v>163</v>
      </c>
      <c r="F946" s="5" t="s">
        <v>166</v>
      </c>
      <c r="G946" s="2" t="n">
        <v>1</v>
      </c>
      <c r="H946" s="7" t="n">
        <v>0.9029067938</v>
      </c>
      <c r="I946" s="7" t="n">
        <v>0.429425864</v>
      </c>
      <c r="J946" s="7" t="n">
        <v>-0.01878161181</v>
      </c>
      <c r="K946" s="7" t="n">
        <v>-0.429539031</v>
      </c>
      <c r="L946" s="7" t="n">
        <v>0.9030454398</v>
      </c>
      <c r="M946" s="7" t="n">
        <v>-0.002270365726</v>
      </c>
      <c r="N946" s="7" t="n">
        <v>0.01598569513</v>
      </c>
      <c r="O946" s="7" t="n">
        <v>0.01011736398</v>
      </c>
      <c r="P946" s="7" t="n">
        <v>0.9998210322</v>
      </c>
      <c r="Q946" s="7" t="n">
        <v>22.82093052</v>
      </c>
      <c r="R946" s="7" t="n">
        <v>6.542280387</v>
      </c>
      <c r="S946" s="7" t="n">
        <v>1.645630968</v>
      </c>
    </row>
    <row r="947" customFormat="false" ht="15" hidden="false" customHeight="false" outlineLevel="0" collapsed="false">
      <c r="A947" s="5" t="s">
        <v>4</v>
      </c>
      <c r="B947" s="5" t="s">
        <v>80</v>
      </c>
      <c r="C947" s="5" t="s">
        <v>62</v>
      </c>
      <c r="D947" s="2" t="n">
        <v>15</v>
      </c>
      <c r="E947" s="5" t="s">
        <v>163</v>
      </c>
      <c r="F947" s="5" t="s">
        <v>166</v>
      </c>
      <c r="G947" s="2" t="n">
        <v>1</v>
      </c>
      <c r="H947" s="7" t="n">
        <v>0.9029067938</v>
      </c>
      <c r="I947" s="7" t="n">
        <v>0.429425864</v>
      </c>
      <c r="J947" s="7" t="n">
        <v>-0.01878161181</v>
      </c>
      <c r="K947" s="7" t="n">
        <v>-0.429539031</v>
      </c>
      <c r="L947" s="7" t="n">
        <v>0.9030454398</v>
      </c>
      <c r="M947" s="7" t="n">
        <v>-0.002270365726</v>
      </c>
      <c r="N947" s="7" t="n">
        <v>0.01598569513</v>
      </c>
      <c r="O947" s="7" t="n">
        <v>0.01011736398</v>
      </c>
      <c r="P947" s="7" t="n">
        <v>0.9998210322</v>
      </c>
      <c r="Q947" s="7" t="n">
        <v>22.82093052</v>
      </c>
      <c r="R947" s="7" t="n">
        <v>6.542280387</v>
      </c>
      <c r="S947" s="7" t="n">
        <v>1.645630968</v>
      </c>
    </row>
    <row r="948" customFormat="false" ht="15" hidden="false" customHeight="false" outlineLevel="0" collapsed="false">
      <c r="A948" s="5" t="s">
        <v>4</v>
      </c>
      <c r="B948" s="5" t="s">
        <v>80</v>
      </c>
      <c r="C948" s="5" t="s">
        <v>58</v>
      </c>
      <c r="D948" s="2" t="n">
        <v>15</v>
      </c>
      <c r="E948" s="5" t="s">
        <v>163</v>
      </c>
      <c r="F948" s="5" t="s">
        <v>167</v>
      </c>
      <c r="G948" s="2" t="n">
        <v>1</v>
      </c>
      <c r="H948" s="7" t="n">
        <v>0.2258055834</v>
      </c>
      <c r="I948" s="7" t="n">
        <v>-0.9739888601</v>
      </c>
      <c r="J948" s="7" t="n">
        <v>-0.01890870065</v>
      </c>
      <c r="K948" s="7" t="n">
        <v>0.9740396993</v>
      </c>
      <c r="L948" s="7" t="n">
        <v>0.2260526418</v>
      </c>
      <c r="M948" s="7" t="n">
        <v>-0.01211888415</v>
      </c>
      <c r="N948" s="7" t="n">
        <v>0.01607801989</v>
      </c>
      <c r="O948" s="7" t="n">
        <v>-0.01568131339</v>
      </c>
      <c r="P948" s="7" t="n">
        <v>0.999747765</v>
      </c>
      <c r="Q948" s="7" t="n">
        <v>-16.54409883</v>
      </c>
      <c r="R948" s="7" t="n">
        <v>20.55352996</v>
      </c>
      <c r="S948" s="7" t="n">
        <v>0.7842011702</v>
      </c>
    </row>
    <row r="949" customFormat="false" ht="15" hidden="false" customHeight="false" outlineLevel="0" collapsed="false">
      <c r="A949" s="5" t="s">
        <v>4</v>
      </c>
      <c r="B949" s="5" t="s">
        <v>80</v>
      </c>
      <c r="C949" s="5" t="s">
        <v>62</v>
      </c>
      <c r="D949" s="2" t="n">
        <v>15</v>
      </c>
      <c r="E949" s="5" t="s">
        <v>163</v>
      </c>
      <c r="F949" s="5" t="s">
        <v>167</v>
      </c>
      <c r="G949" s="2" t="n">
        <v>1</v>
      </c>
      <c r="H949" s="7" t="n">
        <v>0.2237334984</v>
      </c>
      <c r="I949" s="7" t="n">
        <v>-0.9746503332</v>
      </c>
      <c r="J949" s="7" t="n">
        <v>0.0002228414704</v>
      </c>
      <c r="K949" s="7" t="n">
        <v>0.974568489</v>
      </c>
      <c r="L949" s="7" t="n">
        <v>0.2237117357</v>
      </c>
      <c r="M949" s="7" t="n">
        <v>-0.01301228112</v>
      </c>
      <c r="N949" s="7" t="n">
        <v>0.01263257188</v>
      </c>
      <c r="O949" s="7" t="n">
        <v>0.003128457451</v>
      </c>
      <c r="P949" s="7" t="n">
        <v>0.9999153119</v>
      </c>
      <c r="Q949" s="7" t="n">
        <v>-16.53390092</v>
      </c>
      <c r="R949" s="7" t="n">
        <v>20.51402707</v>
      </c>
      <c r="S949" s="7" t="n">
        <v>1.128251796</v>
      </c>
    </row>
    <row r="950" customFormat="false" ht="15" hidden="false" customHeight="false" outlineLevel="0" collapsed="false">
      <c r="A950" s="5" t="s">
        <v>4</v>
      </c>
      <c r="B950" s="5" t="s">
        <v>80</v>
      </c>
      <c r="C950" s="5" t="s">
        <v>58</v>
      </c>
      <c r="D950" s="2" t="n">
        <v>15</v>
      </c>
      <c r="E950" s="5" t="s">
        <v>163</v>
      </c>
      <c r="F950" s="5" t="s">
        <v>168</v>
      </c>
      <c r="G950" s="2" t="n">
        <v>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customFormat="false" ht="15" hidden="false" customHeight="false" outlineLevel="0" collapsed="false">
      <c r="A951" s="5" t="s">
        <v>4</v>
      </c>
      <c r="B951" s="5" t="s">
        <v>80</v>
      </c>
      <c r="C951" s="5" t="s">
        <v>62</v>
      </c>
      <c r="D951" s="2" t="n">
        <v>15</v>
      </c>
      <c r="E951" s="5" t="s">
        <v>163</v>
      </c>
      <c r="F951" s="5" t="s">
        <v>168</v>
      </c>
      <c r="G951" s="2" t="n">
        <v>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customFormat="false" ht="15" hidden="false" customHeight="false" outlineLevel="0" collapsed="false">
      <c r="A952" s="5" t="s">
        <v>4</v>
      </c>
      <c r="B952" s="5" t="s">
        <v>80</v>
      </c>
      <c r="C952" s="5" t="s">
        <v>58</v>
      </c>
      <c r="D952" s="2" t="n">
        <v>16</v>
      </c>
      <c r="E952" s="5" t="s">
        <v>163</v>
      </c>
      <c r="F952" s="5" t="s">
        <v>164</v>
      </c>
      <c r="G952" s="2" t="n">
        <v>1</v>
      </c>
      <c r="H952" s="7" t="n">
        <v>-0.7179354945</v>
      </c>
      <c r="I952" s="7" t="n">
        <v>-0.6960780419</v>
      </c>
      <c r="J952" s="7" t="n">
        <v>0.006632144271</v>
      </c>
      <c r="K952" s="7" t="n">
        <v>0.6960635071</v>
      </c>
      <c r="L952" s="7" t="n">
        <v>-0.7179650176</v>
      </c>
      <c r="M952" s="7" t="n">
        <v>-0.004672012606</v>
      </c>
      <c r="N952" s="7" t="n">
        <v>0.008013732965</v>
      </c>
      <c r="O952" s="7" t="n">
        <v>0.00126218992</v>
      </c>
      <c r="P952" s="7" t="n">
        <v>0.9999670929</v>
      </c>
      <c r="Q952" s="7" t="n">
        <v>-11.09154523</v>
      </c>
      <c r="R952" s="7" t="n">
        <v>-0.844773339</v>
      </c>
      <c r="S952" s="7" t="n">
        <v>0.6136449332</v>
      </c>
    </row>
    <row r="953" customFormat="false" ht="15" hidden="false" customHeight="false" outlineLevel="0" collapsed="false">
      <c r="A953" s="5" t="s">
        <v>4</v>
      </c>
      <c r="B953" s="5" t="s">
        <v>80</v>
      </c>
      <c r="C953" s="5" t="s">
        <v>62</v>
      </c>
      <c r="D953" s="2" t="n">
        <v>16</v>
      </c>
      <c r="E953" s="5" t="s">
        <v>163</v>
      </c>
      <c r="F953" s="5" t="s">
        <v>164</v>
      </c>
      <c r="G953" s="2" t="n">
        <v>1</v>
      </c>
      <c r="H953" s="7" t="n">
        <v>-0.7179354945</v>
      </c>
      <c r="I953" s="7" t="n">
        <v>-0.6960780419</v>
      </c>
      <c r="J953" s="7" t="n">
        <v>0.006632144271</v>
      </c>
      <c r="K953" s="7" t="n">
        <v>0.6960635071</v>
      </c>
      <c r="L953" s="7" t="n">
        <v>-0.7179650176</v>
      </c>
      <c r="M953" s="7" t="n">
        <v>-0.004672012606</v>
      </c>
      <c r="N953" s="7" t="n">
        <v>0.008013732965</v>
      </c>
      <c r="O953" s="7" t="n">
        <v>0.00126218992</v>
      </c>
      <c r="P953" s="7" t="n">
        <v>0.9999670929</v>
      </c>
      <c r="Q953" s="7" t="n">
        <v>-11.09154523</v>
      </c>
      <c r="R953" s="7" t="n">
        <v>-0.844773339</v>
      </c>
      <c r="S953" s="7" t="n">
        <v>0.6136449332</v>
      </c>
    </row>
    <row r="954" customFormat="false" ht="15" hidden="false" customHeight="false" outlineLevel="0" collapsed="false">
      <c r="A954" s="5" t="s">
        <v>4</v>
      </c>
      <c r="B954" s="5" t="s">
        <v>80</v>
      </c>
      <c r="C954" s="5" t="s">
        <v>58</v>
      </c>
      <c r="D954" s="2" t="n">
        <v>16</v>
      </c>
      <c r="E954" s="5" t="s">
        <v>163</v>
      </c>
      <c r="F954" s="5" t="s">
        <v>165</v>
      </c>
      <c r="G954" s="2" t="n">
        <v>1</v>
      </c>
      <c r="H954" s="7" t="n">
        <v>0.9336561374</v>
      </c>
      <c r="I954" s="7" t="n">
        <v>0.3581358125</v>
      </c>
      <c r="J954" s="7" t="n">
        <v>-0.004995678311</v>
      </c>
      <c r="K954" s="7" t="n">
        <v>-0.3581032787</v>
      </c>
      <c r="L954" s="7" t="n">
        <v>0.9336602272</v>
      </c>
      <c r="M954" s="7" t="n">
        <v>0.006373537986</v>
      </c>
      <c r="N954" s="7" t="n">
        <v>0.006946858352</v>
      </c>
      <c r="O954" s="7" t="n">
        <v>-0.004161724076</v>
      </c>
      <c r="P954" s="7" t="n">
        <v>0.9999672101</v>
      </c>
      <c r="Q954" s="7" t="n">
        <v>8.408274652</v>
      </c>
      <c r="R954" s="7" t="n">
        <v>1.348139215</v>
      </c>
      <c r="S954" s="7" t="n">
        <v>0.6535332804</v>
      </c>
    </row>
    <row r="955" customFormat="false" ht="15" hidden="false" customHeight="false" outlineLevel="0" collapsed="false">
      <c r="A955" s="5" t="s">
        <v>4</v>
      </c>
      <c r="B955" s="5" t="s">
        <v>80</v>
      </c>
      <c r="C955" s="5" t="s">
        <v>62</v>
      </c>
      <c r="D955" s="2" t="n">
        <v>16</v>
      </c>
      <c r="E955" s="5" t="s">
        <v>163</v>
      </c>
      <c r="F955" s="5" t="s">
        <v>165</v>
      </c>
      <c r="G955" s="2" t="n">
        <v>1</v>
      </c>
      <c r="H955" s="7" t="n">
        <v>0.9336561374</v>
      </c>
      <c r="I955" s="7" t="n">
        <v>0.3581358125</v>
      </c>
      <c r="J955" s="7" t="n">
        <v>-0.004995678311</v>
      </c>
      <c r="K955" s="7" t="n">
        <v>-0.3581032787</v>
      </c>
      <c r="L955" s="7" t="n">
        <v>0.9336602272</v>
      </c>
      <c r="M955" s="7" t="n">
        <v>0.006373537986</v>
      </c>
      <c r="N955" s="7" t="n">
        <v>0.006946858352</v>
      </c>
      <c r="O955" s="7" t="n">
        <v>-0.004161724076</v>
      </c>
      <c r="P955" s="7" t="n">
        <v>0.9999672101</v>
      </c>
      <c r="Q955" s="7" t="n">
        <v>8.408274652</v>
      </c>
      <c r="R955" s="7" t="n">
        <v>1.348139215</v>
      </c>
      <c r="S955" s="7" t="n">
        <v>0.6535332804</v>
      </c>
    </row>
    <row r="956" customFormat="false" ht="15" hidden="false" customHeight="false" outlineLevel="0" collapsed="false">
      <c r="A956" s="5" t="s">
        <v>4</v>
      </c>
      <c r="B956" s="5" t="s">
        <v>80</v>
      </c>
      <c r="C956" s="5" t="s">
        <v>58</v>
      </c>
      <c r="D956" s="2" t="n">
        <v>16</v>
      </c>
      <c r="E956" s="5" t="s">
        <v>163</v>
      </c>
      <c r="F956" s="5" t="s">
        <v>166</v>
      </c>
      <c r="G956" s="2" t="n">
        <v>1</v>
      </c>
      <c r="H956" s="7" t="n">
        <v>0.9008638879</v>
      </c>
      <c r="I956" s="7" t="n">
        <v>0.4327952298</v>
      </c>
      <c r="J956" s="7" t="n">
        <v>-0.03365329778</v>
      </c>
      <c r="K956" s="7" t="n">
        <v>-0.4326755826</v>
      </c>
      <c r="L956" s="7" t="n">
        <v>0.9014808881</v>
      </c>
      <c r="M956" s="7" t="n">
        <v>0.01113770755</v>
      </c>
      <c r="N956" s="7" t="n">
        <v>0.03515815147</v>
      </c>
      <c r="O956" s="7" t="n">
        <v>0.004527401699</v>
      </c>
      <c r="P956" s="7" t="n">
        <v>0.999371506</v>
      </c>
      <c r="Q956" s="7" t="n">
        <v>22.80300818</v>
      </c>
      <c r="R956" s="7" t="n">
        <v>6.546457028</v>
      </c>
      <c r="S956" s="7" t="n">
        <v>1.856970511</v>
      </c>
    </row>
    <row r="957" customFormat="false" ht="15" hidden="false" customHeight="false" outlineLevel="0" collapsed="false">
      <c r="A957" s="5" t="s">
        <v>4</v>
      </c>
      <c r="B957" s="5" t="s">
        <v>80</v>
      </c>
      <c r="C957" s="5" t="s">
        <v>62</v>
      </c>
      <c r="D957" s="2" t="n">
        <v>16</v>
      </c>
      <c r="E957" s="5" t="s">
        <v>163</v>
      </c>
      <c r="F957" s="5" t="s">
        <v>166</v>
      </c>
      <c r="G957" s="2" t="n">
        <v>1</v>
      </c>
      <c r="H957" s="7" t="n">
        <v>0.9008638879</v>
      </c>
      <c r="I957" s="7" t="n">
        <v>0.4327952298</v>
      </c>
      <c r="J957" s="7" t="n">
        <v>-0.03365329778</v>
      </c>
      <c r="K957" s="7" t="n">
        <v>-0.4326755826</v>
      </c>
      <c r="L957" s="7" t="n">
        <v>0.9014808881</v>
      </c>
      <c r="M957" s="7" t="n">
        <v>0.01113770755</v>
      </c>
      <c r="N957" s="7" t="n">
        <v>0.03515815147</v>
      </c>
      <c r="O957" s="7" t="n">
        <v>0.004527401699</v>
      </c>
      <c r="P957" s="7" t="n">
        <v>0.999371506</v>
      </c>
      <c r="Q957" s="7" t="n">
        <v>22.80300818</v>
      </c>
      <c r="R957" s="7" t="n">
        <v>6.546457028</v>
      </c>
      <c r="S957" s="7" t="n">
        <v>1.856970511</v>
      </c>
    </row>
    <row r="958" customFormat="false" ht="15" hidden="false" customHeight="false" outlineLevel="0" collapsed="false">
      <c r="A958" s="5" t="s">
        <v>4</v>
      </c>
      <c r="B958" s="5" t="s">
        <v>80</v>
      </c>
      <c r="C958" s="5" t="s">
        <v>58</v>
      </c>
      <c r="D958" s="2" t="n">
        <v>16</v>
      </c>
      <c r="E958" s="5" t="s">
        <v>163</v>
      </c>
      <c r="F958" s="5" t="s">
        <v>167</v>
      </c>
      <c r="G958" s="2" t="n">
        <v>1</v>
      </c>
      <c r="H958" s="7" t="n">
        <v>0.225343986</v>
      </c>
      <c r="I958" s="7" t="n">
        <v>-0.9742640271</v>
      </c>
      <c r="J958" s="7" t="n">
        <v>0.005449180183</v>
      </c>
      <c r="K958" s="7" t="n">
        <v>0.974066242</v>
      </c>
      <c r="L958" s="7" t="n">
        <v>0.2251742382</v>
      </c>
      <c r="M958" s="7" t="n">
        <v>-0.02217022144</v>
      </c>
      <c r="N958" s="7" t="n">
        <v>0.02037263423</v>
      </c>
      <c r="O958" s="7" t="n">
        <v>0.01030378853</v>
      </c>
      <c r="P958" s="7" t="n">
        <v>0.9997393599</v>
      </c>
      <c r="Q958" s="7" t="n">
        <v>-16.49165096</v>
      </c>
      <c r="R958" s="7" t="n">
        <v>20.48851041</v>
      </c>
      <c r="S958" s="7" t="n">
        <v>1.245858124</v>
      </c>
    </row>
    <row r="959" customFormat="false" ht="15" hidden="false" customHeight="false" outlineLevel="0" collapsed="false">
      <c r="A959" s="5" t="s">
        <v>4</v>
      </c>
      <c r="B959" s="5" t="s">
        <v>80</v>
      </c>
      <c r="C959" s="5" t="s">
        <v>62</v>
      </c>
      <c r="D959" s="2" t="n">
        <v>16</v>
      </c>
      <c r="E959" s="5" t="s">
        <v>163</v>
      </c>
      <c r="F959" s="5" t="s">
        <v>167</v>
      </c>
      <c r="G959" s="2" t="n">
        <v>1</v>
      </c>
      <c r="H959" s="7" t="n">
        <v>0.2259313213</v>
      </c>
      <c r="I959" s="7" t="n">
        <v>-0.9741425031</v>
      </c>
      <c r="J959" s="7" t="n">
        <v>0.00119233696</v>
      </c>
      <c r="K959" s="7" t="n">
        <v>0.9740850822</v>
      </c>
      <c r="L959" s="7" t="n">
        <v>0.2259042916</v>
      </c>
      <c r="M959" s="7" t="n">
        <v>-0.01120283859</v>
      </c>
      <c r="N959" s="7" t="n">
        <v>0.01064380719</v>
      </c>
      <c r="O959" s="7" t="n">
        <v>0.00369250977</v>
      </c>
      <c r="P959" s="7" t="n">
        <v>0.9999365354</v>
      </c>
      <c r="Q959" s="7" t="n">
        <v>-16.4889679</v>
      </c>
      <c r="R959" s="7" t="n">
        <v>20.52949137</v>
      </c>
      <c r="S959" s="7" t="n">
        <v>1.100564925</v>
      </c>
    </row>
    <row r="960" customFormat="false" ht="15" hidden="false" customHeight="false" outlineLevel="0" collapsed="false">
      <c r="A960" s="5" t="s">
        <v>4</v>
      </c>
      <c r="B960" s="5" t="s">
        <v>80</v>
      </c>
      <c r="C960" s="5" t="s">
        <v>58</v>
      </c>
      <c r="D960" s="2" t="n">
        <v>16</v>
      </c>
      <c r="E960" s="5" t="s">
        <v>163</v>
      </c>
      <c r="F960" s="5" t="s">
        <v>168</v>
      </c>
      <c r="G960" s="2" t="n">
        <v>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customFormat="false" ht="15" hidden="false" customHeight="false" outlineLevel="0" collapsed="false">
      <c r="A961" s="5" t="s">
        <v>4</v>
      </c>
      <c r="B961" s="5" t="s">
        <v>80</v>
      </c>
      <c r="C961" s="5" t="s">
        <v>62</v>
      </c>
      <c r="D961" s="2" t="n">
        <v>16</v>
      </c>
      <c r="E961" s="5" t="s">
        <v>163</v>
      </c>
      <c r="F961" s="5" t="s">
        <v>168</v>
      </c>
      <c r="G961" s="2" t="n">
        <v>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customFormat="false" ht="15" hidden="false" customHeight="false" outlineLevel="0" collapsed="false">
      <c r="A962" s="5" t="s">
        <v>4</v>
      </c>
      <c r="B962" s="5" t="s">
        <v>80</v>
      </c>
      <c r="C962" s="5" t="s">
        <v>58</v>
      </c>
      <c r="D962" s="2" t="n">
        <v>17</v>
      </c>
      <c r="E962" s="5" t="s">
        <v>163</v>
      </c>
      <c r="F962" s="5" t="s">
        <v>164</v>
      </c>
      <c r="G962" s="2" t="n">
        <v>1</v>
      </c>
      <c r="H962" s="7" t="n">
        <v>-0.7191685792</v>
      </c>
      <c r="I962" s="7" t="n">
        <v>-0.6948352621</v>
      </c>
      <c r="J962" s="7" t="n">
        <v>0.0007163567659</v>
      </c>
      <c r="K962" s="7" t="n">
        <v>0.6947174093</v>
      </c>
      <c r="L962" s="7" t="n">
        <v>-0.7190648523</v>
      </c>
      <c r="M962" s="7" t="n">
        <v>-0.01770478237</v>
      </c>
      <c r="N962" s="7" t="n">
        <v>0.01281701407</v>
      </c>
      <c r="O962" s="7" t="n">
        <v>-0.01223505766</v>
      </c>
      <c r="P962" s="7" t="n">
        <v>0.9998430014</v>
      </c>
      <c r="Q962" s="7" t="n">
        <v>-11.08782533</v>
      </c>
      <c r="R962" s="7" t="n">
        <v>-0.9084985447</v>
      </c>
      <c r="S962" s="7" t="n">
        <v>0.53089539</v>
      </c>
    </row>
    <row r="963" customFormat="false" ht="15" hidden="false" customHeight="false" outlineLevel="0" collapsed="false">
      <c r="A963" s="5" t="s">
        <v>4</v>
      </c>
      <c r="B963" s="5" t="s">
        <v>80</v>
      </c>
      <c r="C963" s="5" t="s">
        <v>62</v>
      </c>
      <c r="D963" s="2" t="n">
        <v>17</v>
      </c>
      <c r="E963" s="5" t="s">
        <v>163</v>
      </c>
      <c r="F963" s="5" t="s">
        <v>164</v>
      </c>
      <c r="G963" s="2" t="n">
        <v>1</v>
      </c>
      <c r="H963" s="7" t="n">
        <v>-0.7169570193</v>
      </c>
      <c r="I963" s="7" t="n">
        <v>-0.6968393334</v>
      </c>
      <c r="J963" s="7" t="n">
        <v>-0.01968694632</v>
      </c>
      <c r="K963" s="7" t="n">
        <v>0.697074187</v>
      </c>
      <c r="L963" s="7" t="n">
        <v>-0.7163123269</v>
      </c>
      <c r="M963" s="7" t="n">
        <v>-0.0313724106</v>
      </c>
      <c r="N963" s="7" t="n">
        <v>0.007759527367</v>
      </c>
      <c r="O963" s="7" t="n">
        <v>-0.03621593209</v>
      </c>
      <c r="P963" s="7" t="n">
        <v>0.9993138626</v>
      </c>
      <c r="Q963" s="7" t="n">
        <v>-11.13829329</v>
      </c>
      <c r="R963" s="7" t="n">
        <v>-0.8557332564</v>
      </c>
      <c r="S963" s="7" t="n">
        <v>0.02225910448</v>
      </c>
    </row>
    <row r="964" customFormat="false" ht="15" hidden="false" customHeight="false" outlineLevel="0" collapsed="false">
      <c r="A964" s="5" t="s">
        <v>4</v>
      </c>
      <c r="B964" s="5" t="s">
        <v>80</v>
      </c>
      <c r="C964" s="5" t="s">
        <v>58</v>
      </c>
      <c r="D964" s="2" t="n">
        <v>17</v>
      </c>
      <c r="E964" s="5" t="s">
        <v>163</v>
      </c>
      <c r="F964" s="5" t="s">
        <v>165</v>
      </c>
      <c r="G964" s="2" t="n">
        <v>1</v>
      </c>
      <c r="H964" s="7" t="n">
        <v>0.9339214533</v>
      </c>
      <c r="I964" s="7" t="n">
        <v>0.3574335219</v>
      </c>
      <c r="J964" s="7" t="n">
        <v>-0.005656537939</v>
      </c>
      <c r="K964" s="7" t="n">
        <v>-0.3574219382</v>
      </c>
      <c r="L964" s="7" t="n">
        <v>0.9339382764</v>
      </c>
      <c r="M964" s="7" t="n">
        <v>0.002975568724</v>
      </c>
      <c r="N964" s="7" t="n">
        <v>0.006346425302</v>
      </c>
      <c r="O964" s="7" t="n">
        <v>-0.0007571767137</v>
      </c>
      <c r="P964" s="7" t="n">
        <v>0.9999795746</v>
      </c>
      <c r="Q964" s="7" t="n">
        <v>8.409096981</v>
      </c>
      <c r="R964" s="7" t="n">
        <v>1.372211778</v>
      </c>
      <c r="S964" s="7" t="n">
        <v>0.6689311056</v>
      </c>
    </row>
    <row r="965" customFormat="false" ht="15" hidden="false" customHeight="false" outlineLevel="0" collapsed="false">
      <c r="A965" s="5" t="s">
        <v>4</v>
      </c>
      <c r="B965" s="5" t="s">
        <v>80</v>
      </c>
      <c r="C965" s="5" t="s">
        <v>62</v>
      </c>
      <c r="D965" s="2" t="n">
        <v>17</v>
      </c>
      <c r="E965" s="5" t="s">
        <v>163</v>
      </c>
      <c r="F965" s="5" t="s">
        <v>165</v>
      </c>
      <c r="G965" s="2" t="n">
        <v>1</v>
      </c>
      <c r="H965" s="7" t="n">
        <v>0.9339214533</v>
      </c>
      <c r="I965" s="7" t="n">
        <v>0.3574335219</v>
      </c>
      <c r="J965" s="7" t="n">
        <v>-0.005656537939</v>
      </c>
      <c r="K965" s="7" t="n">
        <v>-0.3574219382</v>
      </c>
      <c r="L965" s="7" t="n">
        <v>0.9339382764</v>
      </c>
      <c r="M965" s="7" t="n">
        <v>0.002975568724</v>
      </c>
      <c r="N965" s="7" t="n">
        <v>0.006346425302</v>
      </c>
      <c r="O965" s="7" t="n">
        <v>-0.0007571767137</v>
      </c>
      <c r="P965" s="7" t="n">
        <v>0.9999795746</v>
      </c>
      <c r="Q965" s="7" t="n">
        <v>8.409096981</v>
      </c>
      <c r="R965" s="7" t="n">
        <v>1.372211778</v>
      </c>
      <c r="S965" s="7" t="n">
        <v>0.6689311056</v>
      </c>
    </row>
    <row r="966" customFormat="false" ht="15" hidden="false" customHeight="false" outlineLevel="0" collapsed="false">
      <c r="A966" s="5" t="s">
        <v>4</v>
      </c>
      <c r="B966" s="5" t="s">
        <v>80</v>
      </c>
      <c r="C966" s="5" t="s">
        <v>58</v>
      </c>
      <c r="D966" s="2" t="n">
        <v>17</v>
      </c>
      <c r="E966" s="5" t="s">
        <v>163</v>
      </c>
      <c r="F966" s="5" t="s">
        <v>166</v>
      </c>
      <c r="G966" s="2" t="n">
        <v>1</v>
      </c>
      <c r="H966" s="7" t="n">
        <v>0.9003234155</v>
      </c>
      <c r="I966" s="7" t="n">
        <v>0.4352193416</v>
      </c>
      <c r="J966" s="7" t="n">
        <v>0.001368291984</v>
      </c>
      <c r="K966" s="7" t="n">
        <v>-0.4352129566</v>
      </c>
      <c r="L966" s="7" t="n">
        <v>0.9003209985</v>
      </c>
      <c r="M966" s="7" t="n">
        <v>-0.003432493425</v>
      </c>
      <c r="N966" s="7" t="n">
        <v>-0.002725789533</v>
      </c>
      <c r="O966" s="7" t="n">
        <v>0.002494855804</v>
      </c>
      <c r="P966" s="7" t="n">
        <v>0.9999931729</v>
      </c>
      <c r="Q966" s="7" t="n">
        <v>22.89924712</v>
      </c>
      <c r="R966" s="7" t="n">
        <v>6.469349843</v>
      </c>
      <c r="S966" s="7" t="n">
        <v>1.440283422</v>
      </c>
    </row>
    <row r="967" customFormat="false" ht="15" hidden="false" customHeight="false" outlineLevel="0" collapsed="false">
      <c r="A967" s="5" t="s">
        <v>4</v>
      </c>
      <c r="B967" s="5" t="s">
        <v>80</v>
      </c>
      <c r="C967" s="5" t="s">
        <v>62</v>
      </c>
      <c r="D967" s="2" t="n">
        <v>17</v>
      </c>
      <c r="E967" s="5" t="s">
        <v>163</v>
      </c>
      <c r="F967" s="5" t="s">
        <v>166</v>
      </c>
      <c r="G967" s="2" t="n">
        <v>1</v>
      </c>
      <c r="H967" s="7" t="n">
        <v>0.9003234155</v>
      </c>
      <c r="I967" s="7" t="n">
        <v>0.4352193416</v>
      </c>
      <c r="J967" s="7" t="n">
        <v>0.001368291984</v>
      </c>
      <c r="K967" s="7" t="n">
        <v>-0.4352129566</v>
      </c>
      <c r="L967" s="7" t="n">
        <v>0.9003209985</v>
      </c>
      <c r="M967" s="7" t="n">
        <v>-0.003432493425</v>
      </c>
      <c r="N967" s="7" t="n">
        <v>-0.002725789533</v>
      </c>
      <c r="O967" s="7" t="n">
        <v>0.002494855804</v>
      </c>
      <c r="P967" s="7" t="n">
        <v>0.9999931729</v>
      </c>
      <c r="Q967" s="7" t="n">
        <v>22.89924712</v>
      </c>
      <c r="R967" s="7" t="n">
        <v>6.469349843</v>
      </c>
      <c r="S967" s="7" t="n">
        <v>1.440283422</v>
      </c>
    </row>
    <row r="968" customFormat="false" ht="15" hidden="false" customHeight="false" outlineLevel="0" collapsed="false">
      <c r="A968" s="5" t="s">
        <v>4</v>
      </c>
      <c r="B968" s="5" t="s">
        <v>80</v>
      </c>
      <c r="C968" s="5" t="s">
        <v>58</v>
      </c>
      <c r="D968" s="2" t="n">
        <v>17</v>
      </c>
      <c r="E968" s="5" t="s">
        <v>163</v>
      </c>
      <c r="F968" s="5" t="s">
        <v>167</v>
      </c>
      <c r="G968" s="2" t="n">
        <v>1</v>
      </c>
      <c r="H968" s="7" t="n">
        <v>0.2245700038</v>
      </c>
      <c r="I968" s="7" t="n">
        <v>-0.9743692913</v>
      </c>
      <c r="J968" s="7" t="n">
        <v>-0.0131452476</v>
      </c>
      <c r="K968" s="7" t="n">
        <v>0.9744435347</v>
      </c>
      <c r="L968" s="7" t="n">
        <v>0.2246196436</v>
      </c>
      <c r="M968" s="7" t="n">
        <v>-0.002411113791</v>
      </c>
      <c r="N968" s="7" t="n">
        <v>0.005301996067</v>
      </c>
      <c r="O968" s="7" t="n">
        <v>-0.0122678377</v>
      </c>
      <c r="P968" s="7" t="n">
        <v>0.9999106905</v>
      </c>
      <c r="Q968" s="7" t="n">
        <v>-16.51724898</v>
      </c>
      <c r="R968" s="7" t="n">
        <v>20.48965805</v>
      </c>
      <c r="S968" s="7" t="n">
        <v>0.7770817892</v>
      </c>
    </row>
    <row r="969" customFormat="false" ht="15" hidden="false" customHeight="false" outlineLevel="0" collapsed="false">
      <c r="A969" s="5" t="s">
        <v>4</v>
      </c>
      <c r="B969" s="5" t="s">
        <v>80</v>
      </c>
      <c r="C969" s="5" t="s">
        <v>62</v>
      </c>
      <c r="D969" s="2" t="n">
        <v>17</v>
      </c>
      <c r="E969" s="5" t="s">
        <v>163</v>
      </c>
      <c r="F969" s="5" t="s">
        <v>167</v>
      </c>
      <c r="G969" s="2" t="n">
        <v>1</v>
      </c>
      <c r="H969" s="7" t="n">
        <v>0.2245700038</v>
      </c>
      <c r="I969" s="7" t="n">
        <v>-0.9743692913</v>
      </c>
      <c r="J969" s="7" t="n">
        <v>-0.0131452476</v>
      </c>
      <c r="K969" s="7" t="n">
        <v>0.9744435347</v>
      </c>
      <c r="L969" s="7" t="n">
        <v>0.2246196436</v>
      </c>
      <c r="M969" s="7" t="n">
        <v>-0.002411113791</v>
      </c>
      <c r="N969" s="7" t="n">
        <v>0.005301996067</v>
      </c>
      <c r="O969" s="7" t="n">
        <v>-0.0122678377</v>
      </c>
      <c r="P969" s="7" t="n">
        <v>0.9999106905</v>
      </c>
      <c r="Q969" s="7" t="n">
        <v>-16.51724898</v>
      </c>
      <c r="R969" s="7" t="n">
        <v>20.48965805</v>
      </c>
      <c r="S969" s="7" t="n">
        <v>0.7770817892</v>
      </c>
    </row>
    <row r="970" customFormat="false" ht="15" hidden="false" customHeight="false" outlineLevel="0" collapsed="false">
      <c r="A970" s="5" t="s">
        <v>4</v>
      </c>
      <c r="B970" s="5" t="s">
        <v>80</v>
      </c>
      <c r="C970" s="5" t="s">
        <v>58</v>
      </c>
      <c r="D970" s="2" t="n">
        <v>17</v>
      </c>
      <c r="E970" s="5" t="s">
        <v>163</v>
      </c>
      <c r="F970" s="5" t="s">
        <v>168</v>
      </c>
      <c r="G970" s="2" t="n">
        <v>1</v>
      </c>
      <c r="H970" s="7" t="n">
        <v>0.9893862019</v>
      </c>
      <c r="I970" s="7" t="n">
        <v>0.1389803583</v>
      </c>
      <c r="J970" s="7" t="n">
        <v>-0.04241937738</v>
      </c>
      <c r="K970" s="7" t="n">
        <v>-0.1398655755</v>
      </c>
      <c r="L970" s="7" t="n">
        <v>0.9899947953</v>
      </c>
      <c r="M970" s="7" t="n">
        <v>-0.01865277667</v>
      </c>
      <c r="N970" s="7" t="n">
        <v>0.03940259324</v>
      </c>
      <c r="O970" s="7" t="n">
        <v>0.02438781049</v>
      </c>
      <c r="P970" s="7" t="n">
        <v>0.9989257582</v>
      </c>
      <c r="Q970" s="7" t="n">
        <v>24.93636921</v>
      </c>
      <c r="R970" s="7" t="n">
        <v>19.89056931</v>
      </c>
      <c r="S970" s="7" t="n">
        <v>3.051110908</v>
      </c>
    </row>
    <row r="971" customFormat="false" ht="15" hidden="false" customHeight="false" outlineLevel="0" collapsed="false">
      <c r="A971" s="5" t="s">
        <v>4</v>
      </c>
      <c r="B971" s="5" t="s">
        <v>80</v>
      </c>
      <c r="C971" s="5" t="s">
        <v>62</v>
      </c>
      <c r="D971" s="2" t="n">
        <v>17</v>
      </c>
      <c r="E971" s="5" t="s">
        <v>163</v>
      </c>
      <c r="F971" s="5" t="s">
        <v>168</v>
      </c>
      <c r="G971" s="2" t="n">
        <v>1</v>
      </c>
      <c r="H971" s="7" t="n">
        <v>0.9893862019</v>
      </c>
      <c r="I971" s="7" t="n">
        <v>0.1389803583</v>
      </c>
      <c r="J971" s="7" t="n">
        <v>-0.04241937738</v>
      </c>
      <c r="K971" s="7" t="n">
        <v>-0.1398655755</v>
      </c>
      <c r="L971" s="7" t="n">
        <v>0.9899947953</v>
      </c>
      <c r="M971" s="7" t="n">
        <v>-0.01865277667</v>
      </c>
      <c r="N971" s="7" t="n">
        <v>0.03940259324</v>
      </c>
      <c r="O971" s="7" t="n">
        <v>0.02438781049</v>
      </c>
      <c r="P971" s="7" t="n">
        <v>0.9989257582</v>
      </c>
      <c r="Q971" s="7" t="n">
        <v>24.93636921</v>
      </c>
      <c r="R971" s="7" t="n">
        <v>19.89056931</v>
      </c>
      <c r="S971" s="7" t="n">
        <v>3.051110908</v>
      </c>
    </row>
    <row r="972" customFormat="false" ht="15" hidden="false" customHeight="false" outlineLevel="0" collapsed="false">
      <c r="A972" s="5" t="s">
        <v>4</v>
      </c>
      <c r="B972" s="5" t="s">
        <v>80</v>
      </c>
      <c r="C972" s="5" t="s">
        <v>58</v>
      </c>
      <c r="D972" s="2" t="n">
        <v>18</v>
      </c>
      <c r="E972" s="5" t="s">
        <v>163</v>
      </c>
      <c r="F972" s="5" t="s">
        <v>164</v>
      </c>
      <c r="G972" s="2" t="n">
        <v>1</v>
      </c>
      <c r="H972" s="7" t="n">
        <v>-0.7189633354</v>
      </c>
      <c r="I972" s="7" t="n">
        <v>-0.6950399402</v>
      </c>
      <c r="J972" s="7" t="n">
        <v>0.003347201758</v>
      </c>
      <c r="K972" s="7" t="n">
        <v>0.6950257783</v>
      </c>
      <c r="L972" s="7" t="n">
        <v>-0.7189705211</v>
      </c>
      <c r="M972" s="7" t="n">
        <v>-0.004534008728</v>
      </c>
      <c r="N972" s="7" t="n">
        <v>0.005557856547</v>
      </c>
      <c r="O972" s="7" t="n">
        <v>-0.000933394531</v>
      </c>
      <c r="P972" s="7" t="n">
        <v>0.9999841194</v>
      </c>
      <c r="Q972" s="7" t="n">
        <v>-11.09088175</v>
      </c>
      <c r="R972" s="7" t="n">
        <v>-0.8710174248</v>
      </c>
      <c r="S972" s="7" t="n">
        <v>0.5499694854</v>
      </c>
    </row>
    <row r="973" customFormat="false" ht="15" hidden="false" customHeight="false" outlineLevel="0" collapsed="false">
      <c r="A973" s="5" t="s">
        <v>4</v>
      </c>
      <c r="B973" s="5" t="s">
        <v>80</v>
      </c>
      <c r="C973" s="5" t="s">
        <v>62</v>
      </c>
      <c r="D973" s="2" t="n">
        <v>18</v>
      </c>
      <c r="E973" s="5" t="s">
        <v>163</v>
      </c>
      <c r="F973" s="5" t="s">
        <v>164</v>
      </c>
      <c r="G973" s="2" t="n">
        <v>1</v>
      </c>
      <c r="H973" s="7" t="n">
        <v>-0.7189633354</v>
      </c>
      <c r="I973" s="7" t="n">
        <v>-0.6950399402</v>
      </c>
      <c r="J973" s="7" t="n">
        <v>0.003347201758</v>
      </c>
      <c r="K973" s="7" t="n">
        <v>0.6950257783</v>
      </c>
      <c r="L973" s="7" t="n">
        <v>-0.7189705211</v>
      </c>
      <c r="M973" s="7" t="n">
        <v>-0.004534008728</v>
      </c>
      <c r="N973" s="7" t="n">
        <v>0.005557856547</v>
      </c>
      <c r="O973" s="7" t="n">
        <v>-0.000933394531</v>
      </c>
      <c r="P973" s="7" t="n">
        <v>0.9999841194</v>
      </c>
      <c r="Q973" s="7" t="n">
        <v>-11.09088175</v>
      </c>
      <c r="R973" s="7" t="n">
        <v>-0.8710174248</v>
      </c>
      <c r="S973" s="7" t="n">
        <v>0.5499694854</v>
      </c>
    </row>
    <row r="974" customFormat="false" ht="15" hidden="false" customHeight="false" outlineLevel="0" collapsed="false">
      <c r="A974" s="5" t="s">
        <v>4</v>
      </c>
      <c r="B974" s="5" t="s">
        <v>80</v>
      </c>
      <c r="C974" s="5" t="s">
        <v>58</v>
      </c>
      <c r="D974" s="2" t="n">
        <v>18</v>
      </c>
      <c r="E974" s="5" t="s">
        <v>163</v>
      </c>
      <c r="F974" s="5" t="s">
        <v>165</v>
      </c>
      <c r="G974" s="2" t="n">
        <v>1</v>
      </c>
      <c r="H974" s="7" t="n">
        <v>0.9333870276</v>
      </c>
      <c r="I974" s="7" t="n">
        <v>0.3588372669</v>
      </c>
      <c r="J974" s="7" t="n">
        <v>-0.004946976778</v>
      </c>
      <c r="K974" s="7" t="n">
        <v>-0.3587978441</v>
      </c>
      <c r="L974" s="7" t="n">
        <v>0.9333861561</v>
      </c>
      <c r="M974" s="7" t="n">
        <v>0.007375005365</v>
      </c>
      <c r="N974" s="7" t="n">
        <v>0.007263866407</v>
      </c>
      <c r="O974" s="7" t="n">
        <v>-0.005108769733</v>
      </c>
      <c r="P974" s="7" t="n">
        <v>0.9999605676</v>
      </c>
      <c r="Q974" s="7" t="n">
        <v>8.41000354</v>
      </c>
      <c r="R974" s="7" t="n">
        <v>1.351039537</v>
      </c>
      <c r="S974" s="7" t="n">
        <v>0.6467244156</v>
      </c>
    </row>
    <row r="975" customFormat="false" ht="15" hidden="false" customHeight="false" outlineLevel="0" collapsed="false">
      <c r="A975" s="5" t="s">
        <v>4</v>
      </c>
      <c r="B975" s="5" t="s">
        <v>80</v>
      </c>
      <c r="C975" s="5" t="s">
        <v>62</v>
      </c>
      <c r="D975" s="2" t="n">
        <v>18</v>
      </c>
      <c r="E975" s="5" t="s">
        <v>163</v>
      </c>
      <c r="F975" s="5" t="s">
        <v>165</v>
      </c>
      <c r="G975" s="2" t="n">
        <v>1</v>
      </c>
      <c r="H975" s="7" t="n">
        <v>0.9333870276</v>
      </c>
      <c r="I975" s="7" t="n">
        <v>0.3588372669</v>
      </c>
      <c r="J975" s="7" t="n">
        <v>-0.004946976778</v>
      </c>
      <c r="K975" s="7" t="n">
        <v>-0.3587978441</v>
      </c>
      <c r="L975" s="7" t="n">
        <v>0.9333861561</v>
      </c>
      <c r="M975" s="7" t="n">
        <v>0.007375005365</v>
      </c>
      <c r="N975" s="7" t="n">
        <v>0.007263866407</v>
      </c>
      <c r="O975" s="7" t="n">
        <v>-0.005108769733</v>
      </c>
      <c r="P975" s="7" t="n">
        <v>0.9999605676</v>
      </c>
      <c r="Q975" s="7" t="n">
        <v>8.41000354</v>
      </c>
      <c r="R975" s="7" t="n">
        <v>1.351039537</v>
      </c>
      <c r="S975" s="7" t="n">
        <v>0.6467244156</v>
      </c>
    </row>
    <row r="976" customFormat="false" ht="15" hidden="false" customHeight="false" outlineLevel="0" collapsed="false">
      <c r="A976" s="5" t="s">
        <v>4</v>
      </c>
      <c r="B976" s="5" t="s">
        <v>80</v>
      </c>
      <c r="C976" s="5" t="s">
        <v>58</v>
      </c>
      <c r="D976" s="2" t="n">
        <v>18</v>
      </c>
      <c r="E976" s="5" t="s">
        <v>163</v>
      </c>
      <c r="F976" s="5" t="s">
        <v>166</v>
      </c>
      <c r="G976" s="2" t="n">
        <v>1</v>
      </c>
      <c r="H976" s="7" t="n">
        <v>0.9018626217</v>
      </c>
      <c r="I976" s="7" t="n">
        <v>0.4317469103</v>
      </c>
      <c r="J976" s="7" t="n">
        <v>-0.01544076017</v>
      </c>
      <c r="K976" s="7" t="n">
        <v>-0.4318173683</v>
      </c>
      <c r="L976" s="7" t="n">
        <v>0.9019599884</v>
      </c>
      <c r="M976" s="7" t="n">
        <v>-0.001392786599</v>
      </c>
      <c r="N976" s="7" t="n">
        <v>0.01332561656</v>
      </c>
      <c r="O976" s="7" t="n">
        <v>0.007923690596</v>
      </c>
      <c r="P976" s="7" t="n">
        <v>0.9998798143</v>
      </c>
      <c r="Q976" s="7" t="n">
        <v>22.85111165</v>
      </c>
      <c r="R976" s="7" t="n">
        <v>6.509164117</v>
      </c>
      <c r="S976" s="7" t="n">
        <v>1.583187183</v>
      </c>
    </row>
    <row r="977" customFormat="false" ht="15" hidden="false" customHeight="false" outlineLevel="0" collapsed="false">
      <c r="A977" s="5" t="s">
        <v>4</v>
      </c>
      <c r="B977" s="5" t="s">
        <v>80</v>
      </c>
      <c r="C977" s="5" t="s">
        <v>62</v>
      </c>
      <c r="D977" s="2" t="n">
        <v>18</v>
      </c>
      <c r="E977" s="5" t="s">
        <v>163</v>
      </c>
      <c r="F977" s="5" t="s">
        <v>166</v>
      </c>
      <c r="G977" s="2" t="n">
        <v>1</v>
      </c>
      <c r="H977" s="7" t="n">
        <v>0.9018626217</v>
      </c>
      <c r="I977" s="7" t="n">
        <v>0.4317469103</v>
      </c>
      <c r="J977" s="7" t="n">
        <v>-0.01544076017</v>
      </c>
      <c r="K977" s="7" t="n">
        <v>-0.4318173683</v>
      </c>
      <c r="L977" s="7" t="n">
        <v>0.9019599884</v>
      </c>
      <c r="M977" s="7" t="n">
        <v>-0.001392786599</v>
      </c>
      <c r="N977" s="7" t="n">
        <v>0.01332561656</v>
      </c>
      <c r="O977" s="7" t="n">
        <v>0.007923690596</v>
      </c>
      <c r="P977" s="7" t="n">
        <v>0.9998798143</v>
      </c>
      <c r="Q977" s="7" t="n">
        <v>22.85111165</v>
      </c>
      <c r="R977" s="7" t="n">
        <v>6.509164117</v>
      </c>
      <c r="S977" s="7" t="n">
        <v>1.583187183</v>
      </c>
    </row>
    <row r="978" customFormat="false" ht="15" hidden="false" customHeight="false" outlineLevel="0" collapsed="false">
      <c r="A978" s="5" t="s">
        <v>4</v>
      </c>
      <c r="B978" s="5" t="s">
        <v>80</v>
      </c>
      <c r="C978" s="5" t="s">
        <v>58</v>
      </c>
      <c r="D978" s="2" t="n">
        <v>18</v>
      </c>
      <c r="E978" s="5" t="s">
        <v>163</v>
      </c>
      <c r="F978" s="5" t="s">
        <v>167</v>
      </c>
      <c r="G978" s="2" t="n">
        <v>1</v>
      </c>
      <c r="H978" s="7" t="n">
        <v>0.2272921849</v>
      </c>
      <c r="I978" s="7" t="n">
        <v>-0.9737980237</v>
      </c>
      <c r="J978" s="7" t="n">
        <v>-0.007461344195</v>
      </c>
      <c r="K978" s="7" t="n">
        <v>0.973408601</v>
      </c>
      <c r="L978" s="7" t="n">
        <v>0.227412421</v>
      </c>
      <c r="M978" s="7" t="n">
        <v>-0.02755515124</v>
      </c>
      <c r="N978" s="7" t="n">
        <v>0.02852995417</v>
      </c>
      <c r="O978" s="7" t="n">
        <v>-0.0009998660851</v>
      </c>
      <c r="P978" s="7" t="n">
        <v>0.9995924379</v>
      </c>
      <c r="Q978" s="7" t="n">
        <v>-16.48772463</v>
      </c>
      <c r="R978" s="7" t="n">
        <v>20.4889167</v>
      </c>
      <c r="S978" s="7" t="n">
        <v>1.072758659</v>
      </c>
    </row>
    <row r="979" customFormat="false" ht="15" hidden="false" customHeight="false" outlineLevel="0" collapsed="false">
      <c r="A979" s="5" t="s">
        <v>4</v>
      </c>
      <c r="B979" s="5" t="s">
        <v>80</v>
      </c>
      <c r="C979" s="5" t="s">
        <v>62</v>
      </c>
      <c r="D979" s="2" t="n">
        <v>18</v>
      </c>
      <c r="E979" s="5" t="s">
        <v>163</v>
      </c>
      <c r="F979" s="5" t="s">
        <v>167</v>
      </c>
      <c r="G979" s="2" t="n">
        <v>1</v>
      </c>
      <c r="H979" s="7" t="n">
        <v>0.2266334015</v>
      </c>
      <c r="I979" s="7" t="n">
        <v>-0.9739698203</v>
      </c>
      <c r="J979" s="7" t="n">
        <v>0.004482235384</v>
      </c>
      <c r="K979" s="7" t="n">
        <v>0.9739157646</v>
      </c>
      <c r="L979" s="7" t="n">
        <v>0.2265631164</v>
      </c>
      <c r="M979" s="7" t="n">
        <v>-0.01253945132</v>
      </c>
      <c r="N979" s="7" t="n">
        <v>0.01119753794</v>
      </c>
      <c r="O979" s="7" t="n">
        <v>0.007207178208</v>
      </c>
      <c r="P979" s="7" t="n">
        <v>0.9999113319</v>
      </c>
      <c r="Q979" s="7" t="n">
        <v>-16.46822668</v>
      </c>
      <c r="R979" s="7" t="n">
        <v>20.51739819</v>
      </c>
      <c r="S979" s="7" t="n">
        <v>1.184821273</v>
      </c>
    </row>
    <row r="980" customFormat="false" ht="15" hidden="false" customHeight="false" outlineLevel="0" collapsed="false">
      <c r="A980" s="5" t="s">
        <v>4</v>
      </c>
      <c r="B980" s="5" t="s">
        <v>80</v>
      </c>
      <c r="C980" s="5" t="s">
        <v>58</v>
      </c>
      <c r="D980" s="2" t="n">
        <v>18</v>
      </c>
      <c r="E980" s="5" t="s">
        <v>163</v>
      </c>
      <c r="F980" s="5" t="s">
        <v>168</v>
      </c>
      <c r="G980" s="2" t="n">
        <v>1</v>
      </c>
      <c r="H980" s="7" t="n">
        <v>0.9887845056</v>
      </c>
      <c r="I980" s="7" t="n">
        <v>0.1489690945</v>
      </c>
      <c r="J980" s="7" t="n">
        <v>-0.0106494303</v>
      </c>
      <c r="K980" s="7" t="n">
        <v>-0.148803026</v>
      </c>
      <c r="L980" s="7" t="n">
        <v>0.9887533375</v>
      </c>
      <c r="M980" s="7" t="n">
        <v>0.01498322757</v>
      </c>
      <c r="N980" s="7" t="n">
        <v>0.01276169759</v>
      </c>
      <c r="O980" s="7" t="n">
        <v>-0.01323051581</v>
      </c>
      <c r="P980" s="7" t="n">
        <v>0.999831032</v>
      </c>
      <c r="Q980" s="7" t="n">
        <v>25.15002872</v>
      </c>
      <c r="R980" s="7" t="n">
        <v>19.82095454</v>
      </c>
      <c r="S980" s="7" t="n">
        <v>1.956765154</v>
      </c>
    </row>
    <row r="981" customFormat="false" ht="15" hidden="false" customHeight="false" outlineLevel="0" collapsed="false">
      <c r="A981" s="5" t="s">
        <v>4</v>
      </c>
      <c r="B981" s="5" t="s">
        <v>80</v>
      </c>
      <c r="C981" s="5" t="s">
        <v>62</v>
      </c>
      <c r="D981" s="2" t="n">
        <v>18</v>
      </c>
      <c r="E981" s="5" t="s">
        <v>163</v>
      </c>
      <c r="F981" s="5" t="s">
        <v>168</v>
      </c>
      <c r="G981" s="2" t="n">
        <v>1</v>
      </c>
      <c r="H981" s="7" t="n">
        <v>0.9887845056</v>
      </c>
      <c r="I981" s="7" t="n">
        <v>0.1489690945</v>
      </c>
      <c r="J981" s="7" t="n">
        <v>-0.0106494303</v>
      </c>
      <c r="K981" s="7" t="n">
        <v>-0.148803026</v>
      </c>
      <c r="L981" s="7" t="n">
        <v>0.9887533375</v>
      </c>
      <c r="M981" s="7" t="n">
        <v>0.01498322757</v>
      </c>
      <c r="N981" s="7" t="n">
        <v>0.01276169759</v>
      </c>
      <c r="O981" s="7" t="n">
        <v>-0.01323051581</v>
      </c>
      <c r="P981" s="7" t="n">
        <v>0.999831032</v>
      </c>
      <c r="Q981" s="7" t="n">
        <v>25.15002872</v>
      </c>
      <c r="R981" s="7" t="n">
        <v>19.82095454</v>
      </c>
      <c r="S981" s="7" t="n">
        <v>1.956765154</v>
      </c>
    </row>
    <row r="982" customFormat="false" ht="15" hidden="false" customHeight="false" outlineLevel="0" collapsed="false">
      <c r="A982" s="5" t="s">
        <v>4</v>
      </c>
      <c r="B982" s="5" t="s">
        <v>80</v>
      </c>
      <c r="C982" s="5" t="s">
        <v>58</v>
      </c>
      <c r="D982" s="2" t="n">
        <v>19</v>
      </c>
      <c r="E982" s="5" t="s">
        <v>163</v>
      </c>
      <c r="F982" s="5" t="s">
        <v>164</v>
      </c>
      <c r="G982" s="2" t="n">
        <v>1</v>
      </c>
      <c r="H982" s="7" t="n">
        <v>-0.7183409191</v>
      </c>
      <c r="I982" s="7" t="n">
        <v>-0.6956499196</v>
      </c>
      <c r="J982" s="7" t="n">
        <v>0.007583752635</v>
      </c>
      <c r="K982" s="7" t="n">
        <v>0.6955005934</v>
      </c>
      <c r="L982" s="7" t="n">
        <v>-0.7183565764</v>
      </c>
      <c r="M982" s="7" t="n">
        <v>-0.01558055547</v>
      </c>
      <c r="N982" s="7" t="n">
        <v>0.01628645074</v>
      </c>
      <c r="O982" s="7" t="n">
        <v>-0.005917646075</v>
      </c>
      <c r="P982" s="7" t="n">
        <v>0.9998498552</v>
      </c>
      <c r="Q982" s="7" t="n">
        <v>-11.1015064</v>
      </c>
      <c r="R982" s="7" t="n">
        <v>-0.8998402141</v>
      </c>
      <c r="S982" s="7" t="n">
        <v>0.6282295282</v>
      </c>
    </row>
    <row r="983" customFormat="false" ht="15" hidden="false" customHeight="false" outlineLevel="0" collapsed="false">
      <c r="A983" s="5" t="s">
        <v>4</v>
      </c>
      <c r="B983" s="5" t="s">
        <v>80</v>
      </c>
      <c r="C983" s="5" t="s">
        <v>62</v>
      </c>
      <c r="D983" s="2" t="n">
        <v>19</v>
      </c>
      <c r="E983" s="5" t="s">
        <v>163</v>
      </c>
      <c r="F983" s="5" t="s">
        <v>164</v>
      </c>
      <c r="G983" s="2" t="n">
        <v>1</v>
      </c>
      <c r="H983" s="7" t="n">
        <v>-0.7183409191</v>
      </c>
      <c r="I983" s="7" t="n">
        <v>-0.6956499196</v>
      </c>
      <c r="J983" s="7" t="n">
        <v>0.007583752635</v>
      </c>
      <c r="K983" s="7" t="n">
        <v>0.6955005934</v>
      </c>
      <c r="L983" s="7" t="n">
        <v>-0.7183565764</v>
      </c>
      <c r="M983" s="7" t="n">
        <v>-0.01558055547</v>
      </c>
      <c r="N983" s="7" t="n">
        <v>0.01628645074</v>
      </c>
      <c r="O983" s="7" t="n">
        <v>-0.005917646075</v>
      </c>
      <c r="P983" s="7" t="n">
        <v>0.9998498552</v>
      </c>
      <c r="Q983" s="7" t="n">
        <v>-11.1015064</v>
      </c>
      <c r="R983" s="7" t="n">
        <v>-0.8998402141</v>
      </c>
      <c r="S983" s="7" t="n">
        <v>0.6282295282</v>
      </c>
    </row>
    <row r="984" customFormat="false" ht="15" hidden="false" customHeight="false" outlineLevel="0" collapsed="false">
      <c r="A984" s="5" t="s">
        <v>4</v>
      </c>
      <c r="B984" s="5" t="s">
        <v>80</v>
      </c>
      <c r="C984" s="5" t="s">
        <v>58</v>
      </c>
      <c r="D984" s="2" t="n">
        <v>19</v>
      </c>
      <c r="E984" s="5" t="s">
        <v>163</v>
      </c>
      <c r="F984" s="5" t="s">
        <v>165</v>
      </c>
      <c r="G984" s="2" t="n">
        <v>1</v>
      </c>
      <c r="H984" s="7" t="n">
        <v>0.933485478</v>
      </c>
      <c r="I984" s="7" t="n">
        <v>0.3584558868</v>
      </c>
      <c r="J984" s="7" t="n">
        <v>-0.01068829188</v>
      </c>
      <c r="K984" s="7" t="n">
        <v>-0.3584447568</v>
      </c>
      <c r="L984" s="7" t="n">
        <v>0.9335461022</v>
      </c>
      <c r="M984" s="7" t="n">
        <v>0.003005228941</v>
      </c>
      <c r="N984" s="7" t="n">
        <v>0.01105525523</v>
      </c>
      <c r="O984" s="7" t="n">
        <v>0.00102582461</v>
      </c>
      <c r="P984" s="7" t="n">
        <v>0.9999383626</v>
      </c>
      <c r="Q984" s="7" t="n">
        <v>8.380450474</v>
      </c>
      <c r="R984" s="7" t="n">
        <v>1.379886796</v>
      </c>
      <c r="S984" s="7" t="n">
        <v>0.697390802</v>
      </c>
    </row>
    <row r="985" customFormat="false" ht="15" hidden="false" customHeight="false" outlineLevel="0" collapsed="false">
      <c r="A985" s="5" t="s">
        <v>4</v>
      </c>
      <c r="B985" s="5" t="s">
        <v>80</v>
      </c>
      <c r="C985" s="5" t="s">
        <v>62</v>
      </c>
      <c r="D985" s="2" t="n">
        <v>19</v>
      </c>
      <c r="E985" s="5" t="s">
        <v>163</v>
      </c>
      <c r="F985" s="5" t="s">
        <v>165</v>
      </c>
      <c r="G985" s="2" t="n">
        <v>1</v>
      </c>
      <c r="H985" s="7" t="n">
        <v>0.9334620207</v>
      </c>
      <c r="I985" s="7" t="n">
        <v>0.3586450267</v>
      </c>
      <c r="J985" s="7" t="n">
        <v>-0.004732929511</v>
      </c>
      <c r="K985" s="7" t="n">
        <v>-0.3586280297</v>
      </c>
      <c r="L985" s="7" t="n">
        <v>0.933471631</v>
      </c>
      <c r="M985" s="7" t="n">
        <v>0.0040804986</v>
      </c>
      <c r="N985" s="7" t="n">
        <v>0.005881505959</v>
      </c>
      <c r="O985" s="7" t="n">
        <v>-0.002111629283</v>
      </c>
      <c r="P985" s="7" t="n">
        <v>0.9999804743</v>
      </c>
      <c r="Q985" s="7" t="n">
        <v>8.400617034</v>
      </c>
      <c r="R985" s="7" t="n">
        <v>1.380990355</v>
      </c>
      <c r="S985" s="7" t="n">
        <v>0.6591970418</v>
      </c>
    </row>
    <row r="986" customFormat="false" ht="15" hidden="false" customHeight="false" outlineLevel="0" collapsed="false">
      <c r="A986" s="5" t="s">
        <v>4</v>
      </c>
      <c r="B986" s="5" t="s">
        <v>80</v>
      </c>
      <c r="C986" s="5" t="s">
        <v>58</v>
      </c>
      <c r="D986" s="2" t="n">
        <v>19</v>
      </c>
      <c r="E986" s="5" t="s">
        <v>163</v>
      </c>
      <c r="F986" s="5" t="s">
        <v>166</v>
      </c>
      <c r="G986" s="2" t="n">
        <v>1</v>
      </c>
      <c r="H986" s="7" t="n">
        <v>0.902236755</v>
      </c>
      <c r="I986" s="7" t="n">
        <v>0.4311101503</v>
      </c>
      <c r="J986" s="7" t="n">
        <v>-0.01062432412</v>
      </c>
      <c r="K986" s="7" t="n">
        <v>-0.4311672296</v>
      </c>
      <c r="L986" s="7" t="n">
        <v>0.9022643289</v>
      </c>
      <c r="M986" s="7" t="n">
        <v>-0.003728384546</v>
      </c>
      <c r="N986" s="7" t="n">
        <v>0.007978604254</v>
      </c>
      <c r="O986" s="7" t="n">
        <v>0.007944745973</v>
      </c>
      <c r="P986" s="7" t="n">
        <v>0.9999366094</v>
      </c>
      <c r="Q986" s="7" t="n">
        <v>22.860039</v>
      </c>
      <c r="R986" s="7" t="n">
        <v>6.50864319</v>
      </c>
      <c r="S986" s="7" t="n">
        <v>1.48505198</v>
      </c>
    </row>
    <row r="987" customFormat="false" ht="15" hidden="false" customHeight="false" outlineLevel="0" collapsed="false">
      <c r="A987" s="5" t="s">
        <v>4</v>
      </c>
      <c r="B987" s="5" t="s">
        <v>80</v>
      </c>
      <c r="C987" s="5" t="s">
        <v>62</v>
      </c>
      <c r="D987" s="2" t="n">
        <v>19</v>
      </c>
      <c r="E987" s="5" t="s">
        <v>163</v>
      </c>
      <c r="F987" s="5" t="s">
        <v>166</v>
      </c>
      <c r="G987" s="2" t="n">
        <v>1</v>
      </c>
      <c r="H987" s="7" t="n">
        <v>0.902236755</v>
      </c>
      <c r="I987" s="7" t="n">
        <v>0.4311101503</v>
      </c>
      <c r="J987" s="7" t="n">
        <v>-0.01062432412</v>
      </c>
      <c r="K987" s="7" t="n">
        <v>-0.4311672296</v>
      </c>
      <c r="L987" s="7" t="n">
        <v>0.9022643289</v>
      </c>
      <c r="M987" s="7" t="n">
        <v>-0.003728384546</v>
      </c>
      <c r="N987" s="7" t="n">
        <v>0.007978604254</v>
      </c>
      <c r="O987" s="7" t="n">
        <v>0.007944745973</v>
      </c>
      <c r="P987" s="7" t="n">
        <v>0.9999366094</v>
      </c>
      <c r="Q987" s="7" t="n">
        <v>22.860039</v>
      </c>
      <c r="R987" s="7" t="n">
        <v>6.50864319</v>
      </c>
      <c r="S987" s="7" t="n">
        <v>1.48505198</v>
      </c>
    </row>
    <row r="988" customFormat="false" ht="15" hidden="false" customHeight="false" outlineLevel="0" collapsed="false">
      <c r="A988" s="5" t="s">
        <v>4</v>
      </c>
      <c r="B988" s="5" t="s">
        <v>80</v>
      </c>
      <c r="C988" s="5" t="s">
        <v>58</v>
      </c>
      <c r="D988" s="2" t="n">
        <v>19</v>
      </c>
      <c r="E988" s="5" t="s">
        <v>163</v>
      </c>
      <c r="F988" s="5" t="s">
        <v>167</v>
      </c>
      <c r="G988" s="2" t="n">
        <v>1</v>
      </c>
      <c r="H988" s="7" t="n">
        <v>0.223867129</v>
      </c>
      <c r="I988" s="7" t="n">
        <v>-0.9745557953</v>
      </c>
      <c r="J988" s="7" t="n">
        <v>0.01115842573</v>
      </c>
      <c r="K988" s="7" t="n">
        <v>0.9743258497</v>
      </c>
      <c r="L988" s="7" t="n">
        <v>0.2235038604</v>
      </c>
      <c r="M988" s="7" t="n">
        <v>-0.02711388797</v>
      </c>
      <c r="N988" s="7" t="n">
        <v>0.02393004542</v>
      </c>
      <c r="O988" s="7" t="n">
        <v>0.01694185088</v>
      </c>
      <c r="P988" s="7" t="n">
        <v>0.9995700709</v>
      </c>
      <c r="Q988" s="7" t="n">
        <v>-16.53442287</v>
      </c>
      <c r="R988" s="7" t="n">
        <v>20.43730415</v>
      </c>
      <c r="S988" s="7" t="n">
        <v>1.385052061</v>
      </c>
    </row>
    <row r="989" customFormat="false" ht="15" hidden="false" customHeight="false" outlineLevel="0" collapsed="false">
      <c r="A989" s="5" t="s">
        <v>4</v>
      </c>
      <c r="B989" s="5" t="s">
        <v>80</v>
      </c>
      <c r="C989" s="5" t="s">
        <v>62</v>
      </c>
      <c r="D989" s="2" t="n">
        <v>19</v>
      </c>
      <c r="E989" s="5" t="s">
        <v>163</v>
      </c>
      <c r="F989" s="5" t="s">
        <v>167</v>
      </c>
      <c r="G989" s="2" t="n">
        <v>1</v>
      </c>
      <c r="H989" s="7" t="n">
        <v>0.2264138638</v>
      </c>
      <c r="I989" s="7" t="n">
        <v>-0.9740297022</v>
      </c>
      <c r="J989" s="7" t="n">
        <v>0.001703399725</v>
      </c>
      <c r="K989" s="7" t="n">
        <v>0.9739951541</v>
      </c>
      <c r="L989" s="7" t="n">
        <v>0.2263900972</v>
      </c>
      <c r="M989" s="7" t="n">
        <v>-0.008997982832</v>
      </c>
      <c r="N989" s="7" t="n">
        <v>0.008378669709</v>
      </c>
      <c r="O989" s="7" t="n">
        <v>0.003696371137</v>
      </c>
      <c r="P989" s="7" t="n">
        <v>0.9999580665</v>
      </c>
      <c r="Q989" s="7" t="n">
        <v>-16.52100007</v>
      </c>
      <c r="R989" s="7" t="n">
        <v>20.52391013</v>
      </c>
      <c r="S989" s="7" t="n">
        <v>1.093888923</v>
      </c>
    </row>
    <row r="990" customFormat="false" ht="15" hidden="false" customHeight="false" outlineLevel="0" collapsed="false">
      <c r="A990" s="5" t="s">
        <v>4</v>
      </c>
      <c r="B990" s="5" t="s">
        <v>80</v>
      </c>
      <c r="C990" s="5" t="s">
        <v>58</v>
      </c>
      <c r="D990" s="2" t="n">
        <v>19</v>
      </c>
      <c r="E990" s="5" t="s">
        <v>163</v>
      </c>
      <c r="F990" s="5" t="s">
        <v>168</v>
      </c>
      <c r="G990" s="2" t="n">
        <v>1</v>
      </c>
      <c r="H990" s="7" t="n">
        <v>0.9890872314</v>
      </c>
      <c r="I990" s="7" t="n">
        <v>0.1459638347</v>
      </c>
      <c r="J990" s="7" t="n">
        <v>-0.02002517328</v>
      </c>
      <c r="K990" s="7" t="n">
        <v>-0.1463400873</v>
      </c>
      <c r="L990" s="7" t="n">
        <v>0.9890553731</v>
      </c>
      <c r="M990" s="7" t="n">
        <v>-0.01881615681</v>
      </c>
      <c r="N990" s="7" t="n">
        <v>0.01705952682</v>
      </c>
      <c r="O990" s="7" t="n">
        <v>0.02154130605</v>
      </c>
      <c r="P990" s="7" t="n">
        <v>0.999622401</v>
      </c>
      <c r="Q990" s="7" t="n">
        <v>25.08941599</v>
      </c>
      <c r="R990" s="7" t="n">
        <v>19.77220654</v>
      </c>
      <c r="S990" s="7" t="n">
        <v>2.499518645</v>
      </c>
    </row>
    <row r="991" customFormat="false" ht="15" hidden="false" customHeight="false" outlineLevel="0" collapsed="false">
      <c r="A991" s="5" t="s">
        <v>4</v>
      </c>
      <c r="B991" s="5" t="s">
        <v>80</v>
      </c>
      <c r="C991" s="5" t="s">
        <v>62</v>
      </c>
      <c r="D991" s="2" t="n">
        <v>19</v>
      </c>
      <c r="E991" s="5" t="s">
        <v>163</v>
      </c>
      <c r="F991" s="5" t="s">
        <v>168</v>
      </c>
      <c r="G991" s="2" t="n">
        <v>1</v>
      </c>
      <c r="H991" s="7" t="n">
        <v>0.9900359244</v>
      </c>
      <c r="I991" s="7" t="n">
        <v>0.1385583141</v>
      </c>
      <c r="J991" s="7" t="n">
        <v>-0.02510900393</v>
      </c>
      <c r="K991" s="7" t="n">
        <v>-0.1398714597</v>
      </c>
      <c r="L991" s="7" t="n">
        <v>0.9882495521</v>
      </c>
      <c r="M991" s="7" t="n">
        <v>-0.06163438609</v>
      </c>
      <c r="N991" s="7" t="n">
        <v>0.01627400526</v>
      </c>
      <c r="O991" s="7" t="n">
        <v>0.06453228944</v>
      </c>
      <c r="P991" s="7" t="n">
        <v>0.9977829124</v>
      </c>
      <c r="Q991" s="7" t="n">
        <v>24.95929561</v>
      </c>
      <c r="R991" s="7" t="n">
        <v>19.75622242</v>
      </c>
      <c r="S991" s="7" t="n">
        <v>3.236793844</v>
      </c>
    </row>
    <row r="992" customFormat="false" ht="15" hidden="false" customHeight="false" outlineLevel="0" collapsed="false">
      <c r="A992" s="5" t="s">
        <v>4</v>
      </c>
      <c r="B992" s="5" t="s">
        <v>80</v>
      </c>
      <c r="C992" s="5" t="s">
        <v>58</v>
      </c>
      <c r="D992" s="2" t="n">
        <v>20</v>
      </c>
      <c r="E992" s="5" t="s">
        <v>163</v>
      </c>
      <c r="F992" s="5" t="s">
        <v>164</v>
      </c>
      <c r="G992" s="2" t="n">
        <v>1</v>
      </c>
      <c r="H992" s="7" t="n">
        <v>-0.7181237488</v>
      </c>
      <c r="I992" s="7" t="n">
        <v>-0.6958713909</v>
      </c>
      <c r="J992" s="7" t="n">
        <v>0.007828718937</v>
      </c>
      <c r="K992" s="7" t="n">
        <v>0.6958459596</v>
      </c>
      <c r="L992" s="7" t="n">
        <v>-0.718165574</v>
      </c>
      <c r="M992" s="7" t="n">
        <v>-0.006050515534</v>
      </c>
      <c r="N992" s="7" t="n">
        <v>0.00983269709</v>
      </c>
      <c r="O992" s="7" t="n">
        <v>0.001102563544</v>
      </c>
      <c r="P992" s="7" t="n">
        <v>0.99995105</v>
      </c>
      <c r="Q992" s="7" t="n">
        <v>-11.07914016</v>
      </c>
      <c r="R992" s="7" t="n">
        <v>-0.8581584916</v>
      </c>
      <c r="S992" s="7" t="n">
        <v>0.6169424264</v>
      </c>
    </row>
    <row r="993" customFormat="false" ht="15" hidden="false" customHeight="false" outlineLevel="0" collapsed="false">
      <c r="A993" s="5" t="s">
        <v>4</v>
      </c>
      <c r="B993" s="5" t="s">
        <v>80</v>
      </c>
      <c r="C993" s="5" t="s">
        <v>62</v>
      </c>
      <c r="D993" s="2" t="n">
        <v>20</v>
      </c>
      <c r="E993" s="5" t="s">
        <v>163</v>
      </c>
      <c r="F993" s="5" t="s">
        <v>164</v>
      </c>
      <c r="G993" s="2" t="n">
        <v>1</v>
      </c>
      <c r="H993" s="7" t="n">
        <v>-0.7181237488</v>
      </c>
      <c r="I993" s="7" t="n">
        <v>-0.6958713909</v>
      </c>
      <c r="J993" s="7" t="n">
        <v>0.007828718937</v>
      </c>
      <c r="K993" s="7" t="n">
        <v>0.6958459596</v>
      </c>
      <c r="L993" s="7" t="n">
        <v>-0.718165574</v>
      </c>
      <c r="M993" s="7" t="n">
        <v>-0.006050515534</v>
      </c>
      <c r="N993" s="7" t="n">
        <v>0.00983269709</v>
      </c>
      <c r="O993" s="7" t="n">
        <v>0.001102563544</v>
      </c>
      <c r="P993" s="7" t="n">
        <v>0.99995105</v>
      </c>
      <c r="Q993" s="7" t="n">
        <v>-11.07914016</v>
      </c>
      <c r="R993" s="7" t="n">
        <v>-0.8581584916</v>
      </c>
      <c r="S993" s="7" t="n">
        <v>0.6169424264</v>
      </c>
    </row>
    <row r="994" customFormat="false" ht="15" hidden="false" customHeight="false" outlineLevel="0" collapsed="false">
      <c r="A994" s="5" t="s">
        <v>4</v>
      </c>
      <c r="B994" s="5" t="s">
        <v>80</v>
      </c>
      <c r="C994" s="5" t="s">
        <v>58</v>
      </c>
      <c r="D994" s="2" t="n">
        <v>20</v>
      </c>
      <c r="E994" s="5" t="s">
        <v>163</v>
      </c>
      <c r="F994" s="5" t="s">
        <v>165</v>
      </c>
      <c r="G994" s="2" t="n">
        <v>1</v>
      </c>
      <c r="H994" s="7" t="n">
        <v>0.9339702015</v>
      </c>
      <c r="I994" s="7" t="n">
        <v>0.3571558131</v>
      </c>
      <c r="J994" s="7" t="n">
        <v>-0.01180626737</v>
      </c>
      <c r="K994" s="7" t="n">
        <v>-0.3571686248</v>
      </c>
      <c r="L994" s="7" t="n">
        <v>0.9340393</v>
      </c>
      <c r="M994" s="7" t="n">
        <v>0.001076810465</v>
      </c>
      <c r="N994" s="7" t="n">
        <v>0.01141210683</v>
      </c>
      <c r="O994" s="7" t="n">
        <v>0.003211119393</v>
      </c>
      <c r="P994" s="7" t="n">
        <v>0.9999297238</v>
      </c>
      <c r="Q994" s="7" t="n">
        <v>8.384811785</v>
      </c>
      <c r="R994" s="7" t="n">
        <v>1.365179457</v>
      </c>
      <c r="S994" s="7" t="n">
        <v>0.7170112947</v>
      </c>
    </row>
    <row r="995" customFormat="false" ht="15" hidden="false" customHeight="false" outlineLevel="0" collapsed="false">
      <c r="A995" s="5" t="s">
        <v>4</v>
      </c>
      <c r="B995" s="5" t="s">
        <v>80</v>
      </c>
      <c r="C995" s="5" t="s">
        <v>62</v>
      </c>
      <c r="D995" s="2" t="n">
        <v>20</v>
      </c>
      <c r="E995" s="5" t="s">
        <v>163</v>
      </c>
      <c r="F995" s="5" t="s">
        <v>165</v>
      </c>
      <c r="G995" s="2" t="n">
        <v>1</v>
      </c>
      <c r="H995" s="7" t="n">
        <v>0.9339865322</v>
      </c>
      <c r="I995" s="7" t="n">
        <v>0.3572301318</v>
      </c>
      <c r="J995" s="7" t="n">
        <v>-0.007469316588</v>
      </c>
      <c r="K995" s="7" t="n">
        <v>-0.3572205715</v>
      </c>
      <c r="L995" s="7" t="n">
        <v>0.934016373</v>
      </c>
      <c r="M995" s="7" t="n">
        <v>0.002622629169</v>
      </c>
      <c r="N995" s="7" t="n">
        <v>0.007913346152</v>
      </c>
      <c r="O995" s="7" t="n">
        <v>0.0002186932173</v>
      </c>
      <c r="P995" s="7" t="n">
        <v>0.9999686651</v>
      </c>
      <c r="Q995" s="7" t="n">
        <v>8.400805431</v>
      </c>
      <c r="R995" s="7" t="n">
        <v>1.366497139</v>
      </c>
      <c r="S995" s="7" t="n">
        <v>0.6921323513</v>
      </c>
    </row>
    <row r="996" customFormat="false" ht="15" hidden="false" customHeight="false" outlineLevel="0" collapsed="false">
      <c r="A996" s="5" t="s">
        <v>4</v>
      </c>
      <c r="B996" s="5" t="s">
        <v>80</v>
      </c>
      <c r="C996" s="5" t="s">
        <v>58</v>
      </c>
      <c r="D996" s="2" t="n">
        <v>20</v>
      </c>
      <c r="E996" s="5" t="s">
        <v>163</v>
      </c>
      <c r="F996" s="5" t="s">
        <v>166</v>
      </c>
      <c r="G996" s="2" t="n">
        <v>1</v>
      </c>
      <c r="H996" s="7" t="n">
        <v>0.9029045214</v>
      </c>
      <c r="I996" s="7" t="n">
        <v>0.4294017567</v>
      </c>
      <c r="J996" s="7" t="n">
        <v>-0.01943081471</v>
      </c>
      <c r="K996" s="7" t="n">
        <v>-0.4295203462</v>
      </c>
      <c r="L996" s="7" t="n">
        <v>0.9030545111</v>
      </c>
      <c r="M996" s="7" t="n">
        <v>-0.002195950997</v>
      </c>
      <c r="N996" s="7" t="n">
        <v>0.01660413966</v>
      </c>
      <c r="O996" s="7" t="n">
        <v>0.01032866434</v>
      </c>
      <c r="P996" s="7" t="n">
        <v>0.9998087923</v>
      </c>
      <c r="Q996" s="7" t="n">
        <v>22.81009194</v>
      </c>
      <c r="R996" s="7" t="n">
        <v>6.525396853</v>
      </c>
      <c r="S996" s="7" t="n">
        <v>1.653237227</v>
      </c>
    </row>
    <row r="997" customFormat="false" ht="15" hidden="false" customHeight="false" outlineLevel="0" collapsed="false">
      <c r="A997" s="5" t="s">
        <v>4</v>
      </c>
      <c r="B997" s="5" t="s">
        <v>80</v>
      </c>
      <c r="C997" s="5" t="s">
        <v>62</v>
      </c>
      <c r="D997" s="2" t="n">
        <v>20</v>
      </c>
      <c r="E997" s="5" t="s">
        <v>163</v>
      </c>
      <c r="F997" s="5" t="s">
        <v>166</v>
      </c>
      <c r="G997" s="2" t="n">
        <v>1</v>
      </c>
      <c r="H997" s="7" t="n">
        <v>0.9029045214</v>
      </c>
      <c r="I997" s="7" t="n">
        <v>0.4294017567</v>
      </c>
      <c r="J997" s="7" t="n">
        <v>-0.01943081471</v>
      </c>
      <c r="K997" s="7" t="n">
        <v>-0.4295203462</v>
      </c>
      <c r="L997" s="7" t="n">
        <v>0.9030545111</v>
      </c>
      <c r="M997" s="7" t="n">
        <v>-0.002195950997</v>
      </c>
      <c r="N997" s="7" t="n">
        <v>0.01660413966</v>
      </c>
      <c r="O997" s="7" t="n">
        <v>0.01032866434</v>
      </c>
      <c r="P997" s="7" t="n">
        <v>0.9998087923</v>
      </c>
      <c r="Q997" s="7" t="n">
        <v>22.81009194</v>
      </c>
      <c r="R997" s="7" t="n">
        <v>6.525396853</v>
      </c>
      <c r="S997" s="7" t="n">
        <v>1.653237227</v>
      </c>
    </row>
    <row r="998" customFormat="false" ht="15" hidden="false" customHeight="false" outlineLevel="0" collapsed="false">
      <c r="A998" s="5" t="s">
        <v>4</v>
      </c>
      <c r="B998" s="5" t="s">
        <v>80</v>
      </c>
      <c r="C998" s="5" t="s">
        <v>58</v>
      </c>
      <c r="D998" s="2" t="n">
        <v>20</v>
      </c>
      <c r="E998" s="5" t="s">
        <v>163</v>
      </c>
      <c r="F998" s="5" t="s">
        <v>167</v>
      </c>
      <c r="G998" s="2" t="n">
        <v>1</v>
      </c>
      <c r="H998" s="7" t="n">
        <v>0.2266598957</v>
      </c>
      <c r="I998" s="7" t="n">
        <v>-0.9738976363</v>
      </c>
      <c r="J998" s="7" t="n">
        <v>-0.01219367138</v>
      </c>
      <c r="K998" s="7" t="n">
        <v>0.9738709406</v>
      </c>
      <c r="L998" s="7" t="n">
        <v>0.2268002511</v>
      </c>
      <c r="M998" s="7" t="n">
        <v>-0.01170628864</v>
      </c>
      <c r="N998" s="7" t="n">
        <v>0.01416625457</v>
      </c>
      <c r="O998" s="7" t="n">
        <v>-0.00922171605</v>
      </c>
      <c r="P998" s="7" t="n">
        <v>0.9998571284</v>
      </c>
      <c r="Q998" s="7" t="n">
        <v>-16.50658685</v>
      </c>
      <c r="R998" s="7" t="n">
        <v>20.54485907</v>
      </c>
      <c r="S998" s="7" t="n">
        <v>0.8595271265</v>
      </c>
    </row>
    <row r="999" customFormat="false" ht="15" hidden="false" customHeight="false" outlineLevel="0" collapsed="false">
      <c r="A999" s="5" t="s">
        <v>4</v>
      </c>
      <c r="B999" s="5" t="s">
        <v>80</v>
      </c>
      <c r="C999" s="5" t="s">
        <v>62</v>
      </c>
      <c r="D999" s="2" t="n">
        <v>20</v>
      </c>
      <c r="E999" s="5" t="s">
        <v>163</v>
      </c>
      <c r="F999" s="5" t="s">
        <v>167</v>
      </c>
      <c r="G999" s="2" t="n">
        <v>1</v>
      </c>
      <c r="H999" s="7" t="n">
        <v>0.2262822795</v>
      </c>
      <c r="I999" s="7" t="n">
        <v>-0.9740556515</v>
      </c>
      <c r="J999" s="7" t="n">
        <v>-0.003452201378</v>
      </c>
      <c r="K999" s="7" t="n">
        <v>0.9739681016</v>
      </c>
      <c r="L999" s="7" t="n">
        <v>0.2263082479</v>
      </c>
      <c r="M999" s="7" t="n">
        <v>-0.01306575836</v>
      </c>
      <c r="N999" s="7" t="n">
        <v>0.01350803742</v>
      </c>
      <c r="O999" s="7" t="n">
        <v>-0.0004057844357</v>
      </c>
      <c r="P999" s="7" t="n">
        <v>0.99990868</v>
      </c>
      <c r="Q999" s="7" t="n">
        <v>-16.49012582</v>
      </c>
      <c r="R999" s="7" t="n">
        <v>20.53760899</v>
      </c>
      <c r="S999" s="7" t="n">
        <v>1.044315841</v>
      </c>
    </row>
    <row r="1000" customFormat="false" ht="15" hidden="false" customHeight="false" outlineLevel="0" collapsed="false">
      <c r="A1000" s="5" t="s">
        <v>4</v>
      </c>
      <c r="B1000" s="5" t="s">
        <v>80</v>
      </c>
      <c r="C1000" s="5" t="s">
        <v>58</v>
      </c>
      <c r="D1000" s="2" t="n">
        <v>20</v>
      </c>
      <c r="E1000" s="5" t="s">
        <v>163</v>
      </c>
      <c r="F1000" s="5" t="s">
        <v>168</v>
      </c>
      <c r="G1000" s="2" t="n">
        <v>1</v>
      </c>
      <c r="H1000" s="7" t="n">
        <v>0.9891943609</v>
      </c>
      <c r="I1000" s="7" t="n">
        <v>0.1448899538</v>
      </c>
      <c r="J1000" s="7" t="n">
        <v>-0.0223923546</v>
      </c>
      <c r="K1000" s="7" t="n">
        <v>-0.1455443293</v>
      </c>
      <c r="L1000" s="7" t="n">
        <v>0.9888646637</v>
      </c>
      <c r="M1000" s="7" t="n">
        <v>-0.03104069915</v>
      </c>
      <c r="N1000" s="7" t="n">
        <v>0.01764552273</v>
      </c>
      <c r="O1000" s="7" t="n">
        <v>0.03396436479</v>
      </c>
      <c r="P1000" s="7" t="n">
        <v>0.9992672603</v>
      </c>
      <c r="Q1000" s="7" t="n">
        <v>25.09572629</v>
      </c>
      <c r="R1000" s="7" t="n">
        <v>19.73571418</v>
      </c>
      <c r="S1000" s="7" t="n">
        <v>2.81919531</v>
      </c>
    </row>
    <row r="1001" customFormat="false" ht="15" hidden="false" customHeight="false" outlineLevel="0" collapsed="false">
      <c r="A1001" s="5" t="s">
        <v>4</v>
      </c>
      <c r="B1001" s="5" t="s">
        <v>80</v>
      </c>
      <c r="C1001" s="5" t="s">
        <v>62</v>
      </c>
      <c r="D1001" s="2" t="n">
        <v>20</v>
      </c>
      <c r="E1001" s="5" t="s">
        <v>163</v>
      </c>
      <c r="F1001" s="5" t="s">
        <v>168</v>
      </c>
      <c r="G1001" s="2" t="n">
        <v>1</v>
      </c>
      <c r="H1001" s="7" t="n">
        <v>0.9891943609</v>
      </c>
      <c r="I1001" s="7" t="n">
        <v>0.1448899538</v>
      </c>
      <c r="J1001" s="7" t="n">
        <v>-0.0223923546</v>
      </c>
      <c r="K1001" s="7" t="n">
        <v>-0.1455443293</v>
      </c>
      <c r="L1001" s="7" t="n">
        <v>0.9888646637</v>
      </c>
      <c r="M1001" s="7" t="n">
        <v>-0.03104069915</v>
      </c>
      <c r="N1001" s="7" t="n">
        <v>0.01764552273</v>
      </c>
      <c r="O1001" s="7" t="n">
        <v>0.03396436479</v>
      </c>
      <c r="P1001" s="7" t="n">
        <v>0.9992672603</v>
      </c>
      <c r="Q1001" s="7" t="n">
        <v>25.09572629</v>
      </c>
      <c r="R1001" s="7" t="n">
        <v>19.73571418</v>
      </c>
      <c r="S1001" s="7" t="n">
        <v>2.81919531</v>
      </c>
    </row>
    <row r="1002" customFormat="false" ht="15" hidden="false" customHeight="false" outlineLevel="0" collapsed="false">
      <c r="A1002" s="5" t="s">
        <v>4</v>
      </c>
      <c r="B1002" s="5" t="s">
        <v>80</v>
      </c>
      <c r="C1002" s="5" t="s">
        <v>58</v>
      </c>
      <c r="D1002" s="2" t="n">
        <v>11</v>
      </c>
      <c r="E1002" s="5" t="s">
        <v>164</v>
      </c>
      <c r="F1002" s="5" t="s">
        <v>165</v>
      </c>
      <c r="G1002" s="2" t="n">
        <v>1</v>
      </c>
      <c r="H1002" s="7" t="n">
        <v>-0.9195046773</v>
      </c>
      <c r="I1002" s="7" t="n">
        <v>0.3930788928</v>
      </c>
      <c r="J1002" s="7" t="n">
        <v>0.0003639515558</v>
      </c>
      <c r="K1002" s="7" t="n">
        <v>-0.3930788447</v>
      </c>
      <c r="L1002" s="7" t="n">
        <v>-0.9195028047</v>
      </c>
      <c r="M1002" s="7" t="n">
        <v>-0.001901035447</v>
      </c>
      <c r="N1002" s="7" t="n">
        <v>-0.0004126024321</v>
      </c>
      <c r="O1002" s="7" t="n">
        <v>-0.001891072642</v>
      </c>
      <c r="P1002" s="7" t="n">
        <v>0.9999981268</v>
      </c>
      <c r="Q1002" s="7" t="n">
        <v>-1.44016499</v>
      </c>
      <c r="R1002" s="7" t="n">
        <v>-3.78207646</v>
      </c>
      <c r="S1002" s="7" t="n">
        <v>0.1082392747</v>
      </c>
    </row>
    <row r="1003" customFormat="false" ht="15" hidden="false" customHeight="false" outlineLevel="0" collapsed="false">
      <c r="A1003" s="5" t="s">
        <v>4</v>
      </c>
      <c r="B1003" s="5" t="s">
        <v>80</v>
      </c>
      <c r="C1003" s="5" t="s">
        <v>62</v>
      </c>
      <c r="D1003" s="2" t="n">
        <v>11</v>
      </c>
      <c r="E1003" s="5" t="s">
        <v>164</v>
      </c>
      <c r="F1003" s="5" t="s">
        <v>165</v>
      </c>
      <c r="G1003" s="2" t="n">
        <v>1</v>
      </c>
      <c r="H1003" s="7" t="n">
        <v>-0.9195046773</v>
      </c>
      <c r="I1003" s="7" t="n">
        <v>0.3930788928</v>
      </c>
      <c r="J1003" s="7" t="n">
        <v>0.0003639515558</v>
      </c>
      <c r="K1003" s="7" t="n">
        <v>-0.3930788447</v>
      </c>
      <c r="L1003" s="7" t="n">
        <v>-0.9195028047</v>
      </c>
      <c r="M1003" s="7" t="n">
        <v>-0.001901035447</v>
      </c>
      <c r="N1003" s="7" t="n">
        <v>-0.0004126024321</v>
      </c>
      <c r="O1003" s="7" t="n">
        <v>-0.001891072642</v>
      </c>
      <c r="P1003" s="7" t="n">
        <v>0.9999981268</v>
      </c>
      <c r="Q1003" s="7" t="n">
        <v>-1.44016499</v>
      </c>
      <c r="R1003" s="7" t="n">
        <v>-3.78207646</v>
      </c>
      <c r="S1003" s="7" t="n">
        <v>0.1082392747</v>
      </c>
    </row>
    <row r="1004" customFormat="false" ht="15" hidden="false" customHeight="false" outlineLevel="0" collapsed="false">
      <c r="A1004" s="5" t="s">
        <v>4</v>
      </c>
      <c r="B1004" s="5" t="s">
        <v>80</v>
      </c>
      <c r="C1004" s="5" t="s">
        <v>58</v>
      </c>
      <c r="D1004" s="2" t="n">
        <v>11</v>
      </c>
      <c r="E1004" s="5" t="s">
        <v>164</v>
      </c>
      <c r="F1004" s="5" t="s">
        <v>166</v>
      </c>
      <c r="G1004" s="2" t="n">
        <v>1</v>
      </c>
      <c r="H1004" s="7" t="n">
        <v>-0.9486798042</v>
      </c>
      <c r="I1004" s="7" t="n">
        <v>0.3162380522</v>
      </c>
      <c r="J1004" s="7" t="n">
        <v>0.0003513830841</v>
      </c>
      <c r="K1004" s="7" t="n">
        <v>-0.3162295112</v>
      </c>
      <c r="L1004" s="7" t="n">
        <v>-0.9486612701</v>
      </c>
      <c r="M1004" s="7" t="n">
        <v>0.00637893879</v>
      </c>
      <c r="N1004" s="7" t="n">
        <v>0.002350606701</v>
      </c>
      <c r="O1004" s="7" t="n">
        <v>0.005940452701</v>
      </c>
      <c r="P1004" s="7" t="n">
        <v>0.9999795926</v>
      </c>
      <c r="Q1004" s="7" t="n">
        <v>12.62860819</v>
      </c>
      <c r="R1004" s="7" t="n">
        <v>2.187589493</v>
      </c>
      <c r="S1004" s="7" t="n">
        <v>0.7697303463</v>
      </c>
    </row>
    <row r="1005" customFormat="false" ht="15" hidden="false" customHeight="false" outlineLevel="0" collapsed="false">
      <c r="A1005" s="5" t="s">
        <v>4</v>
      </c>
      <c r="B1005" s="5" t="s">
        <v>80</v>
      </c>
      <c r="C1005" s="5" t="s">
        <v>62</v>
      </c>
      <c r="D1005" s="2" t="n">
        <v>11</v>
      </c>
      <c r="E1005" s="5" t="s">
        <v>164</v>
      </c>
      <c r="F1005" s="5" t="s">
        <v>166</v>
      </c>
      <c r="G1005" s="2" t="n">
        <v>1</v>
      </c>
      <c r="H1005" s="7" t="n">
        <v>-0.9477891399</v>
      </c>
      <c r="I1005" s="7" t="n">
        <v>0.3188506849</v>
      </c>
      <c r="J1005" s="7" t="n">
        <v>-0.005476049792</v>
      </c>
      <c r="K1005" s="7" t="n">
        <v>-0.3187693975</v>
      </c>
      <c r="L1005" s="7" t="n">
        <v>-0.9477551736</v>
      </c>
      <c r="M1005" s="7" t="n">
        <v>-0.01209140383</v>
      </c>
      <c r="N1005" s="7" t="n">
        <v>-0.009045306913</v>
      </c>
      <c r="O1005" s="7" t="n">
        <v>-0.009714504141</v>
      </c>
      <c r="P1005" s="7" t="n">
        <v>0.9999119015</v>
      </c>
      <c r="Q1005" s="7" t="n">
        <v>12.61290757</v>
      </c>
      <c r="R1005" s="7" t="n">
        <v>2.171398127</v>
      </c>
      <c r="S1005" s="7" t="n">
        <v>0.8496836437</v>
      </c>
    </row>
    <row r="1006" customFormat="false" ht="15" hidden="false" customHeight="false" outlineLevel="0" collapsed="false">
      <c r="A1006" s="5" t="s">
        <v>4</v>
      </c>
      <c r="B1006" s="5" t="s">
        <v>80</v>
      </c>
      <c r="C1006" s="5" t="s">
        <v>58</v>
      </c>
      <c r="D1006" s="2" t="n">
        <v>11</v>
      </c>
      <c r="E1006" s="5" t="s">
        <v>164</v>
      </c>
      <c r="F1006" s="5" t="s">
        <v>167</v>
      </c>
      <c r="G1006" s="2" t="n">
        <v>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customFormat="false" ht="15" hidden="false" customHeight="false" outlineLevel="0" collapsed="false">
      <c r="A1007" s="5" t="s">
        <v>4</v>
      </c>
      <c r="B1007" s="5" t="s">
        <v>80</v>
      </c>
      <c r="C1007" s="5" t="s">
        <v>62</v>
      </c>
      <c r="D1007" s="2" t="n">
        <v>11</v>
      </c>
      <c r="E1007" s="5" t="s">
        <v>164</v>
      </c>
      <c r="F1007" s="5" t="s">
        <v>167</v>
      </c>
      <c r="G1007" s="2" t="n">
        <v>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customFormat="false" ht="15" hidden="false" customHeight="false" outlineLevel="0" collapsed="false">
      <c r="A1008" s="5" t="s">
        <v>4</v>
      </c>
      <c r="B1008" s="5" t="s">
        <v>80</v>
      </c>
      <c r="C1008" s="5" t="s">
        <v>58</v>
      </c>
      <c r="D1008" s="2" t="n">
        <v>11</v>
      </c>
      <c r="E1008" s="5" t="s">
        <v>164</v>
      </c>
      <c r="F1008" s="5" t="s">
        <v>168</v>
      </c>
      <c r="G1008" s="2" t="n">
        <v>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customFormat="false" ht="15" hidden="false" customHeight="false" outlineLevel="0" collapsed="false">
      <c r="A1009" s="5" t="s">
        <v>4</v>
      </c>
      <c r="B1009" s="5" t="s">
        <v>80</v>
      </c>
      <c r="C1009" s="5" t="s">
        <v>62</v>
      </c>
      <c r="D1009" s="2" t="n">
        <v>11</v>
      </c>
      <c r="E1009" s="5" t="s">
        <v>164</v>
      </c>
      <c r="F1009" s="5" t="s">
        <v>168</v>
      </c>
      <c r="G1009" s="2" t="n">
        <v>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customFormat="false" ht="15" hidden="false" customHeight="false" outlineLevel="0" collapsed="false">
      <c r="A1010" s="5" t="s">
        <v>4</v>
      </c>
      <c r="B1010" s="5" t="s">
        <v>80</v>
      </c>
      <c r="C1010" s="5" t="s">
        <v>58</v>
      </c>
      <c r="D1010" s="2" t="n">
        <v>12</v>
      </c>
      <c r="E1010" s="5" t="s">
        <v>164</v>
      </c>
      <c r="F1010" s="5" t="s">
        <v>165</v>
      </c>
      <c r="G1010" s="2" t="n">
        <v>1</v>
      </c>
      <c r="H1010" s="7" t="n">
        <v>-0.9197186524</v>
      </c>
      <c r="I1010" s="7" t="n">
        <v>0.3925673771</v>
      </c>
      <c r="J1010" s="7" t="n">
        <v>-0.002907734601</v>
      </c>
      <c r="K1010" s="7" t="n">
        <v>-0.3925772451</v>
      </c>
      <c r="L1010" s="7" t="n">
        <v>-0.9197071796</v>
      </c>
      <c r="M1010" s="7" t="n">
        <v>0.004670159132</v>
      </c>
      <c r="N1010" s="7" t="n">
        <v>-0.0008409122677</v>
      </c>
      <c r="O1010" s="7" t="n">
        <v>0.005436742902</v>
      </c>
      <c r="P1010" s="7" t="n">
        <v>0.9999848672</v>
      </c>
      <c r="Q1010" s="7" t="n">
        <v>-1.464607906</v>
      </c>
      <c r="R1010" s="7" t="n">
        <v>-3.768840574</v>
      </c>
      <c r="S1010" s="7" t="n">
        <v>0.09907559181</v>
      </c>
    </row>
    <row r="1011" customFormat="false" ht="15" hidden="false" customHeight="false" outlineLevel="0" collapsed="false">
      <c r="A1011" s="5" t="s">
        <v>4</v>
      </c>
      <c r="B1011" s="5" t="s">
        <v>80</v>
      </c>
      <c r="C1011" s="5" t="s">
        <v>62</v>
      </c>
      <c r="D1011" s="2" t="n">
        <v>12</v>
      </c>
      <c r="E1011" s="5" t="s">
        <v>164</v>
      </c>
      <c r="F1011" s="5" t="s">
        <v>165</v>
      </c>
      <c r="G1011" s="2" t="n">
        <v>1</v>
      </c>
      <c r="H1011" s="7" t="n">
        <v>-0.9197186524</v>
      </c>
      <c r="I1011" s="7" t="n">
        <v>0.3925673771</v>
      </c>
      <c r="J1011" s="7" t="n">
        <v>-0.002907734601</v>
      </c>
      <c r="K1011" s="7" t="n">
        <v>-0.3925772451</v>
      </c>
      <c r="L1011" s="7" t="n">
        <v>-0.9197071796</v>
      </c>
      <c r="M1011" s="7" t="n">
        <v>0.004670159132</v>
      </c>
      <c r="N1011" s="7" t="n">
        <v>-0.0008409122677</v>
      </c>
      <c r="O1011" s="7" t="n">
        <v>0.005436742902</v>
      </c>
      <c r="P1011" s="7" t="n">
        <v>0.9999848672</v>
      </c>
      <c r="Q1011" s="7" t="n">
        <v>-1.464607906</v>
      </c>
      <c r="R1011" s="7" t="n">
        <v>-3.768840574</v>
      </c>
      <c r="S1011" s="7" t="n">
        <v>0.09907559181</v>
      </c>
    </row>
    <row r="1012" customFormat="false" ht="15" hidden="false" customHeight="false" outlineLevel="0" collapsed="false">
      <c r="A1012" s="5" t="s">
        <v>4</v>
      </c>
      <c r="B1012" s="5" t="s">
        <v>80</v>
      </c>
      <c r="C1012" s="5" t="s">
        <v>58</v>
      </c>
      <c r="D1012" s="2" t="n">
        <v>12</v>
      </c>
      <c r="E1012" s="5" t="s">
        <v>164</v>
      </c>
      <c r="F1012" s="5" t="s">
        <v>166</v>
      </c>
      <c r="G1012" s="2" t="n">
        <v>1</v>
      </c>
      <c r="H1012" s="7" t="n">
        <v>-0.9483868742</v>
      </c>
      <c r="I1012" s="7" t="n">
        <v>0.3170511266</v>
      </c>
      <c r="J1012" s="7" t="n">
        <v>-0.006396875957</v>
      </c>
      <c r="K1012" s="7" t="n">
        <v>-0.3170682515</v>
      </c>
      <c r="L1012" s="7" t="n">
        <v>-0.9484009335</v>
      </c>
      <c r="M1012" s="7" t="n">
        <v>0.001842068282</v>
      </c>
      <c r="N1012" s="7" t="n">
        <v>-0.005482773305</v>
      </c>
      <c r="O1012" s="7" t="n">
        <v>0.003775239654</v>
      </c>
      <c r="P1012" s="7" t="n">
        <v>0.9999778431</v>
      </c>
      <c r="Q1012" s="7" t="n">
        <v>12.61886262</v>
      </c>
      <c r="R1012" s="7" t="n">
        <v>2.170091078</v>
      </c>
      <c r="S1012" s="7" t="n">
        <v>0.8613457502</v>
      </c>
    </row>
    <row r="1013" customFormat="false" ht="15" hidden="false" customHeight="false" outlineLevel="0" collapsed="false">
      <c r="A1013" s="5" t="s">
        <v>4</v>
      </c>
      <c r="B1013" s="5" t="s">
        <v>80</v>
      </c>
      <c r="C1013" s="5" t="s">
        <v>62</v>
      </c>
      <c r="D1013" s="2" t="n">
        <v>12</v>
      </c>
      <c r="E1013" s="5" t="s">
        <v>164</v>
      </c>
      <c r="F1013" s="5" t="s">
        <v>166</v>
      </c>
      <c r="G1013" s="2" t="n">
        <v>1</v>
      </c>
      <c r="H1013" s="7" t="n">
        <v>-0.9483868742</v>
      </c>
      <c r="I1013" s="7" t="n">
        <v>0.3170511266</v>
      </c>
      <c r="J1013" s="7" t="n">
        <v>-0.006396875957</v>
      </c>
      <c r="K1013" s="7" t="n">
        <v>-0.3170682515</v>
      </c>
      <c r="L1013" s="7" t="n">
        <v>-0.9484009335</v>
      </c>
      <c r="M1013" s="7" t="n">
        <v>0.001842068282</v>
      </c>
      <c r="N1013" s="7" t="n">
        <v>-0.005482773305</v>
      </c>
      <c r="O1013" s="7" t="n">
        <v>0.003775239654</v>
      </c>
      <c r="P1013" s="7" t="n">
        <v>0.9999778431</v>
      </c>
      <c r="Q1013" s="7" t="n">
        <v>12.61886262</v>
      </c>
      <c r="R1013" s="7" t="n">
        <v>2.170091078</v>
      </c>
      <c r="S1013" s="7" t="n">
        <v>0.8613457502</v>
      </c>
    </row>
    <row r="1014" customFormat="false" ht="15" hidden="false" customHeight="false" outlineLevel="0" collapsed="false">
      <c r="A1014" s="5" t="s">
        <v>4</v>
      </c>
      <c r="B1014" s="5" t="s">
        <v>80</v>
      </c>
      <c r="C1014" s="5" t="s">
        <v>58</v>
      </c>
      <c r="D1014" s="2" t="n">
        <v>12</v>
      </c>
      <c r="E1014" s="5" t="s">
        <v>164</v>
      </c>
      <c r="F1014" s="5" t="s">
        <v>167</v>
      </c>
      <c r="G1014" s="2" t="n">
        <v>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customFormat="false" ht="15" hidden="false" customHeight="false" outlineLevel="0" collapsed="false">
      <c r="A1015" s="5" t="s">
        <v>4</v>
      </c>
      <c r="B1015" s="5" t="s">
        <v>80</v>
      </c>
      <c r="C1015" s="5" t="s">
        <v>62</v>
      </c>
      <c r="D1015" s="2" t="n">
        <v>12</v>
      </c>
      <c r="E1015" s="5" t="s">
        <v>164</v>
      </c>
      <c r="F1015" s="5" t="s">
        <v>167</v>
      </c>
      <c r="G1015" s="2" t="n">
        <v>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customFormat="false" ht="15" hidden="false" customHeight="false" outlineLevel="0" collapsed="false">
      <c r="A1016" s="5" t="s">
        <v>4</v>
      </c>
      <c r="B1016" s="5" t="s">
        <v>80</v>
      </c>
      <c r="C1016" s="5" t="s">
        <v>58</v>
      </c>
      <c r="D1016" s="2" t="n">
        <v>12</v>
      </c>
      <c r="E1016" s="5" t="s">
        <v>164</v>
      </c>
      <c r="F1016" s="5" t="s">
        <v>168</v>
      </c>
      <c r="G1016" s="2" t="n">
        <v>1</v>
      </c>
      <c r="H1016" s="7" t="n">
        <v>-0.8131442689</v>
      </c>
      <c r="I1016" s="7" t="n">
        <v>0.582049846</v>
      </c>
      <c r="J1016" s="7" t="n">
        <v>-0.003791398722</v>
      </c>
      <c r="K1016" s="7" t="n">
        <v>-0.5820493915</v>
      </c>
      <c r="L1016" s="7" t="n">
        <v>-0.8131523358</v>
      </c>
      <c r="M1016" s="7" t="n">
        <v>-0.001335898691</v>
      </c>
      <c r="N1016" s="7" t="n">
        <v>-0.003860544354</v>
      </c>
      <c r="O1016" s="7" t="n">
        <v>0.001120502955</v>
      </c>
      <c r="P1016" s="7" t="n">
        <v>0.9999919203</v>
      </c>
      <c r="Q1016" s="7" t="n">
        <v>16.63443044</v>
      </c>
      <c r="R1016" s="7" t="n">
        <v>12.66589329</v>
      </c>
      <c r="S1016" s="7" t="n">
        <v>1.492355994</v>
      </c>
    </row>
    <row r="1017" customFormat="false" ht="15" hidden="false" customHeight="false" outlineLevel="0" collapsed="false">
      <c r="A1017" s="5" t="s">
        <v>4</v>
      </c>
      <c r="B1017" s="5" t="s">
        <v>80</v>
      </c>
      <c r="C1017" s="5" t="s">
        <v>62</v>
      </c>
      <c r="D1017" s="2" t="n">
        <v>12</v>
      </c>
      <c r="E1017" s="5" t="s">
        <v>164</v>
      </c>
      <c r="F1017" s="5" t="s">
        <v>168</v>
      </c>
      <c r="G1017" s="2" t="n">
        <v>1</v>
      </c>
      <c r="H1017" s="7" t="n">
        <v>-0.813079317</v>
      </c>
      <c r="I1017" s="7" t="n">
        <v>0.5820759943</v>
      </c>
      <c r="J1017" s="7" t="n">
        <v>-0.009463672135</v>
      </c>
      <c r="K1017" s="7" t="n">
        <v>-0.58210358</v>
      </c>
      <c r="L1017" s="7" t="n">
        <v>-0.8131146184</v>
      </c>
      <c r="M1017" s="7" t="n">
        <v>0.0001987937983</v>
      </c>
      <c r="N1017" s="7" t="n">
        <v>-0.007579337059</v>
      </c>
      <c r="O1017" s="7" t="n">
        <v>0.005670472556</v>
      </c>
      <c r="P1017" s="7" t="n">
        <v>0.9999551987</v>
      </c>
      <c r="Q1017" s="7" t="n">
        <v>16.6223764</v>
      </c>
      <c r="R1017" s="7" t="n">
        <v>12.67119553</v>
      </c>
      <c r="S1017" s="7" t="n">
        <v>1.481563924</v>
      </c>
    </row>
    <row r="1018" customFormat="false" ht="15" hidden="false" customHeight="false" outlineLevel="0" collapsed="false">
      <c r="A1018" s="5" t="s">
        <v>4</v>
      </c>
      <c r="B1018" s="5" t="s">
        <v>80</v>
      </c>
      <c r="C1018" s="5" t="s">
        <v>58</v>
      </c>
      <c r="D1018" s="2" t="n">
        <v>13</v>
      </c>
      <c r="E1018" s="5" t="s">
        <v>164</v>
      </c>
      <c r="F1018" s="5" t="s">
        <v>165</v>
      </c>
      <c r="G1018" s="2" t="n">
        <v>1</v>
      </c>
      <c r="H1018" s="7" t="n">
        <v>-0.9195237376</v>
      </c>
      <c r="I1018" s="7" t="n">
        <v>0.3926942588</v>
      </c>
      <c r="J1018" s="7" t="n">
        <v>-0.0163497743</v>
      </c>
      <c r="K1018" s="7" t="n">
        <v>-0.3928889512</v>
      </c>
      <c r="L1018" s="7" t="n">
        <v>-0.9195195207</v>
      </c>
      <c r="M1018" s="7" t="n">
        <v>0.01105093077</v>
      </c>
      <c r="N1018" s="7" t="n">
        <v>-0.01069429956</v>
      </c>
      <c r="O1018" s="7" t="n">
        <v>0.01658523884</v>
      </c>
      <c r="P1018" s="7" t="n">
        <v>0.9998052619</v>
      </c>
      <c r="Q1018" s="7" t="n">
        <v>-1.494200599</v>
      </c>
      <c r="R1018" s="7" t="n">
        <v>-3.765983599</v>
      </c>
      <c r="S1018" s="7" t="n">
        <v>0.09634210073</v>
      </c>
    </row>
    <row r="1019" customFormat="false" ht="15" hidden="false" customHeight="false" outlineLevel="0" collapsed="false">
      <c r="A1019" s="5" t="s">
        <v>4</v>
      </c>
      <c r="B1019" s="5" t="s">
        <v>80</v>
      </c>
      <c r="C1019" s="5" t="s">
        <v>62</v>
      </c>
      <c r="D1019" s="2" t="n">
        <v>13</v>
      </c>
      <c r="E1019" s="5" t="s">
        <v>164</v>
      </c>
      <c r="F1019" s="5" t="s">
        <v>165</v>
      </c>
      <c r="G1019" s="2" t="n">
        <v>1</v>
      </c>
      <c r="H1019" s="7" t="n">
        <v>-0.9196157644</v>
      </c>
      <c r="I1019" s="7" t="n">
        <v>0.3928029777</v>
      </c>
      <c r="J1019" s="7" t="n">
        <v>0.003559012518</v>
      </c>
      <c r="K1019" s="7" t="n">
        <v>-0.3928116807</v>
      </c>
      <c r="L1019" s="7" t="n">
        <v>-0.9196163366</v>
      </c>
      <c r="M1019" s="7" t="n">
        <v>-0.00218562494</v>
      </c>
      <c r="N1019" s="7" t="n">
        <v>0.002414406069</v>
      </c>
      <c r="O1019" s="7" t="n">
        <v>-0.003407956839</v>
      </c>
      <c r="P1019" s="7" t="n">
        <v>0.9999912782</v>
      </c>
      <c r="Q1019" s="7" t="n">
        <v>-1.450840711</v>
      </c>
      <c r="R1019" s="7" t="n">
        <v>-3.792133434</v>
      </c>
      <c r="S1019" s="7" t="n">
        <v>0.1199087884</v>
      </c>
    </row>
    <row r="1020" customFormat="false" ht="15" hidden="false" customHeight="false" outlineLevel="0" collapsed="false">
      <c r="A1020" s="5" t="s">
        <v>4</v>
      </c>
      <c r="B1020" s="5" t="s">
        <v>80</v>
      </c>
      <c r="C1020" s="5" t="s">
        <v>58</v>
      </c>
      <c r="D1020" s="2" t="n">
        <v>13</v>
      </c>
      <c r="E1020" s="5" t="s">
        <v>164</v>
      </c>
      <c r="F1020" s="5" t="s">
        <v>166</v>
      </c>
      <c r="G1020" s="2" t="n">
        <v>1</v>
      </c>
      <c r="H1020" s="7" t="n">
        <v>-0.948772906</v>
      </c>
      <c r="I1020" s="7" t="n">
        <v>0.3157661282</v>
      </c>
      <c r="J1020" s="7" t="n">
        <v>-0.01103291311</v>
      </c>
      <c r="K1020" s="7" t="n">
        <v>-0.3156746798</v>
      </c>
      <c r="L1020" s="7" t="n">
        <v>-0.9488221611</v>
      </c>
      <c r="M1020" s="7" t="n">
        <v>-0.009273784799</v>
      </c>
      <c r="N1020" s="7" t="n">
        <v>-0.01339661958</v>
      </c>
      <c r="O1020" s="7" t="n">
        <v>-0.00531590444</v>
      </c>
      <c r="P1020" s="7" t="n">
        <v>0.9998961305</v>
      </c>
      <c r="Q1020" s="7" t="n">
        <v>12.64117716</v>
      </c>
      <c r="R1020" s="7" t="n">
        <v>2.180572184</v>
      </c>
      <c r="S1020" s="7" t="n">
        <v>0.831664806</v>
      </c>
    </row>
    <row r="1021" customFormat="false" ht="15" hidden="false" customHeight="false" outlineLevel="0" collapsed="false">
      <c r="A1021" s="5" t="s">
        <v>4</v>
      </c>
      <c r="B1021" s="5" t="s">
        <v>80</v>
      </c>
      <c r="C1021" s="5" t="s">
        <v>62</v>
      </c>
      <c r="D1021" s="2" t="n">
        <v>13</v>
      </c>
      <c r="E1021" s="5" t="s">
        <v>164</v>
      </c>
      <c r="F1021" s="5" t="s">
        <v>166</v>
      </c>
      <c r="G1021" s="2" t="n">
        <v>1</v>
      </c>
      <c r="H1021" s="7" t="n">
        <v>-0.948772906</v>
      </c>
      <c r="I1021" s="7" t="n">
        <v>0.3157661282</v>
      </c>
      <c r="J1021" s="7" t="n">
        <v>-0.01103291311</v>
      </c>
      <c r="K1021" s="7" t="n">
        <v>-0.3156746798</v>
      </c>
      <c r="L1021" s="7" t="n">
        <v>-0.9488221611</v>
      </c>
      <c r="M1021" s="7" t="n">
        <v>-0.009273784799</v>
      </c>
      <c r="N1021" s="7" t="n">
        <v>-0.01339661958</v>
      </c>
      <c r="O1021" s="7" t="n">
        <v>-0.00531590444</v>
      </c>
      <c r="P1021" s="7" t="n">
        <v>0.9998961305</v>
      </c>
      <c r="Q1021" s="7" t="n">
        <v>12.64117716</v>
      </c>
      <c r="R1021" s="7" t="n">
        <v>2.180572184</v>
      </c>
      <c r="S1021" s="7" t="n">
        <v>0.831664806</v>
      </c>
    </row>
    <row r="1022" customFormat="false" ht="15" hidden="false" customHeight="false" outlineLevel="0" collapsed="false">
      <c r="A1022" s="5" t="s">
        <v>4</v>
      </c>
      <c r="B1022" s="5" t="s">
        <v>80</v>
      </c>
      <c r="C1022" s="5" t="s">
        <v>58</v>
      </c>
      <c r="D1022" s="2" t="n">
        <v>13</v>
      </c>
      <c r="E1022" s="5" t="s">
        <v>164</v>
      </c>
      <c r="F1022" s="5" t="s">
        <v>167</v>
      </c>
      <c r="G1022" s="2" t="n">
        <v>1</v>
      </c>
      <c r="H1022" s="7" t="n">
        <v>0.515940541</v>
      </c>
      <c r="I1022" s="7" t="n">
        <v>0.8565954444</v>
      </c>
      <c r="J1022" s="7" t="n">
        <v>0.00704291802</v>
      </c>
      <c r="K1022" s="7" t="n">
        <v>-0.8565826717</v>
      </c>
      <c r="L1022" s="7" t="n">
        <v>0.5159791206</v>
      </c>
      <c r="M1022" s="7" t="n">
        <v>-0.005627930142</v>
      </c>
      <c r="N1022" s="7" t="n">
        <v>-0.008454857967</v>
      </c>
      <c r="O1022" s="7" t="n">
        <v>-0.003129164212</v>
      </c>
      <c r="P1022" s="7" t="n">
        <v>0.999959361</v>
      </c>
      <c r="Q1022" s="7" t="n">
        <v>-10.0261604</v>
      </c>
      <c r="R1022" s="7" t="n">
        <v>11.44601184</v>
      </c>
      <c r="S1022" s="7" t="n">
        <v>0.4739136521</v>
      </c>
    </row>
    <row r="1023" customFormat="false" ht="15" hidden="false" customHeight="false" outlineLevel="0" collapsed="false">
      <c r="A1023" s="5" t="s">
        <v>4</v>
      </c>
      <c r="B1023" s="5" t="s">
        <v>80</v>
      </c>
      <c r="C1023" s="5" t="s">
        <v>62</v>
      </c>
      <c r="D1023" s="2" t="n">
        <v>13</v>
      </c>
      <c r="E1023" s="5" t="s">
        <v>164</v>
      </c>
      <c r="F1023" s="5" t="s">
        <v>167</v>
      </c>
      <c r="G1023" s="2" t="n">
        <v>1</v>
      </c>
      <c r="H1023" s="7" t="n">
        <v>0.515940541</v>
      </c>
      <c r="I1023" s="7" t="n">
        <v>0.8565954444</v>
      </c>
      <c r="J1023" s="7" t="n">
        <v>0.00704291802</v>
      </c>
      <c r="K1023" s="7" t="n">
        <v>-0.8565826717</v>
      </c>
      <c r="L1023" s="7" t="n">
        <v>0.5159791206</v>
      </c>
      <c r="M1023" s="7" t="n">
        <v>-0.005627930142</v>
      </c>
      <c r="N1023" s="7" t="n">
        <v>-0.008454857967</v>
      </c>
      <c r="O1023" s="7" t="n">
        <v>-0.003129164212</v>
      </c>
      <c r="P1023" s="7" t="n">
        <v>0.999959361</v>
      </c>
      <c r="Q1023" s="7" t="n">
        <v>-10.0261604</v>
      </c>
      <c r="R1023" s="7" t="n">
        <v>11.44601184</v>
      </c>
      <c r="S1023" s="7" t="n">
        <v>0.4739136521</v>
      </c>
    </row>
    <row r="1024" customFormat="false" ht="15" hidden="false" customHeight="false" outlineLevel="0" collapsed="false">
      <c r="A1024" s="5" t="s">
        <v>4</v>
      </c>
      <c r="B1024" s="5" t="s">
        <v>80</v>
      </c>
      <c r="C1024" s="5" t="s">
        <v>58</v>
      </c>
      <c r="D1024" s="2" t="n">
        <v>13</v>
      </c>
      <c r="E1024" s="5" t="s">
        <v>164</v>
      </c>
      <c r="F1024" s="5" t="s">
        <v>168</v>
      </c>
      <c r="G1024" s="2" t="n">
        <v>1</v>
      </c>
      <c r="H1024" s="7" t="n">
        <v>-0.8123501587</v>
      </c>
      <c r="I1024" s="7" t="n">
        <v>0.5831090072</v>
      </c>
      <c r="J1024" s="7" t="n">
        <v>-0.008432402313</v>
      </c>
      <c r="K1024" s="7" t="n">
        <v>-0.5831121618</v>
      </c>
      <c r="L1024" s="7" t="n">
        <v>-0.8123883057</v>
      </c>
      <c r="M1024" s="7" t="n">
        <v>-0.002334003966</v>
      </c>
      <c r="N1024" s="7" t="n">
        <v>-0.008211363764</v>
      </c>
      <c r="O1024" s="7" t="n">
        <v>0.00302100785</v>
      </c>
      <c r="P1024" s="7" t="n">
        <v>0.9999617228</v>
      </c>
      <c r="Q1024" s="7" t="n">
        <v>16.60136078</v>
      </c>
      <c r="R1024" s="7" t="n">
        <v>12.65234046</v>
      </c>
      <c r="S1024" s="7" t="n">
        <v>1.484534874</v>
      </c>
    </row>
    <row r="1025" customFormat="false" ht="15" hidden="false" customHeight="false" outlineLevel="0" collapsed="false">
      <c r="A1025" s="5" t="s">
        <v>4</v>
      </c>
      <c r="B1025" s="5" t="s">
        <v>80</v>
      </c>
      <c r="C1025" s="5" t="s">
        <v>62</v>
      </c>
      <c r="D1025" s="2" t="n">
        <v>13</v>
      </c>
      <c r="E1025" s="5" t="s">
        <v>164</v>
      </c>
      <c r="F1025" s="5" t="s">
        <v>168</v>
      </c>
      <c r="G1025" s="2" t="n">
        <v>1</v>
      </c>
      <c r="H1025" s="7" t="n">
        <v>-0.8125720976</v>
      </c>
      <c r="I1025" s="7" t="n">
        <v>0.5828512475</v>
      </c>
      <c r="J1025" s="7" t="n">
        <v>0.003318053673</v>
      </c>
      <c r="K1025" s="7" t="n">
        <v>-0.582860245</v>
      </c>
      <c r="L1025" s="7" t="n">
        <v>-0.812551258</v>
      </c>
      <c r="M1025" s="7" t="n">
        <v>-0.00586412495</v>
      </c>
      <c r="N1025" s="7" t="n">
        <v>-0.0007218238567</v>
      </c>
      <c r="O1025" s="7" t="n">
        <v>-0.006698985888</v>
      </c>
      <c r="P1025" s="7" t="n">
        <v>0.999977301</v>
      </c>
      <c r="Q1025" s="7" t="n">
        <v>16.63127023</v>
      </c>
      <c r="R1025" s="7" t="n">
        <v>12.63137285</v>
      </c>
      <c r="S1025" s="7" t="n">
        <v>1.630487713</v>
      </c>
    </row>
    <row r="1026" customFormat="false" ht="15" hidden="false" customHeight="false" outlineLevel="0" collapsed="false">
      <c r="A1026" s="5" t="s">
        <v>4</v>
      </c>
      <c r="B1026" s="5" t="s">
        <v>80</v>
      </c>
      <c r="C1026" s="5" t="s">
        <v>58</v>
      </c>
      <c r="D1026" s="2" t="n">
        <v>14</v>
      </c>
      <c r="E1026" s="5" t="s">
        <v>164</v>
      </c>
      <c r="F1026" s="5" t="s">
        <v>165</v>
      </c>
      <c r="G1026" s="2" t="n">
        <v>1</v>
      </c>
      <c r="H1026" s="7" t="n">
        <v>-0.919197925</v>
      </c>
      <c r="I1026" s="7" t="n">
        <v>0.3937409493</v>
      </c>
      <c r="J1026" s="7" t="n">
        <v>-0.006575677798</v>
      </c>
      <c r="K1026" s="7" t="n">
        <v>-0.3937857819</v>
      </c>
      <c r="L1026" s="7" t="n">
        <v>-0.9191656875</v>
      </c>
      <c r="M1026" s="7" t="n">
        <v>0.008197367507</v>
      </c>
      <c r="N1026" s="7" t="n">
        <v>-0.00281649814</v>
      </c>
      <c r="O1026" s="7" t="n">
        <v>0.01012441163</v>
      </c>
      <c r="P1026" s="7" t="n">
        <v>0.9999447803</v>
      </c>
      <c r="Q1026" s="7" t="n">
        <v>-1.476522606</v>
      </c>
      <c r="R1026" s="7" t="n">
        <v>-3.748758583</v>
      </c>
      <c r="S1026" s="7" t="n">
        <v>0.1504701767</v>
      </c>
    </row>
    <row r="1027" customFormat="false" ht="15" hidden="false" customHeight="false" outlineLevel="0" collapsed="false">
      <c r="A1027" s="5" t="s">
        <v>4</v>
      </c>
      <c r="B1027" s="5" t="s">
        <v>80</v>
      </c>
      <c r="C1027" s="5" t="s">
        <v>62</v>
      </c>
      <c r="D1027" s="2" t="n">
        <v>14</v>
      </c>
      <c r="E1027" s="5" t="s">
        <v>164</v>
      </c>
      <c r="F1027" s="5" t="s">
        <v>165</v>
      </c>
      <c r="G1027" s="2" t="n">
        <v>1</v>
      </c>
      <c r="H1027" s="7" t="n">
        <v>-0.9190291376</v>
      </c>
      <c r="I1027" s="7" t="n">
        <v>0.3940959127</v>
      </c>
      <c r="J1027" s="7" t="n">
        <v>-0.008593941208</v>
      </c>
      <c r="K1027" s="7" t="n">
        <v>-0.3941294556</v>
      </c>
      <c r="L1027" s="7" t="n">
        <v>-0.9190513446</v>
      </c>
      <c r="M1027" s="7" t="n">
        <v>0.002568700877</v>
      </c>
      <c r="N1027" s="7" t="n">
        <v>-0.006885958706</v>
      </c>
      <c r="O1027" s="7" t="n">
        <v>0.005747836322</v>
      </c>
      <c r="P1027" s="7" t="n">
        <v>0.9999597722</v>
      </c>
      <c r="Q1027" s="7" t="n">
        <v>-1.485079887</v>
      </c>
      <c r="R1027" s="7" t="n">
        <v>-3.760660599</v>
      </c>
      <c r="S1027" s="7" t="n">
        <v>0.2177961366</v>
      </c>
    </row>
    <row r="1028" customFormat="false" ht="15" hidden="false" customHeight="false" outlineLevel="0" collapsed="false">
      <c r="A1028" s="5" t="s">
        <v>4</v>
      </c>
      <c r="B1028" s="5" t="s">
        <v>80</v>
      </c>
      <c r="C1028" s="5" t="s">
        <v>58</v>
      </c>
      <c r="D1028" s="2" t="n">
        <v>14</v>
      </c>
      <c r="E1028" s="5" t="s">
        <v>164</v>
      </c>
      <c r="F1028" s="5" t="s">
        <v>166</v>
      </c>
      <c r="G1028" s="2" t="n">
        <v>1</v>
      </c>
      <c r="H1028" s="7" t="n">
        <v>-0.9480065105</v>
      </c>
      <c r="I1028" s="7" t="n">
        <v>0.3182421153</v>
      </c>
      <c r="J1028" s="7" t="n">
        <v>-0.002369005637</v>
      </c>
      <c r="K1028" s="7" t="n">
        <v>-0.3182505327</v>
      </c>
      <c r="L1028" s="7" t="n">
        <v>-0.9479908557</v>
      </c>
      <c r="M1028" s="7" t="n">
        <v>0.005471370263</v>
      </c>
      <c r="N1028" s="7" t="n">
        <v>-0.000504575235</v>
      </c>
      <c r="O1028" s="7" t="n">
        <v>0.005940831936</v>
      </c>
      <c r="P1028" s="7" t="n">
        <v>0.9999822258</v>
      </c>
      <c r="Q1028" s="7" t="n">
        <v>12.60810377</v>
      </c>
      <c r="R1028" s="7" t="n">
        <v>2.201757433</v>
      </c>
      <c r="S1028" s="7" t="n">
        <v>0.8536213074</v>
      </c>
    </row>
    <row r="1029" customFormat="false" ht="15" hidden="false" customHeight="false" outlineLevel="0" collapsed="false">
      <c r="A1029" s="5" t="s">
        <v>4</v>
      </c>
      <c r="B1029" s="5" t="s">
        <v>80</v>
      </c>
      <c r="C1029" s="5" t="s">
        <v>62</v>
      </c>
      <c r="D1029" s="2" t="n">
        <v>14</v>
      </c>
      <c r="E1029" s="5" t="s">
        <v>164</v>
      </c>
      <c r="F1029" s="5" t="s">
        <v>166</v>
      </c>
      <c r="G1029" s="2" t="n">
        <v>1</v>
      </c>
      <c r="H1029" s="7" t="n">
        <v>-0.9477398981</v>
      </c>
      <c r="I1029" s="7" t="n">
        <v>0.3190261016</v>
      </c>
      <c r="J1029" s="7" t="n">
        <v>-0.003381146377</v>
      </c>
      <c r="K1029" s="7" t="n">
        <v>-0.3189546519</v>
      </c>
      <c r="L1029" s="7" t="n">
        <v>-0.9476720403</v>
      </c>
      <c r="M1029" s="7" t="n">
        <v>-0.01362476172</v>
      </c>
      <c r="N1029" s="7" t="n">
        <v>-0.007550872501</v>
      </c>
      <c r="O1029" s="7" t="n">
        <v>-0.01183429792</v>
      </c>
      <c r="P1029" s="7" t="n">
        <v>0.999901462</v>
      </c>
      <c r="Q1029" s="7" t="n">
        <v>12.62321351</v>
      </c>
      <c r="R1029" s="7" t="n">
        <v>2.146797266</v>
      </c>
      <c r="S1029" s="7" t="n">
        <v>0.8372490565</v>
      </c>
    </row>
    <row r="1030" customFormat="false" ht="15" hidden="false" customHeight="false" outlineLevel="0" collapsed="false">
      <c r="A1030" s="5" t="s">
        <v>4</v>
      </c>
      <c r="B1030" s="5" t="s">
        <v>80</v>
      </c>
      <c r="C1030" s="5" t="s">
        <v>58</v>
      </c>
      <c r="D1030" s="2" t="n">
        <v>14</v>
      </c>
      <c r="E1030" s="5" t="s">
        <v>164</v>
      </c>
      <c r="F1030" s="5" t="s">
        <v>167</v>
      </c>
      <c r="G1030" s="2" t="n">
        <v>1</v>
      </c>
      <c r="H1030" s="7" t="n">
        <v>0.5178556615</v>
      </c>
      <c r="I1030" s="7" t="n">
        <v>0.8553883516</v>
      </c>
      <c r="J1030" s="7" t="n">
        <v>0.0116739817</v>
      </c>
      <c r="K1030" s="7" t="n">
        <v>-0.8554083783</v>
      </c>
      <c r="L1030" s="7" t="n">
        <v>0.5179324693</v>
      </c>
      <c r="M1030" s="7" t="n">
        <v>-0.004739566436</v>
      </c>
      <c r="N1030" s="7" t="n">
        <v>-0.01010050409</v>
      </c>
      <c r="O1030" s="7" t="n">
        <v>-0.007531610445</v>
      </c>
      <c r="P1030" s="7" t="n">
        <v>0.9999206242</v>
      </c>
      <c r="Q1030" s="7" t="n">
        <v>-10.02158435</v>
      </c>
      <c r="R1030" s="7" t="n">
        <v>11.42473134</v>
      </c>
      <c r="S1030" s="7" t="n">
        <v>0.5071730724</v>
      </c>
    </row>
    <row r="1031" customFormat="false" ht="15" hidden="false" customHeight="false" outlineLevel="0" collapsed="false">
      <c r="A1031" s="5" t="s">
        <v>4</v>
      </c>
      <c r="B1031" s="5" t="s">
        <v>80</v>
      </c>
      <c r="C1031" s="5" t="s">
        <v>62</v>
      </c>
      <c r="D1031" s="2" t="n">
        <v>14</v>
      </c>
      <c r="E1031" s="5" t="s">
        <v>164</v>
      </c>
      <c r="F1031" s="5" t="s">
        <v>167</v>
      </c>
      <c r="G1031" s="2" t="n">
        <v>1</v>
      </c>
      <c r="H1031" s="7" t="n">
        <v>0.5178556615</v>
      </c>
      <c r="I1031" s="7" t="n">
        <v>0.8553883516</v>
      </c>
      <c r="J1031" s="7" t="n">
        <v>0.0116739817</v>
      </c>
      <c r="K1031" s="7" t="n">
        <v>-0.8554083783</v>
      </c>
      <c r="L1031" s="7" t="n">
        <v>0.5179324693</v>
      </c>
      <c r="M1031" s="7" t="n">
        <v>-0.004739566436</v>
      </c>
      <c r="N1031" s="7" t="n">
        <v>-0.01010050409</v>
      </c>
      <c r="O1031" s="7" t="n">
        <v>-0.007531610445</v>
      </c>
      <c r="P1031" s="7" t="n">
        <v>0.9999206242</v>
      </c>
      <c r="Q1031" s="7" t="n">
        <v>-10.02158435</v>
      </c>
      <c r="R1031" s="7" t="n">
        <v>11.42473134</v>
      </c>
      <c r="S1031" s="7" t="n">
        <v>0.5071730724</v>
      </c>
    </row>
    <row r="1032" customFormat="false" ht="15" hidden="false" customHeight="false" outlineLevel="0" collapsed="false">
      <c r="A1032" s="5" t="s">
        <v>4</v>
      </c>
      <c r="B1032" s="5" t="s">
        <v>80</v>
      </c>
      <c r="C1032" s="5" t="s">
        <v>58</v>
      </c>
      <c r="D1032" s="2" t="n">
        <v>14</v>
      </c>
      <c r="E1032" s="5" t="s">
        <v>164</v>
      </c>
      <c r="F1032" s="5" t="s">
        <v>168</v>
      </c>
      <c r="G1032" s="2" t="n">
        <v>1</v>
      </c>
      <c r="H1032" s="7" t="n">
        <v>-0.8110226963</v>
      </c>
      <c r="I1032" s="7" t="n">
        <v>0.5836184144</v>
      </c>
      <c r="J1032" s="7" t="n">
        <v>-0.04039470832</v>
      </c>
      <c r="K1032" s="7" t="n">
        <v>-0.5843946975</v>
      </c>
      <c r="L1032" s="7" t="n">
        <v>-0.8114076366</v>
      </c>
      <c r="M1032" s="7" t="n">
        <v>0.01002420684</v>
      </c>
      <c r="N1032" s="7" t="n">
        <v>-0.0269262631</v>
      </c>
      <c r="O1032" s="7" t="n">
        <v>0.03173631261</v>
      </c>
      <c r="P1032" s="7" t="n">
        <v>0.999133516</v>
      </c>
      <c r="Q1032" s="7" t="n">
        <v>16.59643943</v>
      </c>
      <c r="R1032" s="7" t="n">
        <v>12.65189816</v>
      </c>
      <c r="S1032" s="7" t="n">
        <v>1.33934102</v>
      </c>
    </row>
    <row r="1033" customFormat="false" ht="15" hidden="false" customHeight="false" outlineLevel="0" collapsed="false">
      <c r="A1033" s="5" t="s">
        <v>4</v>
      </c>
      <c r="B1033" s="5" t="s">
        <v>80</v>
      </c>
      <c r="C1033" s="5" t="s">
        <v>62</v>
      </c>
      <c r="D1033" s="2" t="n">
        <v>14</v>
      </c>
      <c r="E1033" s="5" t="s">
        <v>164</v>
      </c>
      <c r="F1033" s="5" t="s">
        <v>168</v>
      </c>
      <c r="G1033" s="2" t="n">
        <v>1</v>
      </c>
      <c r="H1033" s="7" t="n">
        <v>-0.8121419196</v>
      </c>
      <c r="I1033" s="7" t="n">
        <v>0.5834383462</v>
      </c>
      <c r="J1033" s="7" t="n">
        <v>-0.005019821361</v>
      </c>
      <c r="K1033" s="7" t="n">
        <v>-0.5834286297</v>
      </c>
      <c r="L1033" s="7" t="n">
        <v>-0.812157411</v>
      </c>
      <c r="M1033" s="7" t="n">
        <v>-0.003372523761</v>
      </c>
      <c r="N1033" s="7" t="n">
        <v>-0.006044544806</v>
      </c>
      <c r="O1033" s="7" t="n">
        <v>0.0001897395764</v>
      </c>
      <c r="P1033" s="7" t="n">
        <v>0.9999817136</v>
      </c>
      <c r="Q1033" s="7" t="n">
        <v>16.64389973</v>
      </c>
      <c r="R1033" s="7" t="n">
        <v>12.63733516</v>
      </c>
      <c r="S1033" s="7" t="n">
        <v>1.551740539</v>
      </c>
    </row>
    <row r="1034" customFormat="false" ht="15" hidden="false" customHeight="false" outlineLevel="0" collapsed="false">
      <c r="A1034" s="5" t="s">
        <v>4</v>
      </c>
      <c r="B1034" s="5" t="s">
        <v>80</v>
      </c>
      <c r="C1034" s="5" t="s">
        <v>58</v>
      </c>
      <c r="D1034" s="2" t="n">
        <v>15</v>
      </c>
      <c r="E1034" s="5" t="s">
        <v>164</v>
      </c>
      <c r="F1034" s="5" t="s">
        <v>165</v>
      </c>
      <c r="G1034" s="2" t="n">
        <v>1</v>
      </c>
      <c r="H1034" s="7" t="n">
        <v>-0.9200001521</v>
      </c>
      <c r="I1034" s="7" t="n">
        <v>0.3917514913</v>
      </c>
      <c r="J1034" s="7" t="n">
        <v>0.01142318442</v>
      </c>
      <c r="K1034" s="7" t="n">
        <v>-0.3917084031</v>
      </c>
      <c r="L1034" s="7" t="n">
        <v>-0.9200705869</v>
      </c>
      <c r="M1034" s="7" t="n">
        <v>0.005885758089</v>
      </c>
      <c r="N1034" s="7" t="n">
        <v>0.0128158905</v>
      </c>
      <c r="O1034" s="7" t="n">
        <v>0.0009403410096</v>
      </c>
      <c r="P1034" s="7" t="n">
        <v>0.9999174309</v>
      </c>
      <c r="Q1034" s="7" t="n">
        <v>-1.410467074</v>
      </c>
      <c r="R1034" s="7" t="n">
        <v>-3.785168545</v>
      </c>
      <c r="S1034" s="7" t="n">
        <v>-0.06356508076</v>
      </c>
    </row>
    <row r="1035" customFormat="false" ht="15" hidden="false" customHeight="false" outlineLevel="0" collapsed="false">
      <c r="A1035" s="5" t="s">
        <v>4</v>
      </c>
      <c r="B1035" s="5" t="s">
        <v>80</v>
      </c>
      <c r="C1035" s="5" t="s">
        <v>62</v>
      </c>
      <c r="D1035" s="2" t="n">
        <v>15</v>
      </c>
      <c r="E1035" s="5" t="s">
        <v>164</v>
      </c>
      <c r="F1035" s="5" t="s">
        <v>165</v>
      </c>
      <c r="G1035" s="2" t="n">
        <v>1</v>
      </c>
      <c r="H1035" s="7" t="n">
        <v>-0.9190986622</v>
      </c>
      <c r="I1035" s="7" t="n">
        <v>0.3939987917</v>
      </c>
      <c r="J1035" s="7" t="n">
        <v>-0.004754069167</v>
      </c>
      <c r="K1035" s="7" t="n">
        <v>-0.3940010299</v>
      </c>
      <c r="L1035" s="7" t="n">
        <v>-0.9191098644</v>
      </c>
      <c r="M1035" s="7" t="n">
        <v>-0.000495695182</v>
      </c>
      <c r="N1035" s="7" t="n">
        <v>-0.00456481517</v>
      </c>
      <c r="O1035" s="7" t="n">
        <v>0.001417515369</v>
      </c>
      <c r="P1035" s="7" t="n">
        <v>0.9999885765</v>
      </c>
      <c r="Q1035" s="7" t="n">
        <v>-1.462102315</v>
      </c>
      <c r="R1035" s="7" t="n">
        <v>-3.775034128</v>
      </c>
      <c r="S1035" s="7" t="n">
        <v>0.1707298216</v>
      </c>
    </row>
    <row r="1036" customFormat="false" ht="15" hidden="false" customHeight="false" outlineLevel="0" collapsed="false">
      <c r="A1036" s="5" t="s">
        <v>4</v>
      </c>
      <c r="B1036" s="5" t="s">
        <v>80</v>
      </c>
      <c r="C1036" s="5" t="s">
        <v>58</v>
      </c>
      <c r="D1036" s="2" t="n">
        <v>15</v>
      </c>
      <c r="E1036" s="5" t="s">
        <v>164</v>
      </c>
      <c r="F1036" s="5" t="s">
        <v>166</v>
      </c>
      <c r="G1036" s="2" t="n">
        <v>1</v>
      </c>
      <c r="H1036" s="7" t="n">
        <v>-0.9483056709</v>
      </c>
      <c r="I1036" s="7" t="n">
        <v>0.3173041991</v>
      </c>
      <c r="J1036" s="7" t="n">
        <v>-0.00586512886</v>
      </c>
      <c r="K1036" s="7" t="n">
        <v>-0.3172714584</v>
      </c>
      <c r="L1036" s="7" t="n">
        <v>-0.948316527</v>
      </c>
      <c r="M1036" s="7" t="n">
        <v>-0.005881010592</v>
      </c>
      <c r="N1036" s="7" t="n">
        <v>-0.007428067987</v>
      </c>
      <c r="O1036" s="7" t="n">
        <v>-0.003716157708</v>
      </c>
      <c r="P1036" s="7" t="n">
        <v>0.9999655064</v>
      </c>
      <c r="Q1036" s="7" t="n">
        <v>12.61316309</v>
      </c>
      <c r="R1036" s="7" t="n">
        <v>2.173577796</v>
      </c>
      <c r="S1036" s="7" t="n">
        <v>0.8837741408</v>
      </c>
    </row>
    <row r="1037" customFormat="false" ht="15" hidden="false" customHeight="false" outlineLevel="0" collapsed="false">
      <c r="A1037" s="5" t="s">
        <v>4</v>
      </c>
      <c r="B1037" s="5" t="s">
        <v>80</v>
      </c>
      <c r="C1037" s="5" t="s">
        <v>62</v>
      </c>
      <c r="D1037" s="2" t="n">
        <v>15</v>
      </c>
      <c r="E1037" s="5" t="s">
        <v>164</v>
      </c>
      <c r="F1037" s="5" t="s">
        <v>166</v>
      </c>
      <c r="G1037" s="2" t="n">
        <v>1</v>
      </c>
      <c r="H1037" s="7" t="n">
        <v>-0.9483056709</v>
      </c>
      <c r="I1037" s="7" t="n">
        <v>0.3173041991</v>
      </c>
      <c r="J1037" s="7" t="n">
        <v>-0.00586512886</v>
      </c>
      <c r="K1037" s="7" t="n">
        <v>-0.3172714584</v>
      </c>
      <c r="L1037" s="7" t="n">
        <v>-0.948316527</v>
      </c>
      <c r="M1037" s="7" t="n">
        <v>-0.005881010592</v>
      </c>
      <c r="N1037" s="7" t="n">
        <v>-0.007428067987</v>
      </c>
      <c r="O1037" s="7" t="n">
        <v>-0.003716157708</v>
      </c>
      <c r="P1037" s="7" t="n">
        <v>0.9999655064</v>
      </c>
      <c r="Q1037" s="7" t="n">
        <v>12.61316309</v>
      </c>
      <c r="R1037" s="7" t="n">
        <v>2.173577796</v>
      </c>
      <c r="S1037" s="7" t="n">
        <v>0.8837741408</v>
      </c>
    </row>
    <row r="1038" customFormat="false" ht="15" hidden="false" customHeight="false" outlineLevel="0" collapsed="false">
      <c r="A1038" s="5" t="s">
        <v>4</v>
      </c>
      <c r="B1038" s="5" t="s">
        <v>80</v>
      </c>
      <c r="C1038" s="5" t="s">
        <v>58</v>
      </c>
      <c r="D1038" s="2" t="n">
        <v>15</v>
      </c>
      <c r="E1038" s="5" t="s">
        <v>164</v>
      </c>
      <c r="F1038" s="5" t="s">
        <v>167</v>
      </c>
      <c r="G1038" s="2" t="n">
        <v>1</v>
      </c>
      <c r="H1038" s="7" t="n">
        <v>0.5146457651</v>
      </c>
      <c r="I1038" s="7" t="n">
        <v>0.8573698253</v>
      </c>
      <c r="J1038" s="7" t="n">
        <v>0.0075312064</v>
      </c>
      <c r="K1038" s="7" t="n">
        <v>-0.8572975127</v>
      </c>
      <c r="L1038" s="7" t="n">
        <v>0.5147003718</v>
      </c>
      <c r="M1038" s="7" t="n">
        <v>-0.01115804306</v>
      </c>
      <c r="N1038" s="7" t="n">
        <v>-0.01344288416</v>
      </c>
      <c r="O1038" s="7" t="n">
        <v>-0.0007140449085</v>
      </c>
      <c r="P1038" s="7" t="n">
        <v>0.9999093854</v>
      </c>
      <c r="Q1038" s="7" t="n">
        <v>-10.0419304</v>
      </c>
      <c r="R1038" s="7" t="n">
        <v>11.45317405</v>
      </c>
      <c r="S1038" s="7" t="n">
        <v>0.5225643887</v>
      </c>
    </row>
    <row r="1039" customFormat="false" ht="15" hidden="false" customHeight="false" outlineLevel="0" collapsed="false">
      <c r="A1039" s="5" t="s">
        <v>4</v>
      </c>
      <c r="B1039" s="5" t="s">
        <v>80</v>
      </c>
      <c r="C1039" s="5" t="s">
        <v>62</v>
      </c>
      <c r="D1039" s="2" t="n">
        <v>15</v>
      </c>
      <c r="E1039" s="5" t="s">
        <v>164</v>
      </c>
      <c r="F1039" s="5" t="s">
        <v>167</v>
      </c>
      <c r="G1039" s="2" t="n">
        <v>1</v>
      </c>
      <c r="H1039" s="7" t="n">
        <v>0.5146457651</v>
      </c>
      <c r="I1039" s="7" t="n">
        <v>0.8573698253</v>
      </c>
      <c r="J1039" s="7" t="n">
        <v>0.0075312064</v>
      </c>
      <c r="K1039" s="7" t="n">
        <v>-0.8572975127</v>
      </c>
      <c r="L1039" s="7" t="n">
        <v>0.5147003718</v>
      </c>
      <c r="M1039" s="7" t="n">
        <v>-0.01115804306</v>
      </c>
      <c r="N1039" s="7" t="n">
        <v>-0.01344288416</v>
      </c>
      <c r="O1039" s="7" t="n">
        <v>-0.0007140449085</v>
      </c>
      <c r="P1039" s="7" t="n">
        <v>0.9999093854</v>
      </c>
      <c r="Q1039" s="7" t="n">
        <v>-10.0419304</v>
      </c>
      <c r="R1039" s="7" t="n">
        <v>11.45317405</v>
      </c>
      <c r="S1039" s="7" t="n">
        <v>0.5225643887</v>
      </c>
    </row>
    <row r="1040" customFormat="false" ht="15" hidden="false" customHeight="false" outlineLevel="0" collapsed="false">
      <c r="A1040" s="5" t="s">
        <v>4</v>
      </c>
      <c r="B1040" s="5" t="s">
        <v>80</v>
      </c>
      <c r="C1040" s="5" t="s">
        <v>58</v>
      </c>
      <c r="D1040" s="2" t="n">
        <v>15</v>
      </c>
      <c r="E1040" s="5" t="s">
        <v>164</v>
      </c>
      <c r="F1040" s="5" t="s">
        <v>168</v>
      </c>
      <c r="G1040" s="2" t="n">
        <v>1</v>
      </c>
      <c r="H1040" s="7" t="n">
        <v>-0.8116778661</v>
      </c>
      <c r="I1040" s="7" t="n">
        <v>0.5840767488</v>
      </c>
      <c r="J1040" s="7" t="n">
        <v>-0.0057786946</v>
      </c>
      <c r="K1040" s="7" t="n">
        <v>-0.5840663761</v>
      </c>
      <c r="L1040" s="7" t="n">
        <v>-0.8116982707</v>
      </c>
      <c r="M1040" s="7" t="n">
        <v>-0.003519333179</v>
      </c>
      <c r="N1040" s="7" t="n">
        <v>-0.006746117095</v>
      </c>
      <c r="O1040" s="7" t="n">
        <v>0.000518576368</v>
      </c>
      <c r="P1040" s="7" t="n">
        <v>0.9999771102</v>
      </c>
      <c r="Q1040" s="7" t="n">
        <v>16.62642422</v>
      </c>
      <c r="R1040" s="7" t="n">
        <v>12.64043554</v>
      </c>
      <c r="S1040" s="7" t="n">
        <v>1.574269334</v>
      </c>
    </row>
    <row r="1041" customFormat="false" ht="15" hidden="false" customHeight="false" outlineLevel="0" collapsed="false">
      <c r="A1041" s="5" t="s">
        <v>4</v>
      </c>
      <c r="B1041" s="5" t="s">
        <v>80</v>
      </c>
      <c r="C1041" s="5" t="s">
        <v>62</v>
      </c>
      <c r="D1041" s="2" t="n">
        <v>15</v>
      </c>
      <c r="E1041" s="5" t="s">
        <v>164</v>
      </c>
      <c r="F1041" s="5" t="s">
        <v>168</v>
      </c>
      <c r="G1041" s="2" t="n">
        <v>1</v>
      </c>
      <c r="H1041" s="7" t="n">
        <v>-0.8116778661</v>
      </c>
      <c r="I1041" s="7" t="n">
        <v>0.5840767488</v>
      </c>
      <c r="J1041" s="7" t="n">
        <v>-0.0057786946</v>
      </c>
      <c r="K1041" s="7" t="n">
        <v>-0.5840663761</v>
      </c>
      <c r="L1041" s="7" t="n">
        <v>-0.8116982707</v>
      </c>
      <c r="M1041" s="7" t="n">
        <v>-0.003519333179</v>
      </c>
      <c r="N1041" s="7" t="n">
        <v>-0.006746117095</v>
      </c>
      <c r="O1041" s="7" t="n">
        <v>0.000518576368</v>
      </c>
      <c r="P1041" s="7" t="n">
        <v>0.9999771102</v>
      </c>
      <c r="Q1041" s="7" t="n">
        <v>16.62642422</v>
      </c>
      <c r="R1041" s="7" t="n">
        <v>12.64043554</v>
      </c>
      <c r="S1041" s="7" t="n">
        <v>1.574269334</v>
      </c>
    </row>
    <row r="1042" customFormat="false" ht="15" hidden="false" customHeight="false" outlineLevel="0" collapsed="false">
      <c r="A1042" s="5" t="s">
        <v>4</v>
      </c>
      <c r="B1042" s="5" t="s">
        <v>80</v>
      </c>
      <c r="C1042" s="5" t="s">
        <v>58</v>
      </c>
      <c r="D1042" s="2" t="n">
        <v>16</v>
      </c>
      <c r="E1042" s="5" t="s">
        <v>164</v>
      </c>
      <c r="F1042" s="5" t="s">
        <v>165</v>
      </c>
      <c r="G1042" s="2" t="n">
        <v>1</v>
      </c>
      <c r="H1042" s="7" t="n">
        <v>-0.919039435</v>
      </c>
      <c r="I1042" s="7" t="n">
        <v>0.3934130005</v>
      </c>
      <c r="J1042" s="7" t="n">
        <v>-0.02434600486</v>
      </c>
      <c r="K1042" s="7" t="n">
        <v>-0.3937539551</v>
      </c>
      <c r="L1042" s="7" t="n">
        <v>-0.9191488131</v>
      </c>
      <c r="M1042" s="7" t="n">
        <v>0.01110325633</v>
      </c>
      <c r="N1042" s="7" t="n">
        <v>-0.01800943608</v>
      </c>
      <c r="O1042" s="7" t="n">
        <v>0.01979066612</v>
      </c>
      <c r="P1042" s="7" t="n">
        <v>0.9996419308</v>
      </c>
      <c r="Q1042" s="7" t="n">
        <v>-1.528254934</v>
      </c>
      <c r="R1042" s="7" t="n">
        <v>-3.737956859</v>
      </c>
      <c r="S1042" s="7" t="n">
        <v>0.2223677899</v>
      </c>
    </row>
    <row r="1043" customFormat="false" ht="15" hidden="false" customHeight="false" outlineLevel="0" collapsed="false">
      <c r="A1043" s="5" t="s">
        <v>4</v>
      </c>
      <c r="B1043" s="5" t="s">
        <v>80</v>
      </c>
      <c r="C1043" s="5" t="s">
        <v>62</v>
      </c>
      <c r="D1043" s="2" t="n">
        <v>16</v>
      </c>
      <c r="E1043" s="5" t="s">
        <v>164</v>
      </c>
      <c r="F1043" s="5" t="s">
        <v>165</v>
      </c>
      <c r="G1043" s="2" t="n">
        <v>1</v>
      </c>
      <c r="H1043" s="7" t="n">
        <v>-0.9191777379</v>
      </c>
      <c r="I1043" s="7" t="n">
        <v>0.3938376255</v>
      </c>
      <c r="J1043" s="7" t="n">
        <v>-0.002052032766</v>
      </c>
      <c r="K1043" s="7" t="n">
        <v>-0.3938239192</v>
      </c>
      <c r="L1043" s="7" t="n">
        <v>-0.9191720452</v>
      </c>
      <c r="M1043" s="7" t="n">
        <v>-0.005046973622</v>
      </c>
      <c r="N1043" s="7" t="n">
        <v>-0.003873859262</v>
      </c>
      <c r="O1043" s="7" t="n">
        <v>-0.003830926211</v>
      </c>
      <c r="P1043" s="7" t="n">
        <v>0.9999851585</v>
      </c>
      <c r="Q1043" s="7" t="n">
        <v>-1.459177225</v>
      </c>
      <c r="R1043" s="7" t="n">
        <v>-3.783544809</v>
      </c>
      <c r="S1043" s="7" t="n">
        <v>0.1492538907</v>
      </c>
    </row>
    <row r="1044" customFormat="false" ht="15" hidden="false" customHeight="false" outlineLevel="0" collapsed="false">
      <c r="A1044" s="5" t="s">
        <v>4</v>
      </c>
      <c r="B1044" s="5" t="s">
        <v>80</v>
      </c>
      <c r="C1044" s="5" t="s">
        <v>58</v>
      </c>
      <c r="D1044" s="2" t="n">
        <v>16</v>
      </c>
      <c r="E1044" s="5" t="s">
        <v>164</v>
      </c>
      <c r="F1044" s="5" t="s">
        <v>166</v>
      </c>
      <c r="G1044" s="2" t="n">
        <v>1</v>
      </c>
      <c r="H1044" s="7" t="n">
        <v>-0.948446322</v>
      </c>
      <c r="I1044" s="7" t="n">
        <v>0.3169271156</v>
      </c>
      <c r="J1044" s="7" t="n">
        <v>-0.002603382548</v>
      </c>
      <c r="K1044" s="7" t="n">
        <v>-0.3168981503</v>
      </c>
      <c r="L1044" s="7" t="n">
        <v>-0.9484255911</v>
      </c>
      <c r="M1044" s="7" t="n">
        <v>-0.008028724793</v>
      </c>
      <c r="N1044" s="7" t="n">
        <v>-0.005013635223</v>
      </c>
      <c r="O1044" s="7" t="n">
        <v>-0.006789807386</v>
      </c>
      <c r="P1044" s="7" t="n">
        <v>0.9999643804</v>
      </c>
      <c r="Q1044" s="7" t="n">
        <v>12.62259667</v>
      </c>
      <c r="R1044" s="7" t="n">
        <v>2.148225821</v>
      </c>
      <c r="S1044" s="7" t="n">
        <v>0.8720817252</v>
      </c>
    </row>
    <row r="1045" customFormat="false" ht="15" hidden="false" customHeight="false" outlineLevel="0" collapsed="false">
      <c r="A1045" s="5" t="s">
        <v>4</v>
      </c>
      <c r="B1045" s="5" t="s">
        <v>80</v>
      </c>
      <c r="C1045" s="5" t="s">
        <v>62</v>
      </c>
      <c r="D1045" s="2" t="n">
        <v>16</v>
      </c>
      <c r="E1045" s="5" t="s">
        <v>164</v>
      </c>
      <c r="F1045" s="5" t="s">
        <v>166</v>
      </c>
      <c r="G1045" s="2" t="n">
        <v>1</v>
      </c>
      <c r="H1045" s="7" t="n">
        <v>-0.948446322</v>
      </c>
      <c r="I1045" s="7" t="n">
        <v>0.3169271156</v>
      </c>
      <c r="J1045" s="7" t="n">
        <v>-0.002603382548</v>
      </c>
      <c r="K1045" s="7" t="n">
        <v>-0.3168981503</v>
      </c>
      <c r="L1045" s="7" t="n">
        <v>-0.9484255911</v>
      </c>
      <c r="M1045" s="7" t="n">
        <v>-0.008028724793</v>
      </c>
      <c r="N1045" s="7" t="n">
        <v>-0.005013635223</v>
      </c>
      <c r="O1045" s="7" t="n">
        <v>-0.006789807386</v>
      </c>
      <c r="P1045" s="7" t="n">
        <v>0.9999643804</v>
      </c>
      <c r="Q1045" s="7" t="n">
        <v>12.62259667</v>
      </c>
      <c r="R1045" s="7" t="n">
        <v>2.148225821</v>
      </c>
      <c r="S1045" s="7" t="n">
        <v>0.8720817252</v>
      </c>
    </row>
    <row r="1046" customFormat="false" ht="15" hidden="false" customHeight="false" outlineLevel="0" collapsed="false">
      <c r="A1046" s="5" t="s">
        <v>4</v>
      </c>
      <c r="B1046" s="5" t="s">
        <v>80</v>
      </c>
      <c r="C1046" s="5" t="s">
        <v>58</v>
      </c>
      <c r="D1046" s="2" t="n">
        <v>16</v>
      </c>
      <c r="E1046" s="5" t="s">
        <v>164</v>
      </c>
      <c r="F1046" s="5" t="s">
        <v>167</v>
      </c>
      <c r="G1046" s="2" t="n">
        <v>1</v>
      </c>
      <c r="H1046" s="7" t="n">
        <v>0.5165378614</v>
      </c>
      <c r="I1046" s="7" t="n">
        <v>0.8562200607</v>
      </c>
      <c r="J1046" s="7" t="n">
        <v>0.008708929747</v>
      </c>
      <c r="K1046" s="7" t="n">
        <v>-0.8562274002</v>
      </c>
      <c r="L1046" s="7" t="n">
        <v>0.5165833418</v>
      </c>
      <c r="M1046" s="7" t="n">
        <v>-0.00403610263</v>
      </c>
      <c r="N1046" s="7" t="n">
        <v>-0.007954680071</v>
      </c>
      <c r="O1046" s="7" t="n">
        <v>-0.005372024455</v>
      </c>
      <c r="P1046" s="7" t="n">
        <v>0.9999539311</v>
      </c>
      <c r="Q1046" s="7" t="n">
        <v>-10.03799057</v>
      </c>
      <c r="R1046" s="7" t="n">
        <v>11.44884721</v>
      </c>
      <c r="S1046" s="7" t="n">
        <v>0.4893953976</v>
      </c>
    </row>
    <row r="1047" customFormat="false" ht="15" hidden="false" customHeight="false" outlineLevel="0" collapsed="false">
      <c r="A1047" s="5" t="s">
        <v>4</v>
      </c>
      <c r="B1047" s="5" t="s">
        <v>80</v>
      </c>
      <c r="C1047" s="5" t="s">
        <v>62</v>
      </c>
      <c r="D1047" s="2" t="n">
        <v>16</v>
      </c>
      <c r="E1047" s="5" t="s">
        <v>164</v>
      </c>
      <c r="F1047" s="5" t="s">
        <v>167</v>
      </c>
      <c r="G1047" s="2" t="n">
        <v>1</v>
      </c>
      <c r="H1047" s="7" t="n">
        <v>0.5165378614</v>
      </c>
      <c r="I1047" s="7" t="n">
        <v>0.8562200607</v>
      </c>
      <c r="J1047" s="7" t="n">
        <v>0.008708929747</v>
      </c>
      <c r="K1047" s="7" t="n">
        <v>-0.8562274002</v>
      </c>
      <c r="L1047" s="7" t="n">
        <v>0.5165833418</v>
      </c>
      <c r="M1047" s="7" t="n">
        <v>-0.00403610263</v>
      </c>
      <c r="N1047" s="7" t="n">
        <v>-0.007954680071</v>
      </c>
      <c r="O1047" s="7" t="n">
        <v>-0.005372024455</v>
      </c>
      <c r="P1047" s="7" t="n">
        <v>0.9999539311</v>
      </c>
      <c r="Q1047" s="7" t="n">
        <v>-10.03799057</v>
      </c>
      <c r="R1047" s="7" t="n">
        <v>11.44884721</v>
      </c>
      <c r="S1047" s="7" t="n">
        <v>0.4893953976</v>
      </c>
    </row>
    <row r="1048" customFormat="false" ht="15" hidden="false" customHeight="false" outlineLevel="0" collapsed="false">
      <c r="A1048" s="5" t="s">
        <v>4</v>
      </c>
      <c r="B1048" s="5" t="s">
        <v>80</v>
      </c>
      <c r="C1048" s="5" t="s">
        <v>58</v>
      </c>
      <c r="D1048" s="2" t="n">
        <v>16</v>
      </c>
      <c r="E1048" s="5" t="s">
        <v>164</v>
      </c>
      <c r="F1048" s="5" t="s">
        <v>168</v>
      </c>
      <c r="G1048" s="2" t="n">
        <v>1</v>
      </c>
      <c r="H1048" s="7" t="n">
        <v>-0.8044764431</v>
      </c>
      <c r="I1048" s="7" t="n">
        <v>0.5887699144</v>
      </c>
      <c r="J1048" s="7" t="n">
        <v>-0.07853432653</v>
      </c>
      <c r="K1048" s="7" t="n">
        <v>-0.5898938511</v>
      </c>
      <c r="L1048" s="7" t="n">
        <v>-0.8074125472</v>
      </c>
      <c r="M1048" s="7" t="n">
        <v>-0.01049871091</v>
      </c>
      <c r="N1048" s="7" t="n">
        <v>-0.06959092575</v>
      </c>
      <c r="O1048" s="7" t="n">
        <v>0.03788095072</v>
      </c>
      <c r="P1048" s="7" t="n">
        <v>0.9968561263</v>
      </c>
      <c r="Q1048" s="7" t="n">
        <v>16.37921016</v>
      </c>
      <c r="R1048" s="7" t="n">
        <v>12.70644009</v>
      </c>
      <c r="S1048" s="7" t="n">
        <v>1.985624798</v>
      </c>
    </row>
    <row r="1049" customFormat="false" ht="15" hidden="false" customHeight="false" outlineLevel="0" collapsed="false">
      <c r="A1049" s="5" t="s">
        <v>4</v>
      </c>
      <c r="B1049" s="5" t="s">
        <v>80</v>
      </c>
      <c r="C1049" s="5" t="s">
        <v>62</v>
      </c>
      <c r="D1049" s="2" t="n">
        <v>16</v>
      </c>
      <c r="E1049" s="5" t="s">
        <v>164</v>
      </c>
      <c r="F1049" s="5" t="s">
        <v>168</v>
      </c>
      <c r="G1049" s="2" t="n">
        <v>1</v>
      </c>
      <c r="H1049" s="7" t="n">
        <v>-0.8106704901</v>
      </c>
      <c r="I1049" s="7" t="n">
        <v>0.5846923226</v>
      </c>
      <c r="J1049" s="7" t="n">
        <v>-0.03079357871</v>
      </c>
      <c r="K1049" s="7" t="n">
        <v>-0.5849736059</v>
      </c>
      <c r="L1049" s="7" t="n">
        <v>-0.8110523142</v>
      </c>
      <c r="M1049" s="7" t="n">
        <v>0.0001551763446</v>
      </c>
      <c r="N1049" s="7" t="n">
        <v>-0.02488447286</v>
      </c>
      <c r="O1049" s="7" t="n">
        <v>0.01813922766</v>
      </c>
      <c r="P1049" s="7" t="n">
        <v>0.9995257533</v>
      </c>
      <c r="Q1049" s="7" t="n">
        <v>16.57070438</v>
      </c>
      <c r="R1049" s="7" t="n">
        <v>12.66622045</v>
      </c>
      <c r="S1049" s="7" t="n">
        <v>1.692762815</v>
      </c>
    </row>
    <row r="1050" customFormat="false" ht="15" hidden="false" customHeight="false" outlineLevel="0" collapsed="false">
      <c r="A1050" s="5" t="s">
        <v>4</v>
      </c>
      <c r="B1050" s="5" t="s">
        <v>80</v>
      </c>
      <c r="C1050" s="5" t="s">
        <v>58</v>
      </c>
      <c r="D1050" s="2" t="n">
        <v>17</v>
      </c>
      <c r="E1050" s="5" t="s">
        <v>164</v>
      </c>
      <c r="F1050" s="5" t="s">
        <v>165</v>
      </c>
      <c r="G1050" s="2" t="n">
        <v>1</v>
      </c>
      <c r="H1050" s="7" t="n">
        <v>-0.919739647</v>
      </c>
      <c r="I1050" s="7" t="n">
        <v>0.3925285225</v>
      </c>
      <c r="J1050" s="7" t="n">
        <v>0.0005836815653</v>
      </c>
      <c r="K1050" s="7" t="n">
        <v>-0.3925211617</v>
      </c>
      <c r="L1050" s="7" t="n">
        <v>-0.9197109951</v>
      </c>
      <c r="M1050" s="7" t="n">
        <v>-0.007669629909</v>
      </c>
      <c r="N1050" s="7" t="n">
        <v>-0.002473730143</v>
      </c>
      <c r="O1050" s="7" t="n">
        <v>-0.007283170071</v>
      </c>
      <c r="P1050" s="7" t="n">
        <v>0.9999704176</v>
      </c>
      <c r="Q1050" s="7" t="n">
        <v>-1.450645951</v>
      </c>
      <c r="R1050" s="7" t="n">
        <v>-3.791702942</v>
      </c>
      <c r="S1050" s="7" t="n">
        <v>0.09639278851</v>
      </c>
    </row>
    <row r="1051" customFormat="false" ht="15" hidden="false" customHeight="false" outlineLevel="0" collapsed="false">
      <c r="A1051" s="5" t="s">
        <v>4</v>
      </c>
      <c r="B1051" s="5" t="s">
        <v>80</v>
      </c>
      <c r="C1051" s="5" t="s">
        <v>62</v>
      </c>
      <c r="D1051" s="2" t="n">
        <v>17</v>
      </c>
      <c r="E1051" s="5" t="s">
        <v>164</v>
      </c>
      <c r="F1051" s="5" t="s">
        <v>165</v>
      </c>
      <c r="G1051" s="2" t="n">
        <v>1</v>
      </c>
      <c r="H1051" s="7" t="n">
        <v>-0.919739647</v>
      </c>
      <c r="I1051" s="7" t="n">
        <v>0.3925285225</v>
      </c>
      <c r="J1051" s="7" t="n">
        <v>0.0005836815653</v>
      </c>
      <c r="K1051" s="7" t="n">
        <v>-0.3925211617</v>
      </c>
      <c r="L1051" s="7" t="n">
        <v>-0.9197109951</v>
      </c>
      <c r="M1051" s="7" t="n">
        <v>-0.007669629909</v>
      </c>
      <c r="N1051" s="7" t="n">
        <v>-0.002473730143</v>
      </c>
      <c r="O1051" s="7" t="n">
        <v>-0.007283170071</v>
      </c>
      <c r="P1051" s="7" t="n">
        <v>0.9999704176</v>
      </c>
      <c r="Q1051" s="7" t="n">
        <v>-1.450645951</v>
      </c>
      <c r="R1051" s="7" t="n">
        <v>-3.791702942</v>
      </c>
      <c r="S1051" s="7" t="n">
        <v>0.09639278851</v>
      </c>
    </row>
    <row r="1052" customFormat="false" ht="15" hidden="false" customHeight="false" outlineLevel="0" collapsed="false">
      <c r="A1052" s="5" t="s">
        <v>4</v>
      </c>
      <c r="B1052" s="5" t="s">
        <v>80</v>
      </c>
      <c r="C1052" s="5" t="s">
        <v>58</v>
      </c>
      <c r="D1052" s="2" t="n">
        <v>17</v>
      </c>
      <c r="E1052" s="5" t="s">
        <v>164</v>
      </c>
      <c r="F1052" s="5" t="s">
        <v>166</v>
      </c>
      <c r="G1052" s="2" t="n">
        <v>1</v>
      </c>
      <c r="H1052" s="7" t="n">
        <v>-0.9484276822</v>
      </c>
      <c r="I1052" s="7" t="n">
        <v>0.3169571632</v>
      </c>
      <c r="J1052" s="7" t="n">
        <v>-0.004805038238</v>
      </c>
      <c r="K1052" s="7" t="n">
        <v>-0.3169886694</v>
      </c>
      <c r="L1052" s="7" t="n">
        <v>-0.948388415</v>
      </c>
      <c r="M1052" s="7" t="n">
        <v>0.008808959786</v>
      </c>
      <c r="N1052" s="7" t="n">
        <v>-0.001764979694</v>
      </c>
      <c r="O1052" s="7" t="n">
        <v>0.00987780399</v>
      </c>
      <c r="P1052" s="7" t="n">
        <v>0.9999496557</v>
      </c>
      <c r="Q1052" s="7" t="n">
        <v>12.60491541</v>
      </c>
      <c r="R1052" s="7" t="n">
        <v>2.197847386</v>
      </c>
      <c r="S1052" s="7" t="n">
        <v>0.8813707563</v>
      </c>
    </row>
    <row r="1053" customFormat="false" ht="15" hidden="false" customHeight="false" outlineLevel="0" collapsed="false">
      <c r="A1053" s="5" t="s">
        <v>4</v>
      </c>
      <c r="B1053" s="5" t="s">
        <v>80</v>
      </c>
      <c r="C1053" s="5" t="s">
        <v>62</v>
      </c>
      <c r="D1053" s="2" t="n">
        <v>17</v>
      </c>
      <c r="E1053" s="5" t="s">
        <v>164</v>
      </c>
      <c r="F1053" s="5" t="s">
        <v>166</v>
      </c>
      <c r="G1053" s="2" t="n">
        <v>1</v>
      </c>
      <c r="H1053" s="7" t="n">
        <v>-0.9482357658</v>
      </c>
      <c r="I1053" s="7" t="n">
        <v>0.3175584681</v>
      </c>
      <c r="J1053" s="7" t="n">
        <v>-0.002356213253</v>
      </c>
      <c r="K1053" s="7" t="n">
        <v>-0.3175242699</v>
      </c>
      <c r="L1053" s="7" t="n">
        <v>-0.9482034627</v>
      </c>
      <c r="M1053" s="7" t="n">
        <v>-0.009409111151</v>
      </c>
      <c r="N1053" s="7" t="n">
        <v>-0.005222112489</v>
      </c>
      <c r="O1053" s="7" t="n">
        <v>-0.008173900825</v>
      </c>
      <c r="P1053" s="7" t="n">
        <v>0.9999529573</v>
      </c>
      <c r="Q1053" s="7" t="n">
        <v>12.62165862</v>
      </c>
      <c r="R1053" s="7" t="n">
        <v>2.148409509</v>
      </c>
      <c r="S1053" s="7" t="n">
        <v>0.8566800561</v>
      </c>
    </row>
    <row r="1054" customFormat="false" ht="15" hidden="false" customHeight="false" outlineLevel="0" collapsed="false">
      <c r="A1054" s="5" t="s">
        <v>4</v>
      </c>
      <c r="B1054" s="5" t="s">
        <v>80</v>
      </c>
      <c r="C1054" s="5" t="s">
        <v>58</v>
      </c>
      <c r="D1054" s="2" t="n">
        <v>17</v>
      </c>
      <c r="E1054" s="5" t="s">
        <v>164</v>
      </c>
      <c r="F1054" s="5" t="s">
        <v>167</v>
      </c>
      <c r="G1054" s="2" t="n">
        <v>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</row>
    <row r="1055" customFormat="false" ht="15" hidden="false" customHeight="false" outlineLevel="0" collapsed="false">
      <c r="A1055" s="5" t="s">
        <v>4</v>
      </c>
      <c r="B1055" s="5" t="s">
        <v>80</v>
      </c>
      <c r="C1055" s="5" t="s">
        <v>62</v>
      </c>
      <c r="D1055" s="2" t="n">
        <v>17</v>
      </c>
      <c r="E1055" s="5" t="s">
        <v>164</v>
      </c>
      <c r="F1055" s="5" t="s">
        <v>167</v>
      </c>
      <c r="G1055" s="2" t="n">
        <v>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</row>
    <row r="1056" customFormat="false" ht="15" hidden="false" customHeight="false" outlineLevel="0" collapsed="false">
      <c r="A1056" s="5" t="s">
        <v>4</v>
      </c>
      <c r="B1056" s="5" t="s">
        <v>80</v>
      </c>
      <c r="C1056" s="5" t="s">
        <v>58</v>
      </c>
      <c r="D1056" s="2" t="n">
        <v>17</v>
      </c>
      <c r="E1056" s="5" t="s">
        <v>164</v>
      </c>
      <c r="F1056" s="5" t="s">
        <v>168</v>
      </c>
      <c r="G1056" s="2" t="n">
        <v>1</v>
      </c>
      <c r="H1056" s="7" t="n">
        <v>-0.8129496437</v>
      </c>
      <c r="I1056" s="7" t="n">
        <v>0.582333975</v>
      </c>
      <c r="J1056" s="7" t="n">
        <v>-0.0001354625635</v>
      </c>
      <c r="K1056" s="7" t="n">
        <v>-0.5823230703</v>
      </c>
      <c r="L1056" s="7" t="n">
        <v>-0.8129358012</v>
      </c>
      <c r="M1056" s="7" t="n">
        <v>-0.005935066435</v>
      </c>
      <c r="N1056" s="7" t="n">
        <v>-0.003566313197</v>
      </c>
      <c r="O1056" s="7" t="n">
        <v>-0.004746027168</v>
      </c>
      <c r="P1056" s="7" t="n">
        <v>0.9999823782</v>
      </c>
      <c r="Q1056" s="7" t="n">
        <v>16.63642356</v>
      </c>
      <c r="R1056" s="7" t="n">
        <v>12.6375734</v>
      </c>
      <c r="S1056" s="7" t="n">
        <v>1.554504787</v>
      </c>
    </row>
    <row r="1057" customFormat="false" ht="15" hidden="false" customHeight="false" outlineLevel="0" collapsed="false">
      <c r="A1057" s="5" t="s">
        <v>4</v>
      </c>
      <c r="B1057" s="5" t="s">
        <v>80</v>
      </c>
      <c r="C1057" s="5" t="s">
        <v>62</v>
      </c>
      <c r="D1057" s="2" t="n">
        <v>17</v>
      </c>
      <c r="E1057" s="5" t="s">
        <v>164</v>
      </c>
      <c r="F1057" s="5" t="s">
        <v>168</v>
      </c>
      <c r="G1057" s="2" t="n">
        <v>1</v>
      </c>
      <c r="H1057" s="7" t="n">
        <v>-0.8129496437</v>
      </c>
      <c r="I1057" s="7" t="n">
        <v>0.582333975</v>
      </c>
      <c r="J1057" s="7" t="n">
        <v>-0.0001354625635</v>
      </c>
      <c r="K1057" s="7" t="n">
        <v>-0.5823230703</v>
      </c>
      <c r="L1057" s="7" t="n">
        <v>-0.8129358012</v>
      </c>
      <c r="M1057" s="7" t="n">
        <v>-0.005935066435</v>
      </c>
      <c r="N1057" s="7" t="n">
        <v>-0.003566313197</v>
      </c>
      <c r="O1057" s="7" t="n">
        <v>-0.004746027168</v>
      </c>
      <c r="P1057" s="7" t="n">
        <v>0.9999823782</v>
      </c>
      <c r="Q1057" s="7" t="n">
        <v>16.63642356</v>
      </c>
      <c r="R1057" s="7" t="n">
        <v>12.6375734</v>
      </c>
      <c r="S1057" s="7" t="n">
        <v>1.554504787</v>
      </c>
    </row>
    <row r="1058" customFormat="false" ht="15" hidden="false" customHeight="false" outlineLevel="0" collapsed="false">
      <c r="A1058" s="5" t="s">
        <v>4</v>
      </c>
      <c r="B1058" s="5" t="s">
        <v>80</v>
      </c>
      <c r="C1058" s="5" t="s">
        <v>58</v>
      </c>
      <c r="D1058" s="2" t="n">
        <v>18</v>
      </c>
      <c r="E1058" s="5" t="s">
        <v>164</v>
      </c>
      <c r="F1058" s="5" t="s">
        <v>165</v>
      </c>
      <c r="G1058" s="2" t="n">
        <v>1</v>
      </c>
      <c r="H1058" s="7" t="n">
        <v>-0.9200463063</v>
      </c>
      <c r="I1058" s="7" t="n">
        <v>0.3918091511</v>
      </c>
      <c r="J1058" s="7" t="n">
        <v>0.0006191083739</v>
      </c>
      <c r="K1058" s="7" t="n">
        <v>-0.3918092316</v>
      </c>
      <c r="L1058" s="7" t="n">
        <v>-0.9200464803</v>
      </c>
      <c r="M1058" s="7" t="n">
        <v>-9.58062192E-006</v>
      </c>
      <c r="N1058" s="7" t="n">
        <v>0.000565854705</v>
      </c>
      <c r="O1058" s="7" t="n">
        <v>-0.0002513869921</v>
      </c>
      <c r="P1058" s="7" t="n">
        <v>0.9999998083</v>
      </c>
      <c r="Q1058" s="7" t="n">
        <v>-1.457929415</v>
      </c>
      <c r="R1058" s="7" t="n">
        <v>-3.776923925</v>
      </c>
      <c r="S1058" s="7" t="n">
        <v>0.1126548476</v>
      </c>
    </row>
    <row r="1059" customFormat="false" ht="15" hidden="false" customHeight="false" outlineLevel="0" collapsed="false">
      <c r="A1059" s="5" t="s">
        <v>4</v>
      </c>
      <c r="B1059" s="5" t="s">
        <v>80</v>
      </c>
      <c r="C1059" s="5" t="s">
        <v>62</v>
      </c>
      <c r="D1059" s="2" t="n">
        <v>18</v>
      </c>
      <c r="E1059" s="5" t="s">
        <v>164</v>
      </c>
      <c r="F1059" s="5" t="s">
        <v>165</v>
      </c>
      <c r="G1059" s="2" t="n">
        <v>1</v>
      </c>
      <c r="H1059" s="7" t="n">
        <v>-0.9197092769</v>
      </c>
      <c r="I1059" s="7" t="n">
        <v>0.3925998</v>
      </c>
      <c r="J1059" s="7" t="n">
        <v>0.0004929752934</v>
      </c>
      <c r="K1059" s="7" t="n">
        <v>-0.3925967421</v>
      </c>
      <c r="L1059" s="7" t="n">
        <v>-0.9196954628</v>
      </c>
      <c r="M1059" s="7" t="n">
        <v>-0.00529658419</v>
      </c>
      <c r="N1059" s="7" t="n">
        <v>-0.001626050753</v>
      </c>
      <c r="O1059" s="7" t="n">
        <v>-0.00506485811</v>
      </c>
      <c r="P1059" s="7" t="n">
        <v>0.9999858515</v>
      </c>
      <c r="Q1059" s="7" t="n">
        <v>-1.462643487</v>
      </c>
      <c r="R1059" s="7" t="n">
        <v>-3.783156605</v>
      </c>
      <c r="S1059" s="7" t="n">
        <v>0.1350727306</v>
      </c>
    </row>
    <row r="1060" customFormat="false" ht="15" hidden="false" customHeight="false" outlineLevel="0" collapsed="false">
      <c r="A1060" s="5" t="s">
        <v>4</v>
      </c>
      <c r="B1060" s="5" t="s">
        <v>80</v>
      </c>
      <c r="C1060" s="5" t="s">
        <v>58</v>
      </c>
      <c r="D1060" s="2" t="n">
        <v>18</v>
      </c>
      <c r="E1060" s="5" t="s">
        <v>164</v>
      </c>
      <c r="F1060" s="5" t="s">
        <v>166</v>
      </c>
      <c r="G1060" s="2" t="n">
        <v>1</v>
      </c>
      <c r="H1060" s="7" t="n">
        <v>-0.9482628786</v>
      </c>
      <c r="I1060" s="7" t="n">
        <v>0.3174851373</v>
      </c>
      <c r="J1060" s="7" t="n">
        <v>-0.0008370223291</v>
      </c>
      <c r="K1060" s="7" t="n">
        <v>-0.3174763188</v>
      </c>
      <c r="L1060" s="7" t="n">
        <v>-0.9482507917</v>
      </c>
      <c r="M1060" s="7" t="n">
        <v>-0.005405838409</v>
      </c>
      <c r="N1060" s="7" t="n">
        <v>-0.002509980436</v>
      </c>
      <c r="O1060" s="7" t="n">
        <v>-0.004860421123</v>
      </c>
      <c r="P1060" s="7" t="n">
        <v>0.999985038</v>
      </c>
      <c r="Q1060" s="7" t="n">
        <v>12.61132353</v>
      </c>
      <c r="R1060" s="7" t="n">
        <v>2.151479481</v>
      </c>
      <c r="S1060" s="7" t="n">
        <v>0.8674033843</v>
      </c>
    </row>
    <row r="1061" customFormat="false" ht="15" hidden="false" customHeight="false" outlineLevel="0" collapsed="false">
      <c r="A1061" s="5" t="s">
        <v>4</v>
      </c>
      <c r="B1061" s="5" t="s">
        <v>80</v>
      </c>
      <c r="C1061" s="5" t="s">
        <v>62</v>
      </c>
      <c r="D1061" s="2" t="n">
        <v>18</v>
      </c>
      <c r="E1061" s="5" t="s">
        <v>164</v>
      </c>
      <c r="F1061" s="5" t="s">
        <v>166</v>
      </c>
      <c r="G1061" s="2" t="n">
        <v>1</v>
      </c>
      <c r="H1061" s="7" t="n">
        <v>-0.9485594634</v>
      </c>
      <c r="I1061" s="7" t="n">
        <v>0.3165982186</v>
      </c>
      <c r="J1061" s="7" t="n">
        <v>0.0007158044354</v>
      </c>
      <c r="K1061" s="7" t="n">
        <v>-0.316598805</v>
      </c>
      <c r="L1061" s="7" t="n">
        <v>-0.9485590537</v>
      </c>
      <c r="M1061" s="7" t="n">
        <v>-0.0009583147064</v>
      </c>
      <c r="N1061" s="7" t="n">
        <v>0.000375582049</v>
      </c>
      <c r="O1061" s="7" t="n">
        <v>-0.001135641312</v>
      </c>
      <c r="P1061" s="7" t="n">
        <v>0.9999992846</v>
      </c>
      <c r="Q1061" s="7" t="n">
        <v>12.6084986</v>
      </c>
      <c r="R1061" s="7" t="n">
        <v>2.152148526</v>
      </c>
      <c r="S1061" s="7" t="n">
        <v>0.8959034487</v>
      </c>
    </row>
    <row r="1062" customFormat="false" ht="15" hidden="false" customHeight="false" outlineLevel="0" collapsed="false">
      <c r="A1062" s="5" t="s">
        <v>4</v>
      </c>
      <c r="B1062" s="5" t="s">
        <v>80</v>
      </c>
      <c r="C1062" s="5" t="s">
        <v>58</v>
      </c>
      <c r="D1062" s="2" t="n">
        <v>18</v>
      </c>
      <c r="E1062" s="5" t="s">
        <v>164</v>
      </c>
      <c r="F1062" s="5" t="s">
        <v>167</v>
      </c>
      <c r="G1062" s="2" t="n">
        <v>1</v>
      </c>
      <c r="H1062" s="7" t="n">
        <v>0.5142965114</v>
      </c>
      <c r="I1062" s="7" t="n">
        <v>0.8575835767</v>
      </c>
      <c r="J1062" s="7" t="n">
        <v>0.007036138967</v>
      </c>
      <c r="K1062" s="7" t="n">
        <v>-0.8575695527</v>
      </c>
      <c r="L1062" s="7" t="n">
        <v>0.5143355331</v>
      </c>
      <c r="M1062" s="7" t="n">
        <v>-0.005781137489</v>
      </c>
      <c r="N1062" s="7" t="n">
        <v>-0.008576744853</v>
      </c>
      <c r="O1062" s="7" t="n">
        <v>-0.003060759705</v>
      </c>
      <c r="P1062" s="7" t="n">
        <v>0.9999585347</v>
      </c>
      <c r="Q1062" s="7" t="n">
        <v>-10.03970202</v>
      </c>
      <c r="R1062" s="7" t="n">
        <v>11.46349582</v>
      </c>
      <c r="S1062" s="7" t="n">
        <v>0.47138428</v>
      </c>
    </row>
    <row r="1063" customFormat="false" ht="15" hidden="false" customHeight="false" outlineLevel="0" collapsed="false">
      <c r="A1063" s="5" t="s">
        <v>4</v>
      </c>
      <c r="B1063" s="5" t="s">
        <v>80</v>
      </c>
      <c r="C1063" s="5" t="s">
        <v>62</v>
      </c>
      <c r="D1063" s="2" t="n">
        <v>18</v>
      </c>
      <c r="E1063" s="5" t="s">
        <v>164</v>
      </c>
      <c r="F1063" s="5" t="s">
        <v>167</v>
      </c>
      <c r="G1063" s="2" t="n">
        <v>1</v>
      </c>
      <c r="H1063" s="7" t="n">
        <v>0.5142965114</v>
      </c>
      <c r="I1063" s="7" t="n">
        <v>0.8575835767</v>
      </c>
      <c r="J1063" s="7" t="n">
        <v>0.007036138967</v>
      </c>
      <c r="K1063" s="7" t="n">
        <v>-0.8575695527</v>
      </c>
      <c r="L1063" s="7" t="n">
        <v>0.5143355331</v>
      </c>
      <c r="M1063" s="7" t="n">
        <v>-0.005781137489</v>
      </c>
      <c r="N1063" s="7" t="n">
        <v>-0.008576744853</v>
      </c>
      <c r="O1063" s="7" t="n">
        <v>-0.003060759705</v>
      </c>
      <c r="P1063" s="7" t="n">
        <v>0.9999585347</v>
      </c>
      <c r="Q1063" s="7" t="n">
        <v>-10.03970202</v>
      </c>
      <c r="R1063" s="7" t="n">
        <v>11.46349582</v>
      </c>
      <c r="S1063" s="7" t="n">
        <v>0.47138428</v>
      </c>
    </row>
    <row r="1064" customFormat="false" ht="15" hidden="false" customHeight="false" outlineLevel="0" collapsed="false">
      <c r="A1064" s="5" t="s">
        <v>4</v>
      </c>
      <c r="B1064" s="5" t="s">
        <v>80</v>
      </c>
      <c r="C1064" s="5" t="s">
        <v>58</v>
      </c>
      <c r="D1064" s="2" t="n">
        <v>18</v>
      </c>
      <c r="E1064" s="5" t="s">
        <v>164</v>
      </c>
      <c r="F1064" s="5" t="s">
        <v>168</v>
      </c>
      <c r="G1064" s="2" t="n">
        <v>1</v>
      </c>
      <c r="H1064" s="7" t="n">
        <v>-0.8121000263</v>
      </c>
      <c r="I1064" s="7" t="n">
        <v>0.5826596461</v>
      </c>
      <c r="J1064" s="7" t="n">
        <v>-0.03164307315</v>
      </c>
      <c r="K1064" s="7" t="n">
        <v>-0.5831039044</v>
      </c>
      <c r="L1064" s="7" t="n">
        <v>-0.8123724979</v>
      </c>
      <c r="M1064" s="7" t="n">
        <v>0.006384459878</v>
      </c>
      <c r="N1064" s="7" t="n">
        <v>-0.02198599525</v>
      </c>
      <c r="O1064" s="7" t="n">
        <v>0.02363601953</v>
      </c>
      <c r="P1064" s="7" t="n">
        <v>0.9994788415</v>
      </c>
      <c r="Q1064" s="7" t="n">
        <v>16.57125885</v>
      </c>
      <c r="R1064" s="7" t="n">
        <v>12.6549813</v>
      </c>
      <c r="S1064" s="7" t="n">
        <v>1.493981564</v>
      </c>
    </row>
    <row r="1065" customFormat="false" ht="15" hidden="false" customHeight="false" outlineLevel="0" collapsed="false">
      <c r="A1065" s="5" t="s">
        <v>4</v>
      </c>
      <c r="B1065" s="5" t="s">
        <v>80</v>
      </c>
      <c r="C1065" s="5" t="s">
        <v>62</v>
      </c>
      <c r="D1065" s="2" t="n">
        <v>18</v>
      </c>
      <c r="E1065" s="5" t="s">
        <v>164</v>
      </c>
      <c r="F1065" s="5" t="s">
        <v>168</v>
      </c>
      <c r="G1065" s="2" t="n">
        <v>1</v>
      </c>
      <c r="H1065" s="7" t="n">
        <v>-0.8129290735</v>
      </c>
      <c r="I1065" s="7" t="n">
        <v>0.5822593712</v>
      </c>
      <c r="J1065" s="7" t="n">
        <v>-0.01097023808</v>
      </c>
      <c r="K1065" s="7" t="n">
        <v>-0.5822968994</v>
      </c>
      <c r="L1065" s="7" t="n">
        <v>-0.812976163</v>
      </c>
      <c r="M1065" s="7" t="n">
        <v>0.0002816285858</v>
      </c>
      <c r="N1065" s="7" t="n">
        <v>-0.008754561175</v>
      </c>
      <c r="O1065" s="7" t="n">
        <v>0.006616879683</v>
      </c>
      <c r="P1065" s="7" t="n">
        <v>0.9999397855</v>
      </c>
      <c r="Q1065" s="7" t="n">
        <v>16.62805616</v>
      </c>
      <c r="R1065" s="7" t="n">
        <v>12.63586433</v>
      </c>
      <c r="S1065" s="7" t="n">
        <v>1.528849958</v>
      </c>
    </row>
    <row r="1066" customFormat="false" ht="15" hidden="false" customHeight="false" outlineLevel="0" collapsed="false">
      <c r="A1066" s="5" t="s">
        <v>4</v>
      </c>
      <c r="B1066" s="5" t="s">
        <v>80</v>
      </c>
      <c r="C1066" s="5" t="s">
        <v>58</v>
      </c>
      <c r="D1066" s="2" t="n">
        <v>19</v>
      </c>
      <c r="E1066" s="5" t="s">
        <v>164</v>
      </c>
      <c r="F1066" s="5" t="s">
        <v>165</v>
      </c>
      <c r="G1066" s="2" t="n">
        <v>1</v>
      </c>
      <c r="H1066" s="7" t="n">
        <v>-0.9192342394</v>
      </c>
      <c r="I1066" s="7" t="n">
        <v>0.393521784</v>
      </c>
      <c r="J1066" s="7" t="n">
        <v>-0.01220731998</v>
      </c>
      <c r="K1066" s="7" t="n">
        <v>-0.3936513077</v>
      </c>
      <c r="L1066" s="7" t="n">
        <v>-0.919193043</v>
      </c>
      <c r="M1066" s="7" t="n">
        <v>0.01108140826</v>
      </c>
      <c r="N1066" s="7" t="n">
        <v>-0.006860108051</v>
      </c>
      <c r="O1066" s="7" t="n">
        <v>0.01499183737</v>
      </c>
      <c r="P1066" s="7" t="n">
        <v>0.9998640826</v>
      </c>
      <c r="Q1066" s="7" t="n">
        <v>-1.464122155</v>
      </c>
      <c r="R1066" s="7" t="n">
        <v>-3.757025137</v>
      </c>
      <c r="S1066" s="7" t="n">
        <v>0.04117498333</v>
      </c>
    </row>
    <row r="1067" customFormat="false" ht="15" hidden="false" customHeight="false" outlineLevel="0" collapsed="false">
      <c r="A1067" s="5" t="s">
        <v>4</v>
      </c>
      <c r="B1067" s="5" t="s">
        <v>80</v>
      </c>
      <c r="C1067" s="5" t="s">
        <v>62</v>
      </c>
      <c r="D1067" s="2" t="n">
        <v>19</v>
      </c>
      <c r="E1067" s="5" t="s">
        <v>164</v>
      </c>
      <c r="F1067" s="5" t="s">
        <v>165</v>
      </c>
      <c r="G1067" s="2" t="n">
        <v>1</v>
      </c>
      <c r="H1067" s="7" t="n">
        <v>-0.9192700454</v>
      </c>
      <c r="I1067" s="7" t="n">
        <v>0.3936047205</v>
      </c>
      <c r="J1067" s="7" t="n">
        <v>0.004231729514</v>
      </c>
      <c r="K1067" s="7" t="n">
        <v>-0.393607049</v>
      </c>
      <c r="L1067" s="7" t="n">
        <v>-0.9192787386</v>
      </c>
      <c r="M1067" s="7" t="n">
        <v>0.0003027586001</v>
      </c>
      <c r="N1067" s="7" t="n">
        <v>0.004009306184</v>
      </c>
      <c r="O1067" s="7" t="n">
        <v>-0.001387321654</v>
      </c>
      <c r="P1067" s="7" t="n">
        <v>0.9999910004</v>
      </c>
      <c r="Q1067" s="7" t="n">
        <v>-1.434312528</v>
      </c>
      <c r="R1067" s="7" t="n">
        <v>-3.77851359</v>
      </c>
      <c r="S1067" s="7" t="n">
        <v>0.1197521119</v>
      </c>
    </row>
    <row r="1068" customFormat="false" ht="15" hidden="false" customHeight="false" outlineLevel="0" collapsed="false">
      <c r="A1068" s="5" t="s">
        <v>4</v>
      </c>
      <c r="B1068" s="5" t="s">
        <v>80</v>
      </c>
      <c r="C1068" s="5" t="s">
        <v>58</v>
      </c>
      <c r="D1068" s="2" t="n">
        <v>19</v>
      </c>
      <c r="E1068" s="5" t="s">
        <v>164</v>
      </c>
      <c r="F1068" s="5" t="s">
        <v>166</v>
      </c>
      <c r="G1068" s="2" t="n">
        <v>1</v>
      </c>
      <c r="H1068" s="7" t="n">
        <v>-0.9483022587</v>
      </c>
      <c r="I1068" s="7" t="n">
        <v>0.3172308063</v>
      </c>
      <c r="J1068" s="7" t="n">
        <v>-0.009351026514</v>
      </c>
      <c r="K1068" s="7" t="n">
        <v>-0.3172064485</v>
      </c>
      <c r="L1068" s="7" t="n">
        <v>-0.9483479835</v>
      </c>
      <c r="M1068" s="7" t="n">
        <v>-0.004021356473</v>
      </c>
      <c r="N1068" s="7" t="n">
        <v>-0.01014372529</v>
      </c>
      <c r="O1068" s="7" t="n">
        <v>-0.000847255516</v>
      </c>
      <c r="P1068" s="7" t="n">
        <v>0.9999481922</v>
      </c>
      <c r="Q1068" s="7" t="n">
        <v>12.60796845</v>
      </c>
      <c r="R1068" s="7" t="n">
        <v>2.183372874</v>
      </c>
      <c r="S1068" s="7" t="n">
        <v>0.8636507771</v>
      </c>
    </row>
    <row r="1069" customFormat="false" ht="15" hidden="false" customHeight="false" outlineLevel="0" collapsed="false">
      <c r="A1069" s="5" t="s">
        <v>4</v>
      </c>
      <c r="B1069" s="5" t="s">
        <v>80</v>
      </c>
      <c r="C1069" s="5" t="s">
        <v>62</v>
      </c>
      <c r="D1069" s="2" t="n">
        <v>19</v>
      </c>
      <c r="E1069" s="5" t="s">
        <v>164</v>
      </c>
      <c r="F1069" s="5" t="s">
        <v>166</v>
      </c>
      <c r="G1069" s="2" t="n">
        <v>1</v>
      </c>
      <c r="H1069" s="7" t="n">
        <v>-0.9483022587</v>
      </c>
      <c r="I1069" s="7" t="n">
        <v>0.3172308063</v>
      </c>
      <c r="J1069" s="7" t="n">
        <v>-0.009351026514</v>
      </c>
      <c r="K1069" s="7" t="n">
        <v>-0.3172064485</v>
      </c>
      <c r="L1069" s="7" t="n">
        <v>-0.9483479835</v>
      </c>
      <c r="M1069" s="7" t="n">
        <v>-0.004021356473</v>
      </c>
      <c r="N1069" s="7" t="n">
        <v>-0.01014372529</v>
      </c>
      <c r="O1069" s="7" t="n">
        <v>-0.000847255516</v>
      </c>
      <c r="P1069" s="7" t="n">
        <v>0.9999481922</v>
      </c>
      <c r="Q1069" s="7" t="n">
        <v>12.60796845</v>
      </c>
      <c r="R1069" s="7" t="n">
        <v>2.183372874</v>
      </c>
      <c r="S1069" s="7" t="n">
        <v>0.8636507771</v>
      </c>
    </row>
    <row r="1070" customFormat="false" ht="15" hidden="false" customHeight="false" outlineLevel="0" collapsed="false">
      <c r="A1070" s="5" t="s">
        <v>4</v>
      </c>
      <c r="B1070" s="5" t="s">
        <v>80</v>
      </c>
      <c r="C1070" s="5" t="s">
        <v>58</v>
      </c>
      <c r="D1070" s="2" t="n">
        <v>19</v>
      </c>
      <c r="E1070" s="5" t="s">
        <v>164</v>
      </c>
      <c r="F1070" s="5" t="s">
        <v>167</v>
      </c>
      <c r="G1070" s="2" t="n">
        <v>1</v>
      </c>
      <c r="H1070" s="7" t="n">
        <v>0.5149142807</v>
      </c>
      <c r="I1070" s="7" t="n">
        <v>0.8572306336</v>
      </c>
      <c r="J1070" s="7" t="n">
        <v>0.004350211003</v>
      </c>
      <c r="K1070" s="7" t="n">
        <v>-0.8571677771</v>
      </c>
      <c r="L1070" s="7" t="n">
        <v>0.514929895</v>
      </c>
      <c r="M1070" s="7" t="n">
        <v>-0.01051689535</v>
      </c>
      <c r="N1070" s="7" t="n">
        <v>-0.01125545856</v>
      </c>
      <c r="O1070" s="7" t="n">
        <v>0.001686438906</v>
      </c>
      <c r="P1070" s="7" t="n">
        <v>0.9999352332</v>
      </c>
      <c r="Q1070" s="7" t="n">
        <v>-10.05063616</v>
      </c>
      <c r="R1070" s="7" t="n">
        <v>11.45344687</v>
      </c>
      <c r="S1070" s="7" t="n">
        <v>0.4905757248</v>
      </c>
    </row>
    <row r="1071" customFormat="false" ht="15" hidden="false" customHeight="false" outlineLevel="0" collapsed="false">
      <c r="A1071" s="5" t="s">
        <v>4</v>
      </c>
      <c r="B1071" s="5" t="s">
        <v>80</v>
      </c>
      <c r="C1071" s="5" t="s">
        <v>62</v>
      </c>
      <c r="D1071" s="2" t="n">
        <v>19</v>
      </c>
      <c r="E1071" s="5" t="s">
        <v>164</v>
      </c>
      <c r="F1071" s="5" t="s">
        <v>167</v>
      </c>
      <c r="G1071" s="2" t="n">
        <v>1</v>
      </c>
      <c r="H1071" s="7" t="n">
        <v>0.5149142807</v>
      </c>
      <c r="I1071" s="7" t="n">
        <v>0.8572306336</v>
      </c>
      <c r="J1071" s="7" t="n">
        <v>0.004350211003</v>
      </c>
      <c r="K1071" s="7" t="n">
        <v>-0.8571677771</v>
      </c>
      <c r="L1071" s="7" t="n">
        <v>0.514929895</v>
      </c>
      <c r="M1071" s="7" t="n">
        <v>-0.01051689535</v>
      </c>
      <c r="N1071" s="7" t="n">
        <v>-0.01125545856</v>
      </c>
      <c r="O1071" s="7" t="n">
        <v>0.001686438906</v>
      </c>
      <c r="P1071" s="7" t="n">
        <v>0.9999352332</v>
      </c>
      <c r="Q1071" s="7" t="n">
        <v>-10.05063616</v>
      </c>
      <c r="R1071" s="7" t="n">
        <v>11.45344687</v>
      </c>
      <c r="S1071" s="7" t="n">
        <v>0.4905757248</v>
      </c>
    </row>
    <row r="1072" customFormat="false" ht="15" hidden="false" customHeight="false" outlineLevel="0" collapsed="false">
      <c r="A1072" s="5" t="s">
        <v>4</v>
      </c>
      <c r="B1072" s="5" t="s">
        <v>80</v>
      </c>
      <c r="C1072" s="5" t="s">
        <v>58</v>
      </c>
      <c r="D1072" s="2" t="n">
        <v>19</v>
      </c>
      <c r="E1072" s="5" t="s">
        <v>164</v>
      </c>
      <c r="F1072" s="5" t="s">
        <v>168</v>
      </c>
      <c r="G1072" s="2" t="n">
        <v>1</v>
      </c>
      <c r="H1072" s="7" t="n">
        <v>-0.8119540292</v>
      </c>
      <c r="I1072" s="7" t="n">
        <v>0.5836171079</v>
      </c>
      <c r="J1072" s="7" t="n">
        <v>-0.01103294316</v>
      </c>
      <c r="K1072" s="7" t="n">
        <v>-0.5836588567</v>
      </c>
      <c r="L1072" s="7" t="n">
        <v>-0.8119986657</v>
      </c>
      <c r="M1072" s="7" t="n">
        <v>0.0007112725432</v>
      </c>
      <c r="N1072" s="7" t="n">
        <v>-0.008543624297</v>
      </c>
      <c r="O1072" s="7" t="n">
        <v>0.007016995596</v>
      </c>
      <c r="P1072" s="7" t="n">
        <v>0.9999388823</v>
      </c>
      <c r="Q1072" s="7" t="n">
        <v>16.62273074</v>
      </c>
      <c r="R1072" s="7" t="n">
        <v>12.64291442</v>
      </c>
      <c r="S1072" s="7" t="n">
        <v>1.512293637</v>
      </c>
    </row>
    <row r="1073" customFormat="false" ht="15" hidden="false" customHeight="false" outlineLevel="0" collapsed="false">
      <c r="A1073" s="5" t="s">
        <v>4</v>
      </c>
      <c r="B1073" s="5" t="s">
        <v>80</v>
      </c>
      <c r="C1073" s="5" t="s">
        <v>62</v>
      </c>
      <c r="D1073" s="2" t="n">
        <v>19</v>
      </c>
      <c r="E1073" s="5" t="s">
        <v>164</v>
      </c>
      <c r="F1073" s="5" t="s">
        <v>168</v>
      </c>
      <c r="G1073" s="2" t="n">
        <v>1</v>
      </c>
      <c r="H1073" s="7" t="n">
        <v>-0.8119540292</v>
      </c>
      <c r="I1073" s="7" t="n">
        <v>0.5836171079</v>
      </c>
      <c r="J1073" s="7" t="n">
        <v>-0.01103294316</v>
      </c>
      <c r="K1073" s="7" t="n">
        <v>-0.5836588567</v>
      </c>
      <c r="L1073" s="7" t="n">
        <v>-0.8119986657</v>
      </c>
      <c r="M1073" s="7" t="n">
        <v>0.0007112725432</v>
      </c>
      <c r="N1073" s="7" t="n">
        <v>-0.008543624297</v>
      </c>
      <c r="O1073" s="7" t="n">
        <v>0.007016995596</v>
      </c>
      <c r="P1073" s="7" t="n">
        <v>0.9999388823</v>
      </c>
      <c r="Q1073" s="7" t="n">
        <v>16.62273074</v>
      </c>
      <c r="R1073" s="7" t="n">
        <v>12.64291442</v>
      </c>
      <c r="S1073" s="7" t="n">
        <v>1.512293637</v>
      </c>
    </row>
    <row r="1074" customFormat="false" ht="15" hidden="false" customHeight="false" outlineLevel="0" collapsed="false">
      <c r="A1074" s="5" t="s">
        <v>4</v>
      </c>
      <c r="B1074" s="5" t="s">
        <v>80</v>
      </c>
      <c r="C1074" s="5" t="s">
        <v>58</v>
      </c>
      <c r="D1074" s="2" t="n">
        <v>20</v>
      </c>
      <c r="E1074" s="5" t="s">
        <v>164</v>
      </c>
      <c r="F1074" s="5" t="s">
        <v>165</v>
      </c>
      <c r="G1074" s="2" t="n">
        <v>1</v>
      </c>
      <c r="H1074" s="7" t="n">
        <v>-0.9192488338</v>
      </c>
      <c r="I1074" s="7" t="n">
        <v>0.39367686</v>
      </c>
      <c r="J1074" s="7" t="n">
        <v>0.0003337311045</v>
      </c>
      <c r="K1074" s="7" t="n">
        <v>-0.3936769285</v>
      </c>
      <c r="L1074" s="7" t="n">
        <v>-0.9192488493</v>
      </c>
      <c r="M1074" s="7" t="n">
        <v>-0.0001702494854</v>
      </c>
      <c r="N1074" s="7" t="n">
        <v>0.0002397586509</v>
      </c>
      <c r="O1074" s="7" t="n">
        <v>-0.0002878838771</v>
      </c>
      <c r="P1074" s="7" t="n">
        <v>0.9999999298</v>
      </c>
      <c r="Q1074" s="7" t="n">
        <v>-1.44865942</v>
      </c>
      <c r="R1074" s="7" t="n">
        <v>-3.777133275</v>
      </c>
      <c r="S1074" s="7" t="n">
        <v>0.1196051929</v>
      </c>
    </row>
    <row r="1075" customFormat="false" ht="15" hidden="false" customHeight="false" outlineLevel="0" collapsed="false">
      <c r="A1075" s="5" t="s">
        <v>4</v>
      </c>
      <c r="B1075" s="5" t="s">
        <v>80</v>
      </c>
      <c r="C1075" s="5" t="s">
        <v>62</v>
      </c>
      <c r="D1075" s="2" t="n">
        <v>20</v>
      </c>
      <c r="E1075" s="5" t="s">
        <v>164</v>
      </c>
      <c r="F1075" s="5" t="s">
        <v>165</v>
      </c>
      <c r="G1075" s="2" t="n">
        <v>1</v>
      </c>
      <c r="H1075" s="7" t="n">
        <v>-0.9192488338</v>
      </c>
      <c r="I1075" s="7" t="n">
        <v>0.39367686</v>
      </c>
      <c r="J1075" s="7" t="n">
        <v>0.0003337311045</v>
      </c>
      <c r="K1075" s="7" t="n">
        <v>-0.3936769285</v>
      </c>
      <c r="L1075" s="7" t="n">
        <v>-0.9192488493</v>
      </c>
      <c r="M1075" s="7" t="n">
        <v>-0.0001702494854</v>
      </c>
      <c r="N1075" s="7" t="n">
        <v>0.0002397586509</v>
      </c>
      <c r="O1075" s="7" t="n">
        <v>-0.0002878838771</v>
      </c>
      <c r="P1075" s="7" t="n">
        <v>0.9999999298</v>
      </c>
      <c r="Q1075" s="7" t="n">
        <v>-1.44865942</v>
      </c>
      <c r="R1075" s="7" t="n">
        <v>-3.777133275</v>
      </c>
      <c r="S1075" s="7" t="n">
        <v>0.1196051929</v>
      </c>
    </row>
    <row r="1076" customFormat="false" ht="15" hidden="false" customHeight="false" outlineLevel="0" collapsed="false">
      <c r="A1076" s="5" t="s">
        <v>4</v>
      </c>
      <c r="B1076" s="5" t="s">
        <v>80</v>
      </c>
      <c r="C1076" s="5" t="s">
        <v>58</v>
      </c>
      <c r="D1076" s="2" t="n">
        <v>20</v>
      </c>
      <c r="E1076" s="5" t="s">
        <v>164</v>
      </c>
      <c r="F1076" s="5" t="s">
        <v>166</v>
      </c>
      <c r="G1076" s="2" t="n">
        <v>1</v>
      </c>
      <c r="H1076" s="7" t="n">
        <v>-0.9480033306</v>
      </c>
      <c r="I1076" s="7" t="n">
        <v>0.3182559629</v>
      </c>
      <c r="J1076" s="7" t="n">
        <v>-0.001681435425</v>
      </c>
      <c r="K1076" s="7" t="n">
        <v>-0.3182363026</v>
      </c>
      <c r="L1076" s="7" t="n">
        <v>-0.9479833274</v>
      </c>
      <c r="M1076" s="7" t="n">
        <v>-0.00729840644</v>
      </c>
      <c r="N1076" s="7" t="n">
        <v>-0.003916734118</v>
      </c>
      <c r="O1076" s="7" t="n">
        <v>-0.006383819821</v>
      </c>
      <c r="P1076" s="7" t="n">
        <v>0.9999719526</v>
      </c>
      <c r="Q1076" s="7" t="n">
        <v>12.6196972</v>
      </c>
      <c r="R1076" s="7" t="n">
        <v>2.168382865</v>
      </c>
      <c r="S1076" s="7" t="n">
        <v>0.8654192962</v>
      </c>
    </row>
    <row r="1077" customFormat="false" ht="15" hidden="false" customHeight="false" outlineLevel="0" collapsed="false">
      <c r="A1077" s="5" t="s">
        <v>4</v>
      </c>
      <c r="B1077" s="5" t="s">
        <v>80</v>
      </c>
      <c r="C1077" s="5" t="s">
        <v>62</v>
      </c>
      <c r="D1077" s="2" t="n">
        <v>20</v>
      </c>
      <c r="E1077" s="5" t="s">
        <v>164</v>
      </c>
      <c r="F1077" s="5" t="s">
        <v>166</v>
      </c>
      <c r="G1077" s="2" t="n">
        <v>1</v>
      </c>
      <c r="H1077" s="7" t="n">
        <v>-0.9480033306</v>
      </c>
      <c r="I1077" s="7" t="n">
        <v>0.3182559629</v>
      </c>
      <c r="J1077" s="7" t="n">
        <v>-0.001681435425</v>
      </c>
      <c r="K1077" s="7" t="n">
        <v>-0.3182363026</v>
      </c>
      <c r="L1077" s="7" t="n">
        <v>-0.9479833274</v>
      </c>
      <c r="M1077" s="7" t="n">
        <v>-0.00729840644</v>
      </c>
      <c r="N1077" s="7" t="n">
        <v>-0.003916734118</v>
      </c>
      <c r="O1077" s="7" t="n">
        <v>-0.006383819821</v>
      </c>
      <c r="P1077" s="7" t="n">
        <v>0.9999719526</v>
      </c>
      <c r="Q1077" s="7" t="n">
        <v>12.6196972</v>
      </c>
      <c r="R1077" s="7" t="n">
        <v>2.168382865</v>
      </c>
      <c r="S1077" s="7" t="n">
        <v>0.8654192962</v>
      </c>
    </row>
    <row r="1078" customFormat="false" ht="15" hidden="false" customHeight="false" outlineLevel="0" collapsed="false">
      <c r="A1078" s="5" t="s">
        <v>4</v>
      </c>
      <c r="B1078" s="5" t="s">
        <v>80</v>
      </c>
      <c r="C1078" s="5" t="s">
        <v>58</v>
      </c>
      <c r="D1078" s="2" t="n">
        <v>20</v>
      </c>
      <c r="E1078" s="5" t="s">
        <v>164</v>
      </c>
      <c r="F1078" s="5" t="s">
        <v>167</v>
      </c>
      <c r="G1078" s="2" t="n">
        <v>1</v>
      </c>
      <c r="H1078" s="7" t="n">
        <v>0.5128615807</v>
      </c>
      <c r="I1078" s="7" t="n">
        <v>0.858466739</v>
      </c>
      <c r="J1078" s="7" t="n">
        <v>0.002803026919</v>
      </c>
      <c r="K1078" s="7" t="n">
        <v>-0.8584128234</v>
      </c>
      <c r="L1078" s="7" t="n">
        <v>0.5128620181</v>
      </c>
      <c r="M1078" s="7" t="n">
        <v>-0.009998753332</v>
      </c>
      <c r="N1078" s="7" t="n">
        <v>-0.01002116321</v>
      </c>
      <c r="O1078" s="7" t="n">
        <v>0.002721822188</v>
      </c>
      <c r="P1078" s="7" t="n">
        <v>0.9999460825</v>
      </c>
      <c r="Q1078" s="7" t="n">
        <v>-10.01041946</v>
      </c>
      <c r="R1078" s="7" t="n">
        <v>11.46826032</v>
      </c>
      <c r="S1078" s="7" t="n">
        <v>0.4660969454</v>
      </c>
    </row>
    <row r="1079" customFormat="false" ht="15" hidden="false" customHeight="false" outlineLevel="0" collapsed="false">
      <c r="A1079" s="5" t="s">
        <v>4</v>
      </c>
      <c r="B1079" s="5" t="s">
        <v>80</v>
      </c>
      <c r="C1079" s="5" t="s">
        <v>62</v>
      </c>
      <c r="D1079" s="2" t="n">
        <v>20</v>
      </c>
      <c r="E1079" s="5" t="s">
        <v>164</v>
      </c>
      <c r="F1079" s="5" t="s">
        <v>167</v>
      </c>
      <c r="G1079" s="2" t="n">
        <v>1</v>
      </c>
      <c r="H1079" s="7" t="n">
        <v>0.5128615807</v>
      </c>
      <c r="I1079" s="7" t="n">
        <v>0.858466739</v>
      </c>
      <c r="J1079" s="7" t="n">
        <v>0.002803026919</v>
      </c>
      <c r="K1079" s="7" t="n">
        <v>-0.8584128234</v>
      </c>
      <c r="L1079" s="7" t="n">
        <v>0.5128620181</v>
      </c>
      <c r="M1079" s="7" t="n">
        <v>-0.009998753332</v>
      </c>
      <c r="N1079" s="7" t="n">
        <v>-0.01002116321</v>
      </c>
      <c r="O1079" s="7" t="n">
        <v>0.002721822188</v>
      </c>
      <c r="P1079" s="7" t="n">
        <v>0.9999460825</v>
      </c>
      <c r="Q1079" s="7" t="n">
        <v>-10.01041946</v>
      </c>
      <c r="R1079" s="7" t="n">
        <v>11.46826032</v>
      </c>
      <c r="S1079" s="7" t="n">
        <v>0.4660969454</v>
      </c>
    </row>
    <row r="1080" customFormat="false" ht="15" hidden="false" customHeight="false" outlineLevel="0" collapsed="false">
      <c r="A1080" s="5" t="s">
        <v>4</v>
      </c>
      <c r="B1080" s="5" t="s">
        <v>80</v>
      </c>
      <c r="C1080" s="5" t="s">
        <v>58</v>
      </c>
      <c r="D1080" s="2" t="n">
        <v>20</v>
      </c>
      <c r="E1080" s="5" t="s">
        <v>164</v>
      </c>
      <c r="F1080" s="5" t="s">
        <v>168</v>
      </c>
      <c r="G1080" s="2" t="n">
        <v>1</v>
      </c>
      <c r="H1080" s="7" t="n">
        <v>-0.8132794591</v>
      </c>
      <c r="I1080" s="7" t="n">
        <v>0.581808424</v>
      </c>
      <c r="J1080" s="7" t="n">
        <v>-0.008687876059</v>
      </c>
      <c r="K1080" s="7" t="n">
        <v>-0.5818002288</v>
      </c>
      <c r="L1080" s="7" t="n">
        <v>-0.8133232955</v>
      </c>
      <c r="M1080" s="7" t="n">
        <v>-0.003702791903</v>
      </c>
      <c r="N1080" s="7" t="n">
        <v>-0.009220367509</v>
      </c>
      <c r="O1080" s="7" t="n">
        <v>0.002043203683</v>
      </c>
      <c r="P1080" s="7" t="n">
        <v>0.9999554041</v>
      </c>
      <c r="Q1080" s="7" t="n">
        <v>16.63705598</v>
      </c>
      <c r="R1080" s="7" t="n">
        <v>12.63173602</v>
      </c>
      <c r="S1080" s="7" t="n">
        <v>1.496208081</v>
      </c>
    </row>
    <row r="1081" customFormat="false" ht="15" hidden="false" customHeight="false" outlineLevel="0" collapsed="false">
      <c r="A1081" s="5" t="s">
        <v>4</v>
      </c>
      <c r="B1081" s="5" t="s">
        <v>80</v>
      </c>
      <c r="C1081" s="5" t="s">
        <v>62</v>
      </c>
      <c r="D1081" s="2" t="n">
        <v>20</v>
      </c>
      <c r="E1081" s="5" t="s">
        <v>164</v>
      </c>
      <c r="F1081" s="5" t="s">
        <v>168</v>
      </c>
      <c r="G1081" s="2" t="n">
        <v>1</v>
      </c>
      <c r="H1081" s="7" t="n">
        <v>-0.8132794591</v>
      </c>
      <c r="I1081" s="7" t="n">
        <v>0.581808424</v>
      </c>
      <c r="J1081" s="7" t="n">
        <v>-0.008687876059</v>
      </c>
      <c r="K1081" s="7" t="n">
        <v>-0.5818002288</v>
      </c>
      <c r="L1081" s="7" t="n">
        <v>-0.8133232955</v>
      </c>
      <c r="M1081" s="7" t="n">
        <v>-0.003702791903</v>
      </c>
      <c r="N1081" s="7" t="n">
        <v>-0.009220367509</v>
      </c>
      <c r="O1081" s="7" t="n">
        <v>0.002043203683</v>
      </c>
      <c r="P1081" s="7" t="n">
        <v>0.9999554041</v>
      </c>
      <c r="Q1081" s="7" t="n">
        <v>16.63705598</v>
      </c>
      <c r="R1081" s="7" t="n">
        <v>12.63173602</v>
      </c>
      <c r="S1081" s="7" t="n">
        <v>1.496208081</v>
      </c>
    </row>
    <row r="1082" customFormat="false" ht="15" hidden="false" customHeight="false" outlineLevel="0" collapsed="false">
      <c r="A1082" s="5" t="s">
        <v>4</v>
      </c>
      <c r="B1082" s="5" t="s">
        <v>80</v>
      </c>
      <c r="C1082" s="5" t="s">
        <v>58</v>
      </c>
      <c r="D1082" s="2" t="n">
        <v>11</v>
      </c>
      <c r="E1082" s="5" t="s">
        <v>165</v>
      </c>
      <c r="F1082" s="5" t="s">
        <v>166</v>
      </c>
      <c r="G1082" s="2" t="n">
        <v>1</v>
      </c>
      <c r="H1082" s="7" t="n">
        <v>0.9967527113</v>
      </c>
      <c r="I1082" s="7" t="n">
        <v>0.0801679282</v>
      </c>
      <c r="J1082" s="7" t="n">
        <v>-0.007558826506</v>
      </c>
      <c r="K1082" s="7" t="n">
        <v>-0.08016725953</v>
      </c>
      <c r="L1082" s="7" t="n">
        <v>0.9967813486</v>
      </c>
      <c r="M1082" s="7" t="n">
        <v>0.0003918981383</v>
      </c>
      <c r="N1082" s="7" t="n">
        <v>0.00756591494</v>
      </c>
      <c r="O1082" s="7" t="n">
        <v>0.0002153448743</v>
      </c>
      <c r="P1082" s="7" t="n">
        <v>0.9999713549</v>
      </c>
      <c r="Q1082" s="7" t="n">
        <v>14.35273186</v>
      </c>
      <c r="R1082" s="7" t="n">
        <v>5.835254782</v>
      </c>
      <c r="S1082" s="7" t="n">
        <v>0.7451732768</v>
      </c>
    </row>
    <row r="1083" customFormat="false" ht="15" hidden="false" customHeight="false" outlineLevel="0" collapsed="false">
      <c r="A1083" s="5" t="s">
        <v>4</v>
      </c>
      <c r="B1083" s="5" t="s">
        <v>80</v>
      </c>
      <c r="C1083" s="5" t="s">
        <v>62</v>
      </c>
      <c r="D1083" s="2" t="n">
        <v>11</v>
      </c>
      <c r="E1083" s="5" t="s">
        <v>165</v>
      </c>
      <c r="F1083" s="5" t="s">
        <v>166</v>
      </c>
      <c r="G1083" s="2" t="n">
        <v>1</v>
      </c>
      <c r="H1083" s="7" t="n">
        <v>0.9967527113</v>
      </c>
      <c r="I1083" s="7" t="n">
        <v>0.0801679282</v>
      </c>
      <c r="J1083" s="7" t="n">
        <v>-0.007558826506</v>
      </c>
      <c r="K1083" s="7" t="n">
        <v>-0.08016725953</v>
      </c>
      <c r="L1083" s="7" t="n">
        <v>0.9967813486</v>
      </c>
      <c r="M1083" s="7" t="n">
        <v>0.0003918981383</v>
      </c>
      <c r="N1083" s="7" t="n">
        <v>0.00756591494</v>
      </c>
      <c r="O1083" s="7" t="n">
        <v>0.0002153448743</v>
      </c>
      <c r="P1083" s="7" t="n">
        <v>0.9999713549</v>
      </c>
      <c r="Q1083" s="7" t="n">
        <v>14.35273186</v>
      </c>
      <c r="R1083" s="7" t="n">
        <v>5.835254782</v>
      </c>
      <c r="S1083" s="7" t="n">
        <v>0.7451732768</v>
      </c>
    </row>
    <row r="1084" customFormat="false" ht="15" hidden="false" customHeight="false" outlineLevel="0" collapsed="false">
      <c r="A1084" s="5" t="s">
        <v>4</v>
      </c>
      <c r="B1084" s="5" t="s">
        <v>80</v>
      </c>
      <c r="C1084" s="5" t="s">
        <v>58</v>
      </c>
      <c r="D1084" s="2" t="n">
        <v>11</v>
      </c>
      <c r="E1084" s="5" t="s">
        <v>165</v>
      </c>
      <c r="F1084" s="5" t="s">
        <v>167</v>
      </c>
      <c r="G1084" s="2" t="n">
        <v>1</v>
      </c>
      <c r="H1084" s="7" t="n">
        <v>-0.1357056774</v>
      </c>
      <c r="I1084" s="7" t="n">
        <v>-0.9906677639</v>
      </c>
      <c r="J1084" s="7" t="n">
        <v>-0.01270238689</v>
      </c>
      <c r="K1084" s="7" t="n">
        <v>0.9907129163</v>
      </c>
      <c r="L1084" s="7" t="n">
        <v>-0.1355798354</v>
      </c>
      <c r="M1084" s="7" t="n">
        <v>-0.01029688109</v>
      </c>
      <c r="N1084" s="7" t="n">
        <v>0.00847860064</v>
      </c>
      <c r="O1084" s="7" t="n">
        <v>-0.01398176399</v>
      </c>
      <c r="P1084" s="7" t="n">
        <v>0.9998663029</v>
      </c>
      <c r="Q1084" s="7" t="n">
        <v>-13.99629952</v>
      </c>
      <c r="R1084" s="7" t="n">
        <v>12.38659494</v>
      </c>
      <c r="S1084" s="7" t="n">
        <v>0.2122815307</v>
      </c>
    </row>
    <row r="1085" customFormat="false" ht="15" hidden="false" customHeight="false" outlineLevel="0" collapsed="false">
      <c r="A1085" s="5" t="s">
        <v>4</v>
      </c>
      <c r="B1085" s="5" t="s">
        <v>80</v>
      </c>
      <c r="C1085" s="5" t="s">
        <v>62</v>
      </c>
      <c r="D1085" s="2" t="n">
        <v>11</v>
      </c>
      <c r="E1085" s="5" t="s">
        <v>165</v>
      </c>
      <c r="F1085" s="5" t="s">
        <v>167</v>
      </c>
      <c r="G1085" s="2" t="n">
        <v>1</v>
      </c>
      <c r="H1085" s="7" t="n">
        <v>-0.1357056774</v>
      </c>
      <c r="I1085" s="7" t="n">
        <v>-0.9906677639</v>
      </c>
      <c r="J1085" s="7" t="n">
        <v>-0.01270238689</v>
      </c>
      <c r="K1085" s="7" t="n">
        <v>0.9907129163</v>
      </c>
      <c r="L1085" s="7" t="n">
        <v>-0.1355798354</v>
      </c>
      <c r="M1085" s="7" t="n">
        <v>-0.01029688109</v>
      </c>
      <c r="N1085" s="7" t="n">
        <v>0.00847860064</v>
      </c>
      <c r="O1085" s="7" t="n">
        <v>-0.01398176399</v>
      </c>
      <c r="P1085" s="7" t="n">
        <v>0.9998663029</v>
      </c>
      <c r="Q1085" s="7" t="n">
        <v>-13.99629952</v>
      </c>
      <c r="R1085" s="7" t="n">
        <v>12.38659494</v>
      </c>
      <c r="S1085" s="7" t="n">
        <v>0.2122815307</v>
      </c>
    </row>
    <row r="1086" customFormat="false" ht="15" hidden="false" customHeight="false" outlineLevel="0" collapsed="false">
      <c r="A1086" s="5" t="s">
        <v>4</v>
      </c>
      <c r="B1086" s="5" t="s">
        <v>80</v>
      </c>
      <c r="C1086" s="5" t="s">
        <v>58</v>
      </c>
      <c r="D1086" s="2" t="n">
        <v>11</v>
      </c>
      <c r="E1086" s="5" t="s">
        <v>165</v>
      </c>
      <c r="F1086" s="5" t="s">
        <v>168</v>
      </c>
      <c r="G1086" s="2" t="n">
        <v>1</v>
      </c>
      <c r="H1086" s="7" t="n">
        <v>0.9763744587</v>
      </c>
      <c r="I1086" s="7" t="n">
        <v>-0.21604393</v>
      </c>
      <c r="J1086" s="7" t="n">
        <v>-0.004235166758</v>
      </c>
      <c r="K1086" s="7" t="n">
        <v>0.2160260632</v>
      </c>
      <c r="L1086" s="7" t="n">
        <v>0.9763781062</v>
      </c>
      <c r="M1086" s="7" t="n">
        <v>-0.004305075696</v>
      </c>
      <c r="N1086" s="7" t="n">
        <v>0.005065209571</v>
      </c>
      <c r="O1086" s="7" t="n">
        <v>0.003288459551</v>
      </c>
      <c r="P1086" s="7" t="n">
        <v>0.9999817647</v>
      </c>
      <c r="Q1086" s="7" t="n">
        <v>17.246744</v>
      </c>
      <c r="R1086" s="7" t="n">
        <v>16.64485997</v>
      </c>
      <c r="S1086" s="7" t="n">
        <v>1.488287774</v>
      </c>
    </row>
    <row r="1087" customFormat="false" ht="15" hidden="false" customHeight="false" outlineLevel="0" collapsed="false">
      <c r="A1087" s="5" t="s">
        <v>4</v>
      </c>
      <c r="B1087" s="5" t="s">
        <v>80</v>
      </c>
      <c r="C1087" s="5" t="s">
        <v>62</v>
      </c>
      <c r="D1087" s="2" t="n">
        <v>11</v>
      </c>
      <c r="E1087" s="5" t="s">
        <v>165</v>
      </c>
      <c r="F1087" s="5" t="s">
        <v>168</v>
      </c>
      <c r="G1087" s="2" t="n">
        <v>1</v>
      </c>
      <c r="H1087" s="7" t="n">
        <v>0.9763744587</v>
      </c>
      <c r="I1087" s="7" t="n">
        <v>-0.21604393</v>
      </c>
      <c r="J1087" s="7" t="n">
        <v>-0.004235166758</v>
      </c>
      <c r="K1087" s="7" t="n">
        <v>0.2160260632</v>
      </c>
      <c r="L1087" s="7" t="n">
        <v>0.9763781062</v>
      </c>
      <c r="M1087" s="7" t="n">
        <v>-0.004305075696</v>
      </c>
      <c r="N1087" s="7" t="n">
        <v>0.005065209571</v>
      </c>
      <c r="O1087" s="7" t="n">
        <v>0.003288459551</v>
      </c>
      <c r="P1087" s="7" t="n">
        <v>0.9999817647</v>
      </c>
      <c r="Q1087" s="7" t="n">
        <v>17.246744</v>
      </c>
      <c r="R1087" s="7" t="n">
        <v>16.64485997</v>
      </c>
      <c r="S1087" s="7" t="n">
        <v>1.488287774</v>
      </c>
    </row>
    <row r="1088" customFormat="false" ht="15" hidden="false" customHeight="false" outlineLevel="0" collapsed="false">
      <c r="A1088" s="5" t="s">
        <v>4</v>
      </c>
      <c r="B1088" s="5" t="s">
        <v>80</v>
      </c>
      <c r="C1088" s="5" t="s">
        <v>58</v>
      </c>
      <c r="D1088" s="2" t="n">
        <v>12</v>
      </c>
      <c r="E1088" s="5" t="s">
        <v>165</v>
      </c>
      <c r="F1088" s="5" t="s">
        <v>166</v>
      </c>
      <c r="G1088" s="2" t="n">
        <v>1</v>
      </c>
      <c r="H1088" s="7" t="n">
        <v>0.9966968753</v>
      </c>
      <c r="I1088" s="7" t="n">
        <v>0.08067742621</v>
      </c>
      <c r="J1088" s="7" t="n">
        <v>-0.009300086921</v>
      </c>
      <c r="K1088" s="7" t="n">
        <v>-0.08063314745</v>
      </c>
      <c r="L1088" s="7" t="n">
        <v>0.9967310929</v>
      </c>
      <c r="M1088" s="7" t="n">
        <v>0.005042220634</v>
      </c>
      <c r="N1088" s="7" t="n">
        <v>0.009676479184</v>
      </c>
      <c r="O1088" s="7" t="n">
        <v>-0.00427567027</v>
      </c>
      <c r="P1088" s="7" t="n">
        <v>0.9999440406</v>
      </c>
      <c r="Q1088" s="7" t="n">
        <v>14.39199987</v>
      </c>
      <c r="R1088" s="7" t="n">
        <v>5.817746344</v>
      </c>
      <c r="S1088" s="7" t="n">
        <v>0.7328893272</v>
      </c>
    </row>
    <row r="1089" customFormat="false" ht="15" hidden="false" customHeight="false" outlineLevel="0" collapsed="false">
      <c r="A1089" s="5" t="s">
        <v>4</v>
      </c>
      <c r="B1089" s="5" t="s">
        <v>80</v>
      </c>
      <c r="C1089" s="5" t="s">
        <v>62</v>
      </c>
      <c r="D1089" s="2" t="n">
        <v>12</v>
      </c>
      <c r="E1089" s="5" t="s">
        <v>165</v>
      </c>
      <c r="F1089" s="5" t="s">
        <v>166</v>
      </c>
      <c r="G1089" s="2" t="n">
        <v>1</v>
      </c>
      <c r="H1089" s="7" t="n">
        <v>0.9966968753</v>
      </c>
      <c r="I1089" s="7" t="n">
        <v>0.08067742621</v>
      </c>
      <c r="J1089" s="7" t="n">
        <v>-0.009300086921</v>
      </c>
      <c r="K1089" s="7" t="n">
        <v>-0.08063314745</v>
      </c>
      <c r="L1089" s="7" t="n">
        <v>0.9967310929</v>
      </c>
      <c r="M1089" s="7" t="n">
        <v>0.005042220634</v>
      </c>
      <c r="N1089" s="7" t="n">
        <v>0.009676479184</v>
      </c>
      <c r="O1089" s="7" t="n">
        <v>-0.00427567027</v>
      </c>
      <c r="P1089" s="7" t="n">
        <v>0.9999440406</v>
      </c>
      <c r="Q1089" s="7" t="n">
        <v>14.39199987</v>
      </c>
      <c r="R1089" s="7" t="n">
        <v>5.817746344</v>
      </c>
      <c r="S1089" s="7" t="n">
        <v>0.7328893272</v>
      </c>
    </row>
    <row r="1090" customFormat="false" ht="15" hidden="false" customHeight="false" outlineLevel="0" collapsed="false">
      <c r="A1090" s="5" t="s">
        <v>4</v>
      </c>
      <c r="B1090" s="5" t="s">
        <v>80</v>
      </c>
      <c r="C1090" s="5" t="s">
        <v>58</v>
      </c>
      <c r="D1090" s="2" t="n">
        <v>12</v>
      </c>
      <c r="E1090" s="5" t="s">
        <v>165</v>
      </c>
      <c r="F1090" s="5" t="s">
        <v>167</v>
      </c>
      <c r="G1090" s="2" t="n">
        <v>1</v>
      </c>
      <c r="H1090" s="7" t="n">
        <v>-0.1375157982</v>
      </c>
      <c r="I1090" s="7" t="n">
        <v>-0.9904922721</v>
      </c>
      <c r="J1090" s="7" t="n">
        <v>0.003803162898</v>
      </c>
      <c r="K1090" s="7" t="n">
        <v>0.9904893593</v>
      </c>
      <c r="L1090" s="7" t="n">
        <v>-0.1375308038</v>
      </c>
      <c r="M1090" s="7" t="n">
        <v>-0.004013372754</v>
      </c>
      <c r="N1090" s="7" t="n">
        <v>0.004498266748</v>
      </c>
      <c r="O1090" s="7" t="n">
        <v>0.003215090225</v>
      </c>
      <c r="P1090" s="7" t="n">
        <v>0.9999847143</v>
      </c>
      <c r="Q1090" s="7" t="n">
        <v>-13.99087441</v>
      </c>
      <c r="R1090" s="7" t="n">
        <v>12.37838208</v>
      </c>
      <c r="S1090" s="7" t="n">
        <v>0.3348489765</v>
      </c>
    </row>
    <row r="1091" customFormat="false" ht="15" hidden="false" customHeight="false" outlineLevel="0" collapsed="false">
      <c r="A1091" s="5" t="s">
        <v>4</v>
      </c>
      <c r="B1091" s="5" t="s">
        <v>80</v>
      </c>
      <c r="C1091" s="5" t="s">
        <v>62</v>
      </c>
      <c r="D1091" s="2" t="n">
        <v>12</v>
      </c>
      <c r="E1091" s="5" t="s">
        <v>165</v>
      </c>
      <c r="F1091" s="5" t="s">
        <v>167</v>
      </c>
      <c r="G1091" s="2" t="n">
        <v>1</v>
      </c>
      <c r="H1091" s="7" t="n">
        <v>-0.1375157982</v>
      </c>
      <c r="I1091" s="7" t="n">
        <v>-0.9904922721</v>
      </c>
      <c r="J1091" s="7" t="n">
        <v>0.003803162898</v>
      </c>
      <c r="K1091" s="7" t="n">
        <v>0.9904893593</v>
      </c>
      <c r="L1091" s="7" t="n">
        <v>-0.1375308038</v>
      </c>
      <c r="M1091" s="7" t="n">
        <v>-0.004013372754</v>
      </c>
      <c r="N1091" s="7" t="n">
        <v>0.004498266748</v>
      </c>
      <c r="O1091" s="7" t="n">
        <v>0.003215090225</v>
      </c>
      <c r="P1091" s="7" t="n">
        <v>0.9999847143</v>
      </c>
      <c r="Q1091" s="7" t="n">
        <v>-13.99087441</v>
      </c>
      <c r="R1091" s="7" t="n">
        <v>12.37838208</v>
      </c>
      <c r="S1091" s="7" t="n">
        <v>0.3348489765</v>
      </c>
    </row>
    <row r="1092" customFormat="false" ht="15" hidden="false" customHeight="false" outlineLevel="0" collapsed="false">
      <c r="A1092" s="5" t="s">
        <v>4</v>
      </c>
      <c r="B1092" s="5" t="s">
        <v>80</v>
      </c>
      <c r="C1092" s="5" t="s">
        <v>58</v>
      </c>
      <c r="D1092" s="2" t="n">
        <v>12</v>
      </c>
      <c r="E1092" s="5" t="s">
        <v>165</v>
      </c>
      <c r="F1092" s="5" t="s">
        <v>168</v>
      </c>
      <c r="G1092" s="2" t="n">
        <v>1</v>
      </c>
      <c r="H1092" s="7" t="n">
        <v>0.9762754942</v>
      </c>
      <c r="I1092" s="7" t="n">
        <v>-0.2164912875</v>
      </c>
      <c r="J1092" s="7" t="n">
        <v>-0.004204978264</v>
      </c>
      <c r="K1092" s="7" t="n">
        <v>0.2164529255</v>
      </c>
      <c r="L1092" s="7" t="n">
        <v>0.9762595658</v>
      </c>
      <c r="M1092" s="7" t="n">
        <v>-0.008086483522</v>
      </c>
      <c r="N1092" s="7" t="n">
        <v>0.005855803483</v>
      </c>
      <c r="O1092" s="7" t="n">
        <v>0.00698445585</v>
      </c>
      <c r="P1092" s="7" t="n">
        <v>0.9999584626</v>
      </c>
      <c r="Q1092" s="7" t="n">
        <v>17.22495172</v>
      </c>
      <c r="R1092" s="7" t="n">
        <v>16.64810233</v>
      </c>
      <c r="S1092" s="7" t="n">
        <v>1.538298719</v>
      </c>
    </row>
    <row r="1093" customFormat="false" ht="15" hidden="false" customHeight="false" outlineLevel="0" collapsed="false">
      <c r="A1093" s="5" t="s">
        <v>4</v>
      </c>
      <c r="B1093" s="5" t="s">
        <v>80</v>
      </c>
      <c r="C1093" s="5" t="s">
        <v>62</v>
      </c>
      <c r="D1093" s="2" t="n">
        <v>12</v>
      </c>
      <c r="E1093" s="5" t="s">
        <v>165</v>
      </c>
      <c r="F1093" s="5" t="s">
        <v>168</v>
      </c>
      <c r="G1093" s="2" t="n">
        <v>1</v>
      </c>
      <c r="H1093" s="7" t="n">
        <v>0.9763064901</v>
      </c>
      <c r="I1093" s="7" t="n">
        <v>-0.2161373127</v>
      </c>
      <c r="J1093" s="7" t="n">
        <v>-0.01050235369</v>
      </c>
      <c r="K1093" s="7" t="n">
        <v>0.2160964649</v>
      </c>
      <c r="L1093" s="7" t="n">
        <v>0.9763597555</v>
      </c>
      <c r="M1093" s="7" t="n">
        <v>-0.004893439646</v>
      </c>
      <c r="N1093" s="7" t="n">
        <v>0.01131173038</v>
      </c>
      <c r="O1093" s="7" t="n">
        <v>0.00250797538</v>
      </c>
      <c r="P1093" s="7" t="n">
        <v>0.9999328752</v>
      </c>
      <c r="Q1093" s="7" t="n">
        <v>17.22938769</v>
      </c>
      <c r="R1093" s="7" t="n">
        <v>16.65460701</v>
      </c>
      <c r="S1093" s="7" t="n">
        <v>1.492728778</v>
      </c>
    </row>
    <row r="1094" customFormat="false" ht="15" hidden="false" customHeight="false" outlineLevel="0" collapsed="false">
      <c r="A1094" s="5" t="s">
        <v>4</v>
      </c>
      <c r="B1094" s="5" t="s">
        <v>80</v>
      </c>
      <c r="C1094" s="5" t="s">
        <v>58</v>
      </c>
      <c r="D1094" s="2" t="n">
        <v>13</v>
      </c>
      <c r="E1094" s="5" t="s">
        <v>165</v>
      </c>
      <c r="F1094" s="5" t="s">
        <v>166</v>
      </c>
      <c r="G1094" s="2" t="n">
        <v>1</v>
      </c>
      <c r="H1094" s="7" t="n">
        <v>0.9968487681</v>
      </c>
      <c r="I1094" s="7" t="n">
        <v>0.07927349636</v>
      </c>
      <c r="J1094" s="7" t="n">
        <v>-0.002871631795</v>
      </c>
      <c r="K1094" s="7" t="n">
        <v>-0.07929057955</v>
      </c>
      <c r="L1094" s="7" t="n">
        <v>0.9968308389</v>
      </c>
      <c r="M1094" s="7" t="n">
        <v>-0.006425152696</v>
      </c>
      <c r="N1094" s="7" t="n">
        <v>0.002353186812</v>
      </c>
      <c r="O1094" s="7" t="n">
        <v>0.006632598899</v>
      </c>
      <c r="P1094" s="7" t="n">
        <v>0.9999752353</v>
      </c>
      <c r="Q1094" s="7" t="n">
        <v>14.37628911</v>
      </c>
      <c r="R1094" s="7" t="n">
        <v>5.817919345</v>
      </c>
      <c r="S1094" s="7" t="n">
        <v>0.7583146759</v>
      </c>
    </row>
    <row r="1095" customFormat="false" ht="15" hidden="false" customHeight="false" outlineLevel="0" collapsed="false">
      <c r="A1095" s="5" t="s">
        <v>4</v>
      </c>
      <c r="B1095" s="5" t="s">
        <v>80</v>
      </c>
      <c r="C1095" s="5" t="s">
        <v>62</v>
      </c>
      <c r="D1095" s="2" t="n">
        <v>13</v>
      </c>
      <c r="E1095" s="5" t="s">
        <v>165</v>
      </c>
      <c r="F1095" s="5" t="s">
        <v>166</v>
      </c>
      <c r="G1095" s="2" t="n">
        <v>1</v>
      </c>
      <c r="H1095" s="7" t="n">
        <v>0.9968487681</v>
      </c>
      <c r="I1095" s="7" t="n">
        <v>0.07927349636</v>
      </c>
      <c r="J1095" s="7" t="n">
        <v>-0.002871631795</v>
      </c>
      <c r="K1095" s="7" t="n">
        <v>-0.07929057955</v>
      </c>
      <c r="L1095" s="7" t="n">
        <v>0.9968308389</v>
      </c>
      <c r="M1095" s="7" t="n">
        <v>-0.006425152696</v>
      </c>
      <c r="N1095" s="7" t="n">
        <v>0.002353186812</v>
      </c>
      <c r="O1095" s="7" t="n">
        <v>0.006632598899</v>
      </c>
      <c r="P1095" s="7" t="n">
        <v>0.9999752353</v>
      </c>
      <c r="Q1095" s="7" t="n">
        <v>14.37628911</v>
      </c>
      <c r="R1095" s="7" t="n">
        <v>5.817919345</v>
      </c>
      <c r="S1095" s="7" t="n">
        <v>0.7583146759</v>
      </c>
    </row>
    <row r="1096" customFormat="false" ht="15" hidden="false" customHeight="false" outlineLevel="0" collapsed="false">
      <c r="A1096" s="5" t="s">
        <v>4</v>
      </c>
      <c r="B1096" s="5" t="s">
        <v>80</v>
      </c>
      <c r="C1096" s="5" t="s">
        <v>58</v>
      </c>
      <c r="D1096" s="2" t="n">
        <v>13</v>
      </c>
      <c r="E1096" s="5" t="s">
        <v>165</v>
      </c>
      <c r="F1096" s="5" t="s">
        <v>167</v>
      </c>
      <c r="G1096" s="2" t="n">
        <v>1</v>
      </c>
      <c r="H1096" s="7" t="n">
        <v>-0.1346792785</v>
      </c>
      <c r="I1096" s="7" t="n">
        <v>-0.9908852148</v>
      </c>
      <c r="J1096" s="7" t="n">
        <v>-0.002825437562</v>
      </c>
      <c r="K1096" s="7" t="n">
        <v>0.990867386</v>
      </c>
      <c r="L1096" s="7" t="n">
        <v>-0.1346568213</v>
      </c>
      <c r="M1096" s="7" t="n">
        <v>-0.00702593811</v>
      </c>
      <c r="N1096" s="7" t="n">
        <v>0.006581433752</v>
      </c>
      <c r="O1096" s="7" t="n">
        <v>-0.003745882207</v>
      </c>
      <c r="P1096" s="7" t="n">
        <v>0.9999713261</v>
      </c>
      <c r="Q1096" s="7" t="n">
        <v>-13.98429856</v>
      </c>
      <c r="R1096" s="7" t="n">
        <v>12.42018363</v>
      </c>
      <c r="S1096" s="7" t="n">
        <v>0.249940338</v>
      </c>
    </row>
    <row r="1097" customFormat="false" ht="15" hidden="false" customHeight="false" outlineLevel="0" collapsed="false">
      <c r="A1097" s="5" t="s">
        <v>4</v>
      </c>
      <c r="B1097" s="5" t="s">
        <v>80</v>
      </c>
      <c r="C1097" s="5" t="s">
        <v>62</v>
      </c>
      <c r="D1097" s="2" t="n">
        <v>13</v>
      </c>
      <c r="E1097" s="5" t="s">
        <v>165</v>
      </c>
      <c r="F1097" s="5" t="s">
        <v>167</v>
      </c>
      <c r="G1097" s="2" t="n">
        <v>1</v>
      </c>
      <c r="H1097" s="7" t="n">
        <v>-0.1346792785</v>
      </c>
      <c r="I1097" s="7" t="n">
        <v>-0.9908852148</v>
      </c>
      <c r="J1097" s="7" t="n">
        <v>-0.002825437562</v>
      </c>
      <c r="K1097" s="7" t="n">
        <v>0.990867386</v>
      </c>
      <c r="L1097" s="7" t="n">
        <v>-0.1346568213</v>
      </c>
      <c r="M1097" s="7" t="n">
        <v>-0.00702593811</v>
      </c>
      <c r="N1097" s="7" t="n">
        <v>0.006581433752</v>
      </c>
      <c r="O1097" s="7" t="n">
        <v>-0.003745882207</v>
      </c>
      <c r="P1097" s="7" t="n">
        <v>0.9999713261</v>
      </c>
      <c r="Q1097" s="7" t="n">
        <v>-13.98429856</v>
      </c>
      <c r="R1097" s="7" t="n">
        <v>12.42018363</v>
      </c>
      <c r="S1097" s="7" t="n">
        <v>0.249940338</v>
      </c>
    </row>
    <row r="1098" customFormat="false" ht="15" hidden="false" customHeight="false" outlineLevel="0" collapsed="false">
      <c r="A1098" s="5" t="s">
        <v>4</v>
      </c>
      <c r="B1098" s="5" t="s">
        <v>80</v>
      </c>
      <c r="C1098" s="5" t="s">
        <v>58</v>
      </c>
      <c r="D1098" s="2" t="n">
        <v>13</v>
      </c>
      <c r="E1098" s="5" t="s">
        <v>165</v>
      </c>
      <c r="F1098" s="5" t="s">
        <v>168</v>
      </c>
      <c r="G1098" s="2" t="n">
        <v>1</v>
      </c>
      <c r="H1098" s="7" t="n">
        <v>0.9754055982</v>
      </c>
      <c r="I1098" s="7" t="n">
        <v>-0.220193612</v>
      </c>
      <c r="J1098" s="7" t="n">
        <v>-0.009934394526</v>
      </c>
      <c r="K1098" s="7" t="n">
        <v>0.2200606026</v>
      </c>
      <c r="L1098" s="7" t="n">
        <v>0.9754003353</v>
      </c>
      <c r="M1098" s="7" t="n">
        <v>-0.01294283812</v>
      </c>
      <c r="N1098" s="7" t="n">
        <v>0.01253994203</v>
      </c>
      <c r="O1098" s="7" t="n">
        <v>0.01043834791</v>
      </c>
      <c r="P1098" s="7" t="n">
        <v>0.9998668865</v>
      </c>
      <c r="Q1098" s="7" t="n">
        <v>17.18558026</v>
      </c>
      <c r="R1098" s="7" t="n">
        <v>16.65755908</v>
      </c>
      <c r="S1098" s="7" t="n">
        <v>1.623724137</v>
      </c>
    </row>
    <row r="1099" customFormat="false" ht="15" hidden="false" customHeight="false" outlineLevel="0" collapsed="false">
      <c r="A1099" s="5" t="s">
        <v>4</v>
      </c>
      <c r="B1099" s="5" t="s">
        <v>80</v>
      </c>
      <c r="C1099" s="5" t="s">
        <v>62</v>
      </c>
      <c r="D1099" s="2" t="n">
        <v>13</v>
      </c>
      <c r="E1099" s="5" t="s">
        <v>165</v>
      </c>
      <c r="F1099" s="5" t="s">
        <v>168</v>
      </c>
      <c r="G1099" s="2" t="n">
        <v>1</v>
      </c>
      <c r="H1099" s="7" t="n">
        <v>0.9754055982</v>
      </c>
      <c r="I1099" s="7" t="n">
        <v>-0.220193612</v>
      </c>
      <c r="J1099" s="7" t="n">
        <v>-0.009934394526</v>
      </c>
      <c r="K1099" s="7" t="n">
        <v>0.2200606026</v>
      </c>
      <c r="L1099" s="7" t="n">
        <v>0.9754003353</v>
      </c>
      <c r="M1099" s="7" t="n">
        <v>-0.01294283812</v>
      </c>
      <c r="N1099" s="7" t="n">
        <v>0.01253994203</v>
      </c>
      <c r="O1099" s="7" t="n">
        <v>0.01043834791</v>
      </c>
      <c r="P1099" s="7" t="n">
        <v>0.9998668865</v>
      </c>
      <c r="Q1099" s="7" t="n">
        <v>17.18558026</v>
      </c>
      <c r="R1099" s="7" t="n">
        <v>16.65755908</v>
      </c>
      <c r="S1099" s="7" t="n">
        <v>1.623724137</v>
      </c>
    </row>
    <row r="1100" customFormat="false" ht="15" hidden="false" customHeight="false" outlineLevel="0" collapsed="false">
      <c r="A1100" s="5" t="s">
        <v>4</v>
      </c>
      <c r="B1100" s="5" t="s">
        <v>80</v>
      </c>
      <c r="C1100" s="5" t="s">
        <v>58</v>
      </c>
      <c r="D1100" s="2" t="n">
        <v>14</v>
      </c>
      <c r="E1100" s="5" t="s">
        <v>165</v>
      </c>
      <c r="F1100" s="5" t="s">
        <v>166</v>
      </c>
      <c r="G1100" s="2" t="n">
        <v>1</v>
      </c>
      <c r="H1100" s="7" t="n">
        <v>0.9966279716</v>
      </c>
      <c r="I1100" s="7" t="n">
        <v>0.08150568585</v>
      </c>
      <c r="J1100" s="7" t="n">
        <v>-0.00946093947</v>
      </c>
      <c r="K1100" s="7" t="n">
        <v>-0.08144938608</v>
      </c>
      <c r="L1100" s="7" t="n">
        <v>0.9966582476</v>
      </c>
      <c r="M1100" s="7" t="n">
        <v>0.006191520303</v>
      </c>
      <c r="N1100" s="7" t="n">
        <v>0.009933967462</v>
      </c>
      <c r="O1100" s="7" t="n">
        <v>-0.005400054609</v>
      </c>
      <c r="P1100" s="7" t="n">
        <v>0.9999360758</v>
      </c>
      <c r="Q1100" s="7" t="n">
        <v>14.37350345</v>
      </c>
      <c r="R1100" s="7" t="n">
        <v>5.838487968</v>
      </c>
      <c r="S1100" s="7" t="n">
        <v>0.7152722275</v>
      </c>
    </row>
    <row r="1101" customFormat="false" ht="15" hidden="false" customHeight="false" outlineLevel="0" collapsed="false">
      <c r="A1101" s="5" t="s">
        <v>4</v>
      </c>
      <c r="B1101" s="5" t="s">
        <v>80</v>
      </c>
      <c r="C1101" s="5" t="s">
        <v>62</v>
      </c>
      <c r="D1101" s="2" t="n">
        <v>14</v>
      </c>
      <c r="E1101" s="5" t="s">
        <v>165</v>
      </c>
      <c r="F1101" s="5" t="s">
        <v>166</v>
      </c>
      <c r="G1101" s="2" t="n">
        <v>1</v>
      </c>
      <c r="H1101" s="7" t="n">
        <v>0.9966279716</v>
      </c>
      <c r="I1101" s="7" t="n">
        <v>0.08150568585</v>
      </c>
      <c r="J1101" s="7" t="n">
        <v>-0.00946093947</v>
      </c>
      <c r="K1101" s="7" t="n">
        <v>-0.08144938608</v>
      </c>
      <c r="L1101" s="7" t="n">
        <v>0.9966582476</v>
      </c>
      <c r="M1101" s="7" t="n">
        <v>0.006191520303</v>
      </c>
      <c r="N1101" s="7" t="n">
        <v>0.009933967462</v>
      </c>
      <c r="O1101" s="7" t="n">
        <v>-0.005400054609</v>
      </c>
      <c r="P1101" s="7" t="n">
        <v>0.9999360758</v>
      </c>
      <c r="Q1101" s="7" t="n">
        <v>14.37350345</v>
      </c>
      <c r="R1101" s="7" t="n">
        <v>5.838487968</v>
      </c>
      <c r="S1101" s="7" t="n">
        <v>0.7152722275</v>
      </c>
    </row>
    <row r="1102" customFormat="false" ht="15" hidden="false" customHeight="false" outlineLevel="0" collapsed="false">
      <c r="A1102" s="5" t="s">
        <v>4</v>
      </c>
      <c r="B1102" s="5" t="s">
        <v>80</v>
      </c>
      <c r="C1102" s="5" t="s">
        <v>58</v>
      </c>
      <c r="D1102" s="2" t="n">
        <v>14</v>
      </c>
      <c r="E1102" s="5" t="s">
        <v>165</v>
      </c>
      <c r="F1102" s="5" t="s">
        <v>167</v>
      </c>
      <c r="G1102" s="2" t="n">
        <v>1</v>
      </c>
      <c r="H1102" s="7" t="n">
        <v>-0.1360011326</v>
      </c>
      <c r="I1102" s="7" t="n">
        <v>-0.9907052635</v>
      </c>
      <c r="J1102" s="7" t="n">
        <v>-0.002602467184</v>
      </c>
      <c r="K1102" s="7" t="n">
        <v>0.9907031026</v>
      </c>
      <c r="L1102" s="7" t="n">
        <v>-0.1359910817</v>
      </c>
      <c r="M1102" s="7" t="n">
        <v>-0.00371323815</v>
      </c>
      <c r="N1102" s="7" t="n">
        <v>0.003324812253</v>
      </c>
      <c r="O1102" s="7" t="n">
        <v>-0.003083276908</v>
      </c>
      <c r="P1102" s="7" t="n">
        <v>0.9999897195</v>
      </c>
      <c r="Q1102" s="7" t="n">
        <v>-13.98276871</v>
      </c>
      <c r="R1102" s="7" t="n">
        <v>12.39251126</v>
      </c>
      <c r="S1102" s="7" t="n">
        <v>0.2558828444</v>
      </c>
    </row>
    <row r="1103" customFormat="false" ht="15" hidden="false" customHeight="false" outlineLevel="0" collapsed="false">
      <c r="A1103" s="5" t="s">
        <v>4</v>
      </c>
      <c r="B1103" s="5" t="s">
        <v>80</v>
      </c>
      <c r="C1103" s="5" t="s">
        <v>62</v>
      </c>
      <c r="D1103" s="2" t="n">
        <v>14</v>
      </c>
      <c r="E1103" s="5" t="s">
        <v>165</v>
      </c>
      <c r="F1103" s="5" t="s">
        <v>167</v>
      </c>
      <c r="G1103" s="2" t="n">
        <v>1</v>
      </c>
      <c r="H1103" s="7" t="n">
        <v>-0.1360011326</v>
      </c>
      <c r="I1103" s="7" t="n">
        <v>-0.9907052635</v>
      </c>
      <c r="J1103" s="7" t="n">
        <v>-0.002602467184</v>
      </c>
      <c r="K1103" s="7" t="n">
        <v>0.9907031026</v>
      </c>
      <c r="L1103" s="7" t="n">
        <v>-0.1359910817</v>
      </c>
      <c r="M1103" s="7" t="n">
        <v>-0.00371323815</v>
      </c>
      <c r="N1103" s="7" t="n">
        <v>0.003324812253</v>
      </c>
      <c r="O1103" s="7" t="n">
        <v>-0.003083276908</v>
      </c>
      <c r="P1103" s="7" t="n">
        <v>0.9999897195</v>
      </c>
      <c r="Q1103" s="7" t="n">
        <v>-13.98276871</v>
      </c>
      <c r="R1103" s="7" t="n">
        <v>12.39251126</v>
      </c>
      <c r="S1103" s="7" t="n">
        <v>0.2558828444</v>
      </c>
    </row>
    <row r="1104" customFormat="false" ht="15" hidden="false" customHeight="false" outlineLevel="0" collapsed="false">
      <c r="A1104" s="5" t="s">
        <v>4</v>
      </c>
      <c r="B1104" s="5" t="s">
        <v>80</v>
      </c>
      <c r="C1104" s="5" t="s">
        <v>58</v>
      </c>
      <c r="D1104" s="2" t="n">
        <v>14</v>
      </c>
      <c r="E1104" s="5" t="s">
        <v>165</v>
      </c>
      <c r="F1104" s="5" t="s">
        <v>168</v>
      </c>
      <c r="G1104" s="2" t="n">
        <v>1</v>
      </c>
      <c r="H1104" s="7" t="n">
        <v>0.9766375093</v>
      </c>
      <c r="I1104" s="7" t="n">
        <v>-0.2148578985</v>
      </c>
      <c r="J1104" s="7" t="n">
        <v>-0.003906250916</v>
      </c>
      <c r="K1104" s="7" t="n">
        <v>0.2148448935</v>
      </c>
      <c r="L1104" s="7" t="n">
        <v>0.9766419299</v>
      </c>
      <c r="M1104" s="7" t="n">
        <v>-0.003494639431</v>
      </c>
      <c r="N1104" s="7" t="n">
        <v>0.004565859317</v>
      </c>
      <c r="O1104" s="7" t="n">
        <v>0.002573757888</v>
      </c>
      <c r="P1104" s="7" t="n">
        <v>0.9999862643</v>
      </c>
      <c r="Q1104" s="7" t="n">
        <v>17.27088936</v>
      </c>
      <c r="R1104" s="7" t="n">
        <v>16.62497926</v>
      </c>
      <c r="S1104" s="7" t="n">
        <v>1.507923022</v>
      </c>
    </row>
    <row r="1105" customFormat="false" ht="15" hidden="false" customHeight="false" outlineLevel="0" collapsed="false">
      <c r="A1105" s="5" t="s">
        <v>4</v>
      </c>
      <c r="B1105" s="5" t="s">
        <v>80</v>
      </c>
      <c r="C1105" s="5" t="s">
        <v>62</v>
      </c>
      <c r="D1105" s="2" t="n">
        <v>14</v>
      </c>
      <c r="E1105" s="5" t="s">
        <v>165</v>
      </c>
      <c r="F1105" s="5" t="s">
        <v>168</v>
      </c>
      <c r="G1105" s="2" t="n">
        <v>1</v>
      </c>
      <c r="H1105" s="7" t="n">
        <v>0.9766375093</v>
      </c>
      <c r="I1105" s="7" t="n">
        <v>-0.2148578985</v>
      </c>
      <c r="J1105" s="7" t="n">
        <v>-0.003906250916</v>
      </c>
      <c r="K1105" s="7" t="n">
        <v>0.2148448935</v>
      </c>
      <c r="L1105" s="7" t="n">
        <v>0.9766419299</v>
      </c>
      <c r="M1105" s="7" t="n">
        <v>-0.003494639431</v>
      </c>
      <c r="N1105" s="7" t="n">
        <v>0.004565859317</v>
      </c>
      <c r="O1105" s="7" t="n">
        <v>0.002573757888</v>
      </c>
      <c r="P1105" s="7" t="n">
        <v>0.9999862643</v>
      </c>
      <c r="Q1105" s="7" t="n">
        <v>17.27088936</v>
      </c>
      <c r="R1105" s="7" t="n">
        <v>16.62497926</v>
      </c>
      <c r="S1105" s="7" t="n">
        <v>1.507923022</v>
      </c>
    </row>
    <row r="1106" customFormat="false" ht="15" hidden="false" customHeight="false" outlineLevel="0" collapsed="false">
      <c r="A1106" s="5" t="s">
        <v>4</v>
      </c>
      <c r="B1106" s="5" t="s">
        <v>80</v>
      </c>
      <c r="C1106" s="5" t="s">
        <v>58</v>
      </c>
      <c r="D1106" s="2" t="n">
        <v>15</v>
      </c>
      <c r="E1106" s="5" t="s">
        <v>165</v>
      </c>
      <c r="F1106" s="5" t="s">
        <v>166</v>
      </c>
      <c r="G1106" s="2" t="n">
        <v>1</v>
      </c>
      <c r="H1106" s="7" t="n">
        <v>0.996726878</v>
      </c>
      <c r="I1106" s="7" t="n">
        <v>0.08066432681</v>
      </c>
      <c r="J1106" s="7" t="n">
        <v>-0.005366282507</v>
      </c>
      <c r="K1106" s="7" t="n">
        <v>-0.08066288864</v>
      </c>
      <c r="L1106" s="7" t="n">
        <v>0.9967413225</v>
      </c>
      <c r="M1106" s="7" t="n">
        <v>0.0004842474679</v>
      </c>
      <c r="N1106" s="7" t="n">
        <v>0.005387857018</v>
      </c>
      <c r="O1106" s="7" t="n">
        <v>-4.980261863E-005</v>
      </c>
      <c r="P1106" s="7" t="n">
        <v>0.9999854842</v>
      </c>
      <c r="Q1106" s="7" t="n">
        <v>14.35541075</v>
      </c>
      <c r="R1106" s="7" t="n">
        <v>5.848648055</v>
      </c>
      <c r="S1106" s="7" t="n">
        <v>0.7585869325</v>
      </c>
    </row>
    <row r="1107" customFormat="false" ht="15" hidden="false" customHeight="false" outlineLevel="0" collapsed="false">
      <c r="A1107" s="5" t="s">
        <v>4</v>
      </c>
      <c r="B1107" s="5" t="s">
        <v>80</v>
      </c>
      <c r="C1107" s="5" t="s">
        <v>62</v>
      </c>
      <c r="D1107" s="2" t="n">
        <v>15</v>
      </c>
      <c r="E1107" s="5" t="s">
        <v>165</v>
      </c>
      <c r="F1107" s="5" t="s">
        <v>166</v>
      </c>
      <c r="G1107" s="2" t="n">
        <v>1</v>
      </c>
      <c r="H1107" s="7" t="n">
        <v>0.996726878</v>
      </c>
      <c r="I1107" s="7" t="n">
        <v>0.08066432681</v>
      </c>
      <c r="J1107" s="7" t="n">
        <v>-0.005366282507</v>
      </c>
      <c r="K1107" s="7" t="n">
        <v>-0.08066288864</v>
      </c>
      <c r="L1107" s="7" t="n">
        <v>0.9967413225</v>
      </c>
      <c r="M1107" s="7" t="n">
        <v>0.0004842474679</v>
      </c>
      <c r="N1107" s="7" t="n">
        <v>0.005387857018</v>
      </c>
      <c r="O1107" s="7" t="n">
        <v>-4.980261863E-005</v>
      </c>
      <c r="P1107" s="7" t="n">
        <v>0.9999854842</v>
      </c>
      <c r="Q1107" s="7" t="n">
        <v>14.35541075</v>
      </c>
      <c r="R1107" s="7" t="n">
        <v>5.848648055</v>
      </c>
      <c r="S1107" s="7" t="n">
        <v>0.7585869325</v>
      </c>
    </row>
    <row r="1108" customFormat="false" ht="15" hidden="false" customHeight="false" outlineLevel="0" collapsed="false">
      <c r="A1108" s="5" t="s">
        <v>4</v>
      </c>
      <c r="B1108" s="5" t="s">
        <v>80</v>
      </c>
      <c r="C1108" s="5" t="s">
        <v>58</v>
      </c>
      <c r="D1108" s="2" t="n">
        <v>15</v>
      </c>
      <c r="E1108" s="5" t="s">
        <v>165</v>
      </c>
      <c r="F1108" s="5" t="s">
        <v>167</v>
      </c>
      <c r="G1108" s="2" t="n">
        <v>1</v>
      </c>
      <c r="H1108" s="7" t="n">
        <v>-0.1370640847</v>
      </c>
      <c r="I1108" s="7" t="n">
        <v>-0.9905620325</v>
      </c>
      <c r="J1108" s="7" t="n">
        <v>-0.0005444234581</v>
      </c>
      <c r="K1108" s="7" t="n">
        <v>0.9905621731</v>
      </c>
      <c r="L1108" s="7" t="n">
        <v>-0.1370639887</v>
      </c>
      <c r="M1108" s="7" t="n">
        <v>-0.0002100994079</v>
      </c>
      <c r="N1108" s="7" t="n">
        <v>0.0001334956458</v>
      </c>
      <c r="O1108" s="7" t="n">
        <v>-0.0005680823668</v>
      </c>
      <c r="P1108" s="7" t="n">
        <v>0.9999998297</v>
      </c>
      <c r="Q1108" s="7" t="n">
        <v>-14.00725514</v>
      </c>
      <c r="R1108" s="7" t="n">
        <v>12.38004686</v>
      </c>
      <c r="S1108" s="7" t="n">
        <v>0.2543205339</v>
      </c>
    </row>
    <row r="1109" customFormat="false" ht="15" hidden="false" customHeight="false" outlineLevel="0" collapsed="false">
      <c r="A1109" s="5" t="s">
        <v>4</v>
      </c>
      <c r="B1109" s="5" t="s">
        <v>80</v>
      </c>
      <c r="C1109" s="5" t="s">
        <v>62</v>
      </c>
      <c r="D1109" s="2" t="n">
        <v>15</v>
      </c>
      <c r="E1109" s="5" t="s">
        <v>165</v>
      </c>
      <c r="F1109" s="5" t="s">
        <v>167</v>
      </c>
      <c r="G1109" s="2" t="n">
        <v>1</v>
      </c>
      <c r="H1109" s="7" t="n">
        <v>-0.1383947936</v>
      </c>
      <c r="I1109" s="7" t="n">
        <v>-0.9903552654</v>
      </c>
      <c r="J1109" s="7" t="n">
        <v>0.006582502687</v>
      </c>
      <c r="K1109" s="7" t="n">
        <v>0.9903733907</v>
      </c>
      <c r="L1109" s="7" t="n">
        <v>-0.1384095034</v>
      </c>
      <c r="M1109" s="7" t="n">
        <v>-0.001832040071</v>
      </c>
      <c r="N1109" s="7" t="n">
        <v>0.002725451459</v>
      </c>
      <c r="O1109" s="7" t="n">
        <v>0.006265590698</v>
      </c>
      <c r="P1109" s="7" t="n">
        <v>0.9999766569</v>
      </c>
      <c r="Q1109" s="7" t="n">
        <v>-14.00472326</v>
      </c>
      <c r="R1109" s="7" t="n">
        <v>12.35937757</v>
      </c>
      <c r="S1109" s="7" t="n">
        <v>0.3623338861</v>
      </c>
    </row>
    <row r="1110" customFormat="false" ht="15" hidden="false" customHeight="false" outlineLevel="0" collapsed="false">
      <c r="A1110" s="5" t="s">
        <v>4</v>
      </c>
      <c r="B1110" s="5" t="s">
        <v>80</v>
      </c>
      <c r="C1110" s="5" t="s">
        <v>58</v>
      </c>
      <c r="D1110" s="2" t="n">
        <v>15</v>
      </c>
      <c r="E1110" s="5" t="s">
        <v>165</v>
      </c>
      <c r="F1110" s="5" t="s">
        <v>168</v>
      </c>
      <c r="G1110" s="2" t="n">
        <v>1</v>
      </c>
      <c r="H1110" s="7" t="n">
        <v>0.9752113507</v>
      </c>
      <c r="I1110" s="7" t="n">
        <v>-0.2182876286</v>
      </c>
      <c r="J1110" s="7" t="n">
        <v>0.03623993122</v>
      </c>
      <c r="K1110" s="7" t="n">
        <v>0.2192349194</v>
      </c>
      <c r="L1110" s="7" t="n">
        <v>0.9753623892</v>
      </c>
      <c r="M1110" s="7" t="n">
        <v>-0.02458169582</v>
      </c>
      <c r="N1110" s="7" t="n">
        <v>-0.02998118581</v>
      </c>
      <c r="O1110" s="7" t="n">
        <v>0.03191740719</v>
      </c>
      <c r="P1110" s="7" t="n">
        <v>0.9990407437</v>
      </c>
      <c r="Q1110" s="7" t="n">
        <v>17.31361248</v>
      </c>
      <c r="R1110" s="7" t="n">
        <v>16.63015179</v>
      </c>
      <c r="S1110" s="7" t="n">
        <v>0.9855937188</v>
      </c>
    </row>
    <row r="1111" customFormat="false" ht="15" hidden="false" customHeight="false" outlineLevel="0" collapsed="false">
      <c r="A1111" s="5" t="s">
        <v>4</v>
      </c>
      <c r="B1111" s="5" t="s">
        <v>80</v>
      </c>
      <c r="C1111" s="5" t="s">
        <v>62</v>
      </c>
      <c r="D1111" s="2" t="n">
        <v>15</v>
      </c>
      <c r="E1111" s="5" t="s">
        <v>165</v>
      </c>
      <c r="F1111" s="5" t="s">
        <v>168</v>
      </c>
      <c r="G1111" s="2" t="n">
        <v>1</v>
      </c>
      <c r="H1111" s="7" t="n">
        <v>0.9752113507</v>
      </c>
      <c r="I1111" s="7" t="n">
        <v>-0.2182876286</v>
      </c>
      <c r="J1111" s="7" t="n">
        <v>0.03623993122</v>
      </c>
      <c r="K1111" s="7" t="n">
        <v>0.2192349194</v>
      </c>
      <c r="L1111" s="7" t="n">
        <v>0.9753623892</v>
      </c>
      <c r="M1111" s="7" t="n">
        <v>-0.02458169582</v>
      </c>
      <c r="N1111" s="7" t="n">
        <v>-0.02998118581</v>
      </c>
      <c r="O1111" s="7" t="n">
        <v>0.03191740719</v>
      </c>
      <c r="P1111" s="7" t="n">
        <v>0.9990407437</v>
      </c>
      <c r="Q1111" s="7" t="n">
        <v>17.31361248</v>
      </c>
      <c r="R1111" s="7" t="n">
        <v>16.63015179</v>
      </c>
      <c r="S1111" s="7" t="n">
        <v>0.9855937188</v>
      </c>
    </row>
    <row r="1112" customFormat="false" ht="15" hidden="false" customHeight="false" outlineLevel="0" collapsed="false">
      <c r="A1112" s="5" t="s">
        <v>4</v>
      </c>
      <c r="B1112" s="5" t="s">
        <v>80</v>
      </c>
      <c r="C1112" s="5" t="s">
        <v>58</v>
      </c>
      <c r="D1112" s="2" t="n">
        <v>16</v>
      </c>
      <c r="E1112" s="5" t="s">
        <v>165</v>
      </c>
      <c r="F1112" s="5" t="s">
        <v>166</v>
      </c>
      <c r="G1112" s="2" t="n">
        <v>1</v>
      </c>
      <c r="H1112" s="7" t="n">
        <v>0.9964932154</v>
      </c>
      <c r="I1112" s="7" t="n">
        <v>0.08292380545</v>
      </c>
      <c r="J1112" s="7" t="n">
        <v>-0.01117649573</v>
      </c>
      <c r="K1112" s="7" t="n">
        <v>-0.08268904776</v>
      </c>
      <c r="L1112" s="7" t="n">
        <v>0.9963737882</v>
      </c>
      <c r="M1112" s="7" t="n">
        <v>0.02004484084</v>
      </c>
      <c r="N1112" s="7" t="n">
        <v>0.01279816187</v>
      </c>
      <c r="O1112" s="7" t="n">
        <v>-0.01905037412</v>
      </c>
      <c r="P1112" s="7" t="n">
        <v>0.9997366105</v>
      </c>
      <c r="Q1112" s="7" t="n">
        <v>14.37412754</v>
      </c>
      <c r="R1112" s="7" t="n">
        <v>5.858320637</v>
      </c>
      <c r="S1112" s="7" t="n">
        <v>0.7335795068</v>
      </c>
    </row>
    <row r="1113" customFormat="false" ht="15" hidden="false" customHeight="false" outlineLevel="0" collapsed="false">
      <c r="A1113" s="5" t="s">
        <v>4</v>
      </c>
      <c r="B1113" s="5" t="s">
        <v>80</v>
      </c>
      <c r="C1113" s="5" t="s">
        <v>62</v>
      </c>
      <c r="D1113" s="2" t="n">
        <v>16</v>
      </c>
      <c r="E1113" s="5" t="s">
        <v>165</v>
      </c>
      <c r="F1113" s="5" t="s">
        <v>166</v>
      </c>
      <c r="G1113" s="2" t="n">
        <v>1</v>
      </c>
      <c r="H1113" s="7" t="n">
        <v>0.9964932154</v>
      </c>
      <c r="I1113" s="7" t="n">
        <v>0.08292380545</v>
      </c>
      <c r="J1113" s="7" t="n">
        <v>-0.01117649573</v>
      </c>
      <c r="K1113" s="7" t="n">
        <v>-0.08268904776</v>
      </c>
      <c r="L1113" s="7" t="n">
        <v>0.9963737882</v>
      </c>
      <c r="M1113" s="7" t="n">
        <v>0.02004484084</v>
      </c>
      <c r="N1113" s="7" t="n">
        <v>0.01279816187</v>
      </c>
      <c r="O1113" s="7" t="n">
        <v>-0.01905037412</v>
      </c>
      <c r="P1113" s="7" t="n">
        <v>0.9997366105</v>
      </c>
      <c r="Q1113" s="7" t="n">
        <v>14.37412754</v>
      </c>
      <c r="R1113" s="7" t="n">
        <v>5.858320637</v>
      </c>
      <c r="S1113" s="7" t="n">
        <v>0.7335795068</v>
      </c>
    </row>
    <row r="1114" customFormat="false" ht="15" hidden="false" customHeight="false" outlineLevel="0" collapsed="false">
      <c r="A1114" s="5" t="s">
        <v>4</v>
      </c>
      <c r="B1114" s="5" t="s">
        <v>80</v>
      </c>
      <c r="C1114" s="5" t="s">
        <v>58</v>
      </c>
      <c r="D1114" s="2" t="n">
        <v>16</v>
      </c>
      <c r="E1114" s="5" t="s">
        <v>165</v>
      </c>
      <c r="F1114" s="5" t="s">
        <v>167</v>
      </c>
      <c r="G1114" s="2" t="n">
        <v>1</v>
      </c>
      <c r="H1114" s="7" t="n">
        <v>-0.1323991879</v>
      </c>
      <c r="I1114" s="7" t="n">
        <v>-0.991054246</v>
      </c>
      <c r="J1114" s="7" t="n">
        <v>-0.01679096279</v>
      </c>
      <c r="K1114" s="7" t="n">
        <v>0.9910667381</v>
      </c>
      <c r="L1114" s="7" t="n">
        <v>-0.1326369381</v>
      </c>
      <c r="M1114" s="7" t="n">
        <v>0.01393424507</v>
      </c>
      <c r="N1114" s="7" t="n">
        <v>-0.01603669463</v>
      </c>
      <c r="O1114" s="7" t="n">
        <v>-0.01479608199</v>
      </c>
      <c r="P1114" s="7" t="n">
        <v>0.9997619219</v>
      </c>
      <c r="Q1114" s="7" t="n">
        <v>-14.02315217</v>
      </c>
      <c r="R1114" s="7" t="n">
        <v>12.47851512</v>
      </c>
      <c r="S1114" s="7" t="n">
        <v>-0.04111163362</v>
      </c>
    </row>
    <row r="1115" customFormat="false" ht="15" hidden="false" customHeight="false" outlineLevel="0" collapsed="false">
      <c r="A1115" s="5" t="s">
        <v>4</v>
      </c>
      <c r="B1115" s="5" t="s">
        <v>80</v>
      </c>
      <c r="C1115" s="5" t="s">
        <v>62</v>
      </c>
      <c r="D1115" s="2" t="n">
        <v>16</v>
      </c>
      <c r="E1115" s="5" t="s">
        <v>165</v>
      </c>
      <c r="F1115" s="5" t="s">
        <v>167</v>
      </c>
      <c r="G1115" s="2" t="n">
        <v>1</v>
      </c>
      <c r="H1115" s="7" t="n">
        <v>-0.1323991879</v>
      </c>
      <c r="I1115" s="7" t="n">
        <v>-0.991054246</v>
      </c>
      <c r="J1115" s="7" t="n">
        <v>-0.01679096279</v>
      </c>
      <c r="K1115" s="7" t="n">
        <v>0.9910667381</v>
      </c>
      <c r="L1115" s="7" t="n">
        <v>-0.1326369381</v>
      </c>
      <c r="M1115" s="7" t="n">
        <v>0.01393424507</v>
      </c>
      <c r="N1115" s="7" t="n">
        <v>-0.01603669463</v>
      </c>
      <c r="O1115" s="7" t="n">
        <v>-0.01479608199</v>
      </c>
      <c r="P1115" s="7" t="n">
        <v>0.9997619219</v>
      </c>
      <c r="Q1115" s="7" t="n">
        <v>-14.02315217</v>
      </c>
      <c r="R1115" s="7" t="n">
        <v>12.47851512</v>
      </c>
      <c r="S1115" s="7" t="n">
        <v>-0.04111163362</v>
      </c>
    </row>
    <row r="1116" customFormat="false" ht="15" hidden="false" customHeight="false" outlineLevel="0" collapsed="false">
      <c r="A1116" s="5" t="s">
        <v>4</v>
      </c>
      <c r="B1116" s="5" t="s">
        <v>80</v>
      </c>
      <c r="C1116" s="5" t="s">
        <v>58</v>
      </c>
      <c r="D1116" s="2" t="n">
        <v>16</v>
      </c>
      <c r="E1116" s="5" t="s">
        <v>165</v>
      </c>
      <c r="F1116" s="5" t="s">
        <v>168</v>
      </c>
      <c r="G1116" s="2" t="n">
        <v>1</v>
      </c>
      <c r="H1116" s="7" t="n">
        <v>0.9763444983</v>
      </c>
      <c r="I1116" s="7" t="n">
        <v>-0.216104951</v>
      </c>
      <c r="J1116" s="7" t="n">
        <v>-0.007076071327</v>
      </c>
      <c r="K1116" s="7" t="n">
        <v>0.216090116</v>
      </c>
      <c r="L1116" s="7" t="n">
        <v>0.9763693882</v>
      </c>
      <c r="M1116" s="7" t="n">
        <v>-0.002807051938</v>
      </c>
      <c r="N1116" s="7" t="n">
        <v>0.007515477254</v>
      </c>
      <c r="O1116" s="7" t="n">
        <v>0.001211580642</v>
      </c>
      <c r="P1116" s="7" t="n">
        <v>0.9999710244</v>
      </c>
      <c r="Q1116" s="7" t="n">
        <v>17.23934429</v>
      </c>
      <c r="R1116" s="7" t="n">
        <v>16.67155663</v>
      </c>
      <c r="S1116" s="7" t="n">
        <v>1.490825521</v>
      </c>
    </row>
    <row r="1117" customFormat="false" ht="15" hidden="false" customHeight="false" outlineLevel="0" collapsed="false">
      <c r="A1117" s="5" t="s">
        <v>4</v>
      </c>
      <c r="B1117" s="5" t="s">
        <v>80</v>
      </c>
      <c r="C1117" s="5" t="s">
        <v>62</v>
      </c>
      <c r="D1117" s="2" t="n">
        <v>16</v>
      </c>
      <c r="E1117" s="5" t="s">
        <v>165</v>
      </c>
      <c r="F1117" s="5" t="s">
        <v>168</v>
      </c>
      <c r="G1117" s="2" t="n">
        <v>1</v>
      </c>
      <c r="H1117" s="7" t="n">
        <v>0.9763444983</v>
      </c>
      <c r="I1117" s="7" t="n">
        <v>-0.216104951</v>
      </c>
      <c r="J1117" s="7" t="n">
        <v>-0.007076071327</v>
      </c>
      <c r="K1117" s="7" t="n">
        <v>0.216090116</v>
      </c>
      <c r="L1117" s="7" t="n">
        <v>0.9763693882</v>
      </c>
      <c r="M1117" s="7" t="n">
        <v>-0.002807051938</v>
      </c>
      <c r="N1117" s="7" t="n">
        <v>0.007515477254</v>
      </c>
      <c r="O1117" s="7" t="n">
        <v>0.001211580642</v>
      </c>
      <c r="P1117" s="7" t="n">
        <v>0.9999710244</v>
      </c>
      <c r="Q1117" s="7" t="n">
        <v>17.23934429</v>
      </c>
      <c r="R1117" s="7" t="n">
        <v>16.67155663</v>
      </c>
      <c r="S1117" s="7" t="n">
        <v>1.490825521</v>
      </c>
    </row>
    <row r="1118" customFormat="false" ht="15" hidden="false" customHeight="false" outlineLevel="0" collapsed="false">
      <c r="A1118" s="5" t="s">
        <v>4</v>
      </c>
      <c r="B1118" s="5" t="s">
        <v>80</v>
      </c>
      <c r="C1118" s="5" t="s">
        <v>58</v>
      </c>
      <c r="D1118" s="2" t="n">
        <v>17</v>
      </c>
      <c r="E1118" s="5" t="s">
        <v>165</v>
      </c>
      <c r="F1118" s="5" t="s">
        <v>166</v>
      </c>
      <c r="G1118" s="2" t="n">
        <v>1</v>
      </c>
      <c r="H1118" s="7" t="n">
        <v>0.9966705282</v>
      </c>
      <c r="I1118" s="7" t="n">
        <v>0.0813488622</v>
      </c>
      <c r="J1118" s="7" t="n">
        <v>-0.005497348464</v>
      </c>
      <c r="K1118" s="7" t="n">
        <v>-0.08135377428</v>
      </c>
      <c r="L1118" s="7" t="n">
        <v>0.9966850591</v>
      </c>
      <c r="M1118" s="7" t="n">
        <v>-0.0006755341401</v>
      </c>
      <c r="N1118" s="7" t="n">
        <v>0.005424171145</v>
      </c>
      <c r="O1118" s="7" t="n">
        <v>0.001120515014</v>
      </c>
      <c r="P1118" s="7" t="n">
        <v>0.9999846613</v>
      </c>
      <c r="Q1118" s="7" t="n">
        <v>14.38313074</v>
      </c>
      <c r="R1118" s="7" t="n">
        <v>5.816887546</v>
      </c>
      <c r="S1118" s="7" t="n">
        <v>0.7743420726</v>
      </c>
    </row>
    <row r="1119" customFormat="false" ht="15" hidden="false" customHeight="false" outlineLevel="0" collapsed="false">
      <c r="A1119" s="5" t="s">
        <v>4</v>
      </c>
      <c r="B1119" s="5" t="s">
        <v>80</v>
      </c>
      <c r="C1119" s="5" t="s">
        <v>62</v>
      </c>
      <c r="D1119" s="2" t="n">
        <v>17</v>
      </c>
      <c r="E1119" s="5" t="s">
        <v>165</v>
      </c>
      <c r="F1119" s="5" t="s">
        <v>166</v>
      </c>
      <c r="G1119" s="2" t="n">
        <v>1</v>
      </c>
      <c r="H1119" s="7" t="n">
        <v>0.9966705282</v>
      </c>
      <c r="I1119" s="7" t="n">
        <v>0.0813488622</v>
      </c>
      <c r="J1119" s="7" t="n">
        <v>-0.005497348464</v>
      </c>
      <c r="K1119" s="7" t="n">
        <v>-0.08135377428</v>
      </c>
      <c r="L1119" s="7" t="n">
        <v>0.9966850591</v>
      </c>
      <c r="M1119" s="7" t="n">
        <v>-0.0006755341401</v>
      </c>
      <c r="N1119" s="7" t="n">
        <v>0.005424171145</v>
      </c>
      <c r="O1119" s="7" t="n">
        <v>0.001120515014</v>
      </c>
      <c r="P1119" s="7" t="n">
        <v>0.9999846613</v>
      </c>
      <c r="Q1119" s="7" t="n">
        <v>14.38313074</v>
      </c>
      <c r="R1119" s="7" t="n">
        <v>5.816887546</v>
      </c>
      <c r="S1119" s="7" t="n">
        <v>0.7743420726</v>
      </c>
    </row>
    <row r="1120" customFormat="false" ht="15" hidden="false" customHeight="false" outlineLevel="0" collapsed="false">
      <c r="A1120" s="5" t="s">
        <v>4</v>
      </c>
      <c r="B1120" s="5" t="s">
        <v>80</v>
      </c>
      <c r="C1120" s="5" t="s">
        <v>58</v>
      </c>
      <c r="D1120" s="2" t="n">
        <v>17</v>
      </c>
      <c r="E1120" s="5" t="s">
        <v>165</v>
      </c>
      <c r="F1120" s="5" t="s">
        <v>167</v>
      </c>
      <c r="G1120" s="2" t="n">
        <v>1</v>
      </c>
      <c r="H1120" s="7" t="n">
        <v>-0.1345614775</v>
      </c>
      <c r="I1120" s="7" t="n">
        <v>-0.9907984211</v>
      </c>
      <c r="J1120" s="7" t="n">
        <v>-0.01454982758</v>
      </c>
      <c r="K1120" s="7" t="n">
        <v>0.9909043748</v>
      </c>
      <c r="L1120" s="7" t="n">
        <v>-0.1345663361</v>
      </c>
      <c r="M1120" s="7" t="n">
        <v>-0.0006490414016</v>
      </c>
      <c r="N1120" s="7" t="n">
        <v>-0.001314847792</v>
      </c>
      <c r="O1120" s="7" t="n">
        <v>-0.01450482377</v>
      </c>
      <c r="P1120" s="7" t="n">
        <v>0.999893935</v>
      </c>
      <c r="Q1120" s="7" t="n">
        <v>-14.03043528</v>
      </c>
      <c r="R1120" s="7" t="n">
        <v>12.4147107</v>
      </c>
      <c r="S1120" s="7" t="n">
        <v>0.1312718233</v>
      </c>
    </row>
    <row r="1121" customFormat="false" ht="15" hidden="false" customHeight="false" outlineLevel="0" collapsed="false">
      <c r="A1121" s="5" t="s">
        <v>4</v>
      </c>
      <c r="B1121" s="5" t="s">
        <v>80</v>
      </c>
      <c r="C1121" s="5" t="s">
        <v>62</v>
      </c>
      <c r="D1121" s="2" t="n">
        <v>17</v>
      </c>
      <c r="E1121" s="5" t="s">
        <v>165</v>
      </c>
      <c r="F1121" s="5" t="s">
        <v>167</v>
      </c>
      <c r="G1121" s="2" t="n">
        <v>1</v>
      </c>
      <c r="H1121" s="7" t="n">
        <v>-0.1345614775</v>
      </c>
      <c r="I1121" s="7" t="n">
        <v>-0.9907984211</v>
      </c>
      <c r="J1121" s="7" t="n">
        <v>-0.01454982758</v>
      </c>
      <c r="K1121" s="7" t="n">
        <v>0.9909043748</v>
      </c>
      <c r="L1121" s="7" t="n">
        <v>-0.1345663361</v>
      </c>
      <c r="M1121" s="7" t="n">
        <v>-0.0006490414016</v>
      </c>
      <c r="N1121" s="7" t="n">
        <v>-0.001314847792</v>
      </c>
      <c r="O1121" s="7" t="n">
        <v>-0.01450482377</v>
      </c>
      <c r="P1121" s="7" t="n">
        <v>0.999893935</v>
      </c>
      <c r="Q1121" s="7" t="n">
        <v>-14.03043528</v>
      </c>
      <c r="R1121" s="7" t="n">
        <v>12.4147107</v>
      </c>
      <c r="S1121" s="7" t="n">
        <v>0.1312718233</v>
      </c>
    </row>
    <row r="1122" customFormat="false" ht="15" hidden="false" customHeight="false" outlineLevel="0" collapsed="false">
      <c r="A1122" s="5" t="s">
        <v>4</v>
      </c>
      <c r="B1122" s="5" t="s">
        <v>80</v>
      </c>
      <c r="C1122" s="5" t="s">
        <v>58</v>
      </c>
      <c r="D1122" s="2" t="n">
        <v>17</v>
      </c>
      <c r="E1122" s="5" t="s">
        <v>165</v>
      </c>
      <c r="F1122" s="5" t="s">
        <v>168</v>
      </c>
      <c r="G1122" s="2" t="n">
        <v>1</v>
      </c>
      <c r="H1122" s="7" t="n">
        <v>0.9760633049</v>
      </c>
      <c r="I1122" s="7" t="n">
        <v>-0.2173863495</v>
      </c>
      <c r="J1122" s="7" t="n">
        <v>-0.006603019744</v>
      </c>
      <c r="K1122" s="7" t="n">
        <v>0.2173629063</v>
      </c>
      <c r="L1122" s="7" t="n">
        <v>0.9760822893</v>
      </c>
      <c r="M1122" s="7" t="n">
        <v>-0.004090402489</v>
      </c>
      <c r="N1122" s="7" t="n">
        <v>0.007334288294</v>
      </c>
      <c r="O1122" s="7" t="n">
        <v>0.00255724021</v>
      </c>
      <c r="P1122" s="7" t="n">
        <v>0.9999698339</v>
      </c>
      <c r="Q1122" s="7" t="n">
        <v>17.25090624</v>
      </c>
      <c r="R1122" s="7" t="n">
        <v>16.64978841</v>
      </c>
      <c r="S1122" s="7" t="n">
        <v>1.495758338</v>
      </c>
    </row>
    <row r="1123" customFormat="false" ht="15" hidden="false" customHeight="false" outlineLevel="0" collapsed="false">
      <c r="A1123" s="5" t="s">
        <v>4</v>
      </c>
      <c r="B1123" s="5" t="s">
        <v>80</v>
      </c>
      <c r="C1123" s="5" t="s">
        <v>62</v>
      </c>
      <c r="D1123" s="2" t="n">
        <v>17</v>
      </c>
      <c r="E1123" s="5" t="s">
        <v>165</v>
      </c>
      <c r="F1123" s="5" t="s">
        <v>168</v>
      </c>
      <c r="G1123" s="2" t="n">
        <v>1</v>
      </c>
      <c r="H1123" s="7" t="n">
        <v>0.9760633049</v>
      </c>
      <c r="I1123" s="7" t="n">
        <v>-0.2173863495</v>
      </c>
      <c r="J1123" s="7" t="n">
        <v>-0.006603019744</v>
      </c>
      <c r="K1123" s="7" t="n">
        <v>0.2173629063</v>
      </c>
      <c r="L1123" s="7" t="n">
        <v>0.9760822893</v>
      </c>
      <c r="M1123" s="7" t="n">
        <v>-0.004090402489</v>
      </c>
      <c r="N1123" s="7" t="n">
        <v>0.007334288294</v>
      </c>
      <c r="O1123" s="7" t="n">
        <v>0.00255724021</v>
      </c>
      <c r="P1123" s="7" t="n">
        <v>0.9999698339</v>
      </c>
      <c r="Q1123" s="7" t="n">
        <v>17.25090624</v>
      </c>
      <c r="R1123" s="7" t="n">
        <v>16.64978841</v>
      </c>
      <c r="S1123" s="7" t="n">
        <v>1.495758338</v>
      </c>
    </row>
    <row r="1124" customFormat="false" ht="15" hidden="false" customHeight="false" outlineLevel="0" collapsed="false">
      <c r="A1124" s="5" t="s">
        <v>4</v>
      </c>
      <c r="B1124" s="5" t="s">
        <v>80</v>
      </c>
      <c r="C1124" s="5" t="s">
        <v>58</v>
      </c>
      <c r="D1124" s="2" t="n">
        <v>18</v>
      </c>
      <c r="E1124" s="5" t="s">
        <v>165</v>
      </c>
      <c r="F1124" s="5" t="s">
        <v>166</v>
      </c>
      <c r="G1124" s="2" t="n">
        <v>1</v>
      </c>
      <c r="H1124" s="7" t="n">
        <v>0.9967470249</v>
      </c>
      <c r="I1124" s="7" t="n">
        <v>0.08036423161</v>
      </c>
      <c r="J1124" s="7" t="n">
        <v>-0.006079356291</v>
      </c>
      <c r="K1124" s="7" t="n">
        <v>-0.08036767806</v>
      </c>
      <c r="L1124" s="7" t="n">
        <v>0.9967652337</v>
      </c>
      <c r="M1124" s="7" t="n">
        <v>-0.0003243607186</v>
      </c>
      <c r="N1124" s="7" t="n">
        <v>0.006033623994</v>
      </c>
      <c r="O1124" s="7" t="n">
        <v>0.0008118893305</v>
      </c>
      <c r="P1124" s="7" t="n">
        <v>0.9999814679</v>
      </c>
      <c r="Q1124" s="7" t="n">
        <v>14.38224491</v>
      </c>
      <c r="R1124" s="7" t="n">
        <v>5.804880153</v>
      </c>
      <c r="S1124" s="7" t="n">
        <v>0.7712634636</v>
      </c>
    </row>
    <row r="1125" customFormat="false" ht="15" hidden="false" customHeight="false" outlineLevel="0" collapsed="false">
      <c r="A1125" s="5" t="s">
        <v>4</v>
      </c>
      <c r="B1125" s="5" t="s">
        <v>80</v>
      </c>
      <c r="C1125" s="5" t="s">
        <v>62</v>
      </c>
      <c r="D1125" s="2" t="n">
        <v>18</v>
      </c>
      <c r="E1125" s="5" t="s">
        <v>165</v>
      </c>
      <c r="F1125" s="5" t="s">
        <v>166</v>
      </c>
      <c r="G1125" s="2" t="n">
        <v>1</v>
      </c>
      <c r="H1125" s="7" t="n">
        <v>0.9967470249</v>
      </c>
      <c r="I1125" s="7" t="n">
        <v>0.08036423161</v>
      </c>
      <c r="J1125" s="7" t="n">
        <v>-0.006079356291</v>
      </c>
      <c r="K1125" s="7" t="n">
        <v>-0.08036767806</v>
      </c>
      <c r="L1125" s="7" t="n">
        <v>0.9967652337</v>
      </c>
      <c r="M1125" s="7" t="n">
        <v>-0.0003243607186</v>
      </c>
      <c r="N1125" s="7" t="n">
        <v>0.006033623994</v>
      </c>
      <c r="O1125" s="7" t="n">
        <v>0.0008118893305</v>
      </c>
      <c r="P1125" s="7" t="n">
        <v>0.9999814679</v>
      </c>
      <c r="Q1125" s="7" t="n">
        <v>14.38224491</v>
      </c>
      <c r="R1125" s="7" t="n">
        <v>5.804880153</v>
      </c>
      <c r="S1125" s="7" t="n">
        <v>0.7712634636</v>
      </c>
    </row>
    <row r="1126" customFormat="false" ht="15" hidden="false" customHeight="false" outlineLevel="0" collapsed="false">
      <c r="A1126" s="5" t="s">
        <v>4</v>
      </c>
      <c r="B1126" s="5" t="s">
        <v>80</v>
      </c>
      <c r="C1126" s="5" t="s">
        <v>58</v>
      </c>
      <c r="D1126" s="2" t="n">
        <v>18</v>
      </c>
      <c r="E1126" s="5" t="s">
        <v>165</v>
      </c>
      <c r="F1126" s="5" t="s">
        <v>167</v>
      </c>
      <c r="G1126" s="2" t="n">
        <v>1</v>
      </c>
      <c r="H1126" s="7" t="n">
        <v>-0.1357360916</v>
      </c>
      <c r="I1126" s="7" t="n">
        <v>-0.9907016172</v>
      </c>
      <c r="J1126" s="7" t="n">
        <v>-0.009274645365</v>
      </c>
      <c r="K1126" s="7" t="n">
        <v>0.9907383365</v>
      </c>
      <c r="L1126" s="7" t="n">
        <v>-0.1356948175</v>
      </c>
      <c r="M1126" s="7" t="n">
        <v>-0.004946224601</v>
      </c>
      <c r="N1126" s="7" t="n">
        <v>0.003641711401</v>
      </c>
      <c r="O1126" s="7" t="n">
        <v>-0.009860127916</v>
      </c>
      <c r="P1126" s="7" t="n">
        <v>0.9999447564</v>
      </c>
      <c r="Q1126" s="7" t="n">
        <v>-13.98656596</v>
      </c>
      <c r="R1126" s="7" t="n">
        <v>12.40704556</v>
      </c>
      <c r="S1126" s="7" t="n">
        <v>0.1703038204</v>
      </c>
    </row>
    <row r="1127" customFormat="false" ht="15" hidden="false" customHeight="false" outlineLevel="0" collapsed="false">
      <c r="A1127" s="5" t="s">
        <v>4</v>
      </c>
      <c r="B1127" s="5" t="s">
        <v>80</v>
      </c>
      <c r="C1127" s="5" t="s">
        <v>62</v>
      </c>
      <c r="D1127" s="2" t="n">
        <v>18</v>
      </c>
      <c r="E1127" s="5" t="s">
        <v>165</v>
      </c>
      <c r="F1127" s="5" t="s">
        <v>167</v>
      </c>
      <c r="G1127" s="2" t="n">
        <v>1</v>
      </c>
      <c r="H1127" s="7" t="n">
        <v>-0.1357360916</v>
      </c>
      <c r="I1127" s="7" t="n">
        <v>-0.9907016172</v>
      </c>
      <c r="J1127" s="7" t="n">
        <v>-0.009274645365</v>
      </c>
      <c r="K1127" s="7" t="n">
        <v>0.9907383365</v>
      </c>
      <c r="L1127" s="7" t="n">
        <v>-0.1356948175</v>
      </c>
      <c r="M1127" s="7" t="n">
        <v>-0.004946224601</v>
      </c>
      <c r="N1127" s="7" t="n">
        <v>0.003641711401</v>
      </c>
      <c r="O1127" s="7" t="n">
        <v>-0.009860127916</v>
      </c>
      <c r="P1127" s="7" t="n">
        <v>0.9999447564</v>
      </c>
      <c r="Q1127" s="7" t="n">
        <v>-13.98656596</v>
      </c>
      <c r="R1127" s="7" t="n">
        <v>12.40704556</v>
      </c>
      <c r="S1127" s="7" t="n">
        <v>0.1703038204</v>
      </c>
    </row>
    <row r="1128" customFormat="false" ht="15" hidden="false" customHeight="false" outlineLevel="0" collapsed="false">
      <c r="A1128" s="5" t="s">
        <v>4</v>
      </c>
      <c r="B1128" s="5" t="s">
        <v>80</v>
      </c>
      <c r="C1128" s="5" t="s">
        <v>58</v>
      </c>
      <c r="D1128" s="2" t="n">
        <v>18</v>
      </c>
      <c r="E1128" s="5" t="s">
        <v>165</v>
      </c>
      <c r="F1128" s="5" t="s">
        <v>168</v>
      </c>
      <c r="G1128" s="2" t="n">
        <v>1</v>
      </c>
      <c r="H1128" s="7" t="n">
        <v>0.9762462189</v>
      </c>
      <c r="I1128" s="7" t="n">
        <v>-0.2166473495</v>
      </c>
      <c r="J1128" s="7" t="n">
        <v>-0.002691833013</v>
      </c>
      <c r="K1128" s="7" t="n">
        <v>0.2166451691</v>
      </c>
      <c r="L1128" s="7" t="n">
        <v>0.9762498163</v>
      </c>
      <c r="M1128" s="7" t="n">
        <v>-0.001080258469</v>
      </c>
      <c r="N1128" s="7" t="n">
        <v>0.002861936618</v>
      </c>
      <c r="O1128" s="7" t="n">
        <v>0.0004714256279</v>
      </c>
      <c r="P1128" s="7" t="n">
        <v>0.9999957935</v>
      </c>
      <c r="Q1128" s="7" t="n">
        <v>17.23263244</v>
      </c>
      <c r="R1128" s="7" t="n">
        <v>16.68496976</v>
      </c>
      <c r="S1128" s="7" t="n">
        <v>1.417380609</v>
      </c>
    </row>
    <row r="1129" customFormat="false" ht="15" hidden="false" customHeight="false" outlineLevel="0" collapsed="false">
      <c r="A1129" s="5" t="s">
        <v>4</v>
      </c>
      <c r="B1129" s="5" t="s">
        <v>80</v>
      </c>
      <c r="C1129" s="5" t="s">
        <v>62</v>
      </c>
      <c r="D1129" s="2" t="n">
        <v>18</v>
      </c>
      <c r="E1129" s="5" t="s">
        <v>165</v>
      </c>
      <c r="F1129" s="5" t="s">
        <v>168</v>
      </c>
      <c r="G1129" s="2" t="n">
        <v>1</v>
      </c>
      <c r="H1129" s="7" t="n">
        <v>0.9762462189</v>
      </c>
      <c r="I1129" s="7" t="n">
        <v>-0.2166473495</v>
      </c>
      <c r="J1129" s="7" t="n">
        <v>-0.002691833013</v>
      </c>
      <c r="K1129" s="7" t="n">
        <v>0.2166451691</v>
      </c>
      <c r="L1129" s="7" t="n">
        <v>0.9762498163</v>
      </c>
      <c r="M1129" s="7" t="n">
        <v>-0.001080258469</v>
      </c>
      <c r="N1129" s="7" t="n">
        <v>0.002861936618</v>
      </c>
      <c r="O1129" s="7" t="n">
        <v>0.0004714256279</v>
      </c>
      <c r="P1129" s="7" t="n">
        <v>0.9999957935</v>
      </c>
      <c r="Q1129" s="7" t="n">
        <v>17.23263244</v>
      </c>
      <c r="R1129" s="7" t="n">
        <v>16.68496976</v>
      </c>
      <c r="S1129" s="7" t="n">
        <v>1.417380609</v>
      </c>
    </row>
    <row r="1130" customFormat="false" ht="15" hidden="false" customHeight="false" outlineLevel="0" collapsed="false">
      <c r="A1130" s="5" t="s">
        <v>4</v>
      </c>
      <c r="B1130" s="5" t="s">
        <v>80</v>
      </c>
      <c r="C1130" s="5" t="s">
        <v>58</v>
      </c>
      <c r="D1130" s="2" t="n">
        <v>19</v>
      </c>
      <c r="E1130" s="5" t="s">
        <v>165</v>
      </c>
      <c r="F1130" s="5" t="s">
        <v>166</v>
      </c>
      <c r="G1130" s="2" t="n">
        <v>1</v>
      </c>
      <c r="H1130" s="7" t="n">
        <v>0.9966586191</v>
      </c>
      <c r="I1130" s="7" t="n">
        <v>0.08121351305</v>
      </c>
      <c r="J1130" s="7" t="n">
        <v>-0.008715631857</v>
      </c>
      <c r="K1130" s="7" t="n">
        <v>-0.08113780338</v>
      </c>
      <c r="L1130" s="7" t="n">
        <v>0.9966647899</v>
      </c>
      <c r="M1130" s="7" t="n">
        <v>0.008715127662</v>
      </c>
      <c r="N1130" s="7" t="n">
        <v>0.009394349527</v>
      </c>
      <c r="O1130" s="7" t="n">
        <v>-0.007978839877</v>
      </c>
      <c r="P1130" s="7" t="n">
        <v>0.9999240393</v>
      </c>
      <c r="Q1130" s="7" t="n">
        <v>14.37236198</v>
      </c>
      <c r="R1130" s="7" t="n">
        <v>5.816277683</v>
      </c>
      <c r="S1130" s="7" t="n">
        <v>0.7494772221</v>
      </c>
    </row>
    <row r="1131" customFormat="false" ht="15" hidden="false" customHeight="false" outlineLevel="0" collapsed="false">
      <c r="A1131" s="5" t="s">
        <v>4</v>
      </c>
      <c r="B1131" s="5" t="s">
        <v>80</v>
      </c>
      <c r="C1131" s="5" t="s">
        <v>62</v>
      </c>
      <c r="D1131" s="2" t="n">
        <v>19</v>
      </c>
      <c r="E1131" s="5" t="s">
        <v>165</v>
      </c>
      <c r="F1131" s="5" t="s">
        <v>166</v>
      </c>
      <c r="G1131" s="2" t="n">
        <v>1</v>
      </c>
      <c r="H1131" s="7" t="n">
        <v>0.9966586191</v>
      </c>
      <c r="I1131" s="7" t="n">
        <v>0.08121351305</v>
      </c>
      <c r="J1131" s="7" t="n">
        <v>-0.008715631857</v>
      </c>
      <c r="K1131" s="7" t="n">
        <v>-0.08113780338</v>
      </c>
      <c r="L1131" s="7" t="n">
        <v>0.9966647899</v>
      </c>
      <c r="M1131" s="7" t="n">
        <v>0.008715127662</v>
      </c>
      <c r="N1131" s="7" t="n">
        <v>0.009394349527</v>
      </c>
      <c r="O1131" s="7" t="n">
        <v>-0.007978839877</v>
      </c>
      <c r="P1131" s="7" t="n">
        <v>0.9999240393</v>
      </c>
      <c r="Q1131" s="7" t="n">
        <v>14.37236198</v>
      </c>
      <c r="R1131" s="7" t="n">
        <v>5.816277683</v>
      </c>
      <c r="S1131" s="7" t="n">
        <v>0.7494772221</v>
      </c>
    </row>
    <row r="1132" customFormat="false" ht="15" hidden="false" customHeight="false" outlineLevel="0" collapsed="false">
      <c r="A1132" s="5" t="s">
        <v>4</v>
      </c>
      <c r="B1132" s="5" t="s">
        <v>80</v>
      </c>
      <c r="C1132" s="5" t="s">
        <v>58</v>
      </c>
      <c r="D1132" s="2" t="n">
        <v>19</v>
      </c>
      <c r="E1132" s="5" t="s">
        <v>165</v>
      </c>
      <c r="F1132" s="5" t="s">
        <v>167</v>
      </c>
      <c r="G1132" s="2" t="n">
        <v>1</v>
      </c>
      <c r="H1132" s="7" t="n">
        <v>-0.133759909</v>
      </c>
      <c r="I1132" s="7" t="n">
        <v>-0.9909365929</v>
      </c>
      <c r="J1132" s="7" t="n">
        <v>-0.01236752291</v>
      </c>
      <c r="K1132" s="7" t="n">
        <v>0.9909882962</v>
      </c>
      <c r="L1132" s="7" t="n">
        <v>-0.1336565806</v>
      </c>
      <c r="M1132" s="7" t="n">
        <v>-0.008838285314</v>
      </c>
      <c r="N1132" s="7" t="n">
        <v>0.007105179513</v>
      </c>
      <c r="O1132" s="7" t="n">
        <v>-0.0134382787</v>
      </c>
      <c r="P1132" s="7" t="n">
        <v>0.9998844579</v>
      </c>
      <c r="Q1132" s="7" t="n">
        <v>-13.99018905</v>
      </c>
      <c r="R1132" s="7" t="n">
        <v>12.41273228</v>
      </c>
      <c r="S1132" s="7" t="n">
        <v>0.1447579298</v>
      </c>
    </row>
    <row r="1133" customFormat="false" ht="15" hidden="false" customHeight="false" outlineLevel="0" collapsed="false">
      <c r="A1133" s="5" t="s">
        <v>4</v>
      </c>
      <c r="B1133" s="5" t="s">
        <v>80</v>
      </c>
      <c r="C1133" s="5" t="s">
        <v>62</v>
      </c>
      <c r="D1133" s="2" t="n">
        <v>19</v>
      </c>
      <c r="E1133" s="5" t="s">
        <v>165</v>
      </c>
      <c r="F1133" s="5" t="s">
        <v>167</v>
      </c>
      <c r="G1133" s="2" t="n">
        <v>1</v>
      </c>
      <c r="H1133" s="7" t="n">
        <v>-0.133759909</v>
      </c>
      <c r="I1133" s="7" t="n">
        <v>-0.9909365929</v>
      </c>
      <c r="J1133" s="7" t="n">
        <v>-0.01236752291</v>
      </c>
      <c r="K1133" s="7" t="n">
        <v>0.9909882962</v>
      </c>
      <c r="L1133" s="7" t="n">
        <v>-0.1336565806</v>
      </c>
      <c r="M1133" s="7" t="n">
        <v>-0.008838285314</v>
      </c>
      <c r="N1133" s="7" t="n">
        <v>0.007105179513</v>
      </c>
      <c r="O1133" s="7" t="n">
        <v>-0.0134382787</v>
      </c>
      <c r="P1133" s="7" t="n">
        <v>0.9998844579</v>
      </c>
      <c r="Q1133" s="7" t="n">
        <v>-13.99018905</v>
      </c>
      <c r="R1133" s="7" t="n">
        <v>12.41273228</v>
      </c>
      <c r="S1133" s="7" t="n">
        <v>0.1447579298</v>
      </c>
    </row>
    <row r="1134" customFormat="false" ht="15" hidden="false" customHeight="false" outlineLevel="0" collapsed="false">
      <c r="A1134" s="5" t="s">
        <v>4</v>
      </c>
      <c r="B1134" s="5" t="s">
        <v>80</v>
      </c>
      <c r="C1134" s="5" t="s">
        <v>58</v>
      </c>
      <c r="D1134" s="2" t="n">
        <v>19</v>
      </c>
      <c r="E1134" s="5" t="s">
        <v>165</v>
      </c>
      <c r="F1134" s="5" t="s">
        <v>168</v>
      </c>
      <c r="G1134" s="2" t="n">
        <v>1</v>
      </c>
      <c r="H1134" s="7" t="n">
        <v>0.9759277922</v>
      </c>
      <c r="I1134" s="7" t="n">
        <v>-0.2180456801</v>
      </c>
      <c r="J1134" s="7" t="n">
        <v>-0.004585382172</v>
      </c>
      <c r="K1134" s="7" t="n">
        <v>0.2180302402</v>
      </c>
      <c r="L1134" s="7" t="n">
        <v>0.9759352269</v>
      </c>
      <c r="M1134" s="7" t="n">
        <v>-0.003639678693</v>
      </c>
      <c r="N1134" s="7" t="n">
        <v>0.005268652206</v>
      </c>
      <c r="O1134" s="7" t="n">
        <v>0.002552311616</v>
      </c>
      <c r="P1134" s="7" t="n">
        <v>0.9999828634</v>
      </c>
      <c r="Q1134" s="7" t="n">
        <v>17.21296278</v>
      </c>
      <c r="R1134" s="7" t="n">
        <v>16.6589087</v>
      </c>
      <c r="S1134" s="7" t="n">
        <v>1.479478799</v>
      </c>
    </row>
    <row r="1135" customFormat="false" ht="15" hidden="false" customHeight="false" outlineLevel="0" collapsed="false">
      <c r="A1135" s="5" t="s">
        <v>4</v>
      </c>
      <c r="B1135" s="5" t="s">
        <v>80</v>
      </c>
      <c r="C1135" s="5" t="s">
        <v>62</v>
      </c>
      <c r="D1135" s="2" t="n">
        <v>19</v>
      </c>
      <c r="E1135" s="5" t="s">
        <v>165</v>
      </c>
      <c r="F1135" s="5" t="s">
        <v>168</v>
      </c>
      <c r="G1135" s="2" t="n">
        <v>1</v>
      </c>
      <c r="H1135" s="7" t="n">
        <v>0.9759277922</v>
      </c>
      <c r="I1135" s="7" t="n">
        <v>-0.2180456801</v>
      </c>
      <c r="J1135" s="7" t="n">
        <v>-0.004585382172</v>
      </c>
      <c r="K1135" s="7" t="n">
        <v>0.2180302402</v>
      </c>
      <c r="L1135" s="7" t="n">
        <v>0.9759352269</v>
      </c>
      <c r="M1135" s="7" t="n">
        <v>-0.003639678693</v>
      </c>
      <c r="N1135" s="7" t="n">
        <v>0.005268652206</v>
      </c>
      <c r="O1135" s="7" t="n">
        <v>0.002552311616</v>
      </c>
      <c r="P1135" s="7" t="n">
        <v>0.9999828634</v>
      </c>
      <c r="Q1135" s="7" t="n">
        <v>17.21296278</v>
      </c>
      <c r="R1135" s="7" t="n">
        <v>16.6589087</v>
      </c>
      <c r="S1135" s="7" t="n">
        <v>1.479478799</v>
      </c>
    </row>
    <row r="1136" customFormat="false" ht="15" hidden="false" customHeight="false" outlineLevel="0" collapsed="false">
      <c r="A1136" s="5" t="s">
        <v>4</v>
      </c>
      <c r="B1136" s="5" t="s">
        <v>80</v>
      </c>
      <c r="C1136" s="5" t="s">
        <v>58</v>
      </c>
      <c r="D1136" s="2" t="n">
        <v>20</v>
      </c>
      <c r="E1136" s="5" t="s">
        <v>165</v>
      </c>
      <c r="F1136" s="5" t="s">
        <v>166</v>
      </c>
      <c r="G1136" s="2" t="n">
        <v>1</v>
      </c>
      <c r="H1136" s="7" t="n">
        <v>0.9967491308</v>
      </c>
      <c r="I1136" s="7" t="n">
        <v>0.08045733175</v>
      </c>
      <c r="J1136" s="7" t="n">
        <v>-0.004217579919</v>
      </c>
      <c r="K1136" s="7" t="n">
        <v>-0.08046884341</v>
      </c>
      <c r="L1136" s="7" t="n">
        <v>0.9967536429</v>
      </c>
      <c r="M1136" s="7" t="n">
        <v>-0.00263449792</v>
      </c>
      <c r="N1136" s="7" t="n">
        <v>0.003991923476</v>
      </c>
      <c r="O1136" s="7" t="n">
        <v>0.00296531729</v>
      </c>
      <c r="P1136" s="7" t="n">
        <v>0.9999876356</v>
      </c>
      <c r="Q1136" s="7" t="n">
        <v>14.37817019</v>
      </c>
      <c r="R1136" s="7" t="n">
        <v>5.845964844</v>
      </c>
      <c r="S1136" s="7" t="n">
        <v>0.7658060949</v>
      </c>
    </row>
    <row r="1137" customFormat="false" ht="15" hidden="false" customHeight="false" outlineLevel="0" collapsed="false">
      <c r="A1137" s="5" t="s">
        <v>4</v>
      </c>
      <c r="B1137" s="5" t="s">
        <v>80</v>
      </c>
      <c r="C1137" s="5" t="s">
        <v>62</v>
      </c>
      <c r="D1137" s="2" t="n">
        <v>20</v>
      </c>
      <c r="E1137" s="5" t="s">
        <v>165</v>
      </c>
      <c r="F1137" s="5" t="s">
        <v>166</v>
      </c>
      <c r="G1137" s="2" t="n">
        <v>1</v>
      </c>
      <c r="H1137" s="7" t="n">
        <v>0.9967491308</v>
      </c>
      <c r="I1137" s="7" t="n">
        <v>0.08045733175</v>
      </c>
      <c r="J1137" s="7" t="n">
        <v>-0.004217579919</v>
      </c>
      <c r="K1137" s="7" t="n">
        <v>-0.08046884341</v>
      </c>
      <c r="L1137" s="7" t="n">
        <v>0.9967536429</v>
      </c>
      <c r="M1137" s="7" t="n">
        <v>-0.00263449792</v>
      </c>
      <c r="N1137" s="7" t="n">
        <v>0.003991923476</v>
      </c>
      <c r="O1137" s="7" t="n">
        <v>0.00296531729</v>
      </c>
      <c r="P1137" s="7" t="n">
        <v>0.9999876356</v>
      </c>
      <c r="Q1137" s="7" t="n">
        <v>14.37817019</v>
      </c>
      <c r="R1137" s="7" t="n">
        <v>5.845964844</v>
      </c>
      <c r="S1137" s="7" t="n">
        <v>0.7658060949</v>
      </c>
    </row>
    <row r="1138" customFormat="false" ht="15" hidden="false" customHeight="false" outlineLevel="0" collapsed="false">
      <c r="A1138" s="5" t="s">
        <v>4</v>
      </c>
      <c r="B1138" s="5" t="s">
        <v>80</v>
      </c>
      <c r="C1138" s="5" t="s">
        <v>58</v>
      </c>
      <c r="D1138" s="2" t="n">
        <v>20</v>
      </c>
      <c r="E1138" s="5" t="s">
        <v>165</v>
      </c>
      <c r="F1138" s="5" t="s">
        <v>167</v>
      </c>
      <c r="G1138" s="2" t="n">
        <v>1</v>
      </c>
      <c r="H1138" s="7" t="n">
        <v>-0.1375216016</v>
      </c>
      <c r="I1138" s="7" t="n">
        <v>-0.9904858812</v>
      </c>
      <c r="J1138" s="7" t="n">
        <v>-0.005052550586</v>
      </c>
      <c r="K1138" s="7" t="n">
        <v>0.9904770315</v>
      </c>
      <c r="L1138" s="7" t="n">
        <v>-0.1374830009</v>
      </c>
      <c r="M1138" s="7" t="n">
        <v>-0.007326295268</v>
      </c>
      <c r="N1138" s="7" t="n">
        <v>0.006561952208</v>
      </c>
      <c r="O1138" s="7" t="n">
        <v>-0.006011959165</v>
      </c>
      <c r="P1138" s="7" t="n">
        <v>0.9999603978</v>
      </c>
      <c r="Q1138" s="7" t="n">
        <v>-14.01601977</v>
      </c>
      <c r="R1138" s="7" t="n">
        <v>12.39963817</v>
      </c>
      <c r="S1138" s="7" t="n">
        <v>0.2236518887</v>
      </c>
    </row>
    <row r="1139" customFormat="false" ht="15" hidden="false" customHeight="false" outlineLevel="0" collapsed="false">
      <c r="A1139" s="5" t="s">
        <v>4</v>
      </c>
      <c r="B1139" s="5" t="s">
        <v>80</v>
      </c>
      <c r="C1139" s="5" t="s">
        <v>62</v>
      </c>
      <c r="D1139" s="2" t="n">
        <v>20</v>
      </c>
      <c r="E1139" s="5" t="s">
        <v>165</v>
      </c>
      <c r="F1139" s="5" t="s">
        <v>167</v>
      </c>
      <c r="G1139" s="2" t="n">
        <v>1</v>
      </c>
      <c r="H1139" s="7" t="n">
        <v>-0.1375216016</v>
      </c>
      <c r="I1139" s="7" t="n">
        <v>-0.9904858812</v>
      </c>
      <c r="J1139" s="7" t="n">
        <v>-0.005052550586</v>
      </c>
      <c r="K1139" s="7" t="n">
        <v>0.9904770315</v>
      </c>
      <c r="L1139" s="7" t="n">
        <v>-0.1374830009</v>
      </c>
      <c r="M1139" s="7" t="n">
        <v>-0.007326295268</v>
      </c>
      <c r="N1139" s="7" t="n">
        <v>0.006561952208</v>
      </c>
      <c r="O1139" s="7" t="n">
        <v>-0.006011959165</v>
      </c>
      <c r="P1139" s="7" t="n">
        <v>0.9999603978</v>
      </c>
      <c r="Q1139" s="7" t="n">
        <v>-14.01601977</v>
      </c>
      <c r="R1139" s="7" t="n">
        <v>12.39963817</v>
      </c>
      <c r="S1139" s="7" t="n">
        <v>0.2236518887</v>
      </c>
    </row>
    <row r="1140" customFormat="false" ht="15" hidden="false" customHeight="false" outlineLevel="0" collapsed="false">
      <c r="A1140" s="5" t="s">
        <v>4</v>
      </c>
      <c r="B1140" s="5" t="s">
        <v>80</v>
      </c>
      <c r="C1140" s="5" t="s">
        <v>58</v>
      </c>
      <c r="D1140" s="2" t="n">
        <v>20</v>
      </c>
      <c r="E1140" s="5" t="s">
        <v>165</v>
      </c>
      <c r="F1140" s="5" t="s">
        <v>168</v>
      </c>
      <c r="G1140" s="2" t="n">
        <v>1</v>
      </c>
      <c r="H1140" s="7" t="n">
        <v>0.9745025951</v>
      </c>
      <c r="I1140" s="7" t="n">
        <v>-0.223754816</v>
      </c>
      <c r="J1140" s="7" t="n">
        <v>-0.01668755414</v>
      </c>
      <c r="K1140" s="7" t="n">
        <v>0.2229293372</v>
      </c>
      <c r="L1140" s="7" t="n">
        <v>0.9739695684</v>
      </c>
      <c r="M1140" s="7" t="n">
        <v>-0.04105837899</v>
      </c>
      <c r="N1140" s="7" t="n">
        <v>0.02544017993</v>
      </c>
      <c r="O1140" s="7" t="n">
        <v>0.03629135149</v>
      </c>
      <c r="P1140" s="7" t="n">
        <v>0.9990173848</v>
      </c>
      <c r="Q1140" s="7" t="n">
        <v>17.11742497</v>
      </c>
      <c r="R1140" s="7" t="n">
        <v>16.61730367</v>
      </c>
      <c r="S1140" s="7" t="n">
        <v>2.030595525</v>
      </c>
    </row>
    <row r="1141" customFormat="false" ht="15" hidden="false" customHeight="false" outlineLevel="0" collapsed="false">
      <c r="A1141" s="5" t="s">
        <v>4</v>
      </c>
      <c r="B1141" s="5" t="s">
        <v>80</v>
      </c>
      <c r="C1141" s="5" t="s">
        <v>62</v>
      </c>
      <c r="D1141" s="2" t="n">
        <v>20</v>
      </c>
      <c r="E1141" s="5" t="s">
        <v>165</v>
      </c>
      <c r="F1141" s="5" t="s">
        <v>168</v>
      </c>
      <c r="G1141" s="2" t="n">
        <v>1</v>
      </c>
      <c r="H1141" s="7" t="n">
        <v>0.9745025951</v>
      </c>
      <c r="I1141" s="7" t="n">
        <v>-0.223754816</v>
      </c>
      <c r="J1141" s="7" t="n">
        <v>-0.01668755414</v>
      </c>
      <c r="K1141" s="7" t="n">
        <v>0.2229293372</v>
      </c>
      <c r="L1141" s="7" t="n">
        <v>0.9739695684</v>
      </c>
      <c r="M1141" s="7" t="n">
        <v>-0.04105837899</v>
      </c>
      <c r="N1141" s="7" t="n">
        <v>0.02544017993</v>
      </c>
      <c r="O1141" s="7" t="n">
        <v>0.03629135149</v>
      </c>
      <c r="P1141" s="7" t="n">
        <v>0.9990173848</v>
      </c>
      <c r="Q1141" s="7" t="n">
        <v>17.11742497</v>
      </c>
      <c r="R1141" s="7" t="n">
        <v>16.61730367</v>
      </c>
      <c r="S1141" s="7" t="n">
        <v>2.030595525</v>
      </c>
    </row>
    <row r="1142" customFormat="false" ht="15" hidden="false" customHeight="false" outlineLevel="0" collapsed="false">
      <c r="A1142" s="5" t="s">
        <v>4</v>
      </c>
      <c r="B1142" s="5" t="s">
        <v>80</v>
      </c>
      <c r="C1142" s="5" t="s">
        <v>58</v>
      </c>
      <c r="D1142" s="2" t="n">
        <v>11</v>
      </c>
      <c r="E1142" s="5" t="s">
        <v>166</v>
      </c>
      <c r="F1142" s="5" t="s">
        <v>167</v>
      </c>
      <c r="G1142" s="2" t="n">
        <v>1</v>
      </c>
      <c r="H1142" s="7" t="n">
        <v>-0.2161452972</v>
      </c>
      <c r="I1142" s="7" t="n">
        <v>-0.9762758351</v>
      </c>
      <c r="J1142" s="7" t="n">
        <v>0.01291140137</v>
      </c>
      <c r="K1142" s="7" t="n">
        <v>0.9763425019</v>
      </c>
      <c r="L1142" s="7" t="n">
        <v>-0.2162041166</v>
      </c>
      <c r="M1142" s="7" t="n">
        <v>-0.003331497151</v>
      </c>
      <c r="N1142" s="7" t="n">
        <v>0.006043958291</v>
      </c>
      <c r="O1142" s="7" t="n">
        <v>0.01188586248</v>
      </c>
      <c r="P1142" s="7" t="n">
        <v>0.9999110945</v>
      </c>
      <c r="Q1142" s="7" t="n">
        <v>-5.183872385</v>
      </c>
      <c r="R1142" s="7" t="n">
        <v>-0.3984020976</v>
      </c>
      <c r="S1142" s="7" t="n">
        <v>-0.3947831362</v>
      </c>
    </row>
    <row r="1143" customFormat="false" ht="15" hidden="false" customHeight="false" outlineLevel="0" collapsed="false">
      <c r="A1143" s="5" t="s">
        <v>4</v>
      </c>
      <c r="B1143" s="5" t="s">
        <v>80</v>
      </c>
      <c r="C1143" s="5" t="s">
        <v>62</v>
      </c>
      <c r="D1143" s="2" t="n">
        <v>11</v>
      </c>
      <c r="E1143" s="5" t="s">
        <v>166</v>
      </c>
      <c r="F1143" s="5" t="s">
        <v>167</v>
      </c>
      <c r="G1143" s="2" t="n">
        <v>1</v>
      </c>
      <c r="H1143" s="7" t="n">
        <v>-0.2161452972</v>
      </c>
      <c r="I1143" s="7" t="n">
        <v>-0.9762758351</v>
      </c>
      <c r="J1143" s="7" t="n">
        <v>0.01291140137</v>
      </c>
      <c r="K1143" s="7" t="n">
        <v>0.9763425019</v>
      </c>
      <c r="L1143" s="7" t="n">
        <v>-0.2162041166</v>
      </c>
      <c r="M1143" s="7" t="n">
        <v>-0.003331497151</v>
      </c>
      <c r="N1143" s="7" t="n">
        <v>0.006043958291</v>
      </c>
      <c r="O1143" s="7" t="n">
        <v>0.01188586248</v>
      </c>
      <c r="P1143" s="7" t="n">
        <v>0.9999110945</v>
      </c>
      <c r="Q1143" s="7" t="n">
        <v>-5.183872385</v>
      </c>
      <c r="R1143" s="7" t="n">
        <v>-0.3984020976</v>
      </c>
      <c r="S1143" s="7" t="n">
        <v>-0.3947831362</v>
      </c>
    </row>
    <row r="1144" customFormat="false" ht="15" hidden="false" customHeight="false" outlineLevel="0" collapsed="false">
      <c r="A1144" s="5" t="s">
        <v>4</v>
      </c>
      <c r="B1144" s="5" t="s">
        <v>80</v>
      </c>
      <c r="C1144" s="5" t="s">
        <v>58</v>
      </c>
      <c r="D1144" s="2" t="n">
        <v>11</v>
      </c>
      <c r="E1144" s="5" t="s">
        <v>166</v>
      </c>
      <c r="F1144" s="5" t="s">
        <v>168</v>
      </c>
      <c r="G1144" s="2" t="n">
        <v>1</v>
      </c>
      <c r="H1144" s="7" t="n">
        <v>0.9559004723</v>
      </c>
      <c r="I1144" s="7" t="n">
        <v>-0.293681035</v>
      </c>
      <c r="J1144" s="7" t="n">
        <v>-0.002395151038</v>
      </c>
      <c r="K1144" s="7" t="n">
        <v>0.2936840164</v>
      </c>
      <c r="L1144" s="7" t="n">
        <v>0.9559020359</v>
      </c>
      <c r="M1144" s="7" t="n">
        <v>0.0009981140568</v>
      </c>
      <c r="N1144" s="7" t="n">
        <v>0.001996402584</v>
      </c>
      <c r="O1144" s="7" t="n">
        <v>-0.001657515275</v>
      </c>
      <c r="P1144" s="7" t="n">
        <v>0.9999966335</v>
      </c>
      <c r="Q1144" s="7" t="n">
        <v>5.205167015</v>
      </c>
      <c r="R1144" s="7" t="n">
        <v>6.866420361</v>
      </c>
      <c r="S1144" s="7" t="n">
        <v>0.7267269911</v>
      </c>
    </row>
    <row r="1145" customFormat="false" ht="15" hidden="false" customHeight="false" outlineLevel="0" collapsed="false">
      <c r="A1145" s="5" t="s">
        <v>4</v>
      </c>
      <c r="B1145" s="5" t="s">
        <v>80</v>
      </c>
      <c r="C1145" s="5" t="s">
        <v>62</v>
      </c>
      <c r="D1145" s="2" t="n">
        <v>11</v>
      </c>
      <c r="E1145" s="5" t="s">
        <v>166</v>
      </c>
      <c r="F1145" s="5" t="s">
        <v>168</v>
      </c>
      <c r="G1145" s="2" t="n">
        <v>1</v>
      </c>
      <c r="H1145" s="7" t="n">
        <v>0.9559004723</v>
      </c>
      <c r="I1145" s="7" t="n">
        <v>-0.293681035</v>
      </c>
      <c r="J1145" s="7" t="n">
        <v>-0.002395151038</v>
      </c>
      <c r="K1145" s="7" t="n">
        <v>0.2936840164</v>
      </c>
      <c r="L1145" s="7" t="n">
        <v>0.9559020359</v>
      </c>
      <c r="M1145" s="7" t="n">
        <v>0.0009981140568</v>
      </c>
      <c r="N1145" s="7" t="n">
        <v>0.001996402584</v>
      </c>
      <c r="O1145" s="7" t="n">
        <v>-0.001657515275</v>
      </c>
      <c r="P1145" s="7" t="n">
        <v>0.9999966335</v>
      </c>
      <c r="Q1145" s="7" t="n">
        <v>5.205167015</v>
      </c>
      <c r="R1145" s="7" t="n">
        <v>6.866420361</v>
      </c>
      <c r="S1145" s="7" t="n">
        <v>0.7267269911</v>
      </c>
    </row>
    <row r="1146" customFormat="false" ht="15" hidden="false" customHeight="false" outlineLevel="0" collapsed="false">
      <c r="A1146" s="5" t="s">
        <v>4</v>
      </c>
      <c r="B1146" s="5" t="s">
        <v>80</v>
      </c>
      <c r="C1146" s="5" t="s">
        <v>58</v>
      </c>
      <c r="D1146" s="2" t="n">
        <v>12</v>
      </c>
      <c r="E1146" s="5" t="s">
        <v>166</v>
      </c>
      <c r="F1146" s="5" t="s">
        <v>167</v>
      </c>
      <c r="G1146" s="2" t="n">
        <v>1</v>
      </c>
      <c r="H1146" s="7" t="n">
        <v>-0.2160653614</v>
      </c>
      <c r="I1146" s="7" t="n">
        <v>-0.9763569342</v>
      </c>
      <c r="J1146" s="7" t="n">
        <v>0.006549561404</v>
      </c>
      <c r="K1146" s="7" t="n">
        <v>0.976369374</v>
      </c>
      <c r="L1146" s="7" t="n">
        <v>-0.2160880259</v>
      </c>
      <c r="M1146" s="7" t="n">
        <v>-0.002968264174</v>
      </c>
      <c r="N1146" s="7" t="n">
        <v>0.004313367103</v>
      </c>
      <c r="O1146" s="7" t="n">
        <v>0.005753452096</v>
      </c>
      <c r="P1146" s="7" t="n">
        <v>0.999974146</v>
      </c>
      <c r="Q1146" s="7" t="n">
        <v>-5.179764716</v>
      </c>
      <c r="R1146" s="7" t="n">
        <v>-0.3835510427</v>
      </c>
      <c r="S1146" s="7" t="n">
        <v>-0.3937035882</v>
      </c>
    </row>
    <row r="1147" customFormat="false" ht="15" hidden="false" customHeight="false" outlineLevel="0" collapsed="false">
      <c r="A1147" s="5" t="s">
        <v>4</v>
      </c>
      <c r="B1147" s="5" t="s">
        <v>80</v>
      </c>
      <c r="C1147" s="5" t="s">
        <v>62</v>
      </c>
      <c r="D1147" s="2" t="n">
        <v>12</v>
      </c>
      <c r="E1147" s="5" t="s">
        <v>166</v>
      </c>
      <c r="F1147" s="5" t="s">
        <v>167</v>
      </c>
      <c r="G1147" s="2" t="n">
        <v>1</v>
      </c>
      <c r="H1147" s="7" t="n">
        <v>-0.2160653614</v>
      </c>
      <c r="I1147" s="7" t="n">
        <v>-0.9763569342</v>
      </c>
      <c r="J1147" s="7" t="n">
        <v>0.006549561404</v>
      </c>
      <c r="K1147" s="7" t="n">
        <v>0.976369374</v>
      </c>
      <c r="L1147" s="7" t="n">
        <v>-0.2160880259</v>
      </c>
      <c r="M1147" s="7" t="n">
        <v>-0.002968264174</v>
      </c>
      <c r="N1147" s="7" t="n">
        <v>0.004313367103</v>
      </c>
      <c r="O1147" s="7" t="n">
        <v>0.005753452096</v>
      </c>
      <c r="P1147" s="7" t="n">
        <v>0.999974146</v>
      </c>
      <c r="Q1147" s="7" t="n">
        <v>-5.179764716</v>
      </c>
      <c r="R1147" s="7" t="n">
        <v>-0.3835510427</v>
      </c>
      <c r="S1147" s="7" t="n">
        <v>-0.3937035882</v>
      </c>
    </row>
    <row r="1148" customFormat="false" ht="15" hidden="false" customHeight="false" outlineLevel="0" collapsed="false">
      <c r="A1148" s="5" t="s">
        <v>4</v>
      </c>
      <c r="B1148" s="5" t="s">
        <v>80</v>
      </c>
      <c r="C1148" s="5" t="s">
        <v>58</v>
      </c>
      <c r="D1148" s="2" t="n">
        <v>12</v>
      </c>
      <c r="E1148" s="5" t="s">
        <v>166</v>
      </c>
      <c r="F1148" s="5" t="s">
        <v>168</v>
      </c>
      <c r="G1148" s="2" t="n">
        <v>1</v>
      </c>
      <c r="H1148" s="7" t="n">
        <v>0.9555992017</v>
      </c>
      <c r="I1148" s="7" t="n">
        <v>-0.2946688096</v>
      </c>
      <c r="J1148" s="7" t="n">
        <v>-0.0006770673026</v>
      </c>
      <c r="K1148" s="7" t="n">
        <v>0.2946674197</v>
      </c>
      <c r="L1148" s="7" t="n">
        <v>0.9555984627</v>
      </c>
      <c r="M1148" s="7" t="n">
        <v>-0.001640073185</v>
      </c>
      <c r="N1148" s="7" t="n">
        <v>0.001130282887</v>
      </c>
      <c r="O1148" s="7" t="n">
        <v>0.001367742952</v>
      </c>
      <c r="P1148" s="7" t="n">
        <v>0.9999984259</v>
      </c>
      <c r="Q1148" s="7" t="n">
        <v>5.199730899</v>
      </c>
      <c r="R1148" s="7" t="n">
        <v>6.858739293</v>
      </c>
      <c r="S1148" s="7" t="n">
        <v>0.7055321981</v>
      </c>
    </row>
    <row r="1149" customFormat="false" ht="15" hidden="false" customHeight="false" outlineLevel="0" collapsed="false">
      <c r="A1149" s="5" t="s">
        <v>4</v>
      </c>
      <c r="B1149" s="5" t="s">
        <v>80</v>
      </c>
      <c r="C1149" s="5" t="s">
        <v>62</v>
      </c>
      <c r="D1149" s="2" t="n">
        <v>12</v>
      </c>
      <c r="E1149" s="5" t="s">
        <v>166</v>
      </c>
      <c r="F1149" s="5" t="s">
        <v>168</v>
      </c>
      <c r="G1149" s="2" t="n">
        <v>1</v>
      </c>
      <c r="H1149" s="7" t="n">
        <v>0.9555992017</v>
      </c>
      <c r="I1149" s="7" t="n">
        <v>-0.2946688096</v>
      </c>
      <c r="J1149" s="7" t="n">
        <v>-0.0006770673026</v>
      </c>
      <c r="K1149" s="7" t="n">
        <v>0.2946674197</v>
      </c>
      <c r="L1149" s="7" t="n">
        <v>0.9555984627</v>
      </c>
      <c r="M1149" s="7" t="n">
        <v>-0.001640073185</v>
      </c>
      <c r="N1149" s="7" t="n">
        <v>0.001130282887</v>
      </c>
      <c r="O1149" s="7" t="n">
        <v>0.001367742952</v>
      </c>
      <c r="P1149" s="7" t="n">
        <v>0.9999984259</v>
      </c>
      <c r="Q1149" s="7" t="n">
        <v>5.199730899</v>
      </c>
      <c r="R1149" s="7" t="n">
        <v>6.858739293</v>
      </c>
      <c r="S1149" s="7" t="n">
        <v>0.7055321981</v>
      </c>
    </row>
    <row r="1150" customFormat="false" ht="15" hidden="false" customHeight="false" outlineLevel="0" collapsed="false">
      <c r="A1150" s="5" t="s">
        <v>4</v>
      </c>
      <c r="B1150" s="5" t="s">
        <v>80</v>
      </c>
      <c r="C1150" s="5" t="s">
        <v>58</v>
      </c>
      <c r="D1150" s="2" t="n">
        <v>13</v>
      </c>
      <c r="E1150" s="5" t="s">
        <v>166</v>
      </c>
      <c r="F1150" s="5" t="s">
        <v>167</v>
      </c>
      <c r="G1150" s="2" t="n">
        <v>1</v>
      </c>
      <c r="H1150" s="7" t="n">
        <v>-0.2160364949</v>
      </c>
      <c r="I1150" s="7" t="n">
        <v>-0.9763550216</v>
      </c>
      <c r="J1150" s="7" t="n">
        <v>0.007687952613</v>
      </c>
      <c r="K1150" s="7" t="n">
        <v>0.976379991</v>
      </c>
      <c r="L1150" s="7" t="n">
        <v>-0.2160545647</v>
      </c>
      <c r="M1150" s="7" t="n">
        <v>-0.00159317967</v>
      </c>
      <c r="N1150" s="7" t="n">
        <v>0.003216526226</v>
      </c>
      <c r="O1150" s="7" t="n">
        <v>0.007162178152</v>
      </c>
      <c r="P1150" s="7" t="n">
        <v>0.9999691781</v>
      </c>
      <c r="Q1150" s="7" t="n">
        <v>-5.193549818</v>
      </c>
      <c r="R1150" s="7" t="n">
        <v>-0.3889777386</v>
      </c>
      <c r="S1150" s="7" t="n">
        <v>-0.3918157707</v>
      </c>
    </row>
    <row r="1151" customFormat="false" ht="15" hidden="false" customHeight="false" outlineLevel="0" collapsed="false">
      <c r="A1151" s="5" t="s">
        <v>4</v>
      </c>
      <c r="B1151" s="5" t="s">
        <v>80</v>
      </c>
      <c r="C1151" s="5" t="s">
        <v>62</v>
      </c>
      <c r="D1151" s="2" t="n">
        <v>13</v>
      </c>
      <c r="E1151" s="5" t="s">
        <v>166</v>
      </c>
      <c r="F1151" s="5" t="s">
        <v>167</v>
      </c>
      <c r="G1151" s="2" t="n">
        <v>1</v>
      </c>
      <c r="H1151" s="7" t="n">
        <v>-0.2160364949</v>
      </c>
      <c r="I1151" s="7" t="n">
        <v>-0.9763550216</v>
      </c>
      <c r="J1151" s="7" t="n">
        <v>0.007687952613</v>
      </c>
      <c r="K1151" s="7" t="n">
        <v>0.976379991</v>
      </c>
      <c r="L1151" s="7" t="n">
        <v>-0.2160545647</v>
      </c>
      <c r="M1151" s="7" t="n">
        <v>-0.00159317967</v>
      </c>
      <c r="N1151" s="7" t="n">
        <v>0.003216526226</v>
      </c>
      <c r="O1151" s="7" t="n">
        <v>0.007162178152</v>
      </c>
      <c r="P1151" s="7" t="n">
        <v>0.9999691781</v>
      </c>
      <c r="Q1151" s="7" t="n">
        <v>-5.193549818</v>
      </c>
      <c r="R1151" s="7" t="n">
        <v>-0.3889777386</v>
      </c>
      <c r="S1151" s="7" t="n">
        <v>-0.3918157707</v>
      </c>
    </row>
    <row r="1152" customFormat="false" ht="15" hidden="false" customHeight="false" outlineLevel="0" collapsed="false">
      <c r="A1152" s="5" t="s">
        <v>4</v>
      </c>
      <c r="B1152" s="5" t="s">
        <v>80</v>
      </c>
      <c r="C1152" s="5" t="s">
        <v>58</v>
      </c>
      <c r="D1152" s="2" t="n">
        <v>13</v>
      </c>
      <c r="E1152" s="5" t="s">
        <v>166</v>
      </c>
      <c r="F1152" s="5" t="s">
        <v>168</v>
      </c>
      <c r="G1152" s="2" t="n">
        <v>1</v>
      </c>
      <c r="H1152" s="7" t="n">
        <v>0.9554718962</v>
      </c>
      <c r="I1152" s="7" t="n">
        <v>-0.2950820862</v>
      </c>
      <c r="J1152" s="7" t="n">
        <v>-0.0001340250725</v>
      </c>
      <c r="K1152" s="7" t="n">
        <v>0.2950810191</v>
      </c>
      <c r="L1152" s="7" t="n">
        <v>0.9554694827</v>
      </c>
      <c r="M1152" s="7" t="n">
        <v>-0.002293427983</v>
      </c>
      <c r="N1152" s="7" t="n">
        <v>0.0008048063805</v>
      </c>
      <c r="O1152" s="7" t="n">
        <v>0.002151757729</v>
      </c>
      <c r="P1152" s="7" t="n">
        <v>0.9999973611</v>
      </c>
      <c r="Q1152" s="7" t="n">
        <v>5.204753505</v>
      </c>
      <c r="R1152" s="7" t="n">
        <v>6.858470993</v>
      </c>
      <c r="S1152" s="7" t="n">
        <v>0.7198884274</v>
      </c>
    </row>
    <row r="1153" customFormat="false" ht="15" hidden="false" customHeight="false" outlineLevel="0" collapsed="false">
      <c r="A1153" s="5" t="s">
        <v>4</v>
      </c>
      <c r="B1153" s="5" t="s">
        <v>80</v>
      </c>
      <c r="C1153" s="5" t="s">
        <v>62</v>
      </c>
      <c r="D1153" s="2" t="n">
        <v>13</v>
      </c>
      <c r="E1153" s="5" t="s">
        <v>166</v>
      </c>
      <c r="F1153" s="5" t="s">
        <v>168</v>
      </c>
      <c r="G1153" s="2" t="n">
        <v>1</v>
      </c>
      <c r="H1153" s="7" t="n">
        <v>0.9554718962</v>
      </c>
      <c r="I1153" s="7" t="n">
        <v>-0.2950820862</v>
      </c>
      <c r="J1153" s="7" t="n">
        <v>-0.0001340250725</v>
      </c>
      <c r="K1153" s="7" t="n">
        <v>0.2950810191</v>
      </c>
      <c r="L1153" s="7" t="n">
        <v>0.9554694827</v>
      </c>
      <c r="M1153" s="7" t="n">
        <v>-0.002293427983</v>
      </c>
      <c r="N1153" s="7" t="n">
        <v>0.0008048063805</v>
      </c>
      <c r="O1153" s="7" t="n">
        <v>0.002151757729</v>
      </c>
      <c r="P1153" s="7" t="n">
        <v>0.9999973611</v>
      </c>
      <c r="Q1153" s="7" t="n">
        <v>5.204753505</v>
      </c>
      <c r="R1153" s="7" t="n">
        <v>6.858470993</v>
      </c>
      <c r="S1153" s="7" t="n">
        <v>0.7198884274</v>
      </c>
    </row>
    <row r="1154" customFormat="false" ht="15" hidden="false" customHeight="false" outlineLevel="0" collapsed="false">
      <c r="A1154" s="5" t="s">
        <v>4</v>
      </c>
      <c r="B1154" s="5" t="s">
        <v>80</v>
      </c>
      <c r="C1154" s="5" t="s">
        <v>58</v>
      </c>
      <c r="D1154" s="2" t="n">
        <v>14</v>
      </c>
      <c r="E1154" s="5" t="s">
        <v>166</v>
      </c>
      <c r="F1154" s="5" t="s">
        <v>167</v>
      </c>
      <c r="G1154" s="2" t="n">
        <v>1</v>
      </c>
      <c r="H1154" s="7" t="n">
        <v>-0.2172022534</v>
      </c>
      <c r="I1154" s="7" t="n">
        <v>-0.9761071261</v>
      </c>
      <c r="J1154" s="7" t="n">
        <v>0.006169242063</v>
      </c>
      <c r="K1154" s="7" t="n">
        <v>0.9761233351</v>
      </c>
      <c r="L1154" s="7" t="n">
        <v>-0.2172135841</v>
      </c>
      <c r="M1154" s="7" t="n">
        <v>-0.001222090641</v>
      </c>
      <c r="N1154" s="7" t="n">
        <v>0.002532934563</v>
      </c>
      <c r="O1154" s="7" t="n">
        <v>0.005756500296</v>
      </c>
      <c r="P1154" s="7" t="n">
        <v>0.9999802233</v>
      </c>
      <c r="Q1154" s="7" t="n">
        <v>-5.193367591</v>
      </c>
      <c r="R1154" s="7" t="n">
        <v>-0.3970022877</v>
      </c>
      <c r="S1154" s="7" t="n">
        <v>-0.4081871402</v>
      </c>
    </row>
    <row r="1155" customFormat="false" ht="15" hidden="false" customHeight="false" outlineLevel="0" collapsed="false">
      <c r="A1155" s="5" t="s">
        <v>4</v>
      </c>
      <c r="B1155" s="5" t="s">
        <v>80</v>
      </c>
      <c r="C1155" s="5" t="s">
        <v>62</v>
      </c>
      <c r="D1155" s="2" t="n">
        <v>14</v>
      </c>
      <c r="E1155" s="5" t="s">
        <v>166</v>
      </c>
      <c r="F1155" s="5" t="s">
        <v>167</v>
      </c>
      <c r="G1155" s="2" t="n">
        <v>1</v>
      </c>
      <c r="H1155" s="7" t="n">
        <v>-0.2172022534</v>
      </c>
      <c r="I1155" s="7" t="n">
        <v>-0.9761071261</v>
      </c>
      <c r="J1155" s="7" t="n">
        <v>0.006169242063</v>
      </c>
      <c r="K1155" s="7" t="n">
        <v>0.9761233351</v>
      </c>
      <c r="L1155" s="7" t="n">
        <v>-0.2172135841</v>
      </c>
      <c r="M1155" s="7" t="n">
        <v>-0.001222090641</v>
      </c>
      <c r="N1155" s="7" t="n">
        <v>0.002532934563</v>
      </c>
      <c r="O1155" s="7" t="n">
        <v>0.005756500296</v>
      </c>
      <c r="P1155" s="7" t="n">
        <v>0.9999802233</v>
      </c>
      <c r="Q1155" s="7" t="n">
        <v>-5.193367591</v>
      </c>
      <c r="R1155" s="7" t="n">
        <v>-0.3970022877</v>
      </c>
      <c r="S1155" s="7" t="n">
        <v>-0.4081871402</v>
      </c>
    </row>
    <row r="1156" customFormat="false" ht="15" hidden="false" customHeight="false" outlineLevel="0" collapsed="false">
      <c r="A1156" s="5" t="s">
        <v>4</v>
      </c>
      <c r="B1156" s="5" t="s">
        <v>80</v>
      </c>
      <c r="C1156" s="5" t="s">
        <v>58</v>
      </c>
      <c r="D1156" s="2" t="n">
        <v>14</v>
      </c>
      <c r="E1156" s="5" t="s">
        <v>166</v>
      </c>
      <c r="F1156" s="5" t="s">
        <v>168</v>
      </c>
      <c r="G1156" s="2" t="n">
        <v>1</v>
      </c>
      <c r="H1156" s="7" t="n">
        <v>0.9556048488</v>
      </c>
      <c r="I1156" s="7" t="n">
        <v>-0.2946508153</v>
      </c>
      <c r="J1156" s="7" t="n">
        <v>0.0005195285889</v>
      </c>
      <c r="K1156" s="7" t="n">
        <v>0.2946509621</v>
      </c>
      <c r="L1156" s="7" t="n">
        <v>0.9555997908</v>
      </c>
      <c r="M1156" s="7" t="n">
        <v>-0.003138537511</v>
      </c>
      <c r="N1156" s="7" t="n">
        <v>0.0004283112256</v>
      </c>
      <c r="O1156" s="7" t="n">
        <v>0.003152281262</v>
      </c>
      <c r="P1156" s="7" t="n">
        <v>0.9999949398</v>
      </c>
      <c r="Q1156" s="7" t="n">
        <v>5.198415231</v>
      </c>
      <c r="R1156" s="7" t="n">
        <v>6.867155403</v>
      </c>
      <c r="S1156" s="7" t="n">
        <v>0.7341994514</v>
      </c>
    </row>
    <row r="1157" customFormat="false" ht="15" hidden="false" customHeight="false" outlineLevel="0" collapsed="false">
      <c r="A1157" s="5" t="s">
        <v>4</v>
      </c>
      <c r="B1157" s="5" t="s">
        <v>80</v>
      </c>
      <c r="C1157" s="5" t="s">
        <v>62</v>
      </c>
      <c r="D1157" s="2" t="n">
        <v>14</v>
      </c>
      <c r="E1157" s="5" t="s">
        <v>166</v>
      </c>
      <c r="F1157" s="5" t="s">
        <v>168</v>
      </c>
      <c r="G1157" s="2" t="n">
        <v>1</v>
      </c>
      <c r="H1157" s="7" t="n">
        <v>0.9556048488</v>
      </c>
      <c r="I1157" s="7" t="n">
        <v>-0.2946508153</v>
      </c>
      <c r="J1157" s="7" t="n">
        <v>0.0005195285889</v>
      </c>
      <c r="K1157" s="7" t="n">
        <v>0.2946509621</v>
      </c>
      <c r="L1157" s="7" t="n">
        <v>0.9555997908</v>
      </c>
      <c r="M1157" s="7" t="n">
        <v>-0.003138537511</v>
      </c>
      <c r="N1157" s="7" t="n">
        <v>0.0004283112256</v>
      </c>
      <c r="O1157" s="7" t="n">
        <v>0.003152281262</v>
      </c>
      <c r="P1157" s="7" t="n">
        <v>0.9999949398</v>
      </c>
      <c r="Q1157" s="7" t="n">
        <v>5.198415231</v>
      </c>
      <c r="R1157" s="7" t="n">
        <v>6.867155403</v>
      </c>
      <c r="S1157" s="7" t="n">
        <v>0.7341994514</v>
      </c>
    </row>
    <row r="1158" customFormat="false" ht="15" hidden="false" customHeight="false" outlineLevel="0" collapsed="false">
      <c r="A1158" s="5" t="s">
        <v>4</v>
      </c>
      <c r="B1158" s="5" t="s">
        <v>80</v>
      </c>
      <c r="C1158" s="5" t="s">
        <v>58</v>
      </c>
      <c r="D1158" s="2" t="n">
        <v>15</v>
      </c>
      <c r="E1158" s="5" t="s">
        <v>166</v>
      </c>
      <c r="F1158" s="5" t="s">
        <v>167</v>
      </c>
      <c r="G1158" s="2" t="n">
        <v>1</v>
      </c>
      <c r="H1158" s="7" t="n">
        <v>-0.2194738618</v>
      </c>
      <c r="I1158" s="7" t="n">
        <v>-0.9754370186</v>
      </c>
      <c r="J1158" s="7" t="n">
        <v>0.01881081234</v>
      </c>
      <c r="K1158" s="7" t="n">
        <v>0.975491004</v>
      </c>
      <c r="L1158" s="7" t="n">
        <v>-0.2197159674</v>
      </c>
      <c r="M1158" s="7" t="n">
        <v>-0.01192454845</v>
      </c>
      <c r="N1158" s="7" t="n">
        <v>0.01576468182</v>
      </c>
      <c r="O1158" s="7" t="n">
        <v>0.01573265152</v>
      </c>
      <c r="P1158" s="7" t="n">
        <v>0.9997519485</v>
      </c>
      <c r="Q1158" s="7" t="n">
        <v>-5.166883393</v>
      </c>
      <c r="R1158" s="7" t="n">
        <v>-0.4429882891</v>
      </c>
      <c r="S1158" s="7" t="n">
        <v>-0.3993941475</v>
      </c>
    </row>
    <row r="1159" customFormat="false" ht="15" hidden="false" customHeight="false" outlineLevel="0" collapsed="false">
      <c r="A1159" s="5" t="s">
        <v>4</v>
      </c>
      <c r="B1159" s="5" t="s">
        <v>80</v>
      </c>
      <c r="C1159" s="5" t="s">
        <v>62</v>
      </c>
      <c r="D1159" s="2" t="n">
        <v>15</v>
      </c>
      <c r="E1159" s="5" t="s">
        <v>166</v>
      </c>
      <c r="F1159" s="5" t="s">
        <v>167</v>
      </c>
      <c r="G1159" s="2" t="n">
        <v>1</v>
      </c>
      <c r="H1159" s="7" t="n">
        <v>-0.2175659888</v>
      </c>
      <c r="I1159" s="7" t="n">
        <v>-0.9760016957</v>
      </c>
      <c r="J1159" s="7" t="n">
        <v>0.009259075225</v>
      </c>
      <c r="K1159" s="7" t="n">
        <v>0.9760216197</v>
      </c>
      <c r="L1159" s="7" t="n">
        <v>-0.2176173673</v>
      </c>
      <c r="M1159" s="7" t="n">
        <v>-0.004947658693</v>
      </c>
      <c r="N1159" s="7" t="n">
        <v>0.006843858849</v>
      </c>
      <c r="O1159" s="7" t="n">
        <v>0.007960615342</v>
      </c>
      <c r="P1159" s="7" t="n">
        <v>0.9999448936</v>
      </c>
      <c r="Q1159" s="7" t="n">
        <v>-5.178644358</v>
      </c>
      <c r="R1159" s="7" t="n">
        <v>-0.4269495848</v>
      </c>
      <c r="S1159" s="7" t="n">
        <v>-0.3983462999</v>
      </c>
    </row>
    <row r="1160" customFormat="false" ht="15" hidden="false" customHeight="false" outlineLevel="0" collapsed="false">
      <c r="A1160" s="5" t="s">
        <v>4</v>
      </c>
      <c r="B1160" s="5" t="s">
        <v>80</v>
      </c>
      <c r="C1160" s="5" t="s">
        <v>58</v>
      </c>
      <c r="D1160" s="2" t="n">
        <v>15</v>
      </c>
      <c r="E1160" s="5" t="s">
        <v>166</v>
      </c>
      <c r="F1160" s="5" t="s">
        <v>168</v>
      </c>
      <c r="G1160" s="2" t="n">
        <v>1</v>
      </c>
      <c r="H1160" s="7" t="n">
        <v>0.9556783839</v>
      </c>
      <c r="I1160" s="7" t="n">
        <v>-0.2944030738</v>
      </c>
      <c r="J1160" s="7" t="n">
        <v>-0.002378392081</v>
      </c>
      <c r="K1160" s="7" t="n">
        <v>0.2944030688</v>
      </c>
      <c r="L1160" s="7" t="n">
        <v>0.9556812771</v>
      </c>
      <c r="M1160" s="7" t="n">
        <v>-0.0003601392275</v>
      </c>
      <c r="N1160" s="7" t="n">
        <v>0.002379010877</v>
      </c>
      <c r="O1160" s="7" t="n">
        <v>-0.0003560286526</v>
      </c>
      <c r="P1160" s="7" t="n">
        <v>0.9999971068</v>
      </c>
      <c r="Q1160" s="7" t="n">
        <v>5.199576736</v>
      </c>
      <c r="R1160" s="7" t="n">
        <v>6.850907706</v>
      </c>
      <c r="S1160" s="7" t="n">
        <v>0.7046191566</v>
      </c>
    </row>
    <row r="1161" customFormat="false" ht="15" hidden="false" customHeight="false" outlineLevel="0" collapsed="false">
      <c r="A1161" s="5" t="s">
        <v>4</v>
      </c>
      <c r="B1161" s="5" t="s">
        <v>80</v>
      </c>
      <c r="C1161" s="5" t="s">
        <v>62</v>
      </c>
      <c r="D1161" s="2" t="n">
        <v>15</v>
      </c>
      <c r="E1161" s="5" t="s">
        <v>166</v>
      </c>
      <c r="F1161" s="5" t="s">
        <v>168</v>
      </c>
      <c r="G1161" s="2" t="n">
        <v>1</v>
      </c>
      <c r="H1161" s="7" t="n">
        <v>0.9556783839</v>
      </c>
      <c r="I1161" s="7" t="n">
        <v>-0.2944030738</v>
      </c>
      <c r="J1161" s="7" t="n">
        <v>-0.002378392081</v>
      </c>
      <c r="K1161" s="7" t="n">
        <v>0.2944030688</v>
      </c>
      <c r="L1161" s="7" t="n">
        <v>0.9556812771</v>
      </c>
      <c r="M1161" s="7" t="n">
        <v>-0.0003601392275</v>
      </c>
      <c r="N1161" s="7" t="n">
        <v>0.002379010877</v>
      </c>
      <c r="O1161" s="7" t="n">
        <v>-0.0003560286526</v>
      </c>
      <c r="P1161" s="7" t="n">
        <v>0.9999971068</v>
      </c>
      <c r="Q1161" s="7" t="n">
        <v>5.199576736</v>
      </c>
      <c r="R1161" s="7" t="n">
        <v>6.850907706</v>
      </c>
      <c r="S1161" s="7" t="n">
        <v>0.7046191566</v>
      </c>
    </row>
    <row r="1162" customFormat="false" ht="15" hidden="false" customHeight="false" outlineLevel="0" collapsed="false">
      <c r="A1162" s="5" t="s">
        <v>4</v>
      </c>
      <c r="B1162" s="5" t="s">
        <v>80</v>
      </c>
      <c r="C1162" s="5" t="s">
        <v>58</v>
      </c>
      <c r="D1162" s="2" t="n">
        <v>16</v>
      </c>
      <c r="E1162" s="5" t="s">
        <v>166</v>
      </c>
      <c r="F1162" s="5" t="s">
        <v>167</v>
      </c>
      <c r="G1162" s="2" t="n">
        <v>1</v>
      </c>
      <c r="H1162" s="7" t="n">
        <v>-0.2153642321</v>
      </c>
      <c r="I1162" s="7" t="n">
        <v>-0.9765209448</v>
      </c>
      <c r="J1162" s="7" t="n">
        <v>0.005009192485</v>
      </c>
      <c r="K1162" s="7" t="n">
        <v>0.9764399639</v>
      </c>
      <c r="L1162" s="7" t="n">
        <v>-0.2152695997</v>
      </c>
      <c r="M1162" s="7" t="n">
        <v>0.0149665047</v>
      </c>
      <c r="N1162" s="7" t="n">
        <v>-0.01353677845</v>
      </c>
      <c r="O1162" s="7" t="n">
        <v>0.008114425522</v>
      </c>
      <c r="P1162" s="7" t="n">
        <v>0.9998754481</v>
      </c>
      <c r="Q1162" s="7" t="n">
        <v>-5.202136717</v>
      </c>
      <c r="R1162" s="7" t="n">
        <v>-0.3303928443</v>
      </c>
      <c r="S1162" s="7" t="n">
        <v>-0.3230168917</v>
      </c>
    </row>
    <row r="1163" customFormat="false" ht="15" hidden="false" customHeight="false" outlineLevel="0" collapsed="false">
      <c r="A1163" s="5" t="s">
        <v>4</v>
      </c>
      <c r="B1163" s="5" t="s">
        <v>80</v>
      </c>
      <c r="C1163" s="5" t="s">
        <v>62</v>
      </c>
      <c r="D1163" s="2" t="n">
        <v>16</v>
      </c>
      <c r="E1163" s="5" t="s">
        <v>166</v>
      </c>
      <c r="F1163" s="5" t="s">
        <v>167</v>
      </c>
      <c r="G1163" s="2" t="n">
        <v>1</v>
      </c>
      <c r="H1163" s="7" t="n">
        <v>-0.2153642321</v>
      </c>
      <c r="I1163" s="7" t="n">
        <v>-0.9765209448</v>
      </c>
      <c r="J1163" s="7" t="n">
        <v>0.005009192485</v>
      </c>
      <c r="K1163" s="7" t="n">
        <v>0.9764399639</v>
      </c>
      <c r="L1163" s="7" t="n">
        <v>-0.2152695997</v>
      </c>
      <c r="M1163" s="7" t="n">
        <v>0.0149665047</v>
      </c>
      <c r="N1163" s="7" t="n">
        <v>-0.01353677845</v>
      </c>
      <c r="O1163" s="7" t="n">
        <v>0.008114425522</v>
      </c>
      <c r="P1163" s="7" t="n">
        <v>0.9998754481</v>
      </c>
      <c r="Q1163" s="7" t="n">
        <v>-5.202136717</v>
      </c>
      <c r="R1163" s="7" t="n">
        <v>-0.3303928443</v>
      </c>
      <c r="S1163" s="7" t="n">
        <v>-0.3230168917</v>
      </c>
    </row>
    <row r="1164" customFormat="false" ht="15" hidden="false" customHeight="false" outlineLevel="0" collapsed="false">
      <c r="A1164" s="5" t="s">
        <v>4</v>
      </c>
      <c r="B1164" s="5" t="s">
        <v>80</v>
      </c>
      <c r="C1164" s="5" t="s">
        <v>58</v>
      </c>
      <c r="D1164" s="2" t="n">
        <v>16</v>
      </c>
      <c r="E1164" s="5" t="s">
        <v>166</v>
      </c>
      <c r="F1164" s="5" t="s">
        <v>168</v>
      </c>
      <c r="G1164" s="2" t="n">
        <v>1</v>
      </c>
      <c r="H1164" s="7" t="n">
        <v>0.9555211815</v>
      </c>
      <c r="I1164" s="7" t="n">
        <v>-0.2949136395</v>
      </c>
      <c r="J1164" s="7" t="n">
        <v>-0.002284038235</v>
      </c>
      <c r="K1164" s="7" t="n">
        <v>0.2949109357</v>
      </c>
      <c r="L1164" s="7" t="n">
        <v>0.9555236466</v>
      </c>
      <c r="M1164" s="7" t="n">
        <v>-0.001449436861</v>
      </c>
      <c r="N1164" s="7" t="n">
        <v>0.002609911243</v>
      </c>
      <c r="O1164" s="7" t="n">
        <v>0.0007113797694</v>
      </c>
      <c r="P1164" s="7" t="n">
        <v>0.9999963411</v>
      </c>
      <c r="Q1164" s="7" t="n">
        <v>5.200200765</v>
      </c>
      <c r="R1164" s="7" t="n">
        <v>6.863233644</v>
      </c>
      <c r="S1164" s="7" t="n">
        <v>0.6855596229</v>
      </c>
    </row>
    <row r="1165" customFormat="false" ht="15" hidden="false" customHeight="false" outlineLevel="0" collapsed="false">
      <c r="A1165" s="5" t="s">
        <v>4</v>
      </c>
      <c r="B1165" s="5" t="s">
        <v>80</v>
      </c>
      <c r="C1165" s="5" t="s">
        <v>62</v>
      </c>
      <c r="D1165" s="2" t="n">
        <v>16</v>
      </c>
      <c r="E1165" s="5" t="s">
        <v>166</v>
      </c>
      <c r="F1165" s="5" t="s">
        <v>168</v>
      </c>
      <c r="G1165" s="2" t="n">
        <v>1</v>
      </c>
      <c r="H1165" s="7" t="n">
        <v>0.9555211815</v>
      </c>
      <c r="I1165" s="7" t="n">
        <v>-0.2949136395</v>
      </c>
      <c r="J1165" s="7" t="n">
        <v>-0.002284038235</v>
      </c>
      <c r="K1165" s="7" t="n">
        <v>0.2949109357</v>
      </c>
      <c r="L1165" s="7" t="n">
        <v>0.9555236466</v>
      </c>
      <c r="M1165" s="7" t="n">
        <v>-0.001449436861</v>
      </c>
      <c r="N1165" s="7" t="n">
        <v>0.002609911243</v>
      </c>
      <c r="O1165" s="7" t="n">
        <v>0.0007113797694</v>
      </c>
      <c r="P1165" s="7" t="n">
        <v>0.9999963411</v>
      </c>
      <c r="Q1165" s="7" t="n">
        <v>5.200200765</v>
      </c>
      <c r="R1165" s="7" t="n">
        <v>6.863233644</v>
      </c>
      <c r="S1165" s="7" t="n">
        <v>0.6855596229</v>
      </c>
    </row>
    <row r="1166" customFormat="false" ht="15" hidden="false" customHeight="false" outlineLevel="0" collapsed="false">
      <c r="A1166" s="5" t="s">
        <v>4</v>
      </c>
      <c r="B1166" s="5" t="s">
        <v>80</v>
      </c>
      <c r="C1166" s="5" t="s">
        <v>58</v>
      </c>
      <c r="D1166" s="2" t="n">
        <v>17</v>
      </c>
      <c r="E1166" s="5" t="s">
        <v>166</v>
      </c>
      <c r="F1166" s="5" t="s">
        <v>167</v>
      </c>
      <c r="G1166" s="2" t="n">
        <v>1</v>
      </c>
      <c r="H1166" s="7" t="n">
        <v>-0.2182345248</v>
      </c>
      <c r="I1166" s="7" t="n">
        <v>-0.9758706221</v>
      </c>
      <c r="J1166" s="7" t="n">
        <v>0.007086684478</v>
      </c>
      <c r="K1166" s="7" t="n">
        <v>0.9758933716</v>
      </c>
      <c r="L1166" s="7" t="n">
        <v>-0.2182460544</v>
      </c>
      <c r="M1166" s="7" t="n">
        <v>-0.0008871111003</v>
      </c>
      <c r="N1166" s="7" t="n">
        <v>0.002412346587</v>
      </c>
      <c r="O1166" s="7" t="n">
        <v>0.00672225014</v>
      </c>
      <c r="P1166" s="7" t="n">
        <v>0.9999744956</v>
      </c>
      <c r="Q1166" s="7" t="n">
        <v>-5.185771571</v>
      </c>
      <c r="R1166" s="7" t="n">
        <v>-0.381227071</v>
      </c>
      <c r="S1166" s="7" t="n">
        <v>-0.3860625154</v>
      </c>
    </row>
    <row r="1167" customFormat="false" ht="15" hidden="false" customHeight="false" outlineLevel="0" collapsed="false">
      <c r="A1167" s="5" t="s">
        <v>4</v>
      </c>
      <c r="B1167" s="5" t="s">
        <v>80</v>
      </c>
      <c r="C1167" s="5" t="s">
        <v>62</v>
      </c>
      <c r="D1167" s="2" t="n">
        <v>17</v>
      </c>
      <c r="E1167" s="5" t="s">
        <v>166</v>
      </c>
      <c r="F1167" s="5" t="s">
        <v>167</v>
      </c>
      <c r="G1167" s="2" t="n">
        <v>1</v>
      </c>
      <c r="H1167" s="7" t="n">
        <v>-0.2182345248</v>
      </c>
      <c r="I1167" s="7" t="n">
        <v>-0.9758706221</v>
      </c>
      <c r="J1167" s="7" t="n">
        <v>0.007086684478</v>
      </c>
      <c r="K1167" s="7" t="n">
        <v>0.9758933716</v>
      </c>
      <c r="L1167" s="7" t="n">
        <v>-0.2182460544</v>
      </c>
      <c r="M1167" s="7" t="n">
        <v>-0.0008871111003</v>
      </c>
      <c r="N1167" s="7" t="n">
        <v>0.002412346587</v>
      </c>
      <c r="O1167" s="7" t="n">
        <v>0.00672225014</v>
      </c>
      <c r="P1167" s="7" t="n">
        <v>0.9999744956</v>
      </c>
      <c r="Q1167" s="7" t="n">
        <v>-5.185771571</v>
      </c>
      <c r="R1167" s="7" t="n">
        <v>-0.381227071</v>
      </c>
      <c r="S1167" s="7" t="n">
        <v>-0.3860625154</v>
      </c>
    </row>
    <row r="1168" customFormat="false" ht="15" hidden="false" customHeight="false" outlineLevel="0" collapsed="false">
      <c r="A1168" s="5" t="s">
        <v>4</v>
      </c>
      <c r="B1168" s="5" t="s">
        <v>80</v>
      </c>
      <c r="C1168" s="5" t="s">
        <v>58</v>
      </c>
      <c r="D1168" s="2" t="n">
        <v>17</v>
      </c>
      <c r="E1168" s="5" t="s">
        <v>166</v>
      </c>
      <c r="F1168" s="5" t="s">
        <v>168</v>
      </c>
      <c r="G1168" s="2" t="n">
        <v>1</v>
      </c>
      <c r="H1168" s="7" t="n">
        <v>0.9553409519</v>
      </c>
      <c r="I1168" s="7" t="n">
        <v>-0.295505579</v>
      </c>
      <c r="J1168" s="7" t="n">
        <v>0.000343990648</v>
      </c>
      <c r="K1168" s="7" t="n">
        <v>0.2955057621</v>
      </c>
      <c r="L1168" s="7" t="n">
        <v>0.9553398531</v>
      </c>
      <c r="M1168" s="7" t="n">
        <v>-0.001452485937</v>
      </c>
      <c r="N1168" s="7" t="n">
        <v>0.0001005897228</v>
      </c>
      <c r="O1168" s="7" t="n">
        <v>0.001489270517</v>
      </c>
      <c r="P1168" s="7" t="n">
        <v>0.999998886</v>
      </c>
      <c r="Q1168" s="7" t="n">
        <v>5.229499909</v>
      </c>
      <c r="R1168" s="7" t="n">
        <v>6.856378107</v>
      </c>
      <c r="S1168" s="7" t="n">
        <v>0.73891593</v>
      </c>
    </row>
    <row r="1169" customFormat="false" ht="15" hidden="false" customHeight="false" outlineLevel="0" collapsed="false">
      <c r="A1169" s="5" t="s">
        <v>4</v>
      </c>
      <c r="B1169" s="5" t="s">
        <v>80</v>
      </c>
      <c r="C1169" s="5" t="s">
        <v>62</v>
      </c>
      <c r="D1169" s="2" t="n">
        <v>17</v>
      </c>
      <c r="E1169" s="5" t="s">
        <v>166</v>
      </c>
      <c r="F1169" s="5" t="s">
        <v>168</v>
      </c>
      <c r="G1169" s="2" t="n">
        <v>1</v>
      </c>
      <c r="H1169" s="7" t="n">
        <v>0.9553409519</v>
      </c>
      <c r="I1169" s="7" t="n">
        <v>-0.295505579</v>
      </c>
      <c r="J1169" s="7" t="n">
        <v>0.000343990648</v>
      </c>
      <c r="K1169" s="7" t="n">
        <v>0.2955057621</v>
      </c>
      <c r="L1169" s="7" t="n">
        <v>0.9553398531</v>
      </c>
      <c r="M1169" s="7" t="n">
        <v>-0.001452485937</v>
      </c>
      <c r="N1169" s="7" t="n">
        <v>0.0001005897228</v>
      </c>
      <c r="O1169" s="7" t="n">
        <v>0.001489270517</v>
      </c>
      <c r="P1169" s="7" t="n">
        <v>0.999998886</v>
      </c>
      <c r="Q1169" s="7" t="n">
        <v>5.229499909</v>
      </c>
      <c r="R1169" s="7" t="n">
        <v>6.856378107</v>
      </c>
      <c r="S1169" s="7" t="n">
        <v>0.73891593</v>
      </c>
    </row>
    <row r="1170" customFormat="false" ht="15" hidden="false" customHeight="false" outlineLevel="0" collapsed="false">
      <c r="A1170" s="5" t="s">
        <v>4</v>
      </c>
      <c r="B1170" s="5" t="s">
        <v>80</v>
      </c>
      <c r="C1170" s="5" t="s">
        <v>58</v>
      </c>
      <c r="D1170" s="2" t="n">
        <v>18</v>
      </c>
      <c r="E1170" s="5" t="s">
        <v>166</v>
      </c>
      <c r="F1170" s="5" t="s">
        <v>167</v>
      </c>
      <c r="G1170" s="2" t="n">
        <v>1</v>
      </c>
      <c r="H1170" s="7" t="n">
        <v>-0.2166887284</v>
      </c>
      <c r="I1170" s="7" t="n">
        <v>-0.9762182228</v>
      </c>
      <c r="J1170" s="7" t="n">
        <v>0.006631471692</v>
      </c>
      <c r="K1170" s="7" t="n">
        <v>0.9762244439</v>
      </c>
      <c r="L1170" s="7" t="n">
        <v>-0.2167193674</v>
      </c>
      <c r="M1170" s="7" t="n">
        <v>-0.004307086914</v>
      </c>
      <c r="N1170" s="7" t="n">
        <v>0.005641825083</v>
      </c>
      <c r="O1170" s="7" t="n">
        <v>0.005540507578</v>
      </c>
      <c r="P1170" s="7" t="n">
        <v>0.9999687358</v>
      </c>
      <c r="Q1170" s="7" t="n">
        <v>-5.192987488</v>
      </c>
      <c r="R1170" s="7" t="n">
        <v>-0.392331069</v>
      </c>
      <c r="S1170" s="7" t="n">
        <v>-0.3861832852</v>
      </c>
    </row>
    <row r="1171" customFormat="false" ht="15" hidden="false" customHeight="false" outlineLevel="0" collapsed="false">
      <c r="A1171" s="5" t="s">
        <v>4</v>
      </c>
      <c r="B1171" s="5" t="s">
        <v>80</v>
      </c>
      <c r="C1171" s="5" t="s">
        <v>62</v>
      </c>
      <c r="D1171" s="2" t="n">
        <v>18</v>
      </c>
      <c r="E1171" s="5" t="s">
        <v>166</v>
      </c>
      <c r="F1171" s="5" t="s">
        <v>167</v>
      </c>
      <c r="G1171" s="2" t="n">
        <v>1</v>
      </c>
      <c r="H1171" s="7" t="n">
        <v>-0.2166887284</v>
      </c>
      <c r="I1171" s="7" t="n">
        <v>-0.9762182228</v>
      </c>
      <c r="J1171" s="7" t="n">
        <v>0.006631471692</v>
      </c>
      <c r="K1171" s="7" t="n">
        <v>0.9762244439</v>
      </c>
      <c r="L1171" s="7" t="n">
        <v>-0.2167193674</v>
      </c>
      <c r="M1171" s="7" t="n">
        <v>-0.004307086914</v>
      </c>
      <c r="N1171" s="7" t="n">
        <v>0.005641825083</v>
      </c>
      <c r="O1171" s="7" t="n">
        <v>0.005540507578</v>
      </c>
      <c r="P1171" s="7" t="n">
        <v>0.9999687358</v>
      </c>
      <c r="Q1171" s="7" t="n">
        <v>-5.192987488</v>
      </c>
      <c r="R1171" s="7" t="n">
        <v>-0.392331069</v>
      </c>
      <c r="S1171" s="7" t="n">
        <v>-0.3861832852</v>
      </c>
    </row>
    <row r="1172" customFormat="false" ht="15" hidden="false" customHeight="false" outlineLevel="0" collapsed="false">
      <c r="A1172" s="5" t="s">
        <v>4</v>
      </c>
      <c r="B1172" s="5" t="s">
        <v>80</v>
      </c>
      <c r="C1172" s="5" t="s">
        <v>58</v>
      </c>
      <c r="D1172" s="2" t="n">
        <v>18</v>
      </c>
      <c r="E1172" s="5" t="s">
        <v>166</v>
      </c>
      <c r="F1172" s="5" t="s">
        <v>168</v>
      </c>
      <c r="G1172" s="2" t="n">
        <v>1</v>
      </c>
      <c r="H1172" s="7" t="n">
        <v>0.9559665188</v>
      </c>
      <c r="I1172" s="7" t="n">
        <v>-0.2934603759</v>
      </c>
      <c r="J1172" s="7" t="n">
        <v>-0.003003791589</v>
      </c>
      <c r="K1172" s="7" t="n">
        <v>0.2934600552</v>
      </c>
      <c r="L1172" s="7" t="n">
        <v>0.9559711742</v>
      </c>
      <c r="M1172" s="7" t="n">
        <v>-0.0005569054651</v>
      </c>
      <c r="N1172" s="7" t="n">
        <v>0.003034967859</v>
      </c>
      <c r="O1172" s="7" t="n">
        <v>-0.0003491098665</v>
      </c>
      <c r="P1172" s="7" t="n">
        <v>0.9999953335</v>
      </c>
      <c r="Q1172" s="7" t="n">
        <v>5.192754425</v>
      </c>
      <c r="R1172" s="7" t="n">
        <v>6.84850057</v>
      </c>
      <c r="S1172" s="7" t="n">
        <v>0.7321838236</v>
      </c>
    </row>
    <row r="1173" customFormat="false" ht="15" hidden="false" customHeight="false" outlineLevel="0" collapsed="false">
      <c r="A1173" s="5" t="s">
        <v>4</v>
      </c>
      <c r="B1173" s="5" t="s">
        <v>80</v>
      </c>
      <c r="C1173" s="5" t="s">
        <v>62</v>
      </c>
      <c r="D1173" s="2" t="n">
        <v>18</v>
      </c>
      <c r="E1173" s="5" t="s">
        <v>166</v>
      </c>
      <c r="F1173" s="5" t="s">
        <v>168</v>
      </c>
      <c r="G1173" s="2" t="n">
        <v>1</v>
      </c>
      <c r="H1173" s="7" t="n">
        <v>0.9559665188</v>
      </c>
      <c r="I1173" s="7" t="n">
        <v>-0.2934603759</v>
      </c>
      <c r="J1173" s="7" t="n">
        <v>-0.003003791589</v>
      </c>
      <c r="K1173" s="7" t="n">
        <v>0.2934600552</v>
      </c>
      <c r="L1173" s="7" t="n">
        <v>0.9559711742</v>
      </c>
      <c r="M1173" s="7" t="n">
        <v>-0.0005569054651</v>
      </c>
      <c r="N1173" s="7" t="n">
        <v>0.003034967859</v>
      </c>
      <c r="O1173" s="7" t="n">
        <v>-0.0003491098665</v>
      </c>
      <c r="P1173" s="7" t="n">
        <v>0.9999953335</v>
      </c>
      <c r="Q1173" s="7" t="n">
        <v>5.192754425</v>
      </c>
      <c r="R1173" s="7" t="n">
        <v>6.84850057</v>
      </c>
      <c r="S1173" s="7" t="n">
        <v>0.7321838236</v>
      </c>
    </row>
    <row r="1174" customFormat="false" ht="15" hidden="false" customHeight="false" outlineLevel="0" collapsed="false">
      <c r="A1174" s="5" t="s">
        <v>4</v>
      </c>
      <c r="B1174" s="5" t="s">
        <v>80</v>
      </c>
      <c r="C1174" s="5" t="s">
        <v>58</v>
      </c>
      <c r="D1174" s="2" t="n">
        <v>19</v>
      </c>
      <c r="E1174" s="5" t="s">
        <v>166</v>
      </c>
      <c r="F1174" s="5" t="s">
        <v>167</v>
      </c>
      <c r="G1174" s="2" t="n">
        <v>1</v>
      </c>
      <c r="H1174" s="7" t="n">
        <v>-0.2136838551</v>
      </c>
      <c r="I1174" s="7" t="n">
        <v>-0.9768927053</v>
      </c>
      <c r="J1174" s="7" t="n">
        <v>0.004455598123</v>
      </c>
      <c r="K1174" s="7" t="n">
        <v>0.9768982694</v>
      </c>
      <c r="L1174" s="7" t="n">
        <v>-0.2136666352</v>
      </c>
      <c r="M1174" s="7" t="n">
        <v>0.004042314385</v>
      </c>
      <c r="N1174" s="7" t="n">
        <v>-0.002996894776</v>
      </c>
      <c r="O1174" s="7" t="n">
        <v>0.005216443417</v>
      </c>
      <c r="P1174" s="7" t="n">
        <v>0.9999819035</v>
      </c>
      <c r="Q1174" s="7" t="n">
        <v>-5.20515341</v>
      </c>
      <c r="R1174" s="7" t="n">
        <v>-0.3588900606</v>
      </c>
      <c r="S1174" s="7" t="n">
        <v>-0.3494776861</v>
      </c>
    </row>
    <row r="1175" customFormat="false" ht="15" hidden="false" customHeight="false" outlineLevel="0" collapsed="false">
      <c r="A1175" s="5" t="s">
        <v>4</v>
      </c>
      <c r="B1175" s="5" t="s">
        <v>80</v>
      </c>
      <c r="C1175" s="5" t="s">
        <v>62</v>
      </c>
      <c r="D1175" s="2" t="n">
        <v>19</v>
      </c>
      <c r="E1175" s="5" t="s">
        <v>166</v>
      </c>
      <c r="F1175" s="5" t="s">
        <v>167</v>
      </c>
      <c r="G1175" s="2" t="n">
        <v>1</v>
      </c>
      <c r="H1175" s="7" t="n">
        <v>-0.2136838551</v>
      </c>
      <c r="I1175" s="7" t="n">
        <v>-0.9768927053</v>
      </c>
      <c r="J1175" s="7" t="n">
        <v>0.004455598123</v>
      </c>
      <c r="K1175" s="7" t="n">
        <v>0.9768982694</v>
      </c>
      <c r="L1175" s="7" t="n">
        <v>-0.2136666352</v>
      </c>
      <c r="M1175" s="7" t="n">
        <v>0.004042314385</v>
      </c>
      <c r="N1175" s="7" t="n">
        <v>-0.002996894776</v>
      </c>
      <c r="O1175" s="7" t="n">
        <v>0.005216443417</v>
      </c>
      <c r="P1175" s="7" t="n">
        <v>0.9999819035</v>
      </c>
      <c r="Q1175" s="7" t="n">
        <v>-5.20515341</v>
      </c>
      <c r="R1175" s="7" t="n">
        <v>-0.3588900606</v>
      </c>
      <c r="S1175" s="7" t="n">
        <v>-0.3494776861</v>
      </c>
    </row>
    <row r="1176" customFormat="false" ht="15" hidden="false" customHeight="false" outlineLevel="0" collapsed="false">
      <c r="A1176" s="5" t="s">
        <v>4</v>
      </c>
      <c r="B1176" s="5" t="s">
        <v>80</v>
      </c>
      <c r="C1176" s="5" t="s">
        <v>58</v>
      </c>
      <c r="D1176" s="2" t="n">
        <v>19</v>
      </c>
      <c r="E1176" s="5" t="s">
        <v>166</v>
      </c>
      <c r="F1176" s="5" t="s">
        <v>168</v>
      </c>
      <c r="G1176" s="2" t="n">
        <v>1</v>
      </c>
      <c r="H1176" s="7" t="n">
        <v>0.9556861993</v>
      </c>
      <c r="I1176" s="7" t="n">
        <v>-0.2943861578</v>
      </c>
      <c r="J1176" s="7" t="n">
        <v>-0.0008238148786</v>
      </c>
      <c r="K1176" s="7" t="n">
        <v>0.2943852247</v>
      </c>
      <c r="L1176" s="7" t="n">
        <v>0.9556862202</v>
      </c>
      <c r="M1176" s="7" t="n">
        <v>-0.001089941286</v>
      </c>
      <c r="N1176" s="7" t="n">
        <v>0.001108172155</v>
      </c>
      <c r="O1176" s="7" t="n">
        <v>0.0007991229171</v>
      </c>
      <c r="P1176" s="7" t="n">
        <v>0.9999990667</v>
      </c>
      <c r="Q1176" s="7" t="n">
        <v>5.203768806</v>
      </c>
      <c r="R1176" s="7" t="n">
        <v>6.86185936</v>
      </c>
      <c r="S1176" s="7" t="n">
        <v>0.7262618147</v>
      </c>
    </row>
    <row r="1177" customFormat="false" ht="15" hidden="false" customHeight="false" outlineLevel="0" collapsed="false">
      <c r="A1177" s="5" t="s">
        <v>4</v>
      </c>
      <c r="B1177" s="5" t="s">
        <v>80</v>
      </c>
      <c r="C1177" s="5" t="s">
        <v>62</v>
      </c>
      <c r="D1177" s="2" t="n">
        <v>19</v>
      </c>
      <c r="E1177" s="5" t="s">
        <v>166</v>
      </c>
      <c r="F1177" s="5" t="s">
        <v>168</v>
      </c>
      <c r="G1177" s="2" t="n">
        <v>1</v>
      </c>
      <c r="H1177" s="7" t="n">
        <v>0.9556861993</v>
      </c>
      <c r="I1177" s="7" t="n">
        <v>-0.2943861578</v>
      </c>
      <c r="J1177" s="7" t="n">
        <v>-0.0008238148786</v>
      </c>
      <c r="K1177" s="7" t="n">
        <v>0.2943852247</v>
      </c>
      <c r="L1177" s="7" t="n">
        <v>0.9556862202</v>
      </c>
      <c r="M1177" s="7" t="n">
        <v>-0.001089941286</v>
      </c>
      <c r="N1177" s="7" t="n">
        <v>0.001108172155</v>
      </c>
      <c r="O1177" s="7" t="n">
        <v>0.0007991229171</v>
      </c>
      <c r="P1177" s="7" t="n">
        <v>0.9999990667</v>
      </c>
      <c r="Q1177" s="7" t="n">
        <v>5.203768806</v>
      </c>
      <c r="R1177" s="7" t="n">
        <v>6.86185936</v>
      </c>
      <c r="S1177" s="7" t="n">
        <v>0.7262618147</v>
      </c>
    </row>
    <row r="1178" customFormat="false" ht="15" hidden="false" customHeight="false" outlineLevel="0" collapsed="false">
      <c r="A1178" s="5" t="s">
        <v>4</v>
      </c>
      <c r="B1178" s="5" t="s">
        <v>80</v>
      </c>
      <c r="C1178" s="5" t="s">
        <v>58</v>
      </c>
      <c r="D1178" s="2" t="n">
        <v>20</v>
      </c>
      <c r="E1178" s="5" t="s">
        <v>166</v>
      </c>
      <c r="F1178" s="5" t="s">
        <v>167</v>
      </c>
      <c r="G1178" s="2" t="n">
        <v>1</v>
      </c>
      <c r="H1178" s="7" t="n">
        <v>-0.2188592901</v>
      </c>
      <c r="I1178" s="7" t="n">
        <v>-0.9756285756</v>
      </c>
      <c r="J1178" s="7" t="n">
        <v>0.01579536782</v>
      </c>
      <c r="K1178" s="7" t="n">
        <v>0.975637429</v>
      </c>
      <c r="L1178" s="7" t="n">
        <v>-0.219056735</v>
      </c>
      <c r="M1178" s="7" t="n">
        <v>-0.01207285904</v>
      </c>
      <c r="N1178" s="7" t="n">
        <v>0.01523870797</v>
      </c>
      <c r="O1178" s="7" t="n">
        <v>0.01276829469</v>
      </c>
      <c r="P1178" s="7" t="n">
        <v>0.9998023567</v>
      </c>
      <c r="Q1178" s="7" t="n">
        <v>-5.177699112</v>
      </c>
      <c r="R1178" s="7" t="n">
        <v>-0.4091279859</v>
      </c>
      <c r="S1178" s="7" t="n">
        <v>-0.4083525786</v>
      </c>
    </row>
    <row r="1179" customFormat="false" ht="15" hidden="false" customHeight="false" outlineLevel="0" collapsed="false">
      <c r="A1179" s="5" t="s">
        <v>4</v>
      </c>
      <c r="B1179" s="5" t="s">
        <v>80</v>
      </c>
      <c r="C1179" s="5" t="s">
        <v>62</v>
      </c>
      <c r="D1179" s="2" t="n">
        <v>20</v>
      </c>
      <c r="E1179" s="5" t="s">
        <v>166</v>
      </c>
      <c r="F1179" s="5" t="s">
        <v>167</v>
      </c>
      <c r="G1179" s="2" t="n">
        <v>1</v>
      </c>
      <c r="H1179" s="7" t="n">
        <v>-0.2158874358</v>
      </c>
      <c r="I1179" s="7" t="n">
        <v>-0.9764172283</v>
      </c>
      <c r="J1179" s="7" t="n">
        <v>0.001418192594</v>
      </c>
      <c r="K1179" s="7" t="n">
        <v>0.9764086987</v>
      </c>
      <c r="L1179" s="7" t="n">
        <v>-0.2158786674</v>
      </c>
      <c r="M1179" s="7" t="n">
        <v>0.004738572234</v>
      </c>
      <c r="N1179" s="7" t="n">
        <v>-0.00432066604</v>
      </c>
      <c r="O1179" s="7" t="n">
        <v>0.002407733794</v>
      </c>
      <c r="P1179" s="7" t="n">
        <v>0.9999877673</v>
      </c>
      <c r="Q1179" s="7" t="n">
        <v>-5.197563968</v>
      </c>
      <c r="R1179" s="7" t="n">
        <v>-0.3717754725</v>
      </c>
      <c r="S1179" s="7" t="n">
        <v>-0.3820509187</v>
      </c>
    </row>
    <row r="1180" customFormat="false" ht="15" hidden="false" customHeight="false" outlineLevel="0" collapsed="false">
      <c r="A1180" s="5" t="s">
        <v>4</v>
      </c>
      <c r="B1180" s="5" t="s">
        <v>80</v>
      </c>
      <c r="C1180" s="5" t="s">
        <v>58</v>
      </c>
      <c r="D1180" s="2" t="n">
        <v>20</v>
      </c>
      <c r="E1180" s="5" t="s">
        <v>166</v>
      </c>
      <c r="F1180" s="5" t="s">
        <v>168</v>
      </c>
      <c r="G1180" s="2" t="n">
        <v>1</v>
      </c>
      <c r="H1180" s="7" t="n">
        <v>0.9557435731</v>
      </c>
      <c r="I1180" s="7" t="n">
        <v>-0.2941981341</v>
      </c>
      <c r="J1180" s="7" t="n">
        <v>-0.001296265113</v>
      </c>
      <c r="K1180" s="7" t="n">
        <v>0.2941974422</v>
      </c>
      <c r="L1180" s="7" t="n">
        <v>0.9557444089</v>
      </c>
      <c r="M1180" s="7" t="n">
        <v>-0.0006998825384</v>
      </c>
      <c r="N1180" s="7" t="n">
        <v>0.001444802271</v>
      </c>
      <c r="O1180" s="7" t="n">
        <v>0.0002875503575</v>
      </c>
      <c r="P1180" s="7" t="n">
        <v>0.9999989149</v>
      </c>
      <c r="Q1180" s="7" t="n">
        <v>5.214898881</v>
      </c>
      <c r="R1180" s="7" t="n">
        <v>6.853954136</v>
      </c>
      <c r="S1180" s="7" t="n">
        <v>0.7228304922</v>
      </c>
    </row>
    <row r="1181" customFormat="false" ht="15" hidden="false" customHeight="false" outlineLevel="0" collapsed="false">
      <c r="A1181" s="5" t="s">
        <v>4</v>
      </c>
      <c r="B1181" s="5" t="s">
        <v>80</v>
      </c>
      <c r="C1181" s="5" t="s">
        <v>62</v>
      </c>
      <c r="D1181" s="2" t="n">
        <v>20</v>
      </c>
      <c r="E1181" s="5" t="s">
        <v>166</v>
      </c>
      <c r="F1181" s="5" t="s">
        <v>168</v>
      </c>
      <c r="G1181" s="2" t="n">
        <v>1</v>
      </c>
      <c r="H1181" s="7" t="n">
        <v>0.9557435731</v>
      </c>
      <c r="I1181" s="7" t="n">
        <v>-0.2941981341</v>
      </c>
      <c r="J1181" s="7" t="n">
        <v>-0.001296265113</v>
      </c>
      <c r="K1181" s="7" t="n">
        <v>0.2941974422</v>
      </c>
      <c r="L1181" s="7" t="n">
        <v>0.9557444089</v>
      </c>
      <c r="M1181" s="7" t="n">
        <v>-0.0006998825384</v>
      </c>
      <c r="N1181" s="7" t="n">
        <v>0.001444802271</v>
      </c>
      <c r="O1181" s="7" t="n">
        <v>0.0002875503575</v>
      </c>
      <c r="P1181" s="7" t="n">
        <v>0.9999989149</v>
      </c>
      <c r="Q1181" s="7" t="n">
        <v>5.214898881</v>
      </c>
      <c r="R1181" s="7" t="n">
        <v>6.853954136</v>
      </c>
      <c r="S1181" s="7" t="n">
        <v>0.7228304922</v>
      </c>
    </row>
    <row r="1182" customFormat="false" ht="15" hidden="false" customHeight="false" outlineLevel="0" collapsed="false">
      <c r="A1182" s="5" t="s">
        <v>4</v>
      </c>
      <c r="B1182" s="5" t="s">
        <v>80</v>
      </c>
      <c r="C1182" s="5" t="s">
        <v>58</v>
      </c>
      <c r="D1182" s="2" t="n">
        <v>11</v>
      </c>
      <c r="E1182" s="5" t="s">
        <v>167</v>
      </c>
      <c r="F1182" s="5" t="s">
        <v>168</v>
      </c>
      <c r="G1182" s="2" t="n">
        <v>1</v>
      </c>
      <c r="H1182" s="7" t="n">
        <v>0.08051520859</v>
      </c>
      <c r="I1182" s="7" t="n">
        <v>0.9967531623</v>
      </c>
      <c r="J1182" s="7" t="n">
        <v>-0.0006593167842</v>
      </c>
      <c r="K1182" s="7" t="n">
        <v>-0.9967393227</v>
      </c>
      <c r="L1182" s="7" t="n">
        <v>0.08051756847</v>
      </c>
      <c r="M1182" s="7" t="n">
        <v>0.005257740702</v>
      </c>
      <c r="N1182" s="7" t="n">
        <v>0.005293756255</v>
      </c>
      <c r="O1182" s="7" t="n">
        <v>0.0002338388756</v>
      </c>
      <c r="P1182" s="7" t="n">
        <v>0.9999859606</v>
      </c>
      <c r="Q1182" s="7" t="n">
        <v>6.007847968</v>
      </c>
      <c r="R1182" s="7" t="n">
        <v>1.715884357</v>
      </c>
      <c r="S1182" s="7" t="n">
        <v>1.153517441</v>
      </c>
    </row>
    <row r="1183" customFormat="false" ht="15" hidden="false" customHeight="false" outlineLevel="0" collapsed="false">
      <c r="A1183" s="5" t="s">
        <v>4</v>
      </c>
      <c r="B1183" s="5" t="s">
        <v>80</v>
      </c>
      <c r="C1183" s="5" t="s">
        <v>62</v>
      </c>
      <c r="D1183" s="2" t="n">
        <v>11</v>
      </c>
      <c r="E1183" s="5" t="s">
        <v>167</v>
      </c>
      <c r="F1183" s="5" t="s">
        <v>168</v>
      </c>
      <c r="G1183" s="2" t="n">
        <v>1</v>
      </c>
      <c r="H1183" s="7" t="n">
        <v>0.08051520859</v>
      </c>
      <c r="I1183" s="7" t="n">
        <v>0.9967531623</v>
      </c>
      <c r="J1183" s="7" t="n">
        <v>-0.0006593167842</v>
      </c>
      <c r="K1183" s="7" t="n">
        <v>-0.9967393227</v>
      </c>
      <c r="L1183" s="7" t="n">
        <v>0.08051756847</v>
      </c>
      <c r="M1183" s="7" t="n">
        <v>0.005257740702</v>
      </c>
      <c r="N1183" s="7" t="n">
        <v>0.005293756255</v>
      </c>
      <c r="O1183" s="7" t="n">
        <v>0.0002338388756</v>
      </c>
      <c r="P1183" s="7" t="n">
        <v>0.9999859606</v>
      </c>
      <c r="Q1183" s="7" t="n">
        <v>6.007847968</v>
      </c>
      <c r="R1183" s="7" t="n">
        <v>1.715884357</v>
      </c>
      <c r="S1183" s="7" t="n">
        <v>1.153517441</v>
      </c>
    </row>
    <row r="1184" customFormat="false" ht="15" hidden="false" customHeight="false" outlineLevel="0" collapsed="false">
      <c r="A1184" s="5" t="s">
        <v>4</v>
      </c>
      <c r="B1184" s="5" t="s">
        <v>80</v>
      </c>
      <c r="C1184" s="5" t="s">
        <v>58</v>
      </c>
      <c r="D1184" s="2" t="n">
        <v>12</v>
      </c>
      <c r="E1184" s="5" t="s">
        <v>167</v>
      </c>
      <c r="F1184" s="5" t="s">
        <v>168</v>
      </c>
      <c r="G1184" s="2" t="n">
        <v>1</v>
      </c>
      <c r="H1184" s="7" t="n">
        <v>0.08296896176</v>
      </c>
      <c r="I1184" s="7" t="n">
        <v>0.9946637601</v>
      </c>
      <c r="J1184" s="7" t="n">
        <v>0.06132010799</v>
      </c>
      <c r="K1184" s="7" t="n">
        <v>-0.9939322287</v>
      </c>
      <c r="L1184" s="7" t="n">
        <v>0.08705290464</v>
      </c>
      <c r="M1184" s="7" t="n">
        <v>-0.06723478663</v>
      </c>
      <c r="N1184" s="7" t="n">
        <v>-0.0722140992</v>
      </c>
      <c r="O1184" s="7" t="n">
        <v>-0.05536963116</v>
      </c>
      <c r="P1184" s="7" t="n">
        <v>0.995851057</v>
      </c>
      <c r="Q1184" s="7" t="n">
        <v>6.169297117</v>
      </c>
      <c r="R1184" s="7" t="n">
        <v>1.592372519</v>
      </c>
      <c r="S1184" s="7" t="n">
        <v>0.6315391315</v>
      </c>
    </row>
    <row r="1185" customFormat="false" ht="15" hidden="false" customHeight="false" outlineLevel="0" collapsed="false">
      <c r="A1185" s="5" t="s">
        <v>4</v>
      </c>
      <c r="B1185" s="5" t="s">
        <v>80</v>
      </c>
      <c r="C1185" s="5" t="s">
        <v>62</v>
      </c>
      <c r="D1185" s="2" t="n">
        <v>12</v>
      </c>
      <c r="E1185" s="5" t="s">
        <v>167</v>
      </c>
      <c r="F1185" s="5" t="s">
        <v>168</v>
      </c>
      <c r="G1185" s="2" t="n">
        <v>1</v>
      </c>
      <c r="H1185" s="7" t="n">
        <v>0.08296896176</v>
      </c>
      <c r="I1185" s="7" t="n">
        <v>0.9946637601</v>
      </c>
      <c r="J1185" s="7" t="n">
        <v>0.06132010799</v>
      </c>
      <c r="K1185" s="7" t="n">
        <v>-0.9939322287</v>
      </c>
      <c r="L1185" s="7" t="n">
        <v>0.08705290464</v>
      </c>
      <c r="M1185" s="7" t="n">
        <v>-0.06723478663</v>
      </c>
      <c r="N1185" s="7" t="n">
        <v>-0.0722140992</v>
      </c>
      <c r="O1185" s="7" t="n">
        <v>-0.05536963116</v>
      </c>
      <c r="P1185" s="7" t="n">
        <v>0.995851057</v>
      </c>
      <c r="Q1185" s="7" t="n">
        <v>6.169297117</v>
      </c>
      <c r="R1185" s="7" t="n">
        <v>1.592372519</v>
      </c>
      <c r="S1185" s="7" t="n">
        <v>0.6315391315</v>
      </c>
    </row>
    <row r="1186" customFormat="false" ht="15" hidden="false" customHeight="false" outlineLevel="0" collapsed="false">
      <c r="A1186" s="5" t="s">
        <v>4</v>
      </c>
      <c r="B1186" s="5" t="s">
        <v>80</v>
      </c>
      <c r="C1186" s="5" t="s">
        <v>58</v>
      </c>
      <c r="D1186" s="2" t="n">
        <v>13</v>
      </c>
      <c r="E1186" s="5" t="s">
        <v>167</v>
      </c>
      <c r="F1186" s="5" t="s">
        <v>168</v>
      </c>
      <c r="G1186" s="2" t="n">
        <v>1</v>
      </c>
      <c r="H1186" s="7" t="n">
        <v>0.0827911829</v>
      </c>
      <c r="I1186" s="7" t="n">
        <v>0.9965640164</v>
      </c>
      <c r="J1186" s="7" t="n">
        <v>0.002404432109</v>
      </c>
      <c r="K1186" s="7" t="n">
        <v>-0.9965637319</v>
      </c>
      <c r="L1186" s="7" t="n">
        <v>0.0827967773</v>
      </c>
      <c r="M1186" s="7" t="n">
        <v>-0.002328505704</v>
      </c>
      <c r="N1186" s="7" t="n">
        <v>-0.002519584226</v>
      </c>
      <c r="O1186" s="7" t="n">
        <v>-0.002203390094</v>
      </c>
      <c r="P1186" s="7" t="n">
        <v>0.9999943984</v>
      </c>
      <c r="Q1186" s="7" t="n">
        <v>6.030216769</v>
      </c>
      <c r="R1186" s="7" t="n">
        <v>1.696441895</v>
      </c>
      <c r="S1186" s="7" t="n">
        <v>1.07742082</v>
      </c>
    </row>
    <row r="1187" customFormat="false" ht="15" hidden="false" customHeight="false" outlineLevel="0" collapsed="false">
      <c r="A1187" s="5" t="s">
        <v>4</v>
      </c>
      <c r="B1187" s="5" t="s">
        <v>80</v>
      </c>
      <c r="C1187" s="5" t="s">
        <v>62</v>
      </c>
      <c r="D1187" s="2" t="n">
        <v>13</v>
      </c>
      <c r="E1187" s="5" t="s">
        <v>167</v>
      </c>
      <c r="F1187" s="5" t="s">
        <v>168</v>
      </c>
      <c r="G1187" s="2" t="n">
        <v>1</v>
      </c>
      <c r="H1187" s="7" t="n">
        <v>0.08221859975</v>
      </c>
      <c r="I1187" s="7" t="n">
        <v>0.9966123881</v>
      </c>
      <c r="J1187" s="7" t="n">
        <v>0.001962063846</v>
      </c>
      <c r="K1187" s="7" t="n">
        <v>-0.9966074043</v>
      </c>
      <c r="L1187" s="7" t="n">
        <v>0.08221053597</v>
      </c>
      <c r="M1187" s="7" t="n">
        <v>0.003887083025</v>
      </c>
      <c r="N1187" s="7" t="n">
        <v>0.003712612776</v>
      </c>
      <c r="O1187" s="7" t="n">
        <v>-0.002274997881</v>
      </c>
      <c r="P1187" s="7" t="n">
        <v>0.9999905204</v>
      </c>
      <c r="Q1187" s="7" t="n">
        <v>6.02475549</v>
      </c>
      <c r="R1187" s="7" t="n">
        <v>1.714910769</v>
      </c>
      <c r="S1187" s="7" t="n">
        <v>1.145131553</v>
      </c>
    </row>
    <row r="1188" customFormat="false" ht="15" hidden="false" customHeight="false" outlineLevel="0" collapsed="false">
      <c r="A1188" s="5" t="s">
        <v>4</v>
      </c>
      <c r="B1188" s="5" t="s">
        <v>80</v>
      </c>
      <c r="C1188" s="5" t="s">
        <v>58</v>
      </c>
      <c r="D1188" s="2" t="n">
        <v>14</v>
      </c>
      <c r="E1188" s="5" t="s">
        <v>167</v>
      </c>
      <c r="F1188" s="5" t="s">
        <v>168</v>
      </c>
      <c r="G1188" s="2" t="n">
        <v>1</v>
      </c>
      <c r="H1188" s="7" t="n">
        <v>0.08246848288</v>
      </c>
      <c r="I1188" s="7" t="n">
        <v>0.9965849244</v>
      </c>
      <c r="J1188" s="7" t="n">
        <v>-0.004175855449</v>
      </c>
      <c r="K1188" s="7" t="n">
        <v>-0.9965855001</v>
      </c>
      <c r="L1188" s="7" t="n">
        <v>0.08245011289</v>
      </c>
      <c r="M1188" s="7" t="n">
        <v>-0.004395440926</v>
      </c>
      <c r="N1188" s="7" t="n">
        <v>-0.00403613041</v>
      </c>
      <c r="O1188" s="7" t="n">
        <v>0.004524082336</v>
      </c>
      <c r="P1188" s="7" t="n">
        <v>0.999981621</v>
      </c>
      <c r="Q1188" s="7" t="n">
        <v>6.010895049</v>
      </c>
      <c r="R1188" s="7" t="n">
        <v>1.688339885</v>
      </c>
      <c r="S1188" s="7" t="n">
        <v>1.207232487</v>
      </c>
    </row>
    <row r="1189" customFormat="false" ht="15" hidden="false" customHeight="false" outlineLevel="0" collapsed="false">
      <c r="A1189" s="5" t="s">
        <v>4</v>
      </c>
      <c r="B1189" s="5" t="s">
        <v>80</v>
      </c>
      <c r="C1189" s="5" t="s">
        <v>62</v>
      </c>
      <c r="D1189" s="2" t="n">
        <v>14</v>
      </c>
      <c r="E1189" s="5" t="s">
        <v>167</v>
      </c>
      <c r="F1189" s="5" t="s">
        <v>168</v>
      </c>
      <c r="G1189" s="2" t="n">
        <v>1</v>
      </c>
      <c r="H1189" s="7" t="n">
        <v>0.08246848288</v>
      </c>
      <c r="I1189" s="7" t="n">
        <v>0.9965849244</v>
      </c>
      <c r="J1189" s="7" t="n">
        <v>-0.004175855449</v>
      </c>
      <c r="K1189" s="7" t="n">
        <v>-0.9965855001</v>
      </c>
      <c r="L1189" s="7" t="n">
        <v>0.08245011289</v>
      </c>
      <c r="M1189" s="7" t="n">
        <v>-0.004395440926</v>
      </c>
      <c r="N1189" s="7" t="n">
        <v>-0.00403613041</v>
      </c>
      <c r="O1189" s="7" t="n">
        <v>0.004524082336</v>
      </c>
      <c r="P1189" s="7" t="n">
        <v>0.999981621</v>
      </c>
      <c r="Q1189" s="7" t="n">
        <v>6.010895049</v>
      </c>
      <c r="R1189" s="7" t="n">
        <v>1.688339885</v>
      </c>
      <c r="S1189" s="7" t="n">
        <v>1.207232487</v>
      </c>
    </row>
    <row r="1190" customFormat="false" ht="15" hidden="false" customHeight="false" outlineLevel="0" collapsed="false">
      <c r="A1190" s="5" t="s">
        <v>4</v>
      </c>
      <c r="B1190" s="5" t="s">
        <v>80</v>
      </c>
      <c r="C1190" s="5" t="s">
        <v>58</v>
      </c>
      <c r="D1190" s="2" t="n">
        <v>15</v>
      </c>
      <c r="E1190" s="5" t="s">
        <v>167</v>
      </c>
      <c r="F1190" s="5" t="s">
        <v>168</v>
      </c>
      <c r="G1190" s="2" t="n">
        <v>1</v>
      </c>
      <c r="H1190" s="7" t="n">
        <v>0.08096519874</v>
      </c>
      <c r="I1190" s="7" t="n">
        <v>0.9967169289</v>
      </c>
      <c r="J1190" s="7" t="n">
        <v>-1.347855324E-005</v>
      </c>
      <c r="K1190" s="7" t="n">
        <v>-0.9966989024</v>
      </c>
      <c r="L1190" s="7" t="n">
        <v>0.08096381573</v>
      </c>
      <c r="M1190" s="7" t="n">
        <v>0.006013189965</v>
      </c>
      <c r="N1190" s="7" t="n">
        <v>0.00599453951</v>
      </c>
      <c r="O1190" s="7" t="n">
        <v>-0.0004734250613</v>
      </c>
      <c r="P1190" s="7" t="n">
        <v>0.9999819205</v>
      </c>
      <c r="Q1190" s="7" t="n">
        <v>6.014076805</v>
      </c>
      <c r="R1190" s="7" t="n">
        <v>1.717300319</v>
      </c>
      <c r="S1190" s="7" t="n">
        <v>1.11732786</v>
      </c>
    </row>
    <row r="1191" customFormat="false" ht="15" hidden="false" customHeight="false" outlineLevel="0" collapsed="false">
      <c r="A1191" s="5" t="s">
        <v>4</v>
      </c>
      <c r="B1191" s="5" t="s">
        <v>80</v>
      </c>
      <c r="C1191" s="5" t="s">
        <v>62</v>
      </c>
      <c r="D1191" s="2" t="n">
        <v>15</v>
      </c>
      <c r="E1191" s="5" t="s">
        <v>167</v>
      </c>
      <c r="F1191" s="5" t="s">
        <v>168</v>
      </c>
      <c r="G1191" s="2" t="n">
        <v>1</v>
      </c>
      <c r="H1191" s="7" t="n">
        <v>0.08096519874</v>
      </c>
      <c r="I1191" s="7" t="n">
        <v>0.9967169289</v>
      </c>
      <c r="J1191" s="7" t="n">
        <v>-1.347855324E-005</v>
      </c>
      <c r="K1191" s="7" t="n">
        <v>-0.9966989024</v>
      </c>
      <c r="L1191" s="7" t="n">
        <v>0.08096381573</v>
      </c>
      <c r="M1191" s="7" t="n">
        <v>0.006013189965</v>
      </c>
      <c r="N1191" s="7" t="n">
        <v>0.00599453951</v>
      </c>
      <c r="O1191" s="7" t="n">
        <v>-0.0004734250613</v>
      </c>
      <c r="P1191" s="7" t="n">
        <v>0.9999819205</v>
      </c>
      <c r="Q1191" s="7" t="n">
        <v>6.014076805</v>
      </c>
      <c r="R1191" s="7" t="n">
        <v>1.717300319</v>
      </c>
      <c r="S1191" s="7" t="n">
        <v>1.11732786</v>
      </c>
    </row>
    <row r="1192" customFormat="false" ht="15" hidden="false" customHeight="false" outlineLevel="0" collapsed="false">
      <c r="A1192" s="5" t="s">
        <v>4</v>
      </c>
      <c r="B1192" s="5" t="s">
        <v>80</v>
      </c>
      <c r="C1192" s="5" t="s">
        <v>58</v>
      </c>
      <c r="D1192" s="2" t="n">
        <v>16</v>
      </c>
      <c r="E1192" s="5" t="s">
        <v>167</v>
      </c>
      <c r="F1192" s="5" t="s">
        <v>168</v>
      </c>
      <c r="G1192" s="2" t="n">
        <v>1</v>
      </c>
      <c r="H1192" s="7" t="n">
        <v>0.0819954214</v>
      </c>
      <c r="I1192" s="7" t="n">
        <v>0.9966248887</v>
      </c>
      <c r="J1192" s="7" t="n">
        <v>-0.003947410621</v>
      </c>
      <c r="K1192" s="7" t="n">
        <v>-0.9966191588</v>
      </c>
      <c r="L1192" s="7" t="n">
        <v>0.08197301224</v>
      </c>
      <c r="M1192" s="7" t="n">
        <v>-0.005538743214</v>
      </c>
      <c r="N1192" s="7" t="n">
        <v>-0.0051964682</v>
      </c>
      <c r="O1192" s="7" t="n">
        <v>0.004388216636</v>
      </c>
      <c r="P1192" s="7" t="n">
        <v>0.9999768699</v>
      </c>
      <c r="Q1192" s="7" t="n">
        <v>6.019294664</v>
      </c>
      <c r="R1192" s="7" t="n">
        <v>1.688525873</v>
      </c>
      <c r="S1192" s="7" t="n">
        <v>1.175320255</v>
      </c>
    </row>
    <row r="1193" customFormat="false" ht="15" hidden="false" customHeight="false" outlineLevel="0" collapsed="false">
      <c r="A1193" s="5" t="s">
        <v>4</v>
      </c>
      <c r="B1193" s="5" t="s">
        <v>80</v>
      </c>
      <c r="C1193" s="5" t="s">
        <v>62</v>
      </c>
      <c r="D1193" s="2" t="n">
        <v>16</v>
      </c>
      <c r="E1193" s="5" t="s">
        <v>167</v>
      </c>
      <c r="F1193" s="5" t="s">
        <v>168</v>
      </c>
      <c r="G1193" s="2" t="n">
        <v>1</v>
      </c>
      <c r="H1193" s="7" t="n">
        <v>0.0819954214</v>
      </c>
      <c r="I1193" s="7" t="n">
        <v>0.9966248887</v>
      </c>
      <c r="J1193" s="7" t="n">
        <v>-0.003947410621</v>
      </c>
      <c r="K1193" s="7" t="n">
        <v>-0.9966191588</v>
      </c>
      <c r="L1193" s="7" t="n">
        <v>0.08197301224</v>
      </c>
      <c r="M1193" s="7" t="n">
        <v>-0.005538743214</v>
      </c>
      <c r="N1193" s="7" t="n">
        <v>-0.0051964682</v>
      </c>
      <c r="O1193" s="7" t="n">
        <v>0.004388216636</v>
      </c>
      <c r="P1193" s="7" t="n">
        <v>0.9999768699</v>
      </c>
      <c r="Q1193" s="7" t="n">
        <v>6.019294664</v>
      </c>
      <c r="R1193" s="7" t="n">
        <v>1.688525873</v>
      </c>
      <c r="S1193" s="7" t="n">
        <v>1.175320255</v>
      </c>
    </row>
    <row r="1194" customFormat="false" ht="15" hidden="false" customHeight="false" outlineLevel="0" collapsed="false">
      <c r="A1194" s="5" t="s">
        <v>4</v>
      </c>
      <c r="B1194" s="5" t="s">
        <v>80</v>
      </c>
      <c r="C1194" s="5" t="s">
        <v>58</v>
      </c>
      <c r="D1194" s="2" t="n">
        <v>17</v>
      </c>
      <c r="E1194" s="5" t="s">
        <v>167</v>
      </c>
      <c r="F1194" s="5" t="s">
        <v>168</v>
      </c>
      <c r="G1194" s="2" t="n">
        <v>1</v>
      </c>
      <c r="H1194" s="7" t="n">
        <v>0.07967466884</v>
      </c>
      <c r="I1194" s="7" t="n">
        <v>0.9968125603</v>
      </c>
      <c r="J1194" s="7" t="n">
        <v>-0.004082505234</v>
      </c>
      <c r="K1194" s="7" t="n">
        <v>-0.9966710392</v>
      </c>
      <c r="L1194" s="7" t="n">
        <v>0.07973303968</v>
      </c>
      <c r="M1194" s="7" t="n">
        <v>0.01701416857</v>
      </c>
      <c r="N1194" s="7" t="n">
        <v>0.01728544748</v>
      </c>
      <c r="O1194" s="7" t="n">
        <v>0.002713316488</v>
      </c>
      <c r="P1194" s="7" t="n">
        <v>0.9998469139</v>
      </c>
      <c r="Q1194" s="7" t="n">
        <v>6.015398691</v>
      </c>
      <c r="R1194" s="7" t="n">
        <v>1.736064943</v>
      </c>
      <c r="S1194" s="7" t="n">
        <v>1.170448915</v>
      </c>
    </row>
    <row r="1195" customFormat="false" ht="15" hidden="false" customHeight="false" outlineLevel="0" collapsed="false">
      <c r="A1195" s="5" t="s">
        <v>4</v>
      </c>
      <c r="B1195" s="5" t="s">
        <v>80</v>
      </c>
      <c r="C1195" s="5" t="s">
        <v>62</v>
      </c>
      <c r="D1195" s="2" t="n">
        <v>17</v>
      </c>
      <c r="E1195" s="5" t="s">
        <v>167</v>
      </c>
      <c r="F1195" s="5" t="s">
        <v>168</v>
      </c>
      <c r="G1195" s="2" t="n">
        <v>1</v>
      </c>
      <c r="H1195" s="7" t="n">
        <v>0.08055009257</v>
      </c>
      <c r="I1195" s="7" t="n">
        <v>0.9967505307</v>
      </c>
      <c r="J1195" s="7" t="n">
        <v>0.0002492540283</v>
      </c>
      <c r="K1195" s="7" t="n">
        <v>-0.9967504931</v>
      </c>
      <c r="L1195" s="7" t="n">
        <v>0.08054999161</v>
      </c>
      <c r="M1195" s="7" t="n">
        <v>0.0003915999583</v>
      </c>
      <c r="N1195" s="7" t="n">
        <v>0.0003702500564</v>
      </c>
      <c r="O1195" s="7" t="n">
        <v>-0.0002799874885</v>
      </c>
      <c r="P1195" s="7" t="n">
        <v>0.9999998923</v>
      </c>
      <c r="Q1195" s="7" t="n">
        <v>6.017068178</v>
      </c>
      <c r="R1195" s="7" t="n">
        <v>1.715354685</v>
      </c>
      <c r="S1195" s="7" t="n">
        <v>1.176419984</v>
      </c>
    </row>
    <row r="1196" customFormat="false" ht="15" hidden="false" customHeight="false" outlineLevel="0" collapsed="false">
      <c r="A1196" s="5" t="s">
        <v>4</v>
      </c>
      <c r="B1196" s="5" t="s">
        <v>80</v>
      </c>
      <c r="C1196" s="5" t="s">
        <v>58</v>
      </c>
      <c r="D1196" s="2" t="n">
        <v>18</v>
      </c>
      <c r="E1196" s="5" t="s">
        <v>167</v>
      </c>
      <c r="F1196" s="5" t="s">
        <v>168</v>
      </c>
      <c r="G1196" s="2" t="n">
        <v>1</v>
      </c>
      <c r="H1196" s="7" t="n">
        <v>0.07955241283</v>
      </c>
      <c r="I1196" s="7" t="n">
        <v>0.9968304271</v>
      </c>
      <c r="J1196" s="7" t="n">
        <v>0.0007163806957</v>
      </c>
      <c r="K1196" s="7" t="n">
        <v>-0.9968074748</v>
      </c>
      <c r="L1196" s="7" t="n">
        <v>0.07954563593</v>
      </c>
      <c r="M1196" s="7" t="n">
        <v>0.006881125681</v>
      </c>
      <c r="N1196" s="7" t="n">
        <v>0.006802330494</v>
      </c>
      <c r="O1196" s="7" t="n">
        <v>-0.001261503783</v>
      </c>
      <c r="P1196" s="7" t="n">
        <v>0.9999760682</v>
      </c>
      <c r="Q1196" s="7" t="n">
        <v>6.010963041</v>
      </c>
      <c r="R1196" s="7" t="n">
        <v>1.711684518</v>
      </c>
      <c r="S1196" s="7" t="n">
        <v>1.086319941</v>
      </c>
    </row>
    <row r="1197" customFormat="false" ht="15" hidden="false" customHeight="false" outlineLevel="0" collapsed="false">
      <c r="A1197" s="5" t="s">
        <v>4</v>
      </c>
      <c r="B1197" s="5" t="s">
        <v>80</v>
      </c>
      <c r="C1197" s="5" t="s">
        <v>62</v>
      </c>
      <c r="D1197" s="2" t="n">
        <v>18</v>
      </c>
      <c r="E1197" s="5" t="s">
        <v>167</v>
      </c>
      <c r="F1197" s="5" t="s">
        <v>168</v>
      </c>
      <c r="G1197" s="2" t="n">
        <v>1</v>
      </c>
      <c r="H1197" s="7" t="n">
        <v>0.07955241283</v>
      </c>
      <c r="I1197" s="7" t="n">
        <v>0.9968304271</v>
      </c>
      <c r="J1197" s="7" t="n">
        <v>0.0007163806957</v>
      </c>
      <c r="K1197" s="7" t="n">
        <v>-0.9968074748</v>
      </c>
      <c r="L1197" s="7" t="n">
        <v>0.07954563593</v>
      </c>
      <c r="M1197" s="7" t="n">
        <v>0.006881125681</v>
      </c>
      <c r="N1197" s="7" t="n">
        <v>0.006802330494</v>
      </c>
      <c r="O1197" s="7" t="n">
        <v>-0.001261503783</v>
      </c>
      <c r="P1197" s="7" t="n">
        <v>0.9999760682</v>
      </c>
      <c r="Q1197" s="7" t="n">
        <v>6.010963041</v>
      </c>
      <c r="R1197" s="7" t="n">
        <v>1.711684518</v>
      </c>
      <c r="S1197" s="7" t="n">
        <v>1.086319941</v>
      </c>
    </row>
    <row r="1198" customFormat="false" ht="15" hidden="false" customHeight="false" outlineLevel="0" collapsed="false">
      <c r="A1198" s="5" t="s">
        <v>4</v>
      </c>
      <c r="B1198" s="5" t="s">
        <v>80</v>
      </c>
      <c r="C1198" s="5" t="s">
        <v>58</v>
      </c>
      <c r="D1198" s="2" t="n">
        <v>19</v>
      </c>
      <c r="E1198" s="5" t="s">
        <v>167</v>
      </c>
      <c r="F1198" s="5" t="s">
        <v>168</v>
      </c>
      <c r="G1198" s="2" t="n">
        <v>1</v>
      </c>
      <c r="H1198" s="7" t="n">
        <v>0.07815795859</v>
      </c>
      <c r="I1198" s="7" t="n">
        <v>0.99694088</v>
      </c>
      <c r="J1198" s="7" t="n">
        <v>-0.0004639723672</v>
      </c>
      <c r="K1198" s="7" t="n">
        <v>-0.9968064407</v>
      </c>
      <c r="L1198" s="7" t="n">
        <v>0.07815504777</v>
      </c>
      <c r="M1198" s="7" t="n">
        <v>0.01639232322</v>
      </c>
      <c r="N1198" s="7" t="n">
        <v>0.01637843892</v>
      </c>
      <c r="O1198" s="7" t="n">
        <v>-0.0008186998757</v>
      </c>
      <c r="P1198" s="7" t="n">
        <v>0.9998655292</v>
      </c>
      <c r="Q1198" s="7" t="n">
        <v>6.029322958</v>
      </c>
      <c r="R1198" s="7" t="n">
        <v>1.732376658</v>
      </c>
      <c r="S1198" s="7" t="n">
        <v>1.194524937</v>
      </c>
    </row>
    <row r="1199" customFormat="false" ht="15" hidden="false" customHeight="false" outlineLevel="0" collapsed="false">
      <c r="A1199" s="5" t="s">
        <v>4</v>
      </c>
      <c r="B1199" s="5" t="s">
        <v>80</v>
      </c>
      <c r="C1199" s="5" t="s">
        <v>62</v>
      </c>
      <c r="D1199" s="2" t="n">
        <v>19</v>
      </c>
      <c r="E1199" s="5" t="s">
        <v>167</v>
      </c>
      <c r="F1199" s="5" t="s">
        <v>168</v>
      </c>
      <c r="G1199" s="2" t="n">
        <v>1</v>
      </c>
      <c r="H1199" s="7" t="n">
        <v>0.07902349811</v>
      </c>
      <c r="I1199" s="7" t="n">
        <v>0.9968719474</v>
      </c>
      <c r="J1199" s="7" t="n">
        <v>0.001267769468</v>
      </c>
      <c r="K1199" s="7" t="n">
        <v>-0.9968725067</v>
      </c>
      <c r="L1199" s="7" t="n">
        <v>0.0790225196</v>
      </c>
      <c r="M1199" s="7" t="n">
        <v>0.0008042833184</v>
      </c>
      <c r="N1199" s="7" t="n">
        <v>0.0007015851402</v>
      </c>
      <c r="O1199" s="7" t="n">
        <v>-0.001327361809</v>
      </c>
      <c r="P1199" s="7" t="n">
        <v>0.9999988729</v>
      </c>
      <c r="Q1199" s="7" t="n">
        <v>6.030247123</v>
      </c>
      <c r="R1199" s="7" t="n">
        <v>1.70904205</v>
      </c>
      <c r="S1199" s="7" t="n">
        <v>1.138350135</v>
      </c>
    </row>
    <row r="1200" customFormat="false" ht="15" hidden="false" customHeight="false" outlineLevel="0" collapsed="false">
      <c r="A1200" s="5" t="s">
        <v>4</v>
      </c>
      <c r="B1200" s="5" t="s">
        <v>80</v>
      </c>
      <c r="C1200" s="5" t="s">
        <v>58</v>
      </c>
      <c r="D1200" s="2" t="n">
        <v>20</v>
      </c>
      <c r="E1200" s="5" t="s">
        <v>167</v>
      </c>
      <c r="F1200" s="5" t="s">
        <v>168</v>
      </c>
      <c r="G1200" s="2" t="n">
        <v>1</v>
      </c>
      <c r="H1200" s="7" t="n">
        <v>0.08090173262</v>
      </c>
      <c r="I1200" s="7" t="n">
        <v>0.9967217416</v>
      </c>
      <c r="J1200" s="7" t="n">
        <v>0.0008243011532</v>
      </c>
      <c r="K1200" s="7" t="n">
        <v>-0.9966972547</v>
      </c>
      <c r="L1200" s="7" t="n">
        <v>0.08089385252</v>
      </c>
      <c r="M1200" s="7" t="n">
        <v>0.00712509982</v>
      </c>
      <c r="N1200" s="7" t="n">
        <v>0.007035061005</v>
      </c>
      <c r="O1200" s="7" t="n">
        <v>-0.001398011617</v>
      </c>
      <c r="P1200" s="7" t="n">
        <v>0.9999742764</v>
      </c>
      <c r="Q1200" s="7" t="n">
        <v>6.016853258</v>
      </c>
      <c r="R1200" s="7" t="n">
        <v>1.734712121</v>
      </c>
      <c r="S1200" s="7" t="n">
        <v>1.098243805</v>
      </c>
    </row>
    <row r="1201" customFormat="false" ht="15" hidden="false" customHeight="false" outlineLevel="0" collapsed="false">
      <c r="A1201" s="5" t="s">
        <v>4</v>
      </c>
      <c r="B1201" s="5" t="s">
        <v>80</v>
      </c>
      <c r="C1201" s="5" t="s">
        <v>62</v>
      </c>
      <c r="D1201" s="2" t="n">
        <v>20</v>
      </c>
      <c r="E1201" s="5" t="s">
        <v>167</v>
      </c>
      <c r="F1201" s="5" t="s">
        <v>168</v>
      </c>
      <c r="G1201" s="2" t="n">
        <v>1</v>
      </c>
      <c r="H1201" s="7" t="n">
        <v>0.08090173262</v>
      </c>
      <c r="I1201" s="7" t="n">
        <v>0.9967217416</v>
      </c>
      <c r="J1201" s="7" t="n">
        <v>0.0008243011532</v>
      </c>
      <c r="K1201" s="7" t="n">
        <v>-0.9966972547</v>
      </c>
      <c r="L1201" s="7" t="n">
        <v>0.08089385252</v>
      </c>
      <c r="M1201" s="7" t="n">
        <v>0.00712509982</v>
      </c>
      <c r="N1201" s="7" t="n">
        <v>0.007035061005</v>
      </c>
      <c r="O1201" s="7" t="n">
        <v>-0.001398011617</v>
      </c>
      <c r="P1201" s="7" t="n">
        <v>0.9999742764</v>
      </c>
      <c r="Q1201" s="7" t="n">
        <v>6.016853258</v>
      </c>
      <c r="R1201" s="7" t="n">
        <v>1.734712121</v>
      </c>
      <c r="S1201" s="7" t="n">
        <v>1.098243805</v>
      </c>
    </row>
    <row r="1202" customFormat="false" ht="15" hidden="false" customHeight="false" outlineLevel="0" collapsed="false">
      <c r="A1202" s="5" t="s">
        <v>4</v>
      </c>
      <c r="B1202" s="5" t="s">
        <v>81</v>
      </c>
      <c r="C1202" s="5" t="s">
        <v>58</v>
      </c>
      <c r="D1202" s="2" t="n">
        <v>11</v>
      </c>
      <c r="E1202" s="5" t="s">
        <v>163</v>
      </c>
      <c r="F1202" s="5" t="s">
        <v>164</v>
      </c>
      <c r="G1202" s="2" t="n">
        <v>1</v>
      </c>
      <c r="H1202" s="7" t="n">
        <v>-0.7191474584</v>
      </c>
      <c r="I1202" s="7" t="n">
        <v>-0.6947953776</v>
      </c>
      <c r="J1202" s="7" t="n">
        <v>0.009290654606</v>
      </c>
      <c r="K1202" s="7" t="n">
        <v>0.6947765933</v>
      </c>
      <c r="L1202" s="7" t="n">
        <v>-0.7192034757</v>
      </c>
      <c r="M1202" s="7" t="n">
        <v>-0.005643228432</v>
      </c>
      <c r="N1202" s="7" t="n">
        <v>0.01060276011</v>
      </c>
      <c r="O1202" s="7" t="n">
        <v>0.002396615972</v>
      </c>
      <c r="P1202" s="7" t="n">
        <v>0.9999409171</v>
      </c>
      <c r="Q1202" s="7" t="n">
        <v>-11.06485638</v>
      </c>
      <c r="R1202" s="7" t="n">
        <v>-0.9035669045</v>
      </c>
      <c r="S1202" s="7" t="n">
        <v>0.6158725951</v>
      </c>
    </row>
    <row r="1203" customFormat="false" ht="15" hidden="false" customHeight="false" outlineLevel="0" collapsed="false">
      <c r="A1203" s="5" t="s">
        <v>4</v>
      </c>
      <c r="B1203" s="5" t="s">
        <v>81</v>
      </c>
      <c r="C1203" s="5" t="s">
        <v>62</v>
      </c>
      <c r="D1203" s="2" t="n">
        <v>11</v>
      </c>
      <c r="E1203" s="5" t="s">
        <v>163</v>
      </c>
      <c r="F1203" s="5" t="s">
        <v>164</v>
      </c>
      <c r="G1203" s="2" t="n">
        <v>1</v>
      </c>
      <c r="H1203" s="7" t="n">
        <v>-0.7191474584</v>
      </c>
      <c r="I1203" s="7" t="n">
        <v>-0.6947953776</v>
      </c>
      <c r="J1203" s="7" t="n">
        <v>0.009290654606</v>
      </c>
      <c r="K1203" s="7" t="n">
        <v>0.6947765933</v>
      </c>
      <c r="L1203" s="7" t="n">
        <v>-0.7192034757</v>
      </c>
      <c r="M1203" s="7" t="n">
        <v>-0.005643228432</v>
      </c>
      <c r="N1203" s="7" t="n">
        <v>0.01060276011</v>
      </c>
      <c r="O1203" s="7" t="n">
        <v>0.002396615972</v>
      </c>
      <c r="P1203" s="7" t="n">
        <v>0.9999409171</v>
      </c>
      <c r="Q1203" s="7" t="n">
        <v>-11.06485638</v>
      </c>
      <c r="R1203" s="7" t="n">
        <v>-0.9035669045</v>
      </c>
      <c r="S1203" s="7" t="n">
        <v>0.6158725951</v>
      </c>
    </row>
    <row r="1204" customFormat="false" ht="15" hidden="false" customHeight="false" outlineLevel="0" collapsed="false">
      <c r="A1204" s="5" t="s">
        <v>4</v>
      </c>
      <c r="B1204" s="5" t="s">
        <v>81</v>
      </c>
      <c r="C1204" s="5" t="s">
        <v>58</v>
      </c>
      <c r="D1204" s="2" t="n">
        <v>11</v>
      </c>
      <c r="E1204" s="5" t="s">
        <v>163</v>
      </c>
      <c r="F1204" s="5" t="s">
        <v>165</v>
      </c>
      <c r="G1204" s="2" t="n">
        <v>1</v>
      </c>
      <c r="H1204" s="7" t="n">
        <v>0.9342146049</v>
      </c>
      <c r="I1204" s="7" t="n">
        <v>0.3566922629</v>
      </c>
      <c r="J1204" s="7" t="n">
        <v>-0.003701567532</v>
      </c>
      <c r="K1204" s="7" t="n">
        <v>-0.3566718626</v>
      </c>
      <c r="L1204" s="7" t="n">
        <v>0.9342152139</v>
      </c>
      <c r="M1204" s="7" t="n">
        <v>0.005207362045</v>
      </c>
      <c r="N1204" s="7" t="n">
        <v>0.005315486455</v>
      </c>
      <c r="O1204" s="7" t="n">
        <v>-0.003544548689</v>
      </c>
      <c r="P1204" s="7" t="n">
        <v>0.9999795907</v>
      </c>
      <c r="Q1204" s="7" t="n">
        <v>8.394291167</v>
      </c>
      <c r="R1204" s="7" t="n">
        <v>1.40004964</v>
      </c>
      <c r="S1204" s="7" t="n">
        <v>0.6194666849</v>
      </c>
    </row>
    <row r="1205" customFormat="false" ht="15" hidden="false" customHeight="false" outlineLevel="0" collapsed="false">
      <c r="A1205" s="5" t="s">
        <v>4</v>
      </c>
      <c r="B1205" s="5" t="s">
        <v>81</v>
      </c>
      <c r="C1205" s="5" t="s">
        <v>62</v>
      </c>
      <c r="D1205" s="2" t="n">
        <v>11</v>
      </c>
      <c r="E1205" s="5" t="s">
        <v>163</v>
      </c>
      <c r="F1205" s="5" t="s">
        <v>165</v>
      </c>
      <c r="G1205" s="2" t="n">
        <v>1</v>
      </c>
      <c r="H1205" s="7" t="n">
        <v>0.9342146049</v>
      </c>
      <c r="I1205" s="7" t="n">
        <v>0.3566922629</v>
      </c>
      <c r="J1205" s="7" t="n">
        <v>-0.003701567532</v>
      </c>
      <c r="K1205" s="7" t="n">
        <v>-0.3566718626</v>
      </c>
      <c r="L1205" s="7" t="n">
        <v>0.9342152139</v>
      </c>
      <c r="M1205" s="7" t="n">
        <v>0.005207362045</v>
      </c>
      <c r="N1205" s="7" t="n">
        <v>0.005315486455</v>
      </c>
      <c r="O1205" s="7" t="n">
        <v>-0.003544548689</v>
      </c>
      <c r="P1205" s="7" t="n">
        <v>0.9999795907</v>
      </c>
      <c r="Q1205" s="7" t="n">
        <v>8.394291167</v>
      </c>
      <c r="R1205" s="7" t="n">
        <v>1.40004964</v>
      </c>
      <c r="S1205" s="7" t="n">
        <v>0.6194666849</v>
      </c>
    </row>
    <row r="1206" customFormat="false" ht="15" hidden="false" customHeight="false" outlineLevel="0" collapsed="false">
      <c r="A1206" s="5" t="s">
        <v>4</v>
      </c>
      <c r="B1206" s="5" t="s">
        <v>81</v>
      </c>
      <c r="C1206" s="5" t="s">
        <v>58</v>
      </c>
      <c r="D1206" s="2" t="n">
        <v>11</v>
      </c>
      <c r="E1206" s="5" t="s">
        <v>163</v>
      </c>
      <c r="F1206" s="5" t="s">
        <v>166</v>
      </c>
      <c r="G1206" s="2" t="n">
        <v>1</v>
      </c>
      <c r="H1206" s="7" t="n">
        <v>0.9044979714</v>
      </c>
      <c r="I1206" s="7" t="n">
        <v>0.4256998218</v>
      </c>
      <c r="J1206" s="7" t="n">
        <v>-0.02575036696</v>
      </c>
      <c r="K1206" s="7" t="n">
        <v>-0.4263874372</v>
      </c>
      <c r="L1206" s="7" t="n">
        <v>0.9038998919</v>
      </c>
      <c r="M1206" s="7" t="n">
        <v>-0.03404025475</v>
      </c>
      <c r="N1206" s="7" t="n">
        <v>0.008784823528</v>
      </c>
      <c r="O1206" s="7" t="n">
        <v>0.04176897434</v>
      </c>
      <c r="P1206" s="7" t="n">
        <v>0.9990886746</v>
      </c>
      <c r="Q1206" s="7" t="n">
        <v>22.73709392</v>
      </c>
      <c r="R1206" s="7" t="n">
        <v>6.56560601</v>
      </c>
      <c r="S1206" s="7" t="n">
        <v>2.065760799</v>
      </c>
    </row>
    <row r="1207" customFormat="false" ht="15" hidden="false" customHeight="false" outlineLevel="0" collapsed="false">
      <c r="A1207" s="5" t="s">
        <v>4</v>
      </c>
      <c r="B1207" s="5" t="s">
        <v>81</v>
      </c>
      <c r="C1207" s="5" t="s">
        <v>62</v>
      </c>
      <c r="D1207" s="2" t="n">
        <v>11</v>
      </c>
      <c r="E1207" s="5" t="s">
        <v>163</v>
      </c>
      <c r="F1207" s="5" t="s">
        <v>166</v>
      </c>
      <c r="G1207" s="2" t="n">
        <v>1</v>
      </c>
      <c r="H1207" s="7" t="n">
        <v>0.9044979714</v>
      </c>
      <c r="I1207" s="7" t="n">
        <v>0.4256998218</v>
      </c>
      <c r="J1207" s="7" t="n">
        <v>-0.02575036696</v>
      </c>
      <c r="K1207" s="7" t="n">
        <v>-0.4263874372</v>
      </c>
      <c r="L1207" s="7" t="n">
        <v>0.9038998919</v>
      </c>
      <c r="M1207" s="7" t="n">
        <v>-0.03404025475</v>
      </c>
      <c r="N1207" s="7" t="n">
        <v>0.008784823528</v>
      </c>
      <c r="O1207" s="7" t="n">
        <v>0.04176897434</v>
      </c>
      <c r="P1207" s="7" t="n">
        <v>0.9990886746</v>
      </c>
      <c r="Q1207" s="7" t="n">
        <v>22.73709392</v>
      </c>
      <c r="R1207" s="7" t="n">
        <v>6.56560601</v>
      </c>
      <c r="S1207" s="7" t="n">
        <v>2.065760799</v>
      </c>
    </row>
    <row r="1208" customFormat="false" ht="15" hidden="false" customHeight="false" outlineLevel="0" collapsed="false">
      <c r="A1208" s="5" t="s">
        <v>4</v>
      </c>
      <c r="B1208" s="5" t="s">
        <v>81</v>
      </c>
      <c r="C1208" s="5" t="s">
        <v>58</v>
      </c>
      <c r="D1208" s="2" t="n">
        <v>11</v>
      </c>
      <c r="E1208" s="5" t="s">
        <v>163</v>
      </c>
      <c r="F1208" s="5" t="s">
        <v>167</v>
      </c>
      <c r="G1208" s="2" t="n">
        <v>1</v>
      </c>
      <c r="H1208" s="7" t="n">
        <v>0.2218394243</v>
      </c>
      <c r="I1208" s="7" t="n">
        <v>-0.9745408898</v>
      </c>
      <c r="J1208" s="7" t="n">
        <v>0.03251651897</v>
      </c>
      <c r="K1208" s="7" t="n">
        <v>0.9745556857</v>
      </c>
      <c r="L1208" s="7" t="n">
        <v>0.2204993114</v>
      </c>
      <c r="M1208" s="7" t="n">
        <v>-0.0402649853</v>
      </c>
      <c r="N1208" s="7" t="n">
        <v>0.03207000456</v>
      </c>
      <c r="O1208" s="7" t="n">
        <v>0.0406215196</v>
      </c>
      <c r="P1208" s="7" t="n">
        <v>0.9986598054</v>
      </c>
      <c r="Q1208" s="7" t="n">
        <v>-16.50517331</v>
      </c>
      <c r="R1208" s="7" t="n">
        <v>20.35163007</v>
      </c>
      <c r="S1208" s="7" t="n">
        <v>1.981329812</v>
      </c>
    </row>
    <row r="1209" customFormat="false" ht="15" hidden="false" customHeight="false" outlineLevel="0" collapsed="false">
      <c r="A1209" s="5" t="s">
        <v>4</v>
      </c>
      <c r="B1209" s="5" t="s">
        <v>81</v>
      </c>
      <c r="C1209" s="5" t="s">
        <v>62</v>
      </c>
      <c r="D1209" s="2" t="n">
        <v>11</v>
      </c>
      <c r="E1209" s="5" t="s">
        <v>163</v>
      </c>
      <c r="F1209" s="5" t="s">
        <v>167</v>
      </c>
      <c r="G1209" s="2" t="n">
        <v>1</v>
      </c>
      <c r="H1209" s="7" t="n">
        <v>0.225840166</v>
      </c>
      <c r="I1209" s="7" t="n">
        <v>-0.9741611171</v>
      </c>
      <c r="J1209" s="7" t="n">
        <v>0.00251739947</v>
      </c>
      <c r="K1209" s="7" t="n">
        <v>0.9740993083</v>
      </c>
      <c r="L1209" s="7" t="n">
        <v>0.2257944631</v>
      </c>
      <c r="M1209" s="7" t="n">
        <v>-0.01214075608</v>
      </c>
      <c r="N1209" s="7" t="n">
        <v>0.01125863765</v>
      </c>
      <c r="O1209" s="7" t="n">
        <v>0.005194067453</v>
      </c>
      <c r="P1209" s="7" t="n">
        <v>0.9999231294</v>
      </c>
      <c r="Q1209" s="7" t="n">
        <v>-16.50083409</v>
      </c>
      <c r="R1209" s="7" t="n">
        <v>20.50347229</v>
      </c>
      <c r="S1209" s="7" t="n">
        <v>1.165097942</v>
      </c>
    </row>
    <row r="1210" customFormat="false" ht="15" hidden="false" customHeight="false" outlineLevel="0" collapsed="false">
      <c r="A1210" s="5" t="s">
        <v>4</v>
      </c>
      <c r="B1210" s="5" t="s">
        <v>81</v>
      </c>
      <c r="C1210" s="5" t="s">
        <v>58</v>
      </c>
      <c r="D1210" s="2" t="n">
        <v>11</v>
      </c>
      <c r="E1210" s="5" t="s">
        <v>163</v>
      </c>
      <c r="F1210" s="5" t="s">
        <v>168</v>
      </c>
      <c r="G1210" s="2" t="n">
        <v>1</v>
      </c>
      <c r="H1210" s="7" t="n">
        <v>0.97505656</v>
      </c>
      <c r="I1210" s="7" t="n">
        <v>0.1661963045</v>
      </c>
      <c r="J1210" s="7" t="n">
        <v>0.1471172771</v>
      </c>
      <c r="K1210" s="7" t="n">
        <v>-0.1666109847</v>
      </c>
      <c r="L1210" s="7" t="n">
        <v>0.9859760973</v>
      </c>
      <c r="M1210" s="7" t="n">
        <v>-0.009587250069</v>
      </c>
      <c r="N1210" s="7" t="n">
        <v>-0.1466474843</v>
      </c>
      <c r="O1210" s="7" t="n">
        <v>-0.01516324333</v>
      </c>
      <c r="P1210" s="7" t="n">
        <v>0.9890725916</v>
      </c>
      <c r="Q1210" s="7" t="n">
        <v>25.67352258</v>
      </c>
      <c r="R1210" s="7" t="n">
        <v>19.32465435</v>
      </c>
      <c r="S1210" s="7" t="n">
        <v>-1.507049041</v>
      </c>
    </row>
    <row r="1211" customFormat="false" ht="15" hidden="false" customHeight="false" outlineLevel="0" collapsed="false">
      <c r="A1211" s="5" t="s">
        <v>4</v>
      </c>
      <c r="B1211" s="5" t="s">
        <v>81</v>
      </c>
      <c r="C1211" s="5" t="s">
        <v>62</v>
      </c>
      <c r="D1211" s="2" t="n">
        <v>11</v>
      </c>
      <c r="E1211" s="5" t="s">
        <v>163</v>
      </c>
      <c r="F1211" s="5" t="s">
        <v>168</v>
      </c>
      <c r="G1211" s="2" t="n">
        <v>1</v>
      </c>
      <c r="H1211" s="7" t="n">
        <v>0.97505656</v>
      </c>
      <c r="I1211" s="7" t="n">
        <v>0.1661963045</v>
      </c>
      <c r="J1211" s="7" t="n">
        <v>0.1471172771</v>
      </c>
      <c r="K1211" s="7" t="n">
        <v>-0.1666109847</v>
      </c>
      <c r="L1211" s="7" t="n">
        <v>0.9859760973</v>
      </c>
      <c r="M1211" s="7" t="n">
        <v>-0.009587250069</v>
      </c>
      <c r="N1211" s="7" t="n">
        <v>-0.1466474843</v>
      </c>
      <c r="O1211" s="7" t="n">
        <v>-0.01516324333</v>
      </c>
      <c r="P1211" s="7" t="n">
        <v>0.9890725916</v>
      </c>
      <c r="Q1211" s="7" t="n">
        <v>25.67352258</v>
      </c>
      <c r="R1211" s="7" t="n">
        <v>19.32465435</v>
      </c>
      <c r="S1211" s="7" t="n">
        <v>-1.507049041</v>
      </c>
    </row>
    <row r="1212" customFormat="false" ht="15" hidden="false" customHeight="false" outlineLevel="0" collapsed="false">
      <c r="A1212" s="5" t="s">
        <v>4</v>
      </c>
      <c r="B1212" s="5" t="s">
        <v>81</v>
      </c>
      <c r="C1212" s="5" t="s">
        <v>58</v>
      </c>
      <c r="D1212" s="2" t="n">
        <v>12</v>
      </c>
      <c r="E1212" s="5" t="s">
        <v>163</v>
      </c>
      <c r="F1212" s="5" t="s">
        <v>164</v>
      </c>
      <c r="G1212" s="2" t="n">
        <v>1</v>
      </c>
      <c r="H1212" s="7" t="n">
        <v>-0.7191308437</v>
      </c>
      <c r="I1212" s="7" t="n">
        <v>-0.6948406406</v>
      </c>
      <c r="J1212" s="7" t="n">
        <v>0.006878502872</v>
      </c>
      <c r="K1212" s="7" t="n">
        <v>0.6948172952</v>
      </c>
      <c r="L1212" s="7" t="n">
        <v>-0.7191634401</v>
      </c>
      <c r="M1212" s="7" t="n">
        <v>-0.005733482274</v>
      </c>
      <c r="N1212" s="7" t="n">
        <v>0.008930624284</v>
      </c>
      <c r="O1212" s="7" t="n">
        <v>0.0006561788161</v>
      </c>
      <c r="P1212" s="7" t="n">
        <v>0.9999599059</v>
      </c>
      <c r="Q1212" s="7" t="n">
        <v>-11.09339448</v>
      </c>
      <c r="R1212" s="7" t="n">
        <v>-0.8486181812</v>
      </c>
      <c r="S1212" s="7" t="n">
        <v>0.6144972889</v>
      </c>
    </row>
    <row r="1213" customFormat="false" ht="15" hidden="false" customHeight="false" outlineLevel="0" collapsed="false">
      <c r="A1213" s="5" t="s">
        <v>4</v>
      </c>
      <c r="B1213" s="5" t="s">
        <v>81</v>
      </c>
      <c r="C1213" s="5" t="s">
        <v>62</v>
      </c>
      <c r="D1213" s="2" t="n">
        <v>12</v>
      </c>
      <c r="E1213" s="5" t="s">
        <v>163</v>
      </c>
      <c r="F1213" s="5" t="s">
        <v>164</v>
      </c>
      <c r="G1213" s="2" t="n">
        <v>1</v>
      </c>
      <c r="H1213" s="7" t="n">
        <v>-0.7191308437</v>
      </c>
      <c r="I1213" s="7" t="n">
        <v>-0.6948406406</v>
      </c>
      <c r="J1213" s="7" t="n">
        <v>0.006878502872</v>
      </c>
      <c r="K1213" s="7" t="n">
        <v>0.6948172952</v>
      </c>
      <c r="L1213" s="7" t="n">
        <v>-0.7191634401</v>
      </c>
      <c r="M1213" s="7" t="n">
        <v>-0.005733482274</v>
      </c>
      <c r="N1213" s="7" t="n">
        <v>0.008930624284</v>
      </c>
      <c r="O1213" s="7" t="n">
        <v>0.0006561788161</v>
      </c>
      <c r="P1213" s="7" t="n">
        <v>0.9999599059</v>
      </c>
      <c r="Q1213" s="7" t="n">
        <v>-11.09339448</v>
      </c>
      <c r="R1213" s="7" t="n">
        <v>-0.8486181812</v>
      </c>
      <c r="S1213" s="7" t="n">
        <v>0.6144972889</v>
      </c>
    </row>
    <row r="1214" customFormat="false" ht="15" hidden="false" customHeight="false" outlineLevel="0" collapsed="false">
      <c r="A1214" s="5" t="s">
        <v>4</v>
      </c>
      <c r="B1214" s="5" t="s">
        <v>81</v>
      </c>
      <c r="C1214" s="5" t="s">
        <v>58</v>
      </c>
      <c r="D1214" s="2" t="n">
        <v>12</v>
      </c>
      <c r="E1214" s="5" t="s">
        <v>163</v>
      </c>
      <c r="F1214" s="5" t="s">
        <v>165</v>
      </c>
      <c r="G1214" s="2" t="n">
        <v>1</v>
      </c>
      <c r="H1214" s="7" t="n">
        <v>0.9330487897</v>
      </c>
      <c r="I1214" s="7" t="n">
        <v>0.3597396716</v>
      </c>
      <c r="J1214" s="7" t="n">
        <v>-0.002706431106</v>
      </c>
      <c r="K1214" s="7" t="n">
        <v>-0.3596524349</v>
      </c>
      <c r="L1214" s="7" t="n">
        <v>0.9329447959</v>
      </c>
      <c r="M1214" s="7" t="n">
        <v>0.01625219614</v>
      </c>
      <c r="N1214" s="7" t="n">
        <v>0.008371510517</v>
      </c>
      <c r="O1214" s="7" t="n">
        <v>-0.0141907174</v>
      </c>
      <c r="P1214" s="7" t="n">
        <v>0.9998642615</v>
      </c>
      <c r="Q1214" s="7" t="n">
        <v>8.425346967</v>
      </c>
      <c r="R1214" s="7" t="n">
        <v>1.365617291</v>
      </c>
      <c r="S1214" s="7" t="n">
        <v>0.5163156668</v>
      </c>
    </row>
    <row r="1215" customFormat="false" ht="15" hidden="false" customHeight="false" outlineLevel="0" collapsed="false">
      <c r="A1215" s="5" t="s">
        <v>4</v>
      </c>
      <c r="B1215" s="5" t="s">
        <v>81</v>
      </c>
      <c r="C1215" s="5" t="s">
        <v>62</v>
      </c>
      <c r="D1215" s="2" t="n">
        <v>12</v>
      </c>
      <c r="E1215" s="5" t="s">
        <v>163</v>
      </c>
      <c r="F1215" s="5" t="s">
        <v>165</v>
      </c>
      <c r="G1215" s="2" t="n">
        <v>1</v>
      </c>
      <c r="H1215" s="7" t="n">
        <v>0.9330487897</v>
      </c>
      <c r="I1215" s="7" t="n">
        <v>0.3597396716</v>
      </c>
      <c r="J1215" s="7" t="n">
        <v>-0.002706431106</v>
      </c>
      <c r="K1215" s="7" t="n">
        <v>-0.3596524349</v>
      </c>
      <c r="L1215" s="7" t="n">
        <v>0.9329447959</v>
      </c>
      <c r="M1215" s="7" t="n">
        <v>0.01625219614</v>
      </c>
      <c r="N1215" s="7" t="n">
        <v>0.008371510517</v>
      </c>
      <c r="O1215" s="7" t="n">
        <v>-0.0141907174</v>
      </c>
      <c r="P1215" s="7" t="n">
        <v>0.9998642615</v>
      </c>
      <c r="Q1215" s="7" t="n">
        <v>8.425346967</v>
      </c>
      <c r="R1215" s="7" t="n">
        <v>1.365617291</v>
      </c>
      <c r="S1215" s="7" t="n">
        <v>0.5163156668</v>
      </c>
    </row>
    <row r="1216" customFormat="false" ht="15" hidden="false" customHeight="false" outlineLevel="0" collapsed="false">
      <c r="A1216" s="5" t="s">
        <v>4</v>
      </c>
      <c r="B1216" s="5" t="s">
        <v>81</v>
      </c>
      <c r="C1216" s="5" t="s">
        <v>58</v>
      </c>
      <c r="D1216" s="2" t="n">
        <v>12</v>
      </c>
      <c r="E1216" s="5" t="s">
        <v>163</v>
      </c>
      <c r="F1216" s="5" t="s">
        <v>166</v>
      </c>
      <c r="G1216" s="2" t="n">
        <v>1</v>
      </c>
      <c r="H1216" s="7" t="n">
        <v>0.9021844088</v>
      </c>
      <c r="I1216" s="7" t="n">
        <v>0.4313192731</v>
      </c>
      <c r="J1216" s="7" t="n">
        <v>-0.005193951454</v>
      </c>
      <c r="K1216" s="7" t="n">
        <v>-0.4313177684</v>
      </c>
      <c r="L1216" s="7" t="n">
        <v>0.9021988912</v>
      </c>
      <c r="M1216" s="7" t="n">
        <v>0.001464022419</v>
      </c>
      <c r="N1216" s="7" t="n">
        <v>0.005317438328</v>
      </c>
      <c r="O1216" s="7" t="n">
        <v>0.00091942535</v>
      </c>
      <c r="P1216" s="7" t="n">
        <v>0.9999854396</v>
      </c>
      <c r="Q1216" s="7" t="n">
        <v>22.87065003</v>
      </c>
      <c r="R1216" s="7" t="n">
        <v>6.519701274</v>
      </c>
      <c r="S1216" s="7" t="n">
        <v>1.463431</v>
      </c>
    </row>
    <row r="1217" customFormat="false" ht="15" hidden="false" customHeight="false" outlineLevel="0" collapsed="false">
      <c r="A1217" s="5" t="s">
        <v>4</v>
      </c>
      <c r="B1217" s="5" t="s">
        <v>81</v>
      </c>
      <c r="C1217" s="5" t="s">
        <v>62</v>
      </c>
      <c r="D1217" s="2" t="n">
        <v>12</v>
      </c>
      <c r="E1217" s="5" t="s">
        <v>163</v>
      </c>
      <c r="F1217" s="5" t="s">
        <v>166</v>
      </c>
      <c r="G1217" s="2" t="n">
        <v>1</v>
      </c>
      <c r="H1217" s="7" t="n">
        <v>0.9021844088</v>
      </c>
      <c r="I1217" s="7" t="n">
        <v>0.4313192731</v>
      </c>
      <c r="J1217" s="7" t="n">
        <v>-0.005193951454</v>
      </c>
      <c r="K1217" s="7" t="n">
        <v>-0.4313177684</v>
      </c>
      <c r="L1217" s="7" t="n">
        <v>0.9021988912</v>
      </c>
      <c r="M1217" s="7" t="n">
        <v>0.001464022419</v>
      </c>
      <c r="N1217" s="7" t="n">
        <v>0.005317438328</v>
      </c>
      <c r="O1217" s="7" t="n">
        <v>0.00091942535</v>
      </c>
      <c r="P1217" s="7" t="n">
        <v>0.9999854396</v>
      </c>
      <c r="Q1217" s="7" t="n">
        <v>22.87065003</v>
      </c>
      <c r="R1217" s="7" t="n">
        <v>6.519701274</v>
      </c>
      <c r="S1217" s="7" t="n">
        <v>1.463431</v>
      </c>
    </row>
    <row r="1218" customFormat="false" ht="15" hidden="false" customHeight="false" outlineLevel="0" collapsed="false">
      <c r="A1218" s="5" t="s">
        <v>4</v>
      </c>
      <c r="B1218" s="5" t="s">
        <v>81</v>
      </c>
      <c r="C1218" s="5" t="s">
        <v>58</v>
      </c>
      <c r="D1218" s="2" t="n">
        <v>12</v>
      </c>
      <c r="E1218" s="5" t="s">
        <v>163</v>
      </c>
      <c r="F1218" s="5" t="s">
        <v>167</v>
      </c>
      <c r="G1218" s="2" t="n">
        <v>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</row>
    <row r="1219" customFormat="false" ht="15" hidden="false" customHeight="false" outlineLevel="0" collapsed="false">
      <c r="A1219" s="5" t="s">
        <v>4</v>
      </c>
      <c r="B1219" s="5" t="s">
        <v>81</v>
      </c>
      <c r="C1219" s="5" t="s">
        <v>62</v>
      </c>
      <c r="D1219" s="2" t="n">
        <v>12</v>
      </c>
      <c r="E1219" s="5" t="s">
        <v>163</v>
      </c>
      <c r="F1219" s="5" t="s">
        <v>167</v>
      </c>
      <c r="G1219" s="2" t="n">
        <v>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</row>
    <row r="1220" customFormat="false" ht="15" hidden="false" customHeight="false" outlineLevel="0" collapsed="false">
      <c r="A1220" s="5" t="s">
        <v>4</v>
      </c>
      <c r="B1220" s="5" t="s">
        <v>81</v>
      </c>
      <c r="C1220" s="5" t="s">
        <v>58</v>
      </c>
      <c r="D1220" s="2" t="n">
        <v>12</v>
      </c>
      <c r="E1220" s="5" t="s">
        <v>163</v>
      </c>
      <c r="F1220" s="5" t="s">
        <v>168</v>
      </c>
      <c r="G1220" s="2" t="n">
        <v>1</v>
      </c>
      <c r="H1220" s="7" t="n">
        <v>0.9888244334</v>
      </c>
      <c r="I1220" s="7" t="n">
        <v>0.148556583</v>
      </c>
      <c r="J1220" s="7" t="n">
        <v>-0.01253720327</v>
      </c>
      <c r="K1220" s="7" t="n">
        <v>-0.1484339458</v>
      </c>
      <c r="L1220" s="7" t="n">
        <v>0.9888696361</v>
      </c>
      <c r="M1220" s="7" t="n">
        <v>0.01020816288</v>
      </c>
      <c r="N1220" s="7" t="n">
        <v>0.01391414943</v>
      </c>
      <c r="O1220" s="7" t="n">
        <v>-0.008233134322</v>
      </c>
      <c r="P1220" s="7" t="n">
        <v>0.9998692974</v>
      </c>
      <c r="Q1220" s="7" t="n">
        <v>25.13808594</v>
      </c>
      <c r="R1220" s="7" t="n">
        <v>19.84429489</v>
      </c>
      <c r="S1220" s="7" t="n">
        <v>2.193602048</v>
      </c>
    </row>
    <row r="1221" customFormat="false" ht="15" hidden="false" customHeight="false" outlineLevel="0" collapsed="false">
      <c r="A1221" s="5" t="s">
        <v>4</v>
      </c>
      <c r="B1221" s="5" t="s">
        <v>81</v>
      </c>
      <c r="C1221" s="5" t="s">
        <v>62</v>
      </c>
      <c r="D1221" s="2" t="n">
        <v>12</v>
      </c>
      <c r="E1221" s="5" t="s">
        <v>163</v>
      </c>
      <c r="F1221" s="5" t="s">
        <v>168</v>
      </c>
      <c r="G1221" s="2" t="n">
        <v>1</v>
      </c>
      <c r="H1221" s="7" t="n">
        <v>0.9888244334</v>
      </c>
      <c r="I1221" s="7" t="n">
        <v>0.148556583</v>
      </c>
      <c r="J1221" s="7" t="n">
        <v>-0.01253720327</v>
      </c>
      <c r="K1221" s="7" t="n">
        <v>-0.1484339458</v>
      </c>
      <c r="L1221" s="7" t="n">
        <v>0.9888696361</v>
      </c>
      <c r="M1221" s="7" t="n">
        <v>0.01020816288</v>
      </c>
      <c r="N1221" s="7" t="n">
        <v>0.01391414943</v>
      </c>
      <c r="O1221" s="7" t="n">
        <v>-0.008233134322</v>
      </c>
      <c r="P1221" s="7" t="n">
        <v>0.9998692974</v>
      </c>
      <c r="Q1221" s="7" t="n">
        <v>25.13808594</v>
      </c>
      <c r="R1221" s="7" t="n">
        <v>19.84429489</v>
      </c>
      <c r="S1221" s="7" t="n">
        <v>2.193602048</v>
      </c>
    </row>
    <row r="1222" customFormat="false" ht="15" hidden="false" customHeight="false" outlineLevel="0" collapsed="false">
      <c r="A1222" s="5" t="s">
        <v>4</v>
      </c>
      <c r="B1222" s="5" t="s">
        <v>81</v>
      </c>
      <c r="C1222" s="5" t="s">
        <v>58</v>
      </c>
      <c r="D1222" s="2" t="n">
        <v>13</v>
      </c>
      <c r="E1222" s="5" t="s">
        <v>163</v>
      </c>
      <c r="F1222" s="5" t="s">
        <v>164</v>
      </c>
      <c r="G1222" s="2" t="n">
        <v>1</v>
      </c>
      <c r="H1222" s="7" t="n">
        <v>-0.7182748898</v>
      </c>
      <c r="I1222" s="7" t="n">
        <v>-0.695750392</v>
      </c>
      <c r="J1222" s="7" t="n">
        <v>0.003546090365</v>
      </c>
      <c r="K1222" s="7" t="n">
        <v>0.6957439177</v>
      </c>
      <c r="L1222" s="7" t="n">
        <v>-0.7182835803</v>
      </c>
      <c r="M1222" s="7" t="n">
        <v>-0.003016493213</v>
      </c>
      <c r="N1222" s="7" t="n">
        <v>0.004645824819</v>
      </c>
      <c r="O1222" s="7" t="n">
        <v>0.0003004994731</v>
      </c>
      <c r="P1222" s="7" t="n">
        <v>0.9999891629</v>
      </c>
      <c r="Q1222" s="7" t="n">
        <v>-11.08810976</v>
      </c>
      <c r="R1222" s="7" t="n">
        <v>-0.8641974437</v>
      </c>
      <c r="S1222" s="7" t="n">
        <v>0.5846793737</v>
      </c>
    </row>
    <row r="1223" customFormat="false" ht="15" hidden="false" customHeight="false" outlineLevel="0" collapsed="false">
      <c r="A1223" s="5" t="s">
        <v>4</v>
      </c>
      <c r="B1223" s="5" t="s">
        <v>81</v>
      </c>
      <c r="C1223" s="5" t="s">
        <v>62</v>
      </c>
      <c r="D1223" s="2" t="n">
        <v>13</v>
      </c>
      <c r="E1223" s="5" t="s">
        <v>163</v>
      </c>
      <c r="F1223" s="5" t="s">
        <v>164</v>
      </c>
      <c r="G1223" s="2" t="n">
        <v>1</v>
      </c>
      <c r="H1223" s="7" t="n">
        <v>-0.7182748898</v>
      </c>
      <c r="I1223" s="7" t="n">
        <v>-0.695750392</v>
      </c>
      <c r="J1223" s="7" t="n">
        <v>0.003546090365</v>
      </c>
      <c r="K1223" s="7" t="n">
        <v>0.6957439177</v>
      </c>
      <c r="L1223" s="7" t="n">
        <v>-0.7182835803</v>
      </c>
      <c r="M1223" s="7" t="n">
        <v>-0.003016493213</v>
      </c>
      <c r="N1223" s="7" t="n">
        <v>0.004645824819</v>
      </c>
      <c r="O1223" s="7" t="n">
        <v>0.0003004994731</v>
      </c>
      <c r="P1223" s="7" t="n">
        <v>0.9999891629</v>
      </c>
      <c r="Q1223" s="7" t="n">
        <v>-11.08810976</v>
      </c>
      <c r="R1223" s="7" t="n">
        <v>-0.8641974437</v>
      </c>
      <c r="S1223" s="7" t="n">
        <v>0.5846793737</v>
      </c>
    </row>
    <row r="1224" customFormat="false" ht="15" hidden="false" customHeight="false" outlineLevel="0" collapsed="false">
      <c r="A1224" s="5" t="s">
        <v>4</v>
      </c>
      <c r="B1224" s="5" t="s">
        <v>81</v>
      </c>
      <c r="C1224" s="5" t="s">
        <v>58</v>
      </c>
      <c r="D1224" s="2" t="n">
        <v>13</v>
      </c>
      <c r="E1224" s="5" t="s">
        <v>163</v>
      </c>
      <c r="F1224" s="5" t="s">
        <v>165</v>
      </c>
      <c r="G1224" s="2" t="n">
        <v>1</v>
      </c>
      <c r="H1224" s="7" t="n">
        <v>0.9339011605</v>
      </c>
      <c r="I1224" s="7" t="n">
        <v>0.3573792685</v>
      </c>
      <c r="J1224" s="7" t="n">
        <v>-0.01042501079</v>
      </c>
      <c r="K1224" s="7" t="n">
        <v>-0.3572702749</v>
      </c>
      <c r="L1224" s="7" t="n">
        <v>0.93393654</v>
      </c>
      <c r="M1224" s="7" t="n">
        <v>0.01097678705</v>
      </c>
      <c r="N1224" s="7" t="n">
        <v>0.01365917464</v>
      </c>
      <c r="O1224" s="7" t="n">
        <v>-0.00652668769</v>
      </c>
      <c r="P1224" s="7" t="n">
        <v>0.9998854081</v>
      </c>
      <c r="Q1224" s="7" t="n">
        <v>8.384087478</v>
      </c>
      <c r="R1224" s="7" t="n">
        <v>1.403681986</v>
      </c>
      <c r="S1224" s="7" t="n">
        <v>0.748323562</v>
      </c>
    </row>
    <row r="1225" customFormat="false" ht="15" hidden="false" customHeight="false" outlineLevel="0" collapsed="false">
      <c r="A1225" s="5" t="s">
        <v>4</v>
      </c>
      <c r="B1225" s="5" t="s">
        <v>81</v>
      </c>
      <c r="C1225" s="5" t="s">
        <v>62</v>
      </c>
      <c r="D1225" s="2" t="n">
        <v>13</v>
      </c>
      <c r="E1225" s="5" t="s">
        <v>163</v>
      </c>
      <c r="F1225" s="5" t="s">
        <v>165</v>
      </c>
      <c r="G1225" s="2" t="n">
        <v>1</v>
      </c>
      <c r="H1225" s="7" t="n">
        <v>0.9339011605</v>
      </c>
      <c r="I1225" s="7" t="n">
        <v>0.3573792685</v>
      </c>
      <c r="J1225" s="7" t="n">
        <v>-0.01042501079</v>
      </c>
      <c r="K1225" s="7" t="n">
        <v>-0.3572702749</v>
      </c>
      <c r="L1225" s="7" t="n">
        <v>0.93393654</v>
      </c>
      <c r="M1225" s="7" t="n">
        <v>0.01097678705</v>
      </c>
      <c r="N1225" s="7" t="n">
        <v>0.01365917464</v>
      </c>
      <c r="O1225" s="7" t="n">
        <v>-0.00652668769</v>
      </c>
      <c r="P1225" s="7" t="n">
        <v>0.9998854081</v>
      </c>
      <c r="Q1225" s="7" t="n">
        <v>8.384087478</v>
      </c>
      <c r="R1225" s="7" t="n">
        <v>1.403681986</v>
      </c>
      <c r="S1225" s="7" t="n">
        <v>0.748323562</v>
      </c>
    </row>
    <row r="1226" customFormat="false" ht="15" hidden="false" customHeight="false" outlineLevel="0" collapsed="false">
      <c r="A1226" s="5" t="s">
        <v>4</v>
      </c>
      <c r="B1226" s="5" t="s">
        <v>81</v>
      </c>
      <c r="C1226" s="5" t="s">
        <v>58</v>
      </c>
      <c r="D1226" s="2" t="n">
        <v>13</v>
      </c>
      <c r="E1226" s="5" t="s">
        <v>163</v>
      </c>
      <c r="F1226" s="5" t="s">
        <v>166</v>
      </c>
      <c r="G1226" s="2" t="n">
        <v>1</v>
      </c>
      <c r="H1226" s="7" t="n">
        <v>0.9014935541</v>
      </c>
      <c r="I1226" s="7" t="n">
        <v>0.4325477145</v>
      </c>
      <c r="J1226" s="7" t="n">
        <v>-0.01455494858</v>
      </c>
      <c r="K1226" s="7" t="n">
        <v>-0.4325826937</v>
      </c>
      <c r="L1226" s="7" t="n">
        <v>0.9015938932</v>
      </c>
      <c r="M1226" s="7" t="n">
        <v>0.0008153846881</v>
      </c>
      <c r="N1226" s="7" t="n">
        <v>0.01347534554</v>
      </c>
      <c r="O1226" s="7" t="n">
        <v>0.005561154822</v>
      </c>
      <c r="P1226" s="7" t="n">
        <v>0.9998937387</v>
      </c>
      <c r="Q1226" s="7" t="n">
        <v>22.86438872</v>
      </c>
      <c r="R1226" s="7" t="n">
        <v>6.535970602</v>
      </c>
      <c r="S1226" s="7" t="n">
        <v>1.502555957</v>
      </c>
    </row>
    <row r="1227" customFormat="false" ht="15" hidden="false" customHeight="false" outlineLevel="0" collapsed="false">
      <c r="A1227" s="5" t="s">
        <v>4</v>
      </c>
      <c r="B1227" s="5" t="s">
        <v>81</v>
      </c>
      <c r="C1227" s="5" t="s">
        <v>62</v>
      </c>
      <c r="D1227" s="2" t="n">
        <v>13</v>
      </c>
      <c r="E1227" s="5" t="s">
        <v>163</v>
      </c>
      <c r="F1227" s="5" t="s">
        <v>166</v>
      </c>
      <c r="G1227" s="2" t="n">
        <v>1</v>
      </c>
      <c r="H1227" s="7" t="n">
        <v>0.9014935541</v>
      </c>
      <c r="I1227" s="7" t="n">
        <v>0.4325477145</v>
      </c>
      <c r="J1227" s="7" t="n">
        <v>-0.01455494858</v>
      </c>
      <c r="K1227" s="7" t="n">
        <v>-0.4325826937</v>
      </c>
      <c r="L1227" s="7" t="n">
        <v>0.9015938932</v>
      </c>
      <c r="M1227" s="7" t="n">
        <v>0.0008153846881</v>
      </c>
      <c r="N1227" s="7" t="n">
        <v>0.01347534554</v>
      </c>
      <c r="O1227" s="7" t="n">
        <v>0.005561154822</v>
      </c>
      <c r="P1227" s="7" t="n">
        <v>0.9998937387</v>
      </c>
      <c r="Q1227" s="7" t="n">
        <v>22.86438872</v>
      </c>
      <c r="R1227" s="7" t="n">
        <v>6.535970602</v>
      </c>
      <c r="S1227" s="7" t="n">
        <v>1.502555957</v>
      </c>
    </row>
    <row r="1228" customFormat="false" ht="15" hidden="false" customHeight="false" outlineLevel="0" collapsed="false">
      <c r="A1228" s="5" t="s">
        <v>4</v>
      </c>
      <c r="B1228" s="5" t="s">
        <v>81</v>
      </c>
      <c r="C1228" s="5" t="s">
        <v>58</v>
      </c>
      <c r="D1228" s="2" t="n">
        <v>13</v>
      </c>
      <c r="E1228" s="5" t="s">
        <v>163</v>
      </c>
      <c r="F1228" s="5" t="s">
        <v>167</v>
      </c>
      <c r="G1228" s="2" t="n">
        <v>1</v>
      </c>
      <c r="H1228" s="7" t="n">
        <v>0.2269712844</v>
      </c>
      <c r="I1228" s="7" t="n">
        <v>-0.9738933185</v>
      </c>
      <c r="J1228" s="7" t="n">
        <v>0.003979976185</v>
      </c>
      <c r="K1228" s="7" t="n">
        <v>0.9738168913</v>
      </c>
      <c r="L1228" s="7" t="n">
        <v>0.2268958312</v>
      </c>
      <c r="M1228" s="7" t="n">
        <v>-0.01410475247</v>
      </c>
      <c r="N1228" s="7" t="n">
        <v>0.01283348418</v>
      </c>
      <c r="O1228" s="7" t="n">
        <v>0.00707714182</v>
      </c>
      <c r="P1228" s="7" t="n">
        <v>0.9998926021</v>
      </c>
      <c r="Q1228" s="7" t="n">
        <v>-16.52306207</v>
      </c>
      <c r="R1228" s="7" t="n">
        <v>20.54235521</v>
      </c>
      <c r="S1228" s="7" t="n">
        <v>1.190731884</v>
      </c>
    </row>
    <row r="1229" customFormat="false" ht="15" hidden="false" customHeight="false" outlineLevel="0" collapsed="false">
      <c r="A1229" s="5" t="s">
        <v>4</v>
      </c>
      <c r="B1229" s="5" t="s">
        <v>81</v>
      </c>
      <c r="C1229" s="5" t="s">
        <v>62</v>
      </c>
      <c r="D1229" s="2" t="n">
        <v>13</v>
      </c>
      <c r="E1229" s="5" t="s">
        <v>163</v>
      </c>
      <c r="F1229" s="5" t="s">
        <v>167</v>
      </c>
      <c r="G1229" s="2" t="n">
        <v>1</v>
      </c>
      <c r="H1229" s="7" t="n">
        <v>0.2269712844</v>
      </c>
      <c r="I1229" s="7" t="n">
        <v>-0.9738933185</v>
      </c>
      <c r="J1229" s="7" t="n">
        <v>0.003979976185</v>
      </c>
      <c r="K1229" s="7" t="n">
        <v>0.9738168913</v>
      </c>
      <c r="L1229" s="7" t="n">
        <v>0.2268958312</v>
      </c>
      <c r="M1229" s="7" t="n">
        <v>-0.01410475247</v>
      </c>
      <c r="N1229" s="7" t="n">
        <v>0.01283348418</v>
      </c>
      <c r="O1229" s="7" t="n">
        <v>0.00707714182</v>
      </c>
      <c r="P1229" s="7" t="n">
        <v>0.9998926021</v>
      </c>
      <c r="Q1229" s="7" t="n">
        <v>-16.52306207</v>
      </c>
      <c r="R1229" s="7" t="n">
        <v>20.54235521</v>
      </c>
      <c r="S1229" s="7" t="n">
        <v>1.190731884</v>
      </c>
    </row>
    <row r="1230" customFormat="false" ht="15" hidden="false" customHeight="false" outlineLevel="0" collapsed="false">
      <c r="A1230" s="5" t="s">
        <v>4</v>
      </c>
      <c r="B1230" s="5" t="s">
        <v>81</v>
      </c>
      <c r="C1230" s="5" t="s">
        <v>58</v>
      </c>
      <c r="D1230" s="2" t="n">
        <v>13</v>
      </c>
      <c r="E1230" s="5" t="s">
        <v>163</v>
      </c>
      <c r="F1230" s="5" t="s">
        <v>168</v>
      </c>
      <c r="G1230" s="2" t="n">
        <v>1</v>
      </c>
      <c r="H1230" s="7" t="n">
        <v>0.9888081645</v>
      </c>
      <c r="I1230" s="7" t="n">
        <v>0.1488515042</v>
      </c>
      <c r="J1230" s="7" t="n">
        <v>-0.01008183807</v>
      </c>
      <c r="K1230" s="7" t="n">
        <v>-0.1488477326</v>
      </c>
      <c r="L1230" s="7" t="n">
        <v>0.9888594849</v>
      </c>
      <c r="M1230" s="7" t="n">
        <v>0.001127617819</v>
      </c>
      <c r="N1230" s="7" t="n">
        <v>0.01013736881</v>
      </c>
      <c r="O1230" s="7" t="n">
        <v>0.0003856610311</v>
      </c>
      <c r="P1230" s="7" t="n">
        <v>0.9999485412</v>
      </c>
      <c r="Q1230" s="7" t="n">
        <v>25.12795376</v>
      </c>
      <c r="R1230" s="7" t="n">
        <v>19.83531659</v>
      </c>
      <c r="S1230" s="7" t="n">
        <v>2.172796986</v>
      </c>
    </row>
    <row r="1231" customFormat="false" ht="15" hidden="false" customHeight="false" outlineLevel="0" collapsed="false">
      <c r="A1231" s="5" t="s">
        <v>4</v>
      </c>
      <c r="B1231" s="5" t="s">
        <v>81</v>
      </c>
      <c r="C1231" s="5" t="s">
        <v>62</v>
      </c>
      <c r="D1231" s="2" t="n">
        <v>13</v>
      </c>
      <c r="E1231" s="5" t="s">
        <v>163</v>
      </c>
      <c r="F1231" s="5" t="s">
        <v>168</v>
      </c>
      <c r="G1231" s="2" t="n">
        <v>1</v>
      </c>
      <c r="H1231" s="7" t="n">
        <v>0.9888081645</v>
      </c>
      <c r="I1231" s="7" t="n">
        <v>0.1488515042</v>
      </c>
      <c r="J1231" s="7" t="n">
        <v>-0.01008183807</v>
      </c>
      <c r="K1231" s="7" t="n">
        <v>-0.1488477326</v>
      </c>
      <c r="L1231" s="7" t="n">
        <v>0.9888594849</v>
      </c>
      <c r="M1231" s="7" t="n">
        <v>0.001127617819</v>
      </c>
      <c r="N1231" s="7" t="n">
        <v>0.01013736881</v>
      </c>
      <c r="O1231" s="7" t="n">
        <v>0.0003856610311</v>
      </c>
      <c r="P1231" s="7" t="n">
        <v>0.9999485412</v>
      </c>
      <c r="Q1231" s="7" t="n">
        <v>25.12795376</v>
      </c>
      <c r="R1231" s="7" t="n">
        <v>19.83531659</v>
      </c>
      <c r="S1231" s="7" t="n">
        <v>2.172796986</v>
      </c>
    </row>
    <row r="1232" customFormat="false" ht="15" hidden="false" customHeight="false" outlineLevel="0" collapsed="false">
      <c r="A1232" s="5" t="s">
        <v>4</v>
      </c>
      <c r="B1232" s="5" t="s">
        <v>81</v>
      </c>
      <c r="C1232" s="5" t="s">
        <v>58</v>
      </c>
      <c r="D1232" s="2" t="n">
        <v>14</v>
      </c>
      <c r="E1232" s="5" t="s">
        <v>163</v>
      </c>
      <c r="F1232" s="5" t="s">
        <v>164</v>
      </c>
      <c r="G1232" s="2" t="n">
        <v>1</v>
      </c>
      <c r="H1232" s="7" t="n">
        <v>-0.7183070351</v>
      </c>
      <c r="I1232" s="7" t="n">
        <v>-0.6957141689</v>
      </c>
      <c r="J1232" s="7" t="n">
        <v>0.004098606396</v>
      </c>
      <c r="K1232" s="7" t="n">
        <v>0.695707133</v>
      </c>
      <c r="L1232" s="7" t="n">
        <v>-0.7183185041</v>
      </c>
      <c r="M1232" s="7" t="n">
        <v>-0.00317988975</v>
      </c>
      <c r="N1232" s="7" t="n">
        <v>0.00515639917</v>
      </c>
      <c r="O1232" s="7" t="n">
        <v>0.0005672925266</v>
      </c>
      <c r="P1232" s="7" t="n">
        <v>0.9999865448</v>
      </c>
      <c r="Q1232" s="7" t="n">
        <v>-11.08037749</v>
      </c>
      <c r="R1232" s="7" t="n">
        <v>-0.8867224557</v>
      </c>
      <c r="S1232" s="7" t="n">
        <v>0.5839513542</v>
      </c>
    </row>
    <row r="1233" customFormat="false" ht="15" hidden="false" customHeight="false" outlineLevel="0" collapsed="false">
      <c r="A1233" s="5" t="s">
        <v>4</v>
      </c>
      <c r="B1233" s="5" t="s">
        <v>81</v>
      </c>
      <c r="C1233" s="5" t="s">
        <v>62</v>
      </c>
      <c r="D1233" s="2" t="n">
        <v>14</v>
      </c>
      <c r="E1233" s="5" t="s">
        <v>163</v>
      </c>
      <c r="F1233" s="5" t="s">
        <v>164</v>
      </c>
      <c r="G1233" s="2" t="n">
        <v>1</v>
      </c>
      <c r="H1233" s="7" t="n">
        <v>-0.7183070351</v>
      </c>
      <c r="I1233" s="7" t="n">
        <v>-0.6957141689</v>
      </c>
      <c r="J1233" s="7" t="n">
        <v>0.004098606396</v>
      </c>
      <c r="K1233" s="7" t="n">
        <v>0.695707133</v>
      </c>
      <c r="L1233" s="7" t="n">
        <v>-0.7183185041</v>
      </c>
      <c r="M1233" s="7" t="n">
        <v>-0.00317988975</v>
      </c>
      <c r="N1233" s="7" t="n">
        <v>0.00515639917</v>
      </c>
      <c r="O1233" s="7" t="n">
        <v>0.0005672925266</v>
      </c>
      <c r="P1233" s="7" t="n">
        <v>0.9999865448</v>
      </c>
      <c r="Q1233" s="7" t="n">
        <v>-11.08037749</v>
      </c>
      <c r="R1233" s="7" t="n">
        <v>-0.8867224557</v>
      </c>
      <c r="S1233" s="7" t="n">
        <v>0.5839513542</v>
      </c>
    </row>
    <row r="1234" customFormat="false" ht="15" hidden="false" customHeight="false" outlineLevel="0" collapsed="false">
      <c r="A1234" s="5" t="s">
        <v>4</v>
      </c>
      <c r="B1234" s="5" t="s">
        <v>81</v>
      </c>
      <c r="C1234" s="5" t="s">
        <v>58</v>
      </c>
      <c r="D1234" s="2" t="n">
        <v>14</v>
      </c>
      <c r="E1234" s="5" t="s">
        <v>163</v>
      </c>
      <c r="F1234" s="5" t="s">
        <v>165</v>
      </c>
      <c r="G1234" s="2" t="n">
        <v>1</v>
      </c>
      <c r="H1234" s="7" t="n">
        <v>0.9330598703</v>
      </c>
      <c r="I1234" s="7" t="n">
        <v>0.3595493538</v>
      </c>
      <c r="J1234" s="7" t="n">
        <v>-0.01111488239</v>
      </c>
      <c r="K1234" s="7" t="n">
        <v>-0.3594521224</v>
      </c>
      <c r="L1234" s="7" t="n">
        <v>0.9331116694</v>
      </c>
      <c r="M1234" s="7" t="n">
        <v>0.00983789136</v>
      </c>
      <c r="N1234" s="7" t="n">
        <v>0.01390863395</v>
      </c>
      <c r="O1234" s="7" t="n">
        <v>-0.00518407357</v>
      </c>
      <c r="P1234" s="7" t="n">
        <v>0.9998898316</v>
      </c>
      <c r="Q1234" s="7" t="n">
        <v>8.382467102</v>
      </c>
      <c r="R1234" s="7" t="n">
        <v>1.358716885</v>
      </c>
      <c r="S1234" s="7" t="n">
        <v>0.7509641185</v>
      </c>
    </row>
    <row r="1235" customFormat="false" ht="15" hidden="false" customHeight="false" outlineLevel="0" collapsed="false">
      <c r="A1235" s="5" t="s">
        <v>4</v>
      </c>
      <c r="B1235" s="5" t="s">
        <v>81</v>
      </c>
      <c r="C1235" s="5" t="s">
        <v>62</v>
      </c>
      <c r="D1235" s="2" t="n">
        <v>14</v>
      </c>
      <c r="E1235" s="5" t="s">
        <v>163</v>
      </c>
      <c r="F1235" s="5" t="s">
        <v>165</v>
      </c>
      <c r="G1235" s="2" t="n">
        <v>1</v>
      </c>
      <c r="H1235" s="7" t="n">
        <v>0.9330598703</v>
      </c>
      <c r="I1235" s="7" t="n">
        <v>0.3595493538</v>
      </c>
      <c r="J1235" s="7" t="n">
        <v>-0.01111488239</v>
      </c>
      <c r="K1235" s="7" t="n">
        <v>-0.3594521224</v>
      </c>
      <c r="L1235" s="7" t="n">
        <v>0.9331116694</v>
      </c>
      <c r="M1235" s="7" t="n">
        <v>0.00983789136</v>
      </c>
      <c r="N1235" s="7" t="n">
        <v>0.01390863395</v>
      </c>
      <c r="O1235" s="7" t="n">
        <v>-0.00518407357</v>
      </c>
      <c r="P1235" s="7" t="n">
        <v>0.9998898316</v>
      </c>
      <c r="Q1235" s="7" t="n">
        <v>8.382467102</v>
      </c>
      <c r="R1235" s="7" t="n">
        <v>1.358716885</v>
      </c>
      <c r="S1235" s="7" t="n">
        <v>0.7509641185</v>
      </c>
    </row>
    <row r="1236" customFormat="false" ht="15" hidden="false" customHeight="false" outlineLevel="0" collapsed="false">
      <c r="A1236" s="5" t="s">
        <v>4</v>
      </c>
      <c r="B1236" s="5" t="s">
        <v>81</v>
      </c>
      <c r="C1236" s="5" t="s">
        <v>58</v>
      </c>
      <c r="D1236" s="2" t="n">
        <v>14</v>
      </c>
      <c r="E1236" s="5" t="s">
        <v>163</v>
      </c>
      <c r="F1236" s="5" t="s">
        <v>166</v>
      </c>
      <c r="G1236" s="2" t="n">
        <v>1</v>
      </c>
      <c r="H1236" s="7" t="n">
        <v>0.9024186093</v>
      </c>
      <c r="I1236" s="7" t="n">
        <v>0.4307991989</v>
      </c>
      <c r="J1236" s="7" t="n">
        <v>-0.007259737833</v>
      </c>
      <c r="K1236" s="7" t="n">
        <v>-0.4308235683</v>
      </c>
      <c r="L1236" s="7" t="n">
        <v>0.9024336467</v>
      </c>
      <c r="M1236" s="7" t="n">
        <v>-0.002136893243</v>
      </c>
      <c r="N1236" s="7" t="n">
        <v>0.005630859789</v>
      </c>
      <c r="O1236" s="7" t="n">
        <v>0.005056038387</v>
      </c>
      <c r="P1236" s="7" t="n">
        <v>0.9999713645</v>
      </c>
      <c r="Q1236" s="7" t="n">
        <v>22.86074571</v>
      </c>
      <c r="R1236" s="7" t="n">
        <v>6.537616699</v>
      </c>
      <c r="S1236" s="7" t="n">
        <v>1.467733137</v>
      </c>
    </row>
    <row r="1237" customFormat="false" ht="15" hidden="false" customHeight="false" outlineLevel="0" collapsed="false">
      <c r="A1237" s="5" t="s">
        <v>4</v>
      </c>
      <c r="B1237" s="5" t="s">
        <v>81</v>
      </c>
      <c r="C1237" s="5" t="s">
        <v>62</v>
      </c>
      <c r="D1237" s="2" t="n">
        <v>14</v>
      </c>
      <c r="E1237" s="5" t="s">
        <v>163</v>
      </c>
      <c r="F1237" s="5" t="s">
        <v>166</v>
      </c>
      <c r="G1237" s="2" t="n">
        <v>1</v>
      </c>
      <c r="H1237" s="7" t="n">
        <v>0.9024186093</v>
      </c>
      <c r="I1237" s="7" t="n">
        <v>0.4307991989</v>
      </c>
      <c r="J1237" s="7" t="n">
        <v>-0.007259737833</v>
      </c>
      <c r="K1237" s="7" t="n">
        <v>-0.4308235683</v>
      </c>
      <c r="L1237" s="7" t="n">
        <v>0.9024336467</v>
      </c>
      <c r="M1237" s="7" t="n">
        <v>-0.002136893243</v>
      </c>
      <c r="N1237" s="7" t="n">
        <v>0.005630859789</v>
      </c>
      <c r="O1237" s="7" t="n">
        <v>0.005056038387</v>
      </c>
      <c r="P1237" s="7" t="n">
        <v>0.9999713645</v>
      </c>
      <c r="Q1237" s="7" t="n">
        <v>22.86074571</v>
      </c>
      <c r="R1237" s="7" t="n">
        <v>6.537616699</v>
      </c>
      <c r="S1237" s="7" t="n">
        <v>1.467733137</v>
      </c>
    </row>
    <row r="1238" customFormat="false" ht="15" hidden="false" customHeight="false" outlineLevel="0" collapsed="false">
      <c r="A1238" s="5" t="s">
        <v>4</v>
      </c>
      <c r="B1238" s="5" t="s">
        <v>81</v>
      </c>
      <c r="C1238" s="5" t="s">
        <v>58</v>
      </c>
      <c r="D1238" s="2" t="n">
        <v>14</v>
      </c>
      <c r="E1238" s="5" t="s">
        <v>163</v>
      </c>
      <c r="F1238" s="5" t="s">
        <v>167</v>
      </c>
      <c r="G1238" s="2" t="n">
        <v>1</v>
      </c>
      <c r="H1238" s="7" t="n">
        <v>0.2222408393</v>
      </c>
      <c r="I1238" s="7" t="n">
        <v>-0.9747735037</v>
      </c>
      <c r="J1238" s="7" t="n">
        <v>0.02063070255</v>
      </c>
      <c r="K1238" s="7" t="n">
        <v>0.9749915617</v>
      </c>
      <c r="L1238" s="7" t="n">
        <v>0.2221762445</v>
      </c>
      <c r="M1238" s="7" t="n">
        <v>-0.005401010566</v>
      </c>
      <c r="N1238" s="7" t="n">
        <v>0.0006811099792</v>
      </c>
      <c r="O1238" s="7" t="n">
        <v>0.02131508602</v>
      </c>
      <c r="P1238" s="7" t="n">
        <v>0.9997725757</v>
      </c>
      <c r="Q1238" s="7" t="n">
        <v>-16.54246079</v>
      </c>
      <c r="R1238" s="7" t="n">
        <v>20.45117758</v>
      </c>
      <c r="S1238" s="7" t="n">
        <v>1.26569554</v>
      </c>
    </row>
    <row r="1239" customFormat="false" ht="15" hidden="false" customHeight="false" outlineLevel="0" collapsed="false">
      <c r="A1239" s="5" t="s">
        <v>4</v>
      </c>
      <c r="B1239" s="5" t="s">
        <v>81</v>
      </c>
      <c r="C1239" s="5" t="s">
        <v>62</v>
      </c>
      <c r="D1239" s="2" t="n">
        <v>14</v>
      </c>
      <c r="E1239" s="5" t="s">
        <v>163</v>
      </c>
      <c r="F1239" s="5" t="s">
        <v>167</v>
      </c>
      <c r="G1239" s="2" t="n">
        <v>1</v>
      </c>
      <c r="H1239" s="7" t="n">
        <v>0.2222408393</v>
      </c>
      <c r="I1239" s="7" t="n">
        <v>-0.9747735037</v>
      </c>
      <c r="J1239" s="7" t="n">
        <v>0.02063070255</v>
      </c>
      <c r="K1239" s="7" t="n">
        <v>0.9749915617</v>
      </c>
      <c r="L1239" s="7" t="n">
        <v>0.2221762445</v>
      </c>
      <c r="M1239" s="7" t="n">
        <v>-0.005401010566</v>
      </c>
      <c r="N1239" s="7" t="n">
        <v>0.0006811099792</v>
      </c>
      <c r="O1239" s="7" t="n">
        <v>0.02131508602</v>
      </c>
      <c r="P1239" s="7" t="n">
        <v>0.9997725757</v>
      </c>
      <c r="Q1239" s="7" t="n">
        <v>-16.54246079</v>
      </c>
      <c r="R1239" s="7" t="n">
        <v>20.45117758</v>
      </c>
      <c r="S1239" s="7" t="n">
        <v>1.26569554</v>
      </c>
    </row>
    <row r="1240" customFormat="false" ht="15" hidden="false" customHeight="false" outlineLevel="0" collapsed="false">
      <c r="A1240" s="5" t="s">
        <v>4</v>
      </c>
      <c r="B1240" s="5" t="s">
        <v>81</v>
      </c>
      <c r="C1240" s="5" t="s">
        <v>58</v>
      </c>
      <c r="D1240" s="2" t="n">
        <v>14</v>
      </c>
      <c r="E1240" s="5" t="s">
        <v>163</v>
      </c>
      <c r="F1240" s="5" t="s">
        <v>168</v>
      </c>
      <c r="G1240" s="2" t="n">
        <v>1</v>
      </c>
      <c r="H1240" s="7" t="n">
        <v>0.9890017726</v>
      </c>
      <c r="I1240" s="7" t="n">
        <v>0.1473627954</v>
      </c>
      <c r="J1240" s="7" t="n">
        <v>-0.01263725758</v>
      </c>
      <c r="K1240" s="7" t="n">
        <v>-0.1473434691</v>
      </c>
      <c r="L1240" s="7" t="n">
        <v>0.9890823472</v>
      </c>
      <c r="M1240" s="7" t="n">
        <v>0.002452070706</v>
      </c>
      <c r="N1240" s="7" t="n">
        <v>0.01286063238</v>
      </c>
      <c r="O1240" s="7" t="n">
        <v>-0.0005630849034</v>
      </c>
      <c r="P1240" s="7" t="n">
        <v>0.9999171401</v>
      </c>
      <c r="Q1240" s="7" t="n">
        <v>25.12537754</v>
      </c>
      <c r="R1240" s="7" t="n">
        <v>19.8096896</v>
      </c>
      <c r="S1240" s="7" t="n">
        <v>2.157883719</v>
      </c>
    </row>
    <row r="1241" customFormat="false" ht="15" hidden="false" customHeight="false" outlineLevel="0" collapsed="false">
      <c r="A1241" s="5" t="s">
        <v>4</v>
      </c>
      <c r="B1241" s="5" t="s">
        <v>81</v>
      </c>
      <c r="C1241" s="5" t="s">
        <v>62</v>
      </c>
      <c r="D1241" s="2" t="n">
        <v>14</v>
      </c>
      <c r="E1241" s="5" t="s">
        <v>163</v>
      </c>
      <c r="F1241" s="5" t="s">
        <v>168</v>
      </c>
      <c r="G1241" s="2" t="n">
        <v>1</v>
      </c>
      <c r="H1241" s="7" t="n">
        <v>0.9890017726</v>
      </c>
      <c r="I1241" s="7" t="n">
        <v>0.1473627954</v>
      </c>
      <c r="J1241" s="7" t="n">
        <v>-0.01263725758</v>
      </c>
      <c r="K1241" s="7" t="n">
        <v>-0.1473434691</v>
      </c>
      <c r="L1241" s="7" t="n">
        <v>0.9890823472</v>
      </c>
      <c r="M1241" s="7" t="n">
        <v>0.002452070706</v>
      </c>
      <c r="N1241" s="7" t="n">
        <v>0.01286063238</v>
      </c>
      <c r="O1241" s="7" t="n">
        <v>-0.0005630849034</v>
      </c>
      <c r="P1241" s="7" t="n">
        <v>0.9999171401</v>
      </c>
      <c r="Q1241" s="7" t="n">
        <v>25.12537754</v>
      </c>
      <c r="R1241" s="7" t="n">
        <v>19.8096896</v>
      </c>
      <c r="S1241" s="7" t="n">
        <v>2.157883719</v>
      </c>
    </row>
    <row r="1242" customFormat="false" ht="15" hidden="false" customHeight="false" outlineLevel="0" collapsed="false">
      <c r="A1242" s="5" t="s">
        <v>4</v>
      </c>
      <c r="B1242" s="5" t="s">
        <v>81</v>
      </c>
      <c r="C1242" s="5" t="s">
        <v>58</v>
      </c>
      <c r="D1242" s="2" t="n">
        <v>15</v>
      </c>
      <c r="E1242" s="5" t="s">
        <v>163</v>
      </c>
      <c r="F1242" s="5" t="s">
        <v>164</v>
      </c>
      <c r="G1242" s="2" t="n">
        <v>1</v>
      </c>
      <c r="H1242" s="7" t="n">
        <v>-0.7184019745</v>
      </c>
      <c r="I1242" s="7" t="n">
        <v>-0.6955750394</v>
      </c>
      <c r="J1242" s="7" t="n">
        <v>0.008600445294</v>
      </c>
      <c r="K1242" s="7" t="n">
        <v>0.695537371</v>
      </c>
      <c r="L1242" s="7" t="n">
        <v>-0.7184530583</v>
      </c>
      <c r="M1242" s="7" t="n">
        <v>-0.007277953408</v>
      </c>
      <c r="N1242" s="7" t="n">
        <v>0.01124137895</v>
      </c>
      <c r="O1242" s="7" t="n">
        <v>0.0007534350107</v>
      </c>
      <c r="P1242" s="7" t="n">
        <v>0.9999365299</v>
      </c>
      <c r="Q1242" s="7" t="n">
        <v>-11.07506682</v>
      </c>
      <c r="R1242" s="7" t="n">
        <v>-0.8621603962</v>
      </c>
      <c r="S1242" s="7" t="n">
        <v>0.6029716761</v>
      </c>
    </row>
    <row r="1243" customFormat="false" ht="15" hidden="false" customHeight="false" outlineLevel="0" collapsed="false">
      <c r="A1243" s="5" t="s">
        <v>4</v>
      </c>
      <c r="B1243" s="5" t="s">
        <v>81</v>
      </c>
      <c r="C1243" s="5" t="s">
        <v>62</v>
      </c>
      <c r="D1243" s="2" t="n">
        <v>15</v>
      </c>
      <c r="E1243" s="5" t="s">
        <v>163</v>
      </c>
      <c r="F1243" s="5" t="s">
        <v>164</v>
      </c>
      <c r="G1243" s="2" t="n">
        <v>1</v>
      </c>
      <c r="H1243" s="7" t="n">
        <v>-0.7184019745</v>
      </c>
      <c r="I1243" s="7" t="n">
        <v>-0.6955750394</v>
      </c>
      <c r="J1243" s="7" t="n">
        <v>0.008600445294</v>
      </c>
      <c r="K1243" s="7" t="n">
        <v>0.695537371</v>
      </c>
      <c r="L1243" s="7" t="n">
        <v>-0.7184530583</v>
      </c>
      <c r="M1243" s="7" t="n">
        <v>-0.007277953408</v>
      </c>
      <c r="N1243" s="7" t="n">
        <v>0.01124137895</v>
      </c>
      <c r="O1243" s="7" t="n">
        <v>0.0007534350107</v>
      </c>
      <c r="P1243" s="7" t="n">
        <v>0.9999365299</v>
      </c>
      <c r="Q1243" s="7" t="n">
        <v>-11.07506682</v>
      </c>
      <c r="R1243" s="7" t="n">
        <v>-0.8621603962</v>
      </c>
      <c r="S1243" s="7" t="n">
        <v>0.6029716761</v>
      </c>
    </row>
    <row r="1244" customFormat="false" ht="15" hidden="false" customHeight="false" outlineLevel="0" collapsed="false">
      <c r="A1244" s="5" t="s">
        <v>4</v>
      </c>
      <c r="B1244" s="5" t="s">
        <v>81</v>
      </c>
      <c r="C1244" s="5" t="s">
        <v>58</v>
      </c>
      <c r="D1244" s="2" t="n">
        <v>15</v>
      </c>
      <c r="E1244" s="5" t="s">
        <v>163</v>
      </c>
      <c r="F1244" s="5" t="s">
        <v>165</v>
      </c>
      <c r="G1244" s="2" t="n">
        <v>1</v>
      </c>
      <c r="H1244" s="7" t="n">
        <v>0.9343881506</v>
      </c>
      <c r="I1244" s="7" t="n">
        <v>0.3562232798</v>
      </c>
      <c r="J1244" s="7" t="n">
        <v>-0.00487430703</v>
      </c>
      <c r="K1244" s="7" t="n">
        <v>-0.356219518</v>
      </c>
      <c r="L1244" s="7" t="n">
        <v>0.9344008436</v>
      </c>
      <c r="M1244" s="7" t="n">
        <v>0.001648769228</v>
      </c>
      <c r="N1244" s="7" t="n">
        <v>0.005141886583</v>
      </c>
      <c r="O1244" s="7" t="n">
        <v>0.0001957328708</v>
      </c>
      <c r="P1244" s="7" t="n">
        <v>0.9999867613</v>
      </c>
      <c r="Q1244" s="7" t="n">
        <v>8.394704647</v>
      </c>
      <c r="R1244" s="7" t="n">
        <v>1.380404615</v>
      </c>
      <c r="S1244" s="7" t="n">
        <v>0.6875503959</v>
      </c>
    </row>
    <row r="1245" customFormat="false" ht="15" hidden="false" customHeight="false" outlineLevel="0" collapsed="false">
      <c r="A1245" s="5" t="s">
        <v>4</v>
      </c>
      <c r="B1245" s="5" t="s">
        <v>81</v>
      </c>
      <c r="C1245" s="5" t="s">
        <v>62</v>
      </c>
      <c r="D1245" s="2" t="n">
        <v>15</v>
      </c>
      <c r="E1245" s="5" t="s">
        <v>163</v>
      </c>
      <c r="F1245" s="5" t="s">
        <v>165</v>
      </c>
      <c r="G1245" s="2" t="n">
        <v>1</v>
      </c>
      <c r="H1245" s="7" t="n">
        <v>0.9343881506</v>
      </c>
      <c r="I1245" s="7" t="n">
        <v>0.3562232798</v>
      </c>
      <c r="J1245" s="7" t="n">
        <v>-0.00487430703</v>
      </c>
      <c r="K1245" s="7" t="n">
        <v>-0.356219518</v>
      </c>
      <c r="L1245" s="7" t="n">
        <v>0.9344008436</v>
      </c>
      <c r="M1245" s="7" t="n">
        <v>0.001648769228</v>
      </c>
      <c r="N1245" s="7" t="n">
        <v>0.005141886583</v>
      </c>
      <c r="O1245" s="7" t="n">
        <v>0.0001957328708</v>
      </c>
      <c r="P1245" s="7" t="n">
        <v>0.9999867613</v>
      </c>
      <c r="Q1245" s="7" t="n">
        <v>8.394704647</v>
      </c>
      <c r="R1245" s="7" t="n">
        <v>1.380404615</v>
      </c>
      <c r="S1245" s="7" t="n">
        <v>0.6875503959</v>
      </c>
    </row>
    <row r="1246" customFormat="false" ht="15" hidden="false" customHeight="false" outlineLevel="0" collapsed="false">
      <c r="A1246" s="5" t="s">
        <v>4</v>
      </c>
      <c r="B1246" s="5" t="s">
        <v>81</v>
      </c>
      <c r="C1246" s="5" t="s">
        <v>58</v>
      </c>
      <c r="D1246" s="2" t="n">
        <v>15</v>
      </c>
      <c r="E1246" s="5" t="s">
        <v>163</v>
      </c>
      <c r="F1246" s="5" t="s">
        <v>166</v>
      </c>
      <c r="G1246" s="2" t="n">
        <v>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</row>
    <row r="1247" customFormat="false" ht="15" hidden="false" customHeight="false" outlineLevel="0" collapsed="false">
      <c r="A1247" s="5" t="s">
        <v>4</v>
      </c>
      <c r="B1247" s="5" t="s">
        <v>81</v>
      </c>
      <c r="C1247" s="5" t="s">
        <v>62</v>
      </c>
      <c r="D1247" s="2" t="n">
        <v>15</v>
      </c>
      <c r="E1247" s="5" t="s">
        <v>163</v>
      </c>
      <c r="F1247" s="5" t="s">
        <v>166</v>
      </c>
      <c r="G1247" s="2" t="n">
        <v>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</row>
    <row r="1248" customFormat="false" ht="15" hidden="false" customHeight="false" outlineLevel="0" collapsed="false">
      <c r="A1248" s="5" t="s">
        <v>4</v>
      </c>
      <c r="B1248" s="5" t="s">
        <v>81</v>
      </c>
      <c r="C1248" s="5" t="s">
        <v>58</v>
      </c>
      <c r="D1248" s="2" t="n">
        <v>15</v>
      </c>
      <c r="E1248" s="5" t="s">
        <v>163</v>
      </c>
      <c r="F1248" s="5" t="s">
        <v>167</v>
      </c>
      <c r="G1248" s="2" t="n">
        <v>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</row>
    <row r="1249" customFormat="false" ht="15" hidden="false" customHeight="false" outlineLevel="0" collapsed="false">
      <c r="A1249" s="5" t="s">
        <v>4</v>
      </c>
      <c r="B1249" s="5" t="s">
        <v>81</v>
      </c>
      <c r="C1249" s="5" t="s">
        <v>62</v>
      </c>
      <c r="D1249" s="2" t="n">
        <v>15</v>
      </c>
      <c r="E1249" s="5" t="s">
        <v>163</v>
      </c>
      <c r="F1249" s="5" t="s">
        <v>167</v>
      </c>
      <c r="G1249" s="2" t="n">
        <v>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</row>
    <row r="1250" customFormat="false" ht="15" hidden="false" customHeight="false" outlineLevel="0" collapsed="false">
      <c r="A1250" s="5" t="s">
        <v>4</v>
      </c>
      <c r="B1250" s="5" t="s">
        <v>81</v>
      </c>
      <c r="C1250" s="5" t="s">
        <v>58</v>
      </c>
      <c r="D1250" s="2" t="n">
        <v>15</v>
      </c>
      <c r="E1250" s="5" t="s">
        <v>163</v>
      </c>
      <c r="F1250" s="5" t="s">
        <v>168</v>
      </c>
      <c r="G1250" s="2" t="n">
        <v>1</v>
      </c>
      <c r="H1250" s="7" t="n">
        <v>0.9874964594</v>
      </c>
      <c r="I1250" s="7" t="n">
        <v>0.1507872485</v>
      </c>
      <c r="J1250" s="7" t="n">
        <v>-0.04597769489</v>
      </c>
      <c r="K1250" s="7" t="n">
        <v>-0.1490266337</v>
      </c>
      <c r="L1250" s="7" t="n">
        <v>0.9880400586</v>
      </c>
      <c r="M1250" s="7" t="n">
        <v>0.03959677963</v>
      </c>
      <c r="N1250" s="7" t="n">
        <v>0.05139849381</v>
      </c>
      <c r="O1250" s="7" t="n">
        <v>-0.03224977859</v>
      </c>
      <c r="P1250" s="7" t="n">
        <v>0.9981573757</v>
      </c>
      <c r="Q1250" s="7" t="n">
        <v>25.08656426</v>
      </c>
      <c r="R1250" s="7" t="n">
        <v>19.89170702</v>
      </c>
      <c r="S1250" s="7" t="n">
        <v>2.274038701</v>
      </c>
    </row>
    <row r="1251" customFormat="false" ht="15" hidden="false" customHeight="false" outlineLevel="0" collapsed="false">
      <c r="A1251" s="5" t="s">
        <v>4</v>
      </c>
      <c r="B1251" s="5" t="s">
        <v>81</v>
      </c>
      <c r="C1251" s="5" t="s">
        <v>62</v>
      </c>
      <c r="D1251" s="2" t="n">
        <v>15</v>
      </c>
      <c r="E1251" s="5" t="s">
        <v>163</v>
      </c>
      <c r="F1251" s="5" t="s">
        <v>168</v>
      </c>
      <c r="G1251" s="2" t="n">
        <v>1</v>
      </c>
      <c r="H1251" s="7" t="n">
        <v>0.9888511925</v>
      </c>
      <c r="I1251" s="7" t="n">
        <v>0.147831307</v>
      </c>
      <c r="J1251" s="7" t="n">
        <v>-0.01786683398</v>
      </c>
      <c r="K1251" s="7" t="n">
        <v>-0.1477996423</v>
      </c>
      <c r="L1251" s="7" t="n">
        <v>0.9890125049</v>
      </c>
      <c r="M1251" s="7" t="n">
        <v>0.003087212428</v>
      </c>
      <c r="N1251" s="7" t="n">
        <v>0.01812690888</v>
      </c>
      <c r="O1251" s="7" t="n">
        <v>-0.0004120820196</v>
      </c>
      <c r="P1251" s="7" t="n">
        <v>0.9998356092</v>
      </c>
      <c r="Q1251" s="7" t="n">
        <v>25.13766821</v>
      </c>
      <c r="R1251" s="7" t="n">
        <v>19.82856588</v>
      </c>
      <c r="S1251" s="7" t="n">
        <v>2.150848509</v>
      </c>
    </row>
    <row r="1252" customFormat="false" ht="15" hidden="false" customHeight="false" outlineLevel="0" collapsed="false">
      <c r="A1252" s="5" t="s">
        <v>4</v>
      </c>
      <c r="B1252" s="5" t="s">
        <v>81</v>
      </c>
      <c r="C1252" s="5" t="s">
        <v>58</v>
      </c>
      <c r="D1252" s="2" t="n">
        <v>16</v>
      </c>
      <c r="E1252" s="5" t="s">
        <v>163</v>
      </c>
      <c r="F1252" s="5" t="s">
        <v>164</v>
      </c>
      <c r="G1252" s="2" t="n">
        <v>1</v>
      </c>
      <c r="H1252" s="7" t="n">
        <v>-0.7179395349</v>
      </c>
      <c r="I1252" s="7" t="n">
        <v>-0.6960791647</v>
      </c>
      <c r="J1252" s="7" t="n">
        <v>0.006051509747</v>
      </c>
      <c r="K1252" s="7" t="n">
        <v>0.6960556311</v>
      </c>
      <c r="L1252" s="7" t="n">
        <v>-0.7179650312</v>
      </c>
      <c r="M1252" s="7" t="n">
        <v>-0.005724712005</v>
      </c>
      <c r="N1252" s="7" t="n">
        <v>0.008329625135</v>
      </c>
      <c r="O1252" s="7" t="n">
        <v>0.0001021903619</v>
      </c>
      <c r="P1252" s="7" t="n">
        <v>0.9999653028</v>
      </c>
      <c r="Q1252" s="7" t="n">
        <v>-11.07332653</v>
      </c>
      <c r="R1252" s="7" t="n">
        <v>-0.8662962528</v>
      </c>
      <c r="S1252" s="7" t="n">
        <v>0.5978475955</v>
      </c>
    </row>
    <row r="1253" customFormat="false" ht="15" hidden="false" customHeight="false" outlineLevel="0" collapsed="false">
      <c r="A1253" s="5" t="s">
        <v>4</v>
      </c>
      <c r="B1253" s="5" t="s">
        <v>81</v>
      </c>
      <c r="C1253" s="5" t="s">
        <v>62</v>
      </c>
      <c r="D1253" s="2" t="n">
        <v>16</v>
      </c>
      <c r="E1253" s="5" t="s">
        <v>163</v>
      </c>
      <c r="F1253" s="5" t="s">
        <v>164</v>
      </c>
      <c r="G1253" s="2" t="n">
        <v>1</v>
      </c>
      <c r="H1253" s="7" t="n">
        <v>-0.7179395349</v>
      </c>
      <c r="I1253" s="7" t="n">
        <v>-0.6960791647</v>
      </c>
      <c r="J1253" s="7" t="n">
        <v>0.006051509747</v>
      </c>
      <c r="K1253" s="7" t="n">
        <v>0.6960556311</v>
      </c>
      <c r="L1253" s="7" t="n">
        <v>-0.7179650312</v>
      </c>
      <c r="M1253" s="7" t="n">
        <v>-0.005724712005</v>
      </c>
      <c r="N1253" s="7" t="n">
        <v>0.008329625135</v>
      </c>
      <c r="O1253" s="7" t="n">
        <v>0.0001021903619</v>
      </c>
      <c r="P1253" s="7" t="n">
        <v>0.9999653028</v>
      </c>
      <c r="Q1253" s="7" t="n">
        <v>-11.07332653</v>
      </c>
      <c r="R1253" s="7" t="n">
        <v>-0.8662962528</v>
      </c>
      <c r="S1253" s="7" t="n">
        <v>0.5978475955</v>
      </c>
    </row>
    <row r="1254" customFormat="false" ht="15" hidden="false" customHeight="false" outlineLevel="0" collapsed="false">
      <c r="A1254" s="5" t="s">
        <v>4</v>
      </c>
      <c r="B1254" s="5" t="s">
        <v>81</v>
      </c>
      <c r="C1254" s="5" t="s">
        <v>58</v>
      </c>
      <c r="D1254" s="2" t="n">
        <v>16</v>
      </c>
      <c r="E1254" s="5" t="s">
        <v>163</v>
      </c>
      <c r="F1254" s="5" t="s">
        <v>165</v>
      </c>
      <c r="G1254" s="2" t="n">
        <v>1</v>
      </c>
      <c r="H1254" s="7" t="n">
        <v>0.9341177738</v>
      </c>
      <c r="I1254" s="7" t="n">
        <v>0.3568738258</v>
      </c>
      <c r="J1254" s="7" t="n">
        <v>-0.008065803681</v>
      </c>
      <c r="K1254" s="7" t="n">
        <v>-0.3568112395</v>
      </c>
      <c r="L1254" s="7" t="n">
        <v>0.9341401693</v>
      </c>
      <c r="M1254" s="7" t="n">
        <v>0.008239147411</v>
      </c>
      <c r="N1254" s="7" t="n">
        <v>0.01047492727</v>
      </c>
      <c r="O1254" s="7" t="n">
        <v>-0.004818364629</v>
      </c>
      <c r="P1254" s="7" t="n">
        <v>0.9999335274</v>
      </c>
      <c r="Q1254" s="7" t="n">
        <v>8.394803952</v>
      </c>
      <c r="R1254" s="7" t="n">
        <v>1.405395832</v>
      </c>
      <c r="S1254" s="7" t="n">
        <v>0.6686914591</v>
      </c>
    </row>
    <row r="1255" customFormat="false" ht="15" hidden="false" customHeight="false" outlineLevel="0" collapsed="false">
      <c r="A1255" s="5" t="s">
        <v>4</v>
      </c>
      <c r="B1255" s="5" t="s">
        <v>81</v>
      </c>
      <c r="C1255" s="5" t="s">
        <v>62</v>
      </c>
      <c r="D1255" s="2" t="n">
        <v>16</v>
      </c>
      <c r="E1255" s="5" t="s">
        <v>163</v>
      </c>
      <c r="F1255" s="5" t="s">
        <v>165</v>
      </c>
      <c r="G1255" s="2" t="n">
        <v>1</v>
      </c>
      <c r="H1255" s="7" t="n">
        <v>0.9341177738</v>
      </c>
      <c r="I1255" s="7" t="n">
        <v>0.3568738258</v>
      </c>
      <c r="J1255" s="7" t="n">
        <v>-0.008065803681</v>
      </c>
      <c r="K1255" s="7" t="n">
        <v>-0.3568112395</v>
      </c>
      <c r="L1255" s="7" t="n">
        <v>0.9341401693</v>
      </c>
      <c r="M1255" s="7" t="n">
        <v>0.008239147411</v>
      </c>
      <c r="N1255" s="7" t="n">
        <v>0.01047492727</v>
      </c>
      <c r="O1255" s="7" t="n">
        <v>-0.004818364629</v>
      </c>
      <c r="P1255" s="7" t="n">
        <v>0.9999335274</v>
      </c>
      <c r="Q1255" s="7" t="n">
        <v>8.394803952</v>
      </c>
      <c r="R1255" s="7" t="n">
        <v>1.405395832</v>
      </c>
      <c r="S1255" s="7" t="n">
        <v>0.6686914591</v>
      </c>
    </row>
    <row r="1256" customFormat="false" ht="15" hidden="false" customHeight="false" outlineLevel="0" collapsed="false">
      <c r="A1256" s="5" t="s">
        <v>4</v>
      </c>
      <c r="B1256" s="5" t="s">
        <v>81</v>
      </c>
      <c r="C1256" s="5" t="s">
        <v>58</v>
      </c>
      <c r="D1256" s="2" t="n">
        <v>16</v>
      </c>
      <c r="E1256" s="5" t="s">
        <v>163</v>
      </c>
      <c r="F1256" s="5" t="s">
        <v>166</v>
      </c>
      <c r="G1256" s="2" t="n">
        <v>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</row>
    <row r="1257" customFormat="false" ht="15" hidden="false" customHeight="false" outlineLevel="0" collapsed="false">
      <c r="A1257" s="5" t="s">
        <v>4</v>
      </c>
      <c r="B1257" s="5" t="s">
        <v>81</v>
      </c>
      <c r="C1257" s="5" t="s">
        <v>62</v>
      </c>
      <c r="D1257" s="2" t="n">
        <v>16</v>
      </c>
      <c r="E1257" s="5" t="s">
        <v>163</v>
      </c>
      <c r="F1257" s="5" t="s">
        <v>166</v>
      </c>
      <c r="G1257" s="2" t="n">
        <v>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</row>
    <row r="1258" customFormat="false" ht="15" hidden="false" customHeight="false" outlineLevel="0" collapsed="false">
      <c r="A1258" s="5" t="s">
        <v>4</v>
      </c>
      <c r="B1258" s="5" t="s">
        <v>81</v>
      </c>
      <c r="C1258" s="5" t="s">
        <v>58</v>
      </c>
      <c r="D1258" s="2" t="n">
        <v>16</v>
      </c>
      <c r="E1258" s="5" t="s">
        <v>163</v>
      </c>
      <c r="F1258" s="5" t="s">
        <v>167</v>
      </c>
      <c r="G1258" s="2" t="n">
        <v>1</v>
      </c>
      <c r="H1258" s="7" t="n">
        <v>0.2258013091</v>
      </c>
      <c r="I1258" s="7" t="n">
        <v>-0.9741728746</v>
      </c>
      <c r="J1258" s="7" t="n">
        <v>-0.0009895815998</v>
      </c>
      <c r="K1258" s="7" t="n">
        <v>0.9741044278</v>
      </c>
      <c r="L1258" s="7" t="n">
        <v>0.2257972967</v>
      </c>
      <c r="M1258" s="7" t="n">
        <v>-0.01166810359</v>
      </c>
      <c r="N1258" s="7" t="n">
        <v>0.01159019487</v>
      </c>
      <c r="O1258" s="7" t="n">
        <v>0.001670717248</v>
      </c>
      <c r="P1258" s="7" t="n">
        <v>0.9999314357</v>
      </c>
      <c r="Q1258" s="7" t="n">
        <v>-16.49249082</v>
      </c>
      <c r="R1258" s="7" t="n">
        <v>20.5138692</v>
      </c>
      <c r="S1258" s="7" t="n">
        <v>1.082272767</v>
      </c>
    </row>
    <row r="1259" customFormat="false" ht="15" hidden="false" customHeight="false" outlineLevel="0" collapsed="false">
      <c r="A1259" s="5" t="s">
        <v>4</v>
      </c>
      <c r="B1259" s="5" t="s">
        <v>81</v>
      </c>
      <c r="C1259" s="5" t="s">
        <v>62</v>
      </c>
      <c r="D1259" s="2" t="n">
        <v>16</v>
      </c>
      <c r="E1259" s="5" t="s">
        <v>163</v>
      </c>
      <c r="F1259" s="5" t="s">
        <v>167</v>
      </c>
      <c r="G1259" s="2" t="n">
        <v>1</v>
      </c>
      <c r="H1259" s="7" t="n">
        <v>0.2258013091</v>
      </c>
      <c r="I1259" s="7" t="n">
        <v>-0.9741728746</v>
      </c>
      <c r="J1259" s="7" t="n">
        <v>-0.0009895815998</v>
      </c>
      <c r="K1259" s="7" t="n">
        <v>0.9741044278</v>
      </c>
      <c r="L1259" s="7" t="n">
        <v>0.2257972967</v>
      </c>
      <c r="M1259" s="7" t="n">
        <v>-0.01166810359</v>
      </c>
      <c r="N1259" s="7" t="n">
        <v>0.01159019487</v>
      </c>
      <c r="O1259" s="7" t="n">
        <v>0.001670717248</v>
      </c>
      <c r="P1259" s="7" t="n">
        <v>0.9999314357</v>
      </c>
      <c r="Q1259" s="7" t="n">
        <v>-16.49249082</v>
      </c>
      <c r="R1259" s="7" t="n">
        <v>20.5138692</v>
      </c>
      <c r="S1259" s="7" t="n">
        <v>1.082272767</v>
      </c>
    </row>
    <row r="1260" customFormat="false" ht="15" hidden="false" customHeight="false" outlineLevel="0" collapsed="false">
      <c r="A1260" s="5" t="s">
        <v>4</v>
      </c>
      <c r="B1260" s="5" t="s">
        <v>81</v>
      </c>
      <c r="C1260" s="5" t="s">
        <v>58</v>
      </c>
      <c r="D1260" s="2" t="n">
        <v>16</v>
      </c>
      <c r="E1260" s="5" t="s">
        <v>163</v>
      </c>
      <c r="F1260" s="5" t="s">
        <v>168</v>
      </c>
      <c r="G1260" s="2" t="n">
        <v>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</row>
    <row r="1261" customFormat="false" ht="15" hidden="false" customHeight="false" outlineLevel="0" collapsed="false">
      <c r="A1261" s="5" t="s">
        <v>4</v>
      </c>
      <c r="B1261" s="5" t="s">
        <v>81</v>
      </c>
      <c r="C1261" s="5" t="s">
        <v>62</v>
      </c>
      <c r="D1261" s="2" t="n">
        <v>16</v>
      </c>
      <c r="E1261" s="5" t="s">
        <v>163</v>
      </c>
      <c r="F1261" s="5" t="s">
        <v>168</v>
      </c>
      <c r="G1261" s="2" t="n">
        <v>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</row>
    <row r="1262" customFormat="false" ht="15" hidden="false" customHeight="false" outlineLevel="0" collapsed="false">
      <c r="A1262" s="5" t="s">
        <v>4</v>
      </c>
      <c r="B1262" s="5" t="s">
        <v>81</v>
      </c>
      <c r="C1262" s="5" t="s">
        <v>58</v>
      </c>
      <c r="D1262" s="2" t="n">
        <v>17</v>
      </c>
      <c r="E1262" s="5" t="s">
        <v>163</v>
      </c>
      <c r="F1262" s="5" t="s">
        <v>164</v>
      </c>
      <c r="G1262" s="2" t="n">
        <v>1</v>
      </c>
      <c r="H1262" s="7" t="n">
        <v>-0.7161625745</v>
      </c>
      <c r="I1262" s="7" t="n">
        <v>-0.6978803358</v>
      </c>
      <c r="J1262" s="7" t="n">
        <v>-0.008614161165</v>
      </c>
      <c r="K1262" s="7" t="n">
        <v>0.6977777499</v>
      </c>
      <c r="L1262" s="7" t="n">
        <v>-0.7156874895</v>
      </c>
      <c r="M1262" s="7" t="n">
        <v>-0.02996045938</v>
      </c>
      <c r="N1262" s="7" t="n">
        <v>0.01474376808</v>
      </c>
      <c r="O1262" s="7" t="n">
        <v>-0.02746732972</v>
      </c>
      <c r="P1262" s="7" t="n">
        <v>0.9995139654</v>
      </c>
      <c r="Q1262" s="7" t="n">
        <v>-11.1321349</v>
      </c>
      <c r="R1262" s="7" t="n">
        <v>-0.872875261</v>
      </c>
      <c r="S1262" s="7" t="n">
        <v>0.3087320513</v>
      </c>
    </row>
    <row r="1263" customFormat="false" ht="15" hidden="false" customHeight="false" outlineLevel="0" collapsed="false">
      <c r="A1263" s="5" t="s">
        <v>4</v>
      </c>
      <c r="B1263" s="5" t="s">
        <v>81</v>
      </c>
      <c r="C1263" s="5" t="s">
        <v>62</v>
      </c>
      <c r="D1263" s="2" t="n">
        <v>17</v>
      </c>
      <c r="E1263" s="5" t="s">
        <v>163</v>
      </c>
      <c r="F1263" s="5" t="s">
        <v>164</v>
      </c>
      <c r="G1263" s="2" t="n">
        <v>1</v>
      </c>
      <c r="H1263" s="7" t="n">
        <v>-0.7161625745</v>
      </c>
      <c r="I1263" s="7" t="n">
        <v>-0.6978803358</v>
      </c>
      <c r="J1263" s="7" t="n">
        <v>-0.008614161165</v>
      </c>
      <c r="K1263" s="7" t="n">
        <v>0.6977777499</v>
      </c>
      <c r="L1263" s="7" t="n">
        <v>-0.7156874895</v>
      </c>
      <c r="M1263" s="7" t="n">
        <v>-0.02996045938</v>
      </c>
      <c r="N1263" s="7" t="n">
        <v>0.01474376808</v>
      </c>
      <c r="O1263" s="7" t="n">
        <v>-0.02746732972</v>
      </c>
      <c r="P1263" s="7" t="n">
        <v>0.9995139654</v>
      </c>
      <c r="Q1263" s="7" t="n">
        <v>-11.1321349</v>
      </c>
      <c r="R1263" s="7" t="n">
        <v>-0.872875261</v>
      </c>
      <c r="S1263" s="7" t="n">
        <v>0.3087320513</v>
      </c>
    </row>
    <row r="1264" customFormat="false" ht="15" hidden="false" customHeight="false" outlineLevel="0" collapsed="false">
      <c r="A1264" s="5" t="s">
        <v>4</v>
      </c>
      <c r="B1264" s="5" t="s">
        <v>81</v>
      </c>
      <c r="C1264" s="5" t="s">
        <v>58</v>
      </c>
      <c r="D1264" s="2" t="n">
        <v>17</v>
      </c>
      <c r="E1264" s="5" t="s">
        <v>163</v>
      </c>
      <c r="F1264" s="5" t="s">
        <v>165</v>
      </c>
      <c r="G1264" s="2" t="n">
        <v>1</v>
      </c>
      <c r="H1264" s="7" t="n">
        <v>0.934060873</v>
      </c>
      <c r="I1264" s="7" t="n">
        <v>0.3570741927</v>
      </c>
      <c r="J1264" s="7" t="n">
        <v>-0.005320369397</v>
      </c>
      <c r="K1264" s="7" t="n">
        <v>-0.3570470319</v>
      </c>
      <c r="L1264" s="7" t="n">
        <v>0.9340706544</v>
      </c>
      <c r="M1264" s="7" t="n">
        <v>0.005424905236</v>
      </c>
      <c r="N1264" s="7" t="n">
        <v>0.006906694582</v>
      </c>
      <c r="O1264" s="7" t="n">
        <v>-0.003167569619</v>
      </c>
      <c r="P1264" s="7" t="n">
        <v>0.9999711316</v>
      </c>
      <c r="Q1264" s="7" t="n">
        <v>8.398315271</v>
      </c>
      <c r="R1264" s="7" t="n">
        <v>1.390978043</v>
      </c>
      <c r="S1264" s="7" t="n">
        <v>0.6611970408</v>
      </c>
    </row>
    <row r="1265" customFormat="false" ht="15" hidden="false" customHeight="false" outlineLevel="0" collapsed="false">
      <c r="A1265" s="5" t="s">
        <v>4</v>
      </c>
      <c r="B1265" s="5" t="s">
        <v>81</v>
      </c>
      <c r="C1265" s="5" t="s">
        <v>62</v>
      </c>
      <c r="D1265" s="2" t="n">
        <v>17</v>
      </c>
      <c r="E1265" s="5" t="s">
        <v>163</v>
      </c>
      <c r="F1265" s="5" t="s">
        <v>165</v>
      </c>
      <c r="G1265" s="2" t="n">
        <v>1</v>
      </c>
      <c r="H1265" s="7" t="n">
        <v>0.934060873</v>
      </c>
      <c r="I1265" s="7" t="n">
        <v>0.3570741927</v>
      </c>
      <c r="J1265" s="7" t="n">
        <v>-0.005320369397</v>
      </c>
      <c r="K1265" s="7" t="n">
        <v>-0.3570470319</v>
      </c>
      <c r="L1265" s="7" t="n">
        <v>0.9340706544</v>
      </c>
      <c r="M1265" s="7" t="n">
        <v>0.005424905236</v>
      </c>
      <c r="N1265" s="7" t="n">
        <v>0.006906694582</v>
      </c>
      <c r="O1265" s="7" t="n">
        <v>-0.003167569619</v>
      </c>
      <c r="P1265" s="7" t="n">
        <v>0.9999711316</v>
      </c>
      <c r="Q1265" s="7" t="n">
        <v>8.398315271</v>
      </c>
      <c r="R1265" s="7" t="n">
        <v>1.390978043</v>
      </c>
      <c r="S1265" s="7" t="n">
        <v>0.6611970408</v>
      </c>
    </row>
    <row r="1266" customFormat="false" ht="15" hidden="false" customHeight="false" outlineLevel="0" collapsed="false">
      <c r="A1266" s="5" t="s">
        <v>4</v>
      </c>
      <c r="B1266" s="5" t="s">
        <v>81</v>
      </c>
      <c r="C1266" s="5" t="s">
        <v>58</v>
      </c>
      <c r="D1266" s="2" t="n">
        <v>17</v>
      </c>
      <c r="E1266" s="5" t="s">
        <v>163</v>
      </c>
      <c r="F1266" s="5" t="s">
        <v>166</v>
      </c>
      <c r="G1266" s="2" t="n">
        <v>1</v>
      </c>
      <c r="H1266" s="7" t="n">
        <v>0.9013391554</v>
      </c>
      <c r="I1266" s="7" t="n">
        <v>0.4326090199</v>
      </c>
      <c r="J1266" s="7" t="n">
        <v>-0.02090844156</v>
      </c>
      <c r="K1266" s="7" t="n">
        <v>-0.4327144186</v>
      </c>
      <c r="L1266" s="7" t="n">
        <v>0.9015308641</v>
      </c>
      <c r="M1266" s="7" t="n">
        <v>-0.000577045937</v>
      </c>
      <c r="N1266" s="7" t="n">
        <v>0.01859997011</v>
      </c>
      <c r="O1266" s="7" t="n">
        <v>0.009567498231</v>
      </c>
      <c r="P1266" s="7" t="n">
        <v>0.9997812281</v>
      </c>
      <c r="Q1266" s="7" t="n">
        <v>22.83320365</v>
      </c>
      <c r="R1266" s="7" t="n">
        <v>6.499760199</v>
      </c>
      <c r="S1266" s="7" t="n">
        <v>1.705846717</v>
      </c>
    </row>
    <row r="1267" customFormat="false" ht="15" hidden="false" customHeight="false" outlineLevel="0" collapsed="false">
      <c r="A1267" s="5" t="s">
        <v>4</v>
      </c>
      <c r="B1267" s="5" t="s">
        <v>81</v>
      </c>
      <c r="C1267" s="5" t="s">
        <v>62</v>
      </c>
      <c r="D1267" s="2" t="n">
        <v>17</v>
      </c>
      <c r="E1267" s="5" t="s">
        <v>163</v>
      </c>
      <c r="F1267" s="5" t="s">
        <v>166</v>
      </c>
      <c r="G1267" s="2" t="n">
        <v>1</v>
      </c>
      <c r="H1267" s="7" t="n">
        <v>0.9013391554</v>
      </c>
      <c r="I1267" s="7" t="n">
        <v>0.4326090199</v>
      </c>
      <c r="J1267" s="7" t="n">
        <v>-0.02090844156</v>
      </c>
      <c r="K1267" s="7" t="n">
        <v>-0.4327144186</v>
      </c>
      <c r="L1267" s="7" t="n">
        <v>0.9015308641</v>
      </c>
      <c r="M1267" s="7" t="n">
        <v>-0.000577045937</v>
      </c>
      <c r="N1267" s="7" t="n">
        <v>0.01859997011</v>
      </c>
      <c r="O1267" s="7" t="n">
        <v>0.009567498231</v>
      </c>
      <c r="P1267" s="7" t="n">
        <v>0.9997812281</v>
      </c>
      <c r="Q1267" s="7" t="n">
        <v>22.83320365</v>
      </c>
      <c r="R1267" s="7" t="n">
        <v>6.499760199</v>
      </c>
      <c r="S1267" s="7" t="n">
        <v>1.705846717</v>
      </c>
    </row>
    <row r="1268" customFormat="false" ht="15" hidden="false" customHeight="false" outlineLevel="0" collapsed="false">
      <c r="A1268" s="5" t="s">
        <v>4</v>
      </c>
      <c r="B1268" s="5" t="s">
        <v>81</v>
      </c>
      <c r="C1268" s="5" t="s">
        <v>58</v>
      </c>
      <c r="D1268" s="2" t="n">
        <v>17</v>
      </c>
      <c r="E1268" s="5" t="s">
        <v>163</v>
      </c>
      <c r="F1268" s="5" t="s">
        <v>167</v>
      </c>
      <c r="G1268" s="2" t="n">
        <v>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</row>
    <row r="1269" customFormat="false" ht="15" hidden="false" customHeight="false" outlineLevel="0" collapsed="false">
      <c r="A1269" s="5" t="s">
        <v>4</v>
      </c>
      <c r="B1269" s="5" t="s">
        <v>81</v>
      </c>
      <c r="C1269" s="5" t="s">
        <v>62</v>
      </c>
      <c r="D1269" s="2" t="n">
        <v>17</v>
      </c>
      <c r="E1269" s="5" t="s">
        <v>163</v>
      </c>
      <c r="F1269" s="5" t="s">
        <v>167</v>
      </c>
      <c r="G1269" s="2" t="n">
        <v>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</row>
    <row r="1270" customFormat="false" ht="15" hidden="false" customHeight="false" outlineLevel="0" collapsed="false">
      <c r="A1270" s="5" t="s">
        <v>4</v>
      </c>
      <c r="B1270" s="5" t="s">
        <v>81</v>
      </c>
      <c r="C1270" s="5" t="s">
        <v>58</v>
      </c>
      <c r="D1270" s="2" t="n">
        <v>17</v>
      </c>
      <c r="E1270" s="5" t="s">
        <v>163</v>
      </c>
      <c r="F1270" s="5" t="s">
        <v>168</v>
      </c>
      <c r="G1270" s="2" t="n">
        <v>1</v>
      </c>
      <c r="H1270" s="7" t="n">
        <v>0.9887097865</v>
      </c>
      <c r="I1270" s="7" t="n">
        <v>0.1481439778</v>
      </c>
      <c r="J1270" s="7" t="n">
        <v>-0.02250155369</v>
      </c>
      <c r="K1270" s="7" t="n">
        <v>-0.1479844754</v>
      </c>
      <c r="L1270" s="7" t="n">
        <v>0.9889522499</v>
      </c>
      <c r="M1270" s="7" t="n">
        <v>0.008604789028</v>
      </c>
      <c r="N1270" s="7" t="n">
        <v>0.02352770982</v>
      </c>
      <c r="O1270" s="7" t="n">
        <v>-0.005177758504</v>
      </c>
      <c r="P1270" s="7" t="n">
        <v>0.9997097767</v>
      </c>
      <c r="Q1270" s="7" t="n">
        <v>25.15656806</v>
      </c>
      <c r="R1270" s="7" t="n">
        <v>19.83606397</v>
      </c>
      <c r="S1270" s="7" t="n">
        <v>2.170989421</v>
      </c>
    </row>
    <row r="1271" customFormat="false" ht="15" hidden="false" customHeight="false" outlineLevel="0" collapsed="false">
      <c r="A1271" s="5" t="s">
        <v>4</v>
      </c>
      <c r="B1271" s="5" t="s">
        <v>81</v>
      </c>
      <c r="C1271" s="5" t="s">
        <v>62</v>
      </c>
      <c r="D1271" s="2" t="n">
        <v>17</v>
      </c>
      <c r="E1271" s="5" t="s">
        <v>163</v>
      </c>
      <c r="F1271" s="5" t="s">
        <v>168</v>
      </c>
      <c r="G1271" s="2" t="n">
        <v>1</v>
      </c>
      <c r="H1271" s="7" t="n">
        <v>0.9887097865</v>
      </c>
      <c r="I1271" s="7" t="n">
        <v>0.1481439778</v>
      </c>
      <c r="J1271" s="7" t="n">
        <v>-0.02250155369</v>
      </c>
      <c r="K1271" s="7" t="n">
        <v>-0.1479844754</v>
      </c>
      <c r="L1271" s="7" t="n">
        <v>0.9889522499</v>
      </c>
      <c r="M1271" s="7" t="n">
        <v>0.008604789028</v>
      </c>
      <c r="N1271" s="7" t="n">
        <v>0.02352770982</v>
      </c>
      <c r="O1271" s="7" t="n">
        <v>-0.005177758504</v>
      </c>
      <c r="P1271" s="7" t="n">
        <v>0.9997097767</v>
      </c>
      <c r="Q1271" s="7" t="n">
        <v>25.15656806</v>
      </c>
      <c r="R1271" s="7" t="n">
        <v>19.83606397</v>
      </c>
      <c r="S1271" s="7" t="n">
        <v>2.170989421</v>
      </c>
    </row>
    <row r="1272" customFormat="false" ht="15" hidden="false" customHeight="false" outlineLevel="0" collapsed="false">
      <c r="A1272" s="5" t="s">
        <v>4</v>
      </c>
      <c r="B1272" s="5" t="s">
        <v>81</v>
      </c>
      <c r="C1272" s="5" t="s">
        <v>58</v>
      </c>
      <c r="D1272" s="2" t="n">
        <v>18</v>
      </c>
      <c r="E1272" s="5" t="s">
        <v>163</v>
      </c>
      <c r="F1272" s="5" t="s">
        <v>164</v>
      </c>
      <c r="G1272" s="2" t="n">
        <v>1</v>
      </c>
      <c r="H1272" s="7" t="n">
        <v>-0.7189757779</v>
      </c>
      <c r="I1272" s="7" t="n">
        <v>-0.6950160838</v>
      </c>
      <c r="J1272" s="7" t="n">
        <v>0.005145295333</v>
      </c>
      <c r="K1272" s="7" t="n">
        <v>0.6949950059</v>
      </c>
      <c r="L1272" s="7" t="n">
        <v>-0.7189941163</v>
      </c>
      <c r="M1272" s="7" t="n">
        <v>-0.005422412998</v>
      </c>
      <c r="N1272" s="7" t="n">
        <v>0.007468101318</v>
      </c>
      <c r="O1272" s="7" t="n">
        <v>-0.0003226290432</v>
      </c>
      <c r="P1272" s="7" t="n">
        <v>0.9999720613</v>
      </c>
      <c r="Q1272" s="7" t="n">
        <v>-11.08326509</v>
      </c>
      <c r="R1272" s="7" t="n">
        <v>-0.8801152705</v>
      </c>
      <c r="S1272" s="7" t="n">
        <v>0.5751442893</v>
      </c>
    </row>
    <row r="1273" customFormat="false" ht="15" hidden="false" customHeight="false" outlineLevel="0" collapsed="false">
      <c r="A1273" s="5" t="s">
        <v>4</v>
      </c>
      <c r="B1273" s="5" t="s">
        <v>81</v>
      </c>
      <c r="C1273" s="5" t="s">
        <v>62</v>
      </c>
      <c r="D1273" s="2" t="n">
        <v>18</v>
      </c>
      <c r="E1273" s="5" t="s">
        <v>163</v>
      </c>
      <c r="F1273" s="5" t="s">
        <v>164</v>
      </c>
      <c r="G1273" s="2" t="n">
        <v>1</v>
      </c>
      <c r="H1273" s="7" t="n">
        <v>-0.7189757779</v>
      </c>
      <c r="I1273" s="7" t="n">
        <v>-0.6950160838</v>
      </c>
      <c r="J1273" s="7" t="n">
        <v>0.005145295333</v>
      </c>
      <c r="K1273" s="7" t="n">
        <v>0.6949950059</v>
      </c>
      <c r="L1273" s="7" t="n">
        <v>-0.7189941163</v>
      </c>
      <c r="M1273" s="7" t="n">
        <v>-0.005422412998</v>
      </c>
      <c r="N1273" s="7" t="n">
        <v>0.007468101318</v>
      </c>
      <c r="O1273" s="7" t="n">
        <v>-0.0003226290432</v>
      </c>
      <c r="P1273" s="7" t="n">
        <v>0.9999720613</v>
      </c>
      <c r="Q1273" s="7" t="n">
        <v>-11.08326509</v>
      </c>
      <c r="R1273" s="7" t="n">
        <v>-0.8801152705</v>
      </c>
      <c r="S1273" s="7" t="n">
        <v>0.5751442893</v>
      </c>
    </row>
    <row r="1274" customFormat="false" ht="15" hidden="false" customHeight="false" outlineLevel="0" collapsed="false">
      <c r="A1274" s="5" t="s">
        <v>4</v>
      </c>
      <c r="B1274" s="5" t="s">
        <v>81</v>
      </c>
      <c r="C1274" s="5" t="s">
        <v>58</v>
      </c>
      <c r="D1274" s="2" t="n">
        <v>18</v>
      </c>
      <c r="E1274" s="5" t="s">
        <v>163</v>
      </c>
      <c r="F1274" s="5" t="s">
        <v>165</v>
      </c>
      <c r="G1274" s="2" t="n">
        <v>1</v>
      </c>
      <c r="H1274" s="7" t="n">
        <v>0.9338201431</v>
      </c>
      <c r="I1274" s="7" t="n">
        <v>0.3576587736</v>
      </c>
      <c r="J1274" s="7" t="n">
        <v>-0.00775512956</v>
      </c>
      <c r="K1274" s="7" t="n">
        <v>-0.3576168874</v>
      </c>
      <c r="L1274" s="7" t="n">
        <v>0.9338471943</v>
      </c>
      <c r="M1274" s="7" t="n">
        <v>0.006291229457</v>
      </c>
      <c r="N1274" s="7" t="n">
        <v>0.009492219393</v>
      </c>
      <c r="O1274" s="7" t="n">
        <v>-0.003101511497</v>
      </c>
      <c r="P1274" s="7" t="n">
        <v>0.999950138</v>
      </c>
      <c r="Q1274" s="7" t="n">
        <v>8.392301482</v>
      </c>
      <c r="R1274" s="7" t="n">
        <v>1.365619597</v>
      </c>
      <c r="S1274" s="7" t="n">
        <v>0.6784067235</v>
      </c>
    </row>
    <row r="1275" customFormat="false" ht="15" hidden="false" customHeight="false" outlineLevel="0" collapsed="false">
      <c r="A1275" s="5" t="s">
        <v>4</v>
      </c>
      <c r="B1275" s="5" t="s">
        <v>81</v>
      </c>
      <c r="C1275" s="5" t="s">
        <v>62</v>
      </c>
      <c r="D1275" s="2" t="n">
        <v>18</v>
      </c>
      <c r="E1275" s="5" t="s">
        <v>163</v>
      </c>
      <c r="F1275" s="5" t="s">
        <v>165</v>
      </c>
      <c r="G1275" s="2" t="n">
        <v>1</v>
      </c>
      <c r="H1275" s="7" t="n">
        <v>0.9338201431</v>
      </c>
      <c r="I1275" s="7" t="n">
        <v>0.3576587736</v>
      </c>
      <c r="J1275" s="7" t="n">
        <v>-0.00775512956</v>
      </c>
      <c r="K1275" s="7" t="n">
        <v>-0.3576168874</v>
      </c>
      <c r="L1275" s="7" t="n">
        <v>0.9338471943</v>
      </c>
      <c r="M1275" s="7" t="n">
        <v>0.006291229457</v>
      </c>
      <c r="N1275" s="7" t="n">
        <v>0.009492219393</v>
      </c>
      <c r="O1275" s="7" t="n">
        <v>-0.003101511497</v>
      </c>
      <c r="P1275" s="7" t="n">
        <v>0.999950138</v>
      </c>
      <c r="Q1275" s="7" t="n">
        <v>8.392301482</v>
      </c>
      <c r="R1275" s="7" t="n">
        <v>1.365619597</v>
      </c>
      <c r="S1275" s="7" t="n">
        <v>0.6784067235</v>
      </c>
    </row>
    <row r="1276" customFormat="false" ht="15" hidden="false" customHeight="false" outlineLevel="0" collapsed="false">
      <c r="A1276" s="5" t="s">
        <v>4</v>
      </c>
      <c r="B1276" s="5" t="s">
        <v>81</v>
      </c>
      <c r="C1276" s="5" t="s">
        <v>58</v>
      </c>
      <c r="D1276" s="2" t="n">
        <v>18</v>
      </c>
      <c r="E1276" s="5" t="s">
        <v>163</v>
      </c>
      <c r="F1276" s="5" t="s">
        <v>166</v>
      </c>
      <c r="G1276" s="2" t="n">
        <v>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</row>
    <row r="1277" customFormat="false" ht="15" hidden="false" customHeight="false" outlineLevel="0" collapsed="false">
      <c r="A1277" s="5" t="s">
        <v>4</v>
      </c>
      <c r="B1277" s="5" t="s">
        <v>81</v>
      </c>
      <c r="C1277" s="5" t="s">
        <v>62</v>
      </c>
      <c r="D1277" s="2" t="n">
        <v>18</v>
      </c>
      <c r="E1277" s="5" t="s">
        <v>163</v>
      </c>
      <c r="F1277" s="5" t="s">
        <v>166</v>
      </c>
      <c r="G1277" s="2" t="n">
        <v>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</row>
    <row r="1278" customFormat="false" ht="15" hidden="false" customHeight="false" outlineLevel="0" collapsed="false">
      <c r="A1278" s="5" t="s">
        <v>4</v>
      </c>
      <c r="B1278" s="5" t="s">
        <v>81</v>
      </c>
      <c r="C1278" s="5" t="s">
        <v>58</v>
      </c>
      <c r="D1278" s="2" t="n">
        <v>18</v>
      </c>
      <c r="E1278" s="5" t="s">
        <v>163</v>
      </c>
      <c r="F1278" s="5" t="s">
        <v>167</v>
      </c>
      <c r="G1278" s="2" t="n">
        <v>1</v>
      </c>
      <c r="H1278" s="7" t="n">
        <v>0.2258947226</v>
      </c>
      <c r="I1278" s="7" t="n">
        <v>-0.9741436039</v>
      </c>
      <c r="J1278" s="7" t="n">
        <v>0.003976597106</v>
      </c>
      <c r="K1278" s="7" t="n">
        <v>0.974094004</v>
      </c>
      <c r="L1278" s="7" t="n">
        <v>0.2258350213</v>
      </c>
      <c r="M1278" s="7" t="n">
        <v>-0.01180739225</v>
      </c>
      <c r="N1278" s="7" t="n">
        <v>0.01060404075</v>
      </c>
      <c r="O1278" s="7" t="n">
        <v>0.006540806993</v>
      </c>
      <c r="P1278" s="7" t="n">
        <v>0.9999223831</v>
      </c>
      <c r="Q1278" s="7" t="n">
        <v>-16.52179184</v>
      </c>
      <c r="R1278" s="7" t="n">
        <v>20.49991788</v>
      </c>
      <c r="S1278" s="7" t="n">
        <v>1.177379566</v>
      </c>
    </row>
    <row r="1279" customFormat="false" ht="15" hidden="false" customHeight="false" outlineLevel="0" collapsed="false">
      <c r="A1279" s="5" t="s">
        <v>4</v>
      </c>
      <c r="B1279" s="5" t="s">
        <v>81</v>
      </c>
      <c r="C1279" s="5" t="s">
        <v>62</v>
      </c>
      <c r="D1279" s="2" t="n">
        <v>18</v>
      </c>
      <c r="E1279" s="5" t="s">
        <v>163</v>
      </c>
      <c r="F1279" s="5" t="s">
        <v>167</v>
      </c>
      <c r="G1279" s="2" t="n">
        <v>1</v>
      </c>
      <c r="H1279" s="7" t="n">
        <v>0.2258947226</v>
      </c>
      <c r="I1279" s="7" t="n">
        <v>-0.9741436039</v>
      </c>
      <c r="J1279" s="7" t="n">
        <v>0.003976597106</v>
      </c>
      <c r="K1279" s="7" t="n">
        <v>0.974094004</v>
      </c>
      <c r="L1279" s="7" t="n">
        <v>0.2258350213</v>
      </c>
      <c r="M1279" s="7" t="n">
        <v>-0.01180739225</v>
      </c>
      <c r="N1279" s="7" t="n">
        <v>0.01060404075</v>
      </c>
      <c r="O1279" s="7" t="n">
        <v>0.006540806993</v>
      </c>
      <c r="P1279" s="7" t="n">
        <v>0.9999223831</v>
      </c>
      <c r="Q1279" s="7" t="n">
        <v>-16.52179184</v>
      </c>
      <c r="R1279" s="7" t="n">
        <v>20.49991788</v>
      </c>
      <c r="S1279" s="7" t="n">
        <v>1.177379566</v>
      </c>
    </row>
    <row r="1280" customFormat="false" ht="15" hidden="false" customHeight="false" outlineLevel="0" collapsed="false">
      <c r="A1280" s="5" t="s">
        <v>4</v>
      </c>
      <c r="B1280" s="5" t="s">
        <v>81</v>
      </c>
      <c r="C1280" s="5" t="s">
        <v>58</v>
      </c>
      <c r="D1280" s="2" t="n">
        <v>18</v>
      </c>
      <c r="E1280" s="5" t="s">
        <v>163</v>
      </c>
      <c r="F1280" s="5" t="s">
        <v>168</v>
      </c>
      <c r="G1280" s="2" t="n">
        <v>1</v>
      </c>
      <c r="H1280" s="7" t="n">
        <v>0.9890135359</v>
      </c>
      <c r="I1280" s="7" t="n">
        <v>0.1477944404</v>
      </c>
      <c r="J1280" s="7" t="n">
        <v>-0.003004859458</v>
      </c>
      <c r="K1280" s="7" t="n">
        <v>-0.1477879034</v>
      </c>
      <c r="L1280" s="7" t="n">
        <v>0.9890164185</v>
      </c>
      <c r="M1280" s="7" t="n">
        <v>0.002293380863</v>
      </c>
      <c r="N1280" s="7" t="n">
        <v>0.00331080428</v>
      </c>
      <c r="O1280" s="7" t="n">
        <v>-0.001824102838</v>
      </c>
      <c r="P1280" s="7" t="n">
        <v>0.9999928556</v>
      </c>
      <c r="Q1280" s="7" t="n">
        <v>25.16383093</v>
      </c>
      <c r="R1280" s="7" t="n">
        <v>19.82561093</v>
      </c>
      <c r="S1280" s="7" t="n">
        <v>2.130085835</v>
      </c>
    </row>
    <row r="1281" customFormat="false" ht="15" hidden="false" customHeight="false" outlineLevel="0" collapsed="false">
      <c r="A1281" s="5" t="s">
        <v>4</v>
      </c>
      <c r="B1281" s="5" t="s">
        <v>81</v>
      </c>
      <c r="C1281" s="5" t="s">
        <v>62</v>
      </c>
      <c r="D1281" s="2" t="n">
        <v>18</v>
      </c>
      <c r="E1281" s="5" t="s">
        <v>163</v>
      </c>
      <c r="F1281" s="5" t="s">
        <v>168</v>
      </c>
      <c r="G1281" s="2" t="n">
        <v>1</v>
      </c>
      <c r="H1281" s="7" t="n">
        <v>0.9890135359</v>
      </c>
      <c r="I1281" s="7" t="n">
        <v>0.1477944404</v>
      </c>
      <c r="J1281" s="7" t="n">
        <v>-0.003004859458</v>
      </c>
      <c r="K1281" s="7" t="n">
        <v>-0.1477879034</v>
      </c>
      <c r="L1281" s="7" t="n">
        <v>0.9890164185</v>
      </c>
      <c r="M1281" s="7" t="n">
        <v>0.002293380863</v>
      </c>
      <c r="N1281" s="7" t="n">
        <v>0.00331080428</v>
      </c>
      <c r="O1281" s="7" t="n">
        <v>-0.001824102838</v>
      </c>
      <c r="P1281" s="7" t="n">
        <v>0.9999928556</v>
      </c>
      <c r="Q1281" s="7" t="n">
        <v>25.16383093</v>
      </c>
      <c r="R1281" s="7" t="n">
        <v>19.82561093</v>
      </c>
      <c r="S1281" s="7" t="n">
        <v>2.130085835</v>
      </c>
    </row>
    <row r="1282" customFormat="false" ht="15" hidden="false" customHeight="false" outlineLevel="0" collapsed="false">
      <c r="A1282" s="5" t="s">
        <v>4</v>
      </c>
      <c r="B1282" s="5" t="s">
        <v>81</v>
      </c>
      <c r="C1282" s="5" t="s">
        <v>58</v>
      </c>
      <c r="D1282" s="2" t="n">
        <v>19</v>
      </c>
      <c r="E1282" s="5" t="s">
        <v>163</v>
      </c>
      <c r="F1282" s="5" t="s">
        <v>164</v>
      </c>
      <c r="G1282" s="2" t="n">
        <v>1</v>
      </c>
      <c r="H1282" s="7" t="n">
        <v>-0.7181681713</v>
      </c>
      <c r="I1282" s="7" t="n">
        <v>-0.6958402449</v>
      </c>
      <c r="J1282" s="7" t="n">
        <v>0.006389939949</v>
      </c>
      <c r="K1282" s="7" t="n">
        <v>0.6958057966</v>
      </c>
      <c r="L1282" s="7" t="n">
        <v>-0.718196394</v>
      </c>
      <c r="M1282" s="7" t="n">
        <v>-0.006945006991</v>
      </c>
      <c r="N1282" s="7" t="n">
        <v>0.009421847194</v>
      </c>
      <c r="O1282" s="7" t="n">
        <v>-0.0005415257143</v>
      </c>
      <c r="P1282" s="7" t="n">
        <v>0.9999554668</v>
      </c>
      <c r="Q1282" s="7" t="n">
        <v>-11.07395873</v>
      </c>
      <c r="R1282" s="7" t="n">
        <v>-0.8527194809</v>
      </c>
      <c r="S1282" s="7" t="n">
        <v>0.6021378401</v>
      </c>
    </row>
    <row r="1283" customFormat="false" ht="15" hidden="false" customHeight="false" outlineLevel="0" collapsed="false">
      <c r="A1283" s="5" t="s">
        <v>4</v>
      </c>
      <c r="B1283" s="5" t="s">
        <v>81</v>
      </c>
      <c r="C1283" s="5" t="s">
        <v>62</v>
      </c>
      <c r="D1283" s="2" t="n">
        <v>19</v>
      </c>
      <c r="E1283" s="5" t="s">
        <v>163</v>
      </c>
      <c r="F1283" s="5" t="s">
        <v>164</v>
      </c>
      <c r="G1283" s="2" t="n">
        <v>1</v>
      </c>
      <c r="H1283" s="7" t="n">
        <v>-0.7181681713</v>
      </c>
      <c r="I1283" s="7" t="n">
        <v>-0.6958402449</v>
      </c>
      <c r="J1283" s="7" t="n">
        <v>0.006389939949</v>
      </c>
      <c r="K1283" s="7" t="n">
        <v>0.6958057966</v>
      </c>
      <c r="L1283" s="7" t="n">
        <v>-0.718196394</v>
      </c>
      <c r="M1283" s="7" t="n">
        <v>-0.006945006991</v>
      </c>
      <c r="N1283" s="7" t="n">
        <v>0.009421847194</v>
      </c>
      <c r="O1283" s="7" t="n">
        <v>-0.0005415257143</v>
      </c>
      <c r="P1283" s="7" t="n">
        <v>0.9999554668</v>
      </c>
      <c r="Q1283" s="7" t="n">
        <v>-11.07395873</v>
      </c>
      <c r="R1283" s="7" t="n">
        <v>-0.8527194809</v>
      </c>
      <c r="S1283" s="7" t="n">
        <v>0.6021378401</v>
      </c>
    </row>
    <row r="1284" customFormat="false" ht="15" hidden="false" customHeight="false" outlineLevel="0" collapsed="false">
      <c r="A1284" s="5" t="s">
        <v>4</v>
      </c>
      <c r="B1284" s="5" t="s">
        <v>81</v>
      </c>
      <c r="C1284" s="5" t="s">
        <v>58</v>
      </c>
      <c r="D1284" s="2" t="n">
        <v>19</v>
      </c>
      <c r="E1284" s="5" t="s">
        <v>163</v>
      </c>
      <c r="F1284" s="5" t="s">
        <v>165</v>
      </c>
      <c r="G1284" s="2" t="n">
        <v>1</v>
      </c>
      <c r="H1284" s="7" t="n">
        <v>0.9340467253</v>
      </c>
      <c r="I1284" s="7" t="n">
        <v>0.3571189223</v>
      </c>
      <c r="J1284" s="7" t="n">
        <v>-0.004773922917</v>
      </c>
      <c r="K1284" s="7" t="n">
        <v>-0.3570919744</v>
      </c>
      <c r="L1284" s="7" t="n">
        <v>0.9340520247</v>
      </c>
      <c r="M1284" s="7" t="n">
        <v>0.005668941536</v>
      </c>
      <c r="N1284" s="7" t="n">
        <v>0.006483578658</v>
      </c>
      <c r="O1284" s="7" t="n">
        <v>-0.003590326717</v>
      </c>
      <c r="P1284" s="7" t="n">
        <v>0.999972536</v>
      </c>
      <c r="Q1284" s="7" t="n">
        <v>8.406297454</v>
      </c>
      <c r="R1284" s="7" t="n">
        <v>1.379900944</v>
      </c>
      <c r="S1284" s="7" t="n">
        <v>0.633195361</v>
      </c>
    </row>
    <row r="1285" customFormat="false" ht="15" hidden="false" customHeight="false" outlineLevel="0" collapsed="false">
      <c r="A1285" s="5" t="s">
        <v>4</v>
      </c>
      <c r="B1285" s="5" t="s">
        <v>81</v>
      </c>
      <c r="C1285" s="5" t="s">
        <v>62</v>
      </c>
      <c r="D1285" s="2" t="n">
        <v>19</v>
      </c>
      <c r="E1285" s="5" t="s">
        <v>163</v>
      </c>
      <c r="F1285" s="5" t="s">
        <v>165</v>
      </c>
      <c r="G1285" s="2" t="n">
        <v>1</v>
      </c>
      <c r="H1285" s="7" t="n">
        <v>0.9340467253</v>
      </c>
      <c r="I1285" s="7" t="n">
        <v>0.3571189223</v>
      </c>
      <c r="J1285" s="7" t="n">
        <v>-0.004773922917</v>
      </c>
      <c r="K1285" s="7" t="n">
        <v>-0.3570919744</v>
      </c>
      <c r="L1285" s="7" t="n">
        <v>0.9340520247</v>
      </c>
      <c r="M1285" s="7" t="n">
        <v>0.005668941536</v>
      </c>
      <c r="N1285" s="7" t="n">
        <v>0.006483578658</v>
      </c>
      <c r="O1285" s="7" t="n">
        <v>-0.003590326717</v>
      </c>
      <c r="P1285" s="7" t="n">
        <v>0.999972536</v>
      </c>
      <c r="Q1285" s="7" t="n">
        <v>8.406297454</v>
      </c>
      <c r="R1285" s="7" t="n">
        <v>1.379900944</v>
      </c>
      <c r="S1285" s="7" t="n">
        <v>0.633195361</v>
      </c>
    </row>
    <row r="1286" customFormat="false" ht="15" hidden="false" customHeight="false" outlineLevel="0" collapsed="false">
      <c r="A1286" s="5" t="s">
        <v>4</v>
      </c>
      <c r="B1286" s="5" t="s">
        <v>81</v>
      </c>
      <c r="C1286" s="5" t="s">
        <v>58</v>
      </c>
      <c r="D1286" s="2" t="n">
        <v>19</v>
      </c>
      <c r="E1286" s="5" t="s">
        <v>163</v>
      </c>
      <c r="F1286" s="5" t="s">
        <v>166</v>
      </c>
      <c r="G1286" s="2" t="n">
        <v>1</v>
      </c>
      <c r="H1286" s="7" t="n">
        <v>0.902134299</v>
      </c>
      <c r="I1286" s="7" t="n">
        <v>0.43118206</v>
      </c>
      <c r="J1286" s="7" t="n">
        <v>-0.01535375102</v>
      </c>
      <c r="K1286" s="7" t="n">
        <v>-0.4313309863</v>
      </c>
      <c r="L1286" s="7" t="n">
        <v>0.9021573771</v>
      </c>
      <c r="M1286" s="7" t="n">
        <v>-0.008102296588</v>
      </c>
      <c r="N1286" s="7" t="n">
        <v>0.01035793482</v>
      </c>
      <c r="O1286" s="7" t="n">
        <v>0.01393190822</v>
      </c>
      <c r="P1286" s="7" t="n">
        <v>0.9998492962</v>
      </c>
      <c r="Q1286" s="7" t="n">
        <v>22.84587699</v>
      </c>
      <c r="R1286" s="7" t="n">
        <v>6.500310283</v>
      </c>
      <c r="S1286" s="7" t="n">
        <v>1.598144692</v>
      </c>
    </row>
    <row r="1287" customFormat="false" ht="15" hidden="false" customHeight="false" outlineLevel="0" collapsed="false">
      <c r="A1287" s="5" t="s">
        <v>4</v>
      </c>
      <c r="B1287" s="5" t="s">
        <v>81</v>
      </c>
      <c r="C1287" s="5" t="s">
        <v>62</v>
      </c>
      <c r="D1287" s="2" t="n">
        <v>19</v>
      </c>
      <c r="E1287" s="5" t="s">
        <v>163</v>
      </c>
      <c r="F1287" s="5" t="s">
        <v>166</v>
      </c>
      <c r="G1287" s="2" t="n">
        <v>1</v>
      </c>
      <c r="H1287" s="7" t="n">
        <v>0.902134299</v>
      </c>
      <c r="I1287" s="7" t="n">
        <v>0.43118206</v>
      </c>
      <c r="J1287" s="7" t="n">
        <v>-0.01535375102</v>
      </c>
      <c r="K1287" s="7" t="n">
        <v>-0.4313309863</v>
      </c>
      <c r="L1287" s="7" t="n">
        <v>0.9021573771</v>
      </c>
      <c r="M1287" s="7" t="n">
        <v>-0.008102296588</v>
      </c>
      <c r="N1287" s="7" t="n">
        <v>0.01035793482</v>
      </c>
      <c r="O1287" s="7" t="n">
        <v>0.01393190822</v>
      </c>
      <c r="P1287" s="7" t="n">
        <v>0.9998492962</v>
      </c>
      <c r="Q1287" s="7" t="n">
        <v>22.84587699</v>
      </c>
      <c r="R1287" s="7" t="n">
        <v>6.500310283</v>
      </c>
      <c r="S1287" s="7" t="n">
        <v>1.598144692</v>
      </c>
    </row>
    <row r="1288" customFormat="false" ht="15" hidden="false" customHeight="false" outlineLevel="0" collapsed="false">
      <c r="A1288" s="5" t="s">
        <v>4</v>
      </c>
      <c r="B1288" s="5" t="s">
        <v>81</v>
      </c>
      <c r="C1288" s="5" t="s">
        <v>58</v>
      </c>
      <c r="D1288" s="2" t="n">
        <v>19</v>
      </c>
      <c r="E1288" s="5" t="s">
        <v>163</v>
      </c>
      <c r="F1288" s="5" t="s">
        <v>167</v>
      </c>
      <c r="G1288" s="2" t="n">
        <v>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</row>
    <row r="1289" customFormat="false" ht="15" hidden="false" customHeight="false" outlineLevel="0" collapsed="false">
      <c r="A1289" s="5" t="s">
        <v>4</v>
      </c>
      <c r="B1289" s="5" t="s">
        <v>81</v>
      </c>
      <c r="C1289" s="5" t="s">
        <v>62</v>
      </c>
      <c r="D1289" s="2" t="n">
        <v>19</v>
      </c>
      <c r="E1289" s="5" t="s">
        <v>163</v>
      </c>
      <c r="F1289" s="5" t="s">
        <v>167</v>
      </c>
      <c r="G1289" s="2" t="n">
        <v>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</row>
    <row r="1290" customFormat="false" ht="15" hidden="false" customHeight="false" outlineLevel="0" collapsed="false">
      <c r="A1290" s="5" t="s">
        <v>4</v>
      </c>
      <c r="B1290" s="5" t="s">
        <v>81</v>
      </c>
      <c r="C1290" s="5" t="s">
        <v>58</v>
      </c>
      <c r="D1290" s="2" t="n">
        <v>19</v>
      </c>
      <c r="E1290" s="5" t="s">
        <v>163</v>
      </c>
      <c r="F1290" s="5" t="s">
        <v>168</v>
      </c>
      <c r="G1290" s="2" t="n">
        <v>1</v>
      </c>
      <c r="H1290" s="7" t="n">
        <v>0.9886880535</v>
      </c>
      <c r="I1290" s="7" t="n">
        <v>0.1490407758</v>
      </c>
      <c r="J1290" s="7" t="n">
        <v>-0.01681606232</v>
      </c>
      <c r="K1290" s="7" t="n">
        <v>-0.1489619899</v>
      </c>
      <c r="L1290" s="7" t="n">
        <v>0.9888256103</v>
      </c>
      <c r="M1290" s="7" t="n">
        <v>0.005851324803</v>
      </c>
      <c r="N1290" s="7" t="n">
        <v>0.01750023908</v>
      </c>
      <c r="O1290" s="7" t="n">
        <v>-0.003280180825</v>
      </c>
      <c r="P1290" s="7" t="n">
        <v>0.9998414785</v>
      </c>
      <c r="Q1290" s="7" t="n">
        <v>25.15905808</v>
      </c>
      <c r="R1290" s="7" t="n">
        <v>19.77873338</v>
      </c>
      <c r="S1290" s="7" t="n">
        <v>2.160024065</v>
      </c>
    </row>
    <row r="1291" customFormat="false" ht="15" hidden="false" customHeight="false" outlineLevel="0" collapsed="false">
      <c r="A1291" s="5" t="s">
        <v>4</v>
      </c>
      <c r="B1291" s="5" t="s">
        <v>81</v>
      </c>
      <c r="C1291" s="5" t="s">
        <v>62</v>
      </c>
      <c r="D1291" s="2" t="n">
        <v>19</v>
      </c>
      <c r="E1291" s="5" t="s">
        <v>163</v>
      </c>
      <c r="F1291" s="5" t="s">
        <v>168</v>
      </c>
      <c r="G1291" s="2" t="n">
        <v>1</v>
      </c>
      <c r="H1291" s="7" t="n">
        <v>0.9886880535</v>
      </c>
      <c r="I1291" s="7" t="n">
        <v>0.1490407758</v>
      </c>
      <c r="J1291" s="7" t="n">
        <v>-0.01681606232</v>
      </c>
      <c r="K1291" s="7" t="n">
        <v>-0.1489619899</v>
      </c>
      <c r="L1291" s="7" t="n">
        <v>0.9888256103</v>
      </c>
      <c r="M1291" s="7" t="n">
        <v>0.005851324803</v>
      </c>
      <c r="N1291" s="7" t="n">
        <v>0.01750023908</v>
      </c>
      <c r="O1291" s="7" t="n">
        <v>-0.003280180825</v>
      </c>
      <c r="P1291" s="7" t="n">
        <v>0.9998414785</v>
      </c>
      <c r="Q1291" s="7" t="n">
        <v>25.15905808</v>
      </c>
      <c r="R1291" s="7" t="n">
        <v>19.77873338</v>
      </c>
      <c r="S1291" s="7" t="n">
        <v>2.160024065</v>
      </c>
    </row>
    <row r="1292" customFormat="false" ht="15" hidden="false" customHeight="false" outlineLevel="0" collapsed="false">
      <c r="A1292" s="5" t="s">
        <v>4</v>
      </c>
      <c r="B1292" s="5" t="s">
        <v>81</v>
      </c>
      <c r="C1292" s="5" t="s">
        <v>58</v>
      </c>
      <c r="D1292" s="2" t="n">
        <v>20</v>
      </c>
      <c r="E1292" s="5" t="s">
        <v>163</v>
      </c>
      <c r="F1292" s="5" t="s">
        <v>164</v>
      </c>
      <c r="G1292" s="2" t="n">
        <v>1</v>
      </c>
      <c r="H1292" s="7" t="n">
        <v>-0.718740321</v>
      </c>
      <c r="I1292" s="7" t="n">
        <v>-0.6952509355</v>
      </c>
      <c r="J1292" s="7" t="n">
        <v>0.006203833383</v>
      </c>
      <c r="K1292" s="7" t="n">
        <v>0.6952291641</v>
      </c>
      <c r="L1292" s="7" t="n">
        <v>-0.7187670094</v>
      </c>
      <c r="M1292" s="7" t="n">
        <v>-0.005513218437</v>
      </c>
      <c r="N1292" s="7" t="n">
        <v>0.008292181044</v>
      </c>
      <c r="O1292" s="7" t="n">
        <v>0.0003505135081</v>
      </c>
      <c r="P1292" s="7" t="n">
        <v>0.9999655578</v>
      </c>
      <c r="Q1292" s="7" t="n">
        <v>-11.08193469</v>
      </c>
      <c r="R1292" s="7" t="n">
        <v>-0.871672013</v>
      </c>
      <c r="S1292" s="7" t="n">
        <v>0.6019557974</v>
      </c>
    </row>
    <row r="1293" customFormat="false" ht="15" hidden="false" customHeight="false" outlineLevel="0" collapsed="false">
      <c r="A1293" s="5" t="s">
        <v>4</v>
      </c>
      <c r="B1293" s="5" t="s">
        <v>81</v>
      </c>
      <c r="C1293" s="5" t="s">
        <v>62</v>
      </c>
      <c r="D1293" s="2" t="n">
        <v>20</v>
      </c>
      <c r="E1293" s="5" t="s">
        <v>163</v>
      </c>
      <c r="F1293" s="5" t="s">
        <v>164</v>
      </c>
      <c r="G1293" s="2" t="n">
        <v>1</v>
      </c>
      <c r="H1293" s="7" t="n">
        <v>-0.718740321</v>
      </c>
      <c r="I1293" s="7" t="n">
        <v>-0.6952509355</v>
      </c>
      <c r="J1293" s="7" t="n">
        <v>0.006203833383</v>
      </c>
      <c r="K1293" s="7" t="n">
        <v>0.6952291641</v>
      </c>
      <c r="L1293" s="7" t="n">
        <v>-0.7187670094</v>
      </c>
      <c r="M1293" s="7" t="n">
        <v>-0.005513218437</v>
      </c>
      <c r="N1293" s="7" t="n">
        <v>0.008292181044</v>
      </c>
      <c r="O1293" s="7" t="n">
        <v>0.0003505135081</v>
      </c>
      <c r="P1293" s="7" t="n">
        <v>0.9999655578</v>
      </c>
      <c r="Q1293" s="7" t="n">
        <v>-11.08193469</v>
      </c>
      <c r="R1293" s="7" t="n">
        <v>-0.871672013</v>
      </c>
      <c r="S1293" s="7" t="n">
        <v>0.6019557974</v>
      </c>
    </row>
    <row r="1294" customFormat="false" ht="15" hidden="false" customHeight="false" outlineLevel="0" collapsed="false">
      <c r="A1294" s="5" t="s">
        <v>4</v>
      </c>
      <c r="B1294" s="5" t="s">
        <v>81</v>
      </c>
      <c r="C1294" s="5" t="s">
        <v>58</v>
      </c>
      <c r="D1294" s="2" t="n">
        <v>20</v>
      </c>
      <c r="E1294" s="5" t="s">
        <v>163</v>
      </c>
      <c r="F1294" s="5" t="s">
        <v>165</v>
      </c>
      <c r="G1294" s="2" t="n">
        <v>1</v>
      </c>
      <c r="H1294" s="7" t="n">
        <v>0.933600733</v>
      </c>
      <c r="I1294" s="7" t="n">
        <v>0.3582426692</v>
      </c>
      <c r="J1294" s="7" t="n">
        <v>-0.007201477711</v>
      </c>
      <c r="K1294" s="7" t="n">
        <v>-0.3581642147</v>
      </c>
      <c r="L1294" s="7" t="n">
        <v>0.9336023356</v>
      </c>
      <c r="M1294" s="7" t="n">
        <v>0.0102505768</v>
      </c>
      <c r="N1294" s="7" t="n">
        <v>0.01039551041</v>
      </c>
      <c r="O1294" s="7" t="n">
        <v>-0.00699063441</v>
      </c>
      <c r="P1294" s="7" t="n">
        <v>0.9999215291</v>
      </c>
      <c r="Q1294" s="7" t="n">
        <v>8.404480772</v>
      </c>
      <c r="R1294" s="7" t="n">
        <v>1.3794077</v>
      </c>
      <c r="S1294" s="7" t="n">
        <v>0.6402859346</v>
      </c>
    </row>
    <row r="1295" customFormat="false" ht="15" hidden="false" customHeight="false" outlineLevel="0" collapsed="false">
      <c r="A1295" s="5" t="s">
        <v>4</v>
      </c>
      <c r="B1295" s="5" t="s">
        <v>81</v>
      </c>
      <c r="C1295" s="5" t="s">
        <v>62</v>
      </c>
      <c r="D1295" s="2" t="n">
        <v>20</v>
      </c>
      <c r="E1295" s="5" t="s">
        <v>163</v>
      </c>
      <c r="F1295" s="5" t="s">
        <v>165</v>
      </c>
      <c r="G1295" s="2" t="n">
        <v>1</v>
      </c>
      <c r="H1295" s="7" t="n">
        <v>0.933600733</v>
      </c>
      <c r="I1295" s="7" t="n">
        <v>0.3582426692</v>
      </c>
      <c r="J1295" s="7" t="n">
        <v>-0.007201477711</v>
      </c>
      <c r="K1295" s="7" t="n">
        <v>-0.3581642147</v>
      </c>
      <c r="L1295" s="7" t="n">
        <v>0.9336023356</v>
      </c>
      <c r="M1295" s="7" t="n">
        <v>0.0102505768</v>
      </c>
      <c r="N1295" s="7" t="n">
        <v>0.01039551041</v>
      </c>
      <c r="O1295" s="7" t="n">
        <v>-0.00699063441</v>
      </c>
      <c r="P1295" s="7" t="n">
        <v>0.9999215291</v>
      </c>
      <c r="Q1295" s="7" t="n">
        <v>8.404480772</v>
      </c>
      <c r="R1295" s="7" t="n">
        <v>1.3794077</v>
      </c>
      <c r="S1295" s="7" t="n">
        <v>0.6402859346</v>
      </c>
    </row>
    <row r="1296" customFormat="false" ht="15" hidden="false" customHeight="false" outlineLevel="0" collapsed="false">
      <c r="A1296" s="5" t="s">
        <v>4</v>
      </c>
      <c r="B1296" s="5" t="s">
        <v>81</v>
      </c>
      <c r="C1296" s="5" t="s">
        <v>58</v>
      </c>
      <c r="D1296" s="2" t="n">
        <v>20</v>
      </c>
      <c r="E1296" s="5" t="s">
        <v>163</v>
      </c>
      <c r="F1296" s="5" t="s">
        <v>166</v>
      </c>
      <c r="G1296" s="2" t="n">
        <v>1</v>
      </c>
      <c r="H1296" s="7" t="n">
        <v>0.9022962961</v>
      </c>
      <c r="I1296" s="7" t="n">
        <v>0.4310149768</v>
      </c>
      <c r="J1296" s="7" t="n">
        <v>-0.009353281814</v>
      </c>
      <c r="K1296" s="7" t="n">
        <v>-0.4309974887</v>
      </c>
      <c r="L1296" s="7" t="n">
        <v>0.9023446352</v>
      </c>
      <c r="M1296" s="7" t="n">
        <v>0.003914599808</v>
      </c>
      <c r="N1296" s="7" t="n">
        <v>0.01012713481</v>
      </c>
      <c r="O1296" s="7" t="n">
        <v>0.0004991120658</v>
      </c>
      <c r="P1296" s="7" t="n">
        <v>0.9999485947</v>
      </c>
      <c r="Q1296" s="7" t="n">
        <v>22.83595937</v>
      </c>
      <c r="R1296" s="7" t="n">
        <v>6.512210635</v>
      </c>
      <c r="S1296" s="7" t="n">
        <v>1.446406073</v>
      </c>
    </row>
    <row r="1297" customFormat="false" ht="15" hidden="false" customHeight="false" outlineLevel="0" collapsed="false">
      <c r="A1297" s="5" t="s">
        <v>4</v>
      </c>
      <c r="B1297" s="5" t="s">
        <v>81</v>
      </c>
      <c r="C1297" s="5" t="s">
        <v>62</v>
      </c>
      <c r="D1297" s="2" t="n">
        <v>20</v>
      </c>
      <c r="E1297" s="5" t="s">
        <v>163</v>
      </c>
      <c r="F1297" s="5" t="s">
        <v>166</v>
      </c>
      <c r="G1297" s="2" t="n">
        <v>1</v>
      </c>
      <c r="H1297" s="7" t="n">
        <v>0.9022962961</v>
      </c>
      <c r="I1297" s="7" t="n">
        <v>0.4310149768</v>
      </c>
      <c r="J1297" s="7" t="n">
        <v>-0.009353281814</v>
      </c>
      <c r="K1297" s="7" t="n">
        <v>-0.4309974887</v>
      </c>
      <c r="L1297" s="7" t="n">
        <v>0.9023446352</v>
      </c>
      <c r="M1297" s="7" t="n">
        <v>0.003914599808</v>
      </c>
      <c r="N1297" s="7" t="n">
        <v>0.01012713481</v>
      </c>
      <c r="O1297" s="7" t="n">
        <v>0.0004991120658</v>
      </c>
      <c r="P1297" s="7" t="n">
        <v>0.9999485947</v>
      </c>
      <c r="Q1297" s="7" t="n">
        <v>22.83595937</v>
      </c>
      <c r="R1297" s="7" t="n">
        <v>6.512210635</v>
      </c>
      <c r="S1297" s="7" t="n">
        <v>1.446406073</v>
      </c>
    </row>
    <row r="1298" customFormat="false" ht="15" hidden="false" customHeight="false" outlineLevel="0" collapsed="false">
      <c r="A1298" s="5" t="s">
        <v>4</v>
      </c>
      <c r="B1298" s="5" t="s">
        <v>81</v>
      </c>
      <c r="C1298" s="5" t="s">
        <v>58</v>
      </c>
      <c r="D1298" s="2" t="n">
        <v>20</v>
      </c>
      <c r="E1298" s="5" t="s">
        <v>163</v>
      </c>
      <c r="F1298" s="5" t="s">
        <v>167</v>
      </c>
      <c r="G1298" s="2" t="n">
        <v>1</v>
      </c>
      <c r="H1298" s="7" t="n">
        <v>0.2260554875</v>
      </c>
      <c r="I1298" s="7" t="n">
        <v>-0.9741097293</v>
      </c>
      <c r="J1298" s="7" t="n">
        <v>-0.003025215796</v>
      </c>
      <c r="K1298" s="7" t="n">
        <v>0.9739296883</v>
      </c>
      <c r="L1298" s="7" t="n">
        <v>0.226072007</v>
      </c>
      <c r="M1298" s="7" t="n">
        <v>-0.01877258432</v>
      </c>
      <c r="N1298" s="7" t="n">
        <v>0.01897047363</v>
      </c>
      <c r="O1298" s="7" t="n">
        <v>0.001297298222</v>
      </c>
      <c r="P1298" s="7" t="n">
        <v>0.9998192027</v>
      </c>
      <c r="Q1298" s="7" t="n">
        <v>-16.52129647</v>
      </c>
      <c r="R1298" s="7" t="n">
        <v>20.50349785</v>
      </c>
      <c r="S1298" s="7" t="n">
        <v>1.075776731</v>
      </c>
    </row>
    <row r="1299" customFormat="false" ht="15" hidden="false" customHeight="false" outlineLevel="0" collapsed="false">
      <c r="A1299" s="5" t="s">
        <v>4</v>
      </c>
      <c r="B1299" s="5" t="s">
        <v>81</v>
      </c>
      <c r="C1299" s="5" t="s">
        <v>62</v>
      </c>
      <c r="D1299" s="2" t="n">
        <v>20</v>
      </c>
      <c r="E1299" s="5" t="s">
        <v>163</v>
      </c>
      <c r="F1299" s="5" t="s">
        <v>167</v>
      </c>
      <c r="G1299" s="2" t="n">
        <v>1</v>
      </c>
      <c r="H1299" s="7" t="n">
        <v>0.2261879607</v>
      </c>
      <c r="I1299" s="7" t="n">
        <v>-0.9740831419</v>
      </c>
      <c r="J1299" s="7" t="n">
        <v>0.00101939593</v>
      </c>
      <c r="K1299" s="7" t="n">
        <v>0.9740187597</v>
      </c>
      <c r="L1299" s="7" t="n">
        <v>0.2261606813</v>
      </c>
      <c r="M1299" s="7" t="n">
        <v>-0.01178142295</v>
      </c>
      <c r="N1299" s="7" t="n">
        <v>0.01124553821</v>
      </c>
      <c r="O1299" s="7" t="n">
        <v>0.003657726791</v>
      </c>
      <c r="P1299" s="7" t="n">
        <v>0.999930077</v>
      </c>
      <c r="Q1299" s="7" t="n">
        <v>-16.50933475</v>
      </c>
      <c r="R1299" s="7" t="n">
        <v>20.51855</v>
      </c>
      <c r="S1299" s="7" t="n">
        <v>1.09873604</v>
      </c>
    </row>
    <row r="1300" customFormat="false" ht="15" hidden="false" customHeight="false" outlineLevel="0" collapsed="false">
      <c r="A1300" s="5" t="s">
        <v>4</v>
      </c>
      <c r="B1300" s="5" t="s">
        <v>81</v>
      </c>
      <c r="C1300" s="5" t="s">
        <v>58</v>
      </c>
      <c r="D1300" s="2" t="n">
        <v>20</v>
      </c>
      <c r="E1300" s="5" t="s">
        <v>163</v>
      </c>
      <c r="F1300" s="5" t="s">
        <v>168</v>
      </c>
      <c r="G1300" s="2" t="n">
        <v>1</v>
      </c>
      <c r="H1300" s="7" t="n">
        <v>0.9889757821</v>
      </c>
      <c r="I1300" s="7" t="n">
        <v>0.1469337976</v>
      </c>
      <c r="J1300" s="7" t="n">
        <v>-0.01836740327</v>
      </c>
      <c r="K1300" s="7" t="n">
        <v>-0.1468954378</v>
      </c>
      <c r="L1300" s="7" t="n">
        <v>0.9891460864</v>
      </c>
      <c r="M1300" s="7" t="n">
        <v>0.003427831986</v>
      </c>
      <c r="N1300" s="7" t="n">
        <v>0.01867170944</v>
      </c>
      <c r="O1300" s="7" t="n">
        <v>-0.0006919550747</v>
      </c>
      <c r="P1300" s="7" t="n">
        <v>0.999825429</v>
      </c>
      <c r="Q1300" s="7" t="n">
        <v>25.11671648</v>
      </c>
      <c r="R1300" s="7" t="n">
        <v>19.8139193</v>
      </c>
      <c r="S1300" s="7" t="n">
        <v>2.297762808</v>
      </c>
    </row>
    <row r="1301" customFormat="false" ht="15" hidden="false" customHeight="false" outlineLevel="0" collapsed="false">
      <c r="A1301" s="5" t="s">
        <v>4</v>
      </c>
      <c r="B1301" s="5" t="s">
        <v>81</v>
      </c>
      <c r="C1301" s="5" t="s">
        <v>62</v>
      </c>
      <c r="D1301" s="2" t="n">
        <v>20</v>
      </c>
      <c r="E1301" s="5" t="s">
        <v>163</v>
      </c>
      <c r="F1301" s="5" t="s">
        <v>168</v>
      </c>
      <c r="G1301" s="2" t="n">
        <v>1</v>
      </c>
      <c r="H1301" s="7" t="n">
        <v>0.9889757821</v>
      </c>
      <c r="I1301" s="7" t="n">
        <v>0.1469337976</v>
      </c>
      <c r="J1301" s="7" t="n">
        <v>-0.01836740327</v>
      </c>
      <c r="K1301" s="7" t="n">
        <v>-0.1468954378</v>
      </c>
      <c r="L1301" s="7" t="n">
        <v>0.9891460864</v>
      </c>
      <c r="M1301" s="7" t="n">
        <v>0.003427831986</v>
      </c>
      <c r="N1301" s="7" t="n">
        <v>0.01867170944</v>
      </c>
      <c r="O1301" s="7" t="n">
        <v>-0.0006919550747</v>
      </c>
      <c r="P1301" s="7" t="n">
        <v>0.999825429</v>
      </c>
      <c r="Q1301" s="7" t="n">
        <v>25.11671648</v>
      </c>
      <c r="R1301" s="7" t="n">
        <v>19.8139193</v>
      </c>
      <c r="S1301" s="7" t="n">
        <v>2.297762808</v>
      </c>
    </row>
    <row r="1302" customFormat="false" ht="15" hidden="false" customHeight="false" outlineLevel="0" collapsed="false">
      <c r="A1302" s="5" t="s">
        <v>4</v>
      </c>
      <c r="B1302" s="5" t="s">
        <v>81</v>
      </c>
      <c r="C1302" s="5" t="s">
        <v>58</v>
      </c>
      <c r="D1302" s="2" t="n">
        <v>11</v>
      </c>
      <c r="E1302" s="5" t="s">
        <v>164</v>
      </c>
      <c r="F1302" s="5" t="s">
        <v>165</v>
      </c>
      <c r="G1302" s="2" t="n">
        <v>1</v>
      </c>
      <c r="H1302" s="7" t="n">
        <v>-0.9173137992</v>
      </c>
      <c r="I1302" s="7" t="n">
        <v>0.3956898552</v>
      </c>
      <c r="J1302" s="7" t="n">
        <v>-0.0443275573</v>
      </c>
      <c r="K1302" s="7" t="n">
        <v>-0.3969103863</v>
      </c>
      <c r="L1302" s="7" t="n">
        <v>-0.9175698515</v>
      </c>
      <c r="M1302" s="7" t="n">
        <v>0.02297200113</v>
      </c>
      <c r="N1302" s="7" t="n">
        <v>-0.03158384237</v>
      </c>
      <c r="O1302" s="7" t="n">
        <v>0.03866660152</v>
      </c>
      <c r="P1302" s="7" t="n">
        <v>0.9987528998</v>
      </c>
      <c r="Q1302" s="7" t="n">
        <v>-1.554943667</v>
      </c>
      <c r="R1302" s="7" t="n">
        <v>-3.7016324</v>
      </c>
      <c r="S1302" s="7" t="n">
        <v>0.3504668081</v>
      </c>
    </row>
    <row r="1303" customFormat="false" ht="15" hidden="false" customHeight="false" outlineLevel="0" collapsed="false">
      <c r="A1303" s="5" t="s">
        <v>4</v>
      </c>
      <c r="B1303" s="5" t="s">
        <v>81</v>
      </c>
      <c r="C1303" s="5" t="s">
        <v>62</v>
      </c>
      <c r="D1303" s="2" t="n">
        <v>11</v>
      </c>
      <c r="E1303" s="5" t="s">
        <v>164</v>
      </c>
      <c r="F1303" s="5" t="s">
        <v>165</v>
      </c>
      <c r="G1303" s="2" t="n">
        <v>1</v>
      </c>
      <c r="H1303" s="7" t="n">
        <v>-0.9191305164</v>
      </c>
      <c r="I1303" s="7" t="n">
        <v>0.3939392088</v>
      </c>
      <c r="J1303" s="7" t="n">
        <v>-0.003315663267</v>
      </c>
      <c r="K1303" s="7" t="n">
        <v>-0.393953153</v>
      </c>
      <c r="L1303" s="7" t="n">
        <v>-0.9190997386</v>
      </c>
      <c r="M1303" s="7" t="n">
        <v>0.007522218724</v>
      </c>
      <c r="N1303" s="7" t="n">
        <v>-8.412834885E-005</v>
      </c>
      <c r="O1303" s="7" t="n">
        <v>0.008220116779</v>
      </c>
      <c r="P1303" s="7" t="n">
        <v>0.9999662107</v>
      </c>
      <c r="Q1303" s="7" t="n">
        <v>-1.444674852</v>
      </c>
      <c r="R1303" s="7" t="n">
        <v>-3.768351656</v>
      </c>
      <c r="S1303" s="7" t="n">
        <v>0.1226517169</v>
      </c>
    </row>
    <row r="1304" customFormat="false" ht="15" hidden="false" customHeight="false" outlineLevel="0" collapsed="false">
      <c r="A1304" s="5" t="s">
        <v>4</v>
      </c>
      <c r="B1304" s="5" t="s">
        <v>81</v>
      </c>
      <c r="C1304" s="5" t="s">
        <v>58</v>
      </c>
      <c r="D1304" s="2" t="n">
        <v>11</v>
      </c>
      <c r="E1304" s="5" t="s">
        <v>164</v>
      </c>
      <c r="F1304" s="5" t="s">
        <v>166</v>
      </c>
      <c r="G1304" s="2" t="n">
        <v>1</v>
      </c>
      <c r="H1304" s="7" t="n">
        <v>-0.9481160492</v>
      </c>
      <c r="I1304" s="7" t="n">
        <v>0.3179237791</v>
      </c>
      <c r="J1304" s="7" t="n">
        <v>0.0006541138679</v>
      </c>
      <c r="K1304" s="7" t="n">
        <v>-0.3179178112</v>
      </c>
      <c r="L1304" s="7" t="n">
        <v>-0.9480809401</v>
      </c>
      <c r="M1304" s="7" t="n">
        <v>-0.008414051795</v>
      </c>
      <c r="N1304" s="7" t="n">
        <v>-0.002054874253</v>
      </c>
      <c r="O1304" s="7" t="n">
        <v>-0.008185451995</v>
      </c>
      <c r="P1304" s="7" t="n">
        <v>0.9999643873</v>
      </c>
      <c r="Q1304" s="7" t="n">
        <v>12.60948136</v>
      </c>
      <c r="R1304" s="7" t="n">
        <v>2.198855668</v>
      </c>
      <c r="S1304" s="7" t="n">
        <v>0.8855159819</v>
      </c>
    </row>
    <row r="1305" customFormat="false" ht="15" hidden="false" customHeight="false" outlineLevel="0" collapsed="false">
      <c r="A1305" s="5" t="s">
        <v>4</v>
      </c>
      <c r="B1305" s="5" t="s">
        <v>81</v>
      </c>
      <c r="C1305" s="5" t="s">
        <v>62</v>
      </c>
      <c r="D1305" s="2" t="n">
        <v>11</v>
      </c>
      <c r="E1305" s="5" t="s">
        <v>164</v>
      </c>
      <c r="F1305" s="5" t="s">
        <v>166</v>
      </c>
      <c r="G1305" s="2" t="n">
        <v>1</v>
      </c>
      <c r="H1305" s="7" t="n">
        <v>-0.9481160492</v>
      </c>
      <c r="I1305" s="7" t="n">
        <v>0.3179237791</v>
      </c>
      <c r="J1305" s="7" t="n">
        <v>0.0006541138679</v>
      </c>
      <c r="K1305" s="7" t="n">
        <v>-0.3179178112</v>
      </c>
      <c r="L1305" s="7" t="n">
        <v>-0.9480809401</v>
      </c>
      <c r="M1305" s="7" t="n">
        <v>-0.008414051795</v>
      </c>
      <c r="N1305" s="7" t="n">
        <v>-0.002054874253</v>
      </c>
      <c r="O1305" s="7" t="n">
        <v>-0.008185451995</v>
      </c>
      <c r="P1305" s="7" t="n">
        <v>0.9999643873</v>
      </c>
      <c r="Q1305" s="7" t="n">
        <v>12.60948136</v>
      </c>
      <c r="R1305" s="7" t="n">
        <v>2.198855668</v>
      </c>
      <c r="S1305" s="7" t="n">
        <v>0.8855159819</v>
      </c>
    </row>
    <row r="1306" customFormat="false" ht="15" hidden="false" customHeight="false" outlineLevel="0" collapsed="false">
      <c r="A1306" s="5" t="s">
        <v>4</v>
      </c>
      <c r="B1306" s="5" t="s">
        <v>81</v>
      </c>
      <c r="C1306" s="5" t="s">
        <v>58</v>
      </c>
      <c r="D1306" s="2" t="n">
        <v>11</v>
      </c>
      <c r="E1306" s="5" t="s">
        <v>164</v>
      </c>
      <c r="F1306" s="5" t="s">
        <v>167</v>
      </c>
      <c r="G1306" s="2" t="n">
        <v>1</v>
      </c>
      <c r="H1306" s="7" t="n">
        <v>0.51346038</v>
      </c>
      <c r="I1306" s="7" t="n">
        <v>0.8581052899</v>
      </c>
      <c r="J1306" s="7" t="n">
        <v>0.003708042537</v>
      </c>
      <c r="K1306" s="7" t="n">
        <v>-0.8580914841</v>
      </c>
      <c r="L1306" s="7" t="n">
        <v>0.5134733452</v>
      </c>
      <c r="M1306" s="7" t="n">
        <v>-0.004912089751</v>
      </c>
      <c r="N1306" s="7" t="n">
        <v>-0.006119071206</v>
      </c>
      <c r="O1306" s="7" t="n">
        <v>-0.0006596762539</v>
      </c>
      <c r="P1306" s="7" t="n">
        <v>0.9999810607</v>
      </c>
      <c r="Q1306" s="7" t="n">
        <v>-10.05199725</v>
      </c>
      <c r="R1306" s="7" t="n">
        <v>11.46313473</v>
      </c>
      <c r="S1306" s="7" t="n">
        <v>0.4680858361</v>
      </c>
    </row>
    <row r="1307" customFormat="false" ht="15" hidden="false" customHeight="false" outlineLevel="0" collapsed="false">
      <c r="A1307" s="5" t="s">
        <v>4</v>
      </c>
      <c r="B1307" s="5" t="s">
        <v>81</v>
      </c>
      <c r="C1307" s="5" t="s">
        <v>62</v>
      </c>
      <c r="D1307" s="2" t="n">
        <v>11</v>
      </c>
      <c r="E1307" s="5" t="s">
        <v>164</v>
      </c>
      <c r="F1307" s="5" t="s">
        <v>167</v>
      </c>
      <c r="G1307" s="2" t="n">
        <v>1</v>
      </c>
      <c r="H1307" s="7" t="n">
        <v>0.51346038</v>
      </c>
      <c r="I1307" s="7" t="n">
        <v>0.8581052899</v>
      </c>
      <c r="J1307" s="7" t="n">
        <v>0.003708042537</v>
      </c>
      <c r="K1307" s="7" t="n">
        <v>-0.8580914841</v>
      </c>
      <c r="L1307" s="7" t="n">
        <v>0.5134733452</v>
      </c>
      <c r="M1307" s="7" t="n">
        <v>-0.004912089751</v>
      </c>
      <c r="N1307" s="7" t="n">
        <v>-0.006119071206</v>
      </c>
      <c r="O1307" s="7" t="n">
        <v>-0.0006596762539</v>
      </c>
      <c r="P1307" s="7" t="n">
        <v>0.9999810607</v>
      </c>
      <c r="Q1307" s="7" t="n">
        <v>-10.05199725</v>
      </c>
      <c r="R1307" s="7" t="n">
        <v>11.46313473</v>
      </c>
      <c r="S1307" s="7" t="n">
        <v>0.4680858361</v>
      </c>
    </row>
    <row r="1308" customFormat="false" ht="15" hidden="false" customHeight="false" outlineLevel="0" collapsed="false">
      <c r="A1308" s="5" t="s">
        <v>4</v>
      </c>
      <c r="B1308" s="5" t="s">
        <v>81</v>
      </c>
      <c r="C1308" s="5" t="s">
        <v>58</v>
      </c>
      <c r="D1308" s="2" t="n">
        <v>11</v>
      </c>
      <c r="E1308" s="5" t="s">
        <v>164</v>
      </c>
      <c r="F1308" s="5" t="s">
        <v>168</v>
      </c>
      <c r="G1308" s="2" t="n">
        <v>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</row>
    <row r="1309" customFormat="false" ht="15" hidden="false" customHeight="false" outlineLevel="0" collapsed="false">
      <c r="A1309" s="5" t="s">
        <v>4</v>
      </c>
      <c r="B1309" s="5" t="s">
        <v>81</v>
      </c>
      <c r="C1309" s="5" t="s">
        <v>62</v>
      </c>
      <c r="D1309" s="2" t="n">
        <v>11</v>
      </c>
      <c r="E1309" s="5" t="s">
        <v>164</v>
      </c>
      <c r="F1309" s="5" t="s">
        <v>168</v>
      </c>
      <c r="G1309" s="2" t="n">
        <v>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</row>
    <row r="1310" customFormat="false" ht="15" hidden="false" customHeight="false" outlineLevel="0" collapsed="false">
      <c r="A1310" s="5" t="s">
        <v>4</v>
      </c>
      <c r="B1310" s="5" t="s">
        <v>81</v>
      </c>
      <c r="C1310" s="5" t="s">
        <v>58</v>
      </c>
      <c r="D1310" s="2" t="n">
        <v>12</v>
      </c>
      <c r="E1310" s="5" t="s">
        <v>164</v>
      </c>
      <c r="F1310" s="5" t="s">
        <v>165</v>
      </c>
      <c r="G1310" s="2" t="n">
        <v>1</v>
      </c>
      <c r="H1310" s="7" t="n">
        <v>-0.9196644662</v>
      </c>
      <c r="I1310" s="7" t="n">
        <v>0.3927039434</v>
      </c>
      <c r="J1310" s="7" t="n">
        <v>0.0009394092749</v>
      </c>
      <c r="K1310" s="7" t="n">
        <v>-0.3927021004</v>
      </c>
      <c r="L1310" s="7" t="n">
        <v>-0.9196641856</v>
      </c>
      <c r="M1310" s="7" t="n">
        <v>0.001687009306</v>
      </c>
      <c r="N1310" s="7" t="n">
        <v>0.001526436273</v>
      </c>
      <c r="O1310" s="7" t="n">
        <v>0.001182574517</v>
      </c>
      <c r="P1310" s="7" t="n">
        <v>0.9999981358</v>
      </c>
      <c r="Q1310" s="7" t="n">
        <v>-1.450114669</v>
      </c>
      <c r="R1310" s="7" t="n">
        <v>-3.787531991</v>
      </c>
      <c r="S1310" s="7" t="n">
        <v>0.08591804275</v>
      </c>
    </row>
    <row r="1311" customFormat="false" ht="15" hidden="false" customHeight="false" outlineLevel="0" collapsed="false">
      <c r="A1311" s="5" t="s">
        <v>4</v>
      </c>
      <c r="B1311" s="5" t="s">
        <v>81</v>
      </c>
      <c r="C1311" s="5" t="s">
        <v>62</v>
      </c>
      <c r="D1311" s="2" t="n">
        <v>12</v>
      </c>
      <c r="E1311" s="5" t="s">
        <v>164</v>
      </c>
      <c r="F1311" s="5" t="s">
        <v>165</v>
      </c>
      <c r="G1311" s="2" t="n">
        <v>1</v>
      </c>
      <c r="H1311" s="7" t="n">
        <v>-0.9196644662</v>
      </c>
      <c r="I1311" s="7" t="n">
        <v>0.3927039434</v>
      </c>
      <c r="J1311" s="7" t="n">
        <v>0.0009394092749</v>
      </c>
      <c r="K1311" s="7" t="n">
        <v>-0.3927021004</v>
      </c>
      <c r="L1311" s="7" t="n">
        <v>-0.9196641856</v>
      </c>
      <c r="M1311" s="7" t="n">
        <v>0.001687009306</v>
      </c>
      <c r="N1311" s="7" t="n">
        <v>0.001526436273</v>
      </c>
      <c r="O1311" s="7" t="n">
        <v>0.001182574517</v>
      </c>
      <c r="P1311" s="7" t="n">
        <v>0.9999981358</v>
      </c>
      <c r="Q1311" s="7" t="n">
        <v>-1.450114669</v>
      </c>
      <c r="R1311" s="7" t="n">
        <v>-3.787531991</v>
      </c>
      <c r="S1311" s="7" t="n">
        <v>0.08591804275</v>
      </c>
    </row>
    <row r="1312" customFormat="false" ht="15" hidden="false" customHeight="false" outlineLevel="0" collapsed="false">
      <c r="A1312" s="5" t="s">
        <v>4</v>
      </c>
      <c r="B1312" s="5" t="s">
        <v>81</v>
      </c>
      <c r="C1312" s="5" t="s">
        <v>58</v>
      </c>
      <c r="D1312" s="2" t="n">
        <v>12</v>
      </c>
      <c r="E1312" s="5" t="s">
        <v>164</v>
      </c>
      <c r="F1312" s="5" t="s">
        <v>166</v>
      </c>
      <c r="G1312" s="2" t="n">
        <v>1</v>
      </c>
      <c r="H1312" s="7" t="n">
        <v>-0.948035144</v>
      </c>
      <c r="I1312" s="7" t="n">
        <v>0.3181355556</v>
      </c>
      <c r="J1312" s="7" t="n">
        <v>-0.004374251385</v>
      </c>
      <c r="K1312" s="7" t="n">
        <v>-0.3180324462</v>
      </c>
      <c r="L1312" s="7" t="n">
        <v>-0.9479464969</v>
      </c>
      <c r="M1312" s="7" t="n">
        <v>-0.01589975116</v>
      </c>
      <c r="N1312" s="7" t="n">
        <v>-0.009204832446</v>
      </c>
      <c r="O1312" s="7" t="n">
        <v>-0.01368236901</v>
      </c>
      <c r="P1312" s="7" t="n">
        <v>0.9998640227</v>
      </c>
      <c r="Q1312" s="7" t="n">
        <v>12.63414908</v>
      </c>
      <c r="R1312" s="7" t="n">
        <v>2.155292849</v>
      </c>
      <c r="S1312" s="7" t="n">
        <v>0.8079727191</v>
      </c>
    </row>
    <row r="1313" customFormat="false" ht="15" hidden="false" customHeight="false" outlineLevel="0" collapsed="false">
      <c r="A1313" s="5" t="s">
        <v>4</v>
      </c>
      <c r="B1313" s="5" t="s">
        <v>81</v>
      </c>
      <c r="C1313" s="5" t="s">
        <v>62</v>
      </c>
      <c r="D1313" s="2" t="n">
        <v>12</v>
      </c>
      <c r="E1313" s="5" t="s">
        <v>164</v>
      </c>
      <c r="F1313" s="5" t="s">
        <v>166</v>
      </c>
      <c r="G1313" s="2" t="n">
        <v>1</v>
      </c>
      <c r="H1313" s="7" t="n">
        <v>-0.948035144</v>
      </c>
      <c r="I1313" s="7" t="n">
        <v>0.3181355556</v>
      </c>
      <c r="J1313" s="7" t="n">
        <v>-0.004374251385</v>
      </c>
      <c r="K1313" s="7" t="n">
        <v>-0.3180324462</v>
      </c>
      <c r="L1313" s="7" t="n">
        <v>-0.9479464969</v>
      </c>
      <c r="M1313" s="7" t="n">
        <v>-0.01589975116</v>
      </c>
      <c r="N1313" s="7" t="n">
        <v>-0.009204832446</v>
      </c>
      <c r="O1313" s="7" t="n">
        <v>-0.01368236901</v>
      </c>
      <c r="P1313" s="7" t="n">
        <v>0.9998640227</v>
      </c>
      <c r="Q1313" s="7" t="n">
        <v>12.63414908</v>
      </c>
      <c r="R1313" s="7" t="n">
        <v>2.155292849</v>
      </c>
      <c r="S1313" s="7" t="n">
        <v>0.8079727191</v>
      </c>
    </row>
    <row r="1314" customFormat="false" ht="15" hidden="false" customHeight="false" outlineLevel="0" collapsed="false">
      <c r="A1314" s="5" t="s">
        <v>4</v>
      </c>
      <c r="B1314" s="5" t="s">
        <v>81</v>
      </c>
      <c r="C1314" s="5" t="s">
        <v>58</v>
      </c>
      <c r="D1314" s="2" t="n">
        <v>12</v>
      </c>
      <c r="E1314" s="5" t="s">
        <v>164</v>
      </c>
      <c r="F1314" s="5" t="s">
        <v>167</v>
      </c>
      <c r="G1314" s="2" t="n">
        <v>1</v>
      </c>
      <c r="H1314" s="7" t="n">
        <v>0.5158199714</v>
      </c>
      <c r="I1314" s="7" t="n">
        <v>0.8566862839</v>
      </c>
      <c r="J1314" s="7" t="n">
        <v>0.004285794291</v>
      </c>
      <c r="K1314" s="7" t="n">
        <v>-0.8566612337</v>
      </c>
      <c r="L1314" s="7" t="n">
        <v>0.5158376949</v>
      </c>
      <c r="M1314" s="7" t="n">
        <v>-0.006557687087</v>
      </c>
      <c r="N1314" s="7" t="n">
        <v>-0.00782865483</v>
      </c>
      <c r="O1314" s="7" t="n">
        <v>-0.0002888878594</v>
      </c>
      <c r="P1314" s="7" t="n">
        <v>0.9999693139</v>
      </c>
      <c r="Q1314" s="7" t="n">
        <v>-10.06112364</v>
      </c>
      <c r="R1314" s="7" t="n">
        <v>11.41932506</v>
      </c>
      <c r="S1314" s="7" t="n">
        <v>0.5040513062</v>
      </c>
    </row>
    <row r="1315" customFormat="false" ht="15" hidden="false" customHeight="false" outlineLevel="0" collapsed="false">
      <c r="A1315" s="5" t="s">
        <v>4</v>
      </c>
      <c r="B1315" s="5" t="s">
        <v>81</v>
      </c>
      <c r="C1315" s="5" t="s">
        <v>62</v>
      </c>
      <c r="D1315" s="2" t="n">
        <v>12</v>
      </c>
      <c r="E1315" s="5" t="s">
        <v>164</v>
      </c>
      <c r="F1315" s="5" t="s">
        <v>167</v>
      </c>
      <c r="G1315" s="2" t="n">
        <v>1</v>
      </c>
      <c r="H1315" s="7" t="n">
        <v>0.5158199714</v>
      </c>
      <c r="I1315" s="7" t="n">
        <v>0.8566862839</v>
      </c>
      <c r="J1315" s="7" t="n">
        <v>0.004285794291</v>
      </c>
      <c r="K1315" s="7" t="n">
        <v>-0.8566612337</v>
      </c>
      <c r="L1315" s="7" t="n">
        <v>0.5158376949</v>
      </c>
      <c r="M1315" s="7" t="n">
        <v>-0.006557687087</v>
      </c>
      <c r="N1315" s="7" t="n">
        <v>-0.00782865483</v>
      </c>
      <c r="O1315" s="7" t="n">
        <v>-0.0002888878594</v>
      </c>
      <c r="P1315" s="7" t="n">
        <v>0.9999693139</v>
      </c>
      <c r="Q1315" s="7" t="n">
        <v>-10.06112364</v>
      </c>
      <c r="R1315" s="7" t="n">
        <v>11.41932506</v>
      </c>
      <c r="S1315" s="7" t="n">
        <v>0.5040513062</v>
      </c>
    </row>
    <row r="1316" customFormat="false" ht="15" hidden="false" customHeight="false" outlineLevel="0" collapsed="false">
      <c r="A1316" s="5" t="s">
        <v>4</v>
      </c>
      <c r="B1316" s="5" t="s">
        <v>81</v>
      </c>
      <c r="C1316" s="5" t="s">
        <v>58</v>
      </c>
      <c r="D1316" s="2" t="n">
        <v>12</v>
      </c>
      <c r="E1316" s="5" t="s">
        <v>164</v>
      </c>
      <c r="F1316" s="5" t="s">
        <v>168</v>
      </c>
      <c r="G1316" s="2" t="n">
        <v>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</row>
    <row r="1317" customFormat="false" ht="15" hidden="false" customHeight="false" outlineLevel="0" collapsed="false">
      <c r="A1317" s="5" t="s">
        <v>4</v>
      </c>
      <c r="B1317" s="5" t="s">
        <v>81</v>
      </c>
      <c r="C1317" s="5" t="s">
        <v>62</v>
      </c>
      <c r="D1317" s="2" t="n">
        <v>12</v>
      </c>
      <c r="E1317" s="5" t="s">
        <v>164</v>
      </c>
      <c r="F1317" s="5" t="s">
        <v>168</v>
      </c>
      <c r="G1317" s="2" t="n">
        <v>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</row>
    <row r="1318" customFormat="false" ht="15" hidden="false" customHeight="false" outlineLevel="0" collapsed="false">
      <c r="A1318" s="5" t="s">
        <v>4</v>
      </c>
      <c r="B1318" s="5" t="s">
        <v>81</v>
      </c>
      <c r="C1318" s="5" t="s">
        <v>58</v>
      </c>
      <c r="D1318" s="2" t="n">
        <v>13</v>
      </c>
      <c r="E1318" s="5" t="s">
        <v>164</v>
      </c>
      <c r="F1318" s="5" t="s">
        <v>165</v>
      </c>
      <c r="G1318" s="2" t="n">
        <v>1</v>
      </c>
      <c r="H1318" s="7" t="n">
        <v>-0.9197560798</v>
      </c>
      <c r="I1318" s="7" t="n">
        <v>0.3924904237</v>
      </c>
      <c r="J1318" s="7" t="n">
        <v>0.0001449744845</v>
      </c>
      <c r="K1318" s="7" t="n">
        <v>-0.3924792618</v>
      </c>
      <c r="L1318" s="7" t="n">
        <v>-0.9197325866</v>
      </c>
      <c r="M1318" s="7" t="n">
        <v>0.007210973654</v>
      </c>
      <c r="N1318" s="7" t="n">
        <v>0.002963575863</v>
      </c>
      <c r="O1318" s="7" t="n">
        <v>0.006575437381</v>
      </c>
      <c r="P1318" s="7" t="n">
        <v>0.9999739901</v>
      </c>
      <c r="Q1318" s="7" t="n">
        <v>-1.446567829</v>
      </c>
      <c r="R1318" s="7" t="n">
        <v>-3.776898561</v>
      </c>
      <c r="S1318" s="7" t="n">
        <v>0.0787516394</v>
      </c>
    </row>
    <row r="1319" customFormat="false" ht="15" hidden="false" customHeight="false" outlineLevel="0" collapsed="false">
      <c r="A1319" s="5" t="s">
        <v>4</v>
      </c>
      <c r="B1319" s="5" t="s">
        <v>81</v>
      </c>
      <c r="C1319" s="5" t="s">
        <v>62</v>
      </c>
      <c r="D1319" s="2" t="n">
        <v>13</v>
      </c>
      <c r="E1319" s="5" t="s">
        <v>164</v>
      </c>
      <c r="F1319" s="5" t="s">
        <v>165</v>
      </c>
      <c r="G1319" s="2" t="n">
        <v>1</v>
      </c>
      <c r="H1319" s="7" t="n">
        <v>-0.9197560798</v>
      </c>
      <c r="I1319" s="7" t="n">
        <v>0.3924904237</v>
      </c>
      <c r="J1319" s="7" t="n">
        <v>0.0001449744845</v>
      </c>
      <c r="K1319" s="7" t="n">
        <v>-0.3924792618</v>
      </c>
      <c r="L1319" s="7" t="n">
        <v>-0.9197325866</v>
      </c>
      <c r="M1319" s="7" t="n">
        <v>0.007210973654</v>
      </c>
      <c r="N1319" s="7" t="n">
        <v>0.002963575863</v>
      </c>
      <c r="O1319" s="7" t="n">
        <v>0.006575437381</v>
      </c>
      <c r="P1319" s="7" t="n">
        <v>0.9999739901</v>
      </c>
      <c r="Q1319" s="7" t="n">
        <v>-1.446567829</v>
      </c>
      <c r="R1319" s="7" t="n">
        <v>-3.776898561</v>
      </c>
      <c r="S1319" s="7" t="n">
        <v>0.0787516394</v>
      </c>
    </row>
    <row r="1320" customFormat="false" ht="15" hidden="false" customHeight="false" outlineLevel="0" collapsed="false">
      <c r="A1320" s="5" t="s">
        <v>4</v>
      </c>
      <c r="B1320" s="5" t="s">
        <v>81</v>
      </c>
      <c r="C1320" s="5" t="s">
        <v>58</v>
      </c>
      <c r="D1320" s="2" t="n">
        <v>13</v>
      </c>
      <c r="E1320" s="5" t="s">
        <v>164</v>
      </c>
      <c r="F1320" s="5" t="s">
        <v>166</v>
      </c>
      <c r="G1320" s="2" t="n">
        <v>1</v>
      </c>
      <c r="H1320" s="7" t="n">
        <v>-0.9479584319</v>
      </c>
      <c r="I1320" s="7" t="n">
        <v>0.3182832375</v>
      </c>
      <c r="J1320" s="7" t="n">
        <v>-0.00840190734</v>
      </c>
      <c r="K1320" s="7" t="n">
        <v>-0.318227132</v>
      </c>
      <c r="L1320" s="7" t="n">
        <v>-0.9479858584</v>
      </c>
      <c r="M1320" s="7" t="n">
        <v>-0.007369171221</v>
      </c>
      <c r="N1320" s="7" t="n">
        <v>-0.01031037302</v>
      </c>
      <c r="O1320" s="7" t="n">
        <v>-0.004311953119</v>
      </c>
      <c r="P1320" s="7" t="n">
        <v>0.9999375497</v>
      </c>
      <c r="Q1320" s="7" t="n">
        <v>12.61866028</v>
      </c>
      <c r="R1320" s="7" t="n">
        <v>2.163036631</v>
      </c>
      <c r="S1320" s="7" t="n">
        <v>0.8164813947</v>
      </c>
    </row>
    <row r="1321" customFormat="false" ht="15" hidden="false" customHeight="false" outlineLevel="0" collapsed="false">
      <c r="A1321" s="5" t="s">
        <v>4</v>
      </c>
      <c r="B1321" s="5" t="s">
        <v>81</v>
      </c>
      <c r="C1321" s="5" t="s">
        <v>62</v>
      </c>
      <c r="D1321" s="2" t="n">
        <v>13</v>
      </c>
      <c r="E1321" s="5" t="s">
        <v>164</v>
      </c>
      <c r="F1321" s="5" t="s">
        <v>166</v>
      </c>
      <c r="G1321" s="2" t="n">
        <v>1</v>
      </c>
      <c r="H1321" s="7" t="n">
        <v>-0.9479584319</v>
      </c>
      <c r="I1321" s="7" t="n">
        <v>0.3182832375</v>
      </c>
      <c r="J1321" s="7" t="n">
        <v>-0.00840190734</v>
      </c>
      <c r="K1321" s="7" t="n">
        <v>-0.318227132</v>
      </c>
      <c r="L1321" s="7" t="n">
        <v>-0.9479858584</v>
      </c>
      <c r="M1321" s="7" t="n">
        <v>-0.007369171221</v>
      </c>
      <c r="N1321" s="7" t="n">
        <v>-0.01031037302</v>
      </c>
      <c r="O1321" s="7" t="n">
        <v>-0.004311953119</v>
      </c>
      <c r="P1321" s="7" t="n">
        <v>0.9999375497</v>
      </c>
      <c r="Q1321" s="7" t="n">
        <v>12.61866028</v>
      </c>
      <c r="R1321" s="7" t="n">
        <v>2.163036631</v>
      </c>
      <c r="S1321" s="7" t="n">
        <v>0.8164813947</v>
      </c>
    </row>
    <row r="1322" customFormat="false" ht="15" hidden="false" customHeight="false" outlineLevel="0" collapsed="false">
      <c r="A1322" s="5" t="s">
        <v>4</v>
      </c>
      <c r="B1322" s="5" t="s">
        <v>81</v>
      </c>
      <c r="C1322" s="5" t="s">
        <v>58</v>
      </c>
      <c r="D1322" s="2" t="n">
        <v>13</v>
      </c>
      <c r="E1322" s="5" t="s">
        <v>164</v>
      </c>
      <c r="F1322" s="5" t="s">
        <v>167</v>
      </c>
      <c r="G1322" s="2" t="n">
        <v>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</row>
    <row r="1323" customFormat="false" ht="15" hidden="false" customHeight="false" outlineLevel="0" collapsed="false">
      <c r="A1323" s="5" t="s">
        <v>4</v>
      </c>
      <c r="B1323" s="5" t="s">
        <v>81</v>
      </c>
      <c r="C1323" s="5" t="s">
        <v>62</v>
      </c>
      <c r="D1323" s="2" t="n">
        <v>13</v>
      </c>
      <c r="E1323" s="5" t="s">
        <v>164</v>
      </c>
      <c r="F1323" s="5" t="s">
        <v>167</v>
      </c>
      <c r="G1323" s="2" t="n">
        <v>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</row>
    <row r="1324" customFormat="false" ht="15" hidden="false" customHeight="false" outlineLevel="0" collapsed="false">
      <c r="A1324" s="5" t="s">
        <v>4</v>
      </c>
      <c r="B1324" s="5" t="s">
        <v>81</v>
      </c>
      <c r="C1324" s="5" t="s">
        <v>58</v>
      </c>
      <c r="D1324" s="2" t="n">
        <v>13</v>
      </c>
      <c r="E1324" s="5" t="s">
        <v>164</v>
      </c>
      <c r="F1324" s="5" t="s">
        <v>168</v>
      </c>
      <c r="G1324" s="2" t="n">
        <v>1</v>
      </c>
      <c r="H1324" s="7" t="n">
        <v>-0.8130759214</v>
      </c>
      <c r="I1324" s="7" t="n">
        <v>0.582149262</v>
      </c>
      <c r="J1324" s="7" t="n">
        <v>-0.003127747302</v>
      </c>
      <c r="K1324" s="7" t="n">
        <v>-0.5821426924</v>
      </c>
      <c r="L1324" s="7" t="n">
        <v>-0.813081808</v>
      </c>
      <c r="M1324" s="7" t="n">
        <v>-0.002803434289</v>
      </c>
      <c r="N1324" s="7" t="n">
        <v>-0.004175131634</v>
      </c>
      <c r="O1324" s="7" t="n">
        <v>-0.0004586096825</v>
      </c>
      <c r="P1324" s="7" t="n">
        <v>0.9999911789</v>
      </c>
      <c r="Q1324" s="7" t="n">
        <v>16.6339018</v>
      </c>
      <c r="R1324" s="7" t="n">
        <v>12.64955631</v>
      </c>
      <c r="S1324" s="7" t="n">
        <v>1.554806199</v>
      </c>
    </row>
    <row r="1325" customFormat="false" ht="15" hidden="false" customHeight="false" outlineLevel="0" collapsed="false">
      <c r="A1325" s="5" t="s">
        <v>4</v>
      </c>
      <c r="B1325" s="5" t="s">
        <v>81</v>
      </c>
      <c r="C1325" s="5" t="s">
        <v>62</v>
      </c>
      <c r="D1325" s="2" t="n">
        <v>13</v>
      </c>
      <c r="E1325" s="5" t="s">
        <v>164</v>
      </c>
      <c r="F1325" s="5" t="s">
        <v>168</v>
      </c>
      <c r="G1325" s="2" t="n">
        <v>1</v>
      </c>
      <c r="H1325" s="7" t="n">
        <v>-0.8130759214</v>
      </c>
      <c r="I1325" s="7" t="n">
        <v>0.582149262</v>
      </c>
      <c r="J1325" s="7" t="n">
        <v>-0.003127747302</v>
      </c>
      <c r="K1325" s="7" t="n">
        <v>-0.5821426924</v>
      </c>
      <c r="L1325" s="7" t="n">
        <v>-0.813081808</v>
      </c>
      <c r="M1325" s="7" t="n">
        <v>-0.002803434289</v>
      </c>
      <c r="N1325" s="7" t="n">
        <v>-0.004175131634</v>
      </c>
      <c r="O1325" s="7" t="n">
        <v>-0.0004586096825</v>
      </c>
      <c r="P1325" s="7" t="n">
        <v>0.9999911789</v>
      </c>
      <c r="Q1325" s="7" t="n">
        <v>16.6339018</v>
      </c>
      <c r="R1325" s="7" t="n">
        <v>12.64955631</v>
      </c>
      <c r="S1325" s="7" t="n">
        <v>1.554806199</v>
      </c>
    </row>
    <row r="1326" customFormat="false" ht="15" hidden="false" customHeight="false" outlineLevel="0" collapsed="false">
      <c r="A1326" s="5" t="s">
        <v>4</v>
      </c>
      <c r="B1326" s="5" t="s">
        <v>81</v>
      </c>
      <c r="C1326" s="5" t="s">
        <v>58</v>
      </c>
      <c r="D1326" s="2" t="n">
        <v>14</v>
      </c>
      <c r="E1326" s="5" t="s">
        <v>164</v>
      </c>
      <c r="F1326" s="5" t="s">
        <v>165</v>
      </c>
      <c r="G1326" s="2" t="n">
        <v>1</v>
      </c>
      <c r="H1326" s="7" t="n">
        <v>-0.9179563917</v>
      </c>
      <c r="I1326" s="7" t="n">
        <v>0.3953642312</v>
      </c>
      <c r="J1326" s="7" t="n">
        <v>-0.03229841468</v>
      </c>
      <c r="K1326" s="7" t="n">
        <v>-0.3959367685</v>
      </c>
      <c r="L1326" s="7" t="n">
        <v>-0.9181775861</v>
      </c>
      <c r="M1326" s="7" t="n">
        <v>0.01356450201</v>
      </c>
      <c r="N1326" s="7" t="n">
        <v>-0.02429276152</v>
      </c>
      <c r="O1326" s="7" t="n">
        <v>0.02523975125</v>
      </c>
      <c r="P1326" s="7" t="n">
        <v>0.99938622</v>
      </c>
      <c r="Q1326" s="7" t="n">
        <v>-1.519603272</v>
      </c>
      <c r="R1326" s="7" t="n">
        <v>-3.753735914</v>
      </c>
      <c r="S1326" s="7" t="n">
        <v>0.142751601</v>
      </c>
    </row>
    <row r="1327" customFormat="false" ht="15" hidden="false" customHeight="false" outlineLevel="0" collapsed="false">
      <c r="A1327" s="5" t="s">
        <v>4</v>
      </c>
      <c r="B1327" s="5" t="s">
        <v>81</v>
      </c>
      <c r="C1327" s="5" t="s">
        <v>62</v>
      </c>
      <c r="D1327" s="2" t="n">
        <v>14</v>
      </c>
      <c r="E1327" s="5" t="s">
        <v>164</v>
      </c>
      <c r="F1327" s="5" t="s">
        <v>165</v>
      </c>
      <c r="G1327" s="2" t="n">
        <v>1</v>
      </c>
      <c r="H1327" s="7" t="n">
        <v>-0.9190053351</v>
      </c>
      <c r="I1327" s="7" t="n">
        <v>0.3942408973</v>
      </c>
      <c r="J1327" s="7" t="n">
        <v>-0.001819036581</v>
      </c>
      <c r="K1327" s="7" t="n">
        <v>-0.3942416221</v>
      </c>
      <c r="L1327" s="7" t="n">
        <v>-0.9190068234</v>
      </c>
      <c r="M1327" s="7" t="n">
        <v>4.358443187E-005</v>
      </c>
      <c r="N1327" s="7" t="n">
        <v>-0.001654524264</v>
      </c>
      <c r="O1327" s="7" t="n">
        <v>0.0007571942577</v>
      </c>
      <c r="P1327" s="7" t="n">
        <v>0.9999983446</v>
      </c>
      <c r="Q1327" s="7" t="n">
        <v>-1.460584371</v>
      </c>
      <c r="R1327" s="7" t="n">
        <v>-3.7930868</v>
      </c>
      <c r="S1327" s="7" t="n">
        <v>0.1420969518</v>
      </c>
    </row>
    <row r="1328" customFormat="false" ht="15" hidden="false" customHeight="false" outlineLevel="0" collapsed="false">
      <c r="A1328" s="5" t="s">
        <v>4</v>
      </c>
      <c r="B1328" s="5" t="s">
        <v>81</v>
      </c>
      <c r="C1328" s="5" t="s">
        <v>58</v>
      </c>
      <c r="D1328" s="2" t="n">
        <v>14</v>
      </c>
      <c r="E1328" s="5" t="s">
        <v>164</v>
      </c>
      <c r="F1328" s="5" t="s">
        <v>166</v>
      </c>
      <c r="G1328" s="2" t="n">
        <v>1</v>
      </c>
      <c r="H1328" s="7" t="n">
        <v>-0.948278241</v>
      </c>
      <c r="I1328" s="7" t="n">
        <v>0.3174041604</v>
      </c>
      <c r="J1328" s="7" t="n">
        <v>-0.004793384648</v>
      </c>
      <c r="K1328" s="7" t="n">
        <v>-0.3172999998</v>
      </c>
      <c r="L1328" s="7" t="n">
        <v>-0.9481998812</v>
      </c>
      <c r="M1328" s="7" t="n">
        <v>-0.0154173744</v>
      </c>
      <c r="N1328" s="7" t="n">
        <v>-0.009438625529</v>
      </c>
      <c r="O1328" s="7" t="n">
        <v>-0.01309901973</v>
      </c>
      <c r="P1328" s="7" t="n">
        <v>0.9998696555</v>
      </c>
      <c r="Q1328" s="7" t="n">
        <v>12.63096698</v>
      </c>
      <c r="R1328" s="7" t="n">
        <v>2.172250795</v>
      </c>
      <c r="S1328" s="7" t="n">
        <v>0.8089893492</v>
      </c>
    </row>
    <row r="1329" customFormat="false" ht="15" hidden="false" customHeight="false" outlineLevel="0" collapsed="false">
      <c r="A1329" s="5" t="s">
        <v>4</v>
      </c>
      <c r="B1329" s="5" t="s">
        <v>81</v>
      </c>
      <c r="C1329" s="5" t="s">
        <v>62</v>
      </c>
      <c r="D1329" s="2" t="n">
        <v>14</v>
      </c>
      <c r="E1329" s="5" t="s">
        <v>164</v>
      </c>
      <c r="F1329" s="5" t="s">
        <v>166</v>
      </c>
      <c r="G1329" s="2" t="n">
        <v>1</v>
      </c>
      <c r="H1329" s="7" t="n">
        <v>-0.948278241</v>
      </c>
      <c r="I1329" s="7" t="n">
        <v>0.3174041604</v>
      </c>
      <c r="J1329" s="7" t="n">
        <v>-0.004793384648</v>
      </c>
      <c r="K1329" s="7" t="n">
        <v>-0.3172999998</v>
      </c>
      <c r="L1329" s="7" t="n">
        <v>-0.9481998812</v>
      </c>
      <c r="M1329" s="7" t="n">
        <v>-0.0154173744</v>
      </c>
      <c r="N1329" s="7" t="n">
        <v>-0.009438625529</v>
      </c>
      <c r="O1329" s="7" t="n">
        <v>-0.01309901973</v>
      </c>
      <c r="P1329" s="7" t="n">
        <v>0.9998696555</v>
      </c>
      <c r="Q1329" s="7" t="n">
        <v>12.63096698</v>
      </c>
      <c r="R1329" s="7" t="n">
        <v>2.172250795</v>
      </c>
      <c r="S1329" s="7" t="n">
        <v>0.8089893492</v>
      </c>
    </row>
    <row r="1330" customFormat="false" ht="15" hidden="false" customHeight="false" outlineLevel="0" collapsed="false">
      <c r="A1330" s="5" t="s">
        <v>4</v>
      </c>
      <c r="B1330" s="5" t="s">
        <v>81</v>
      </c>
      <c r="C1330" s="5" t="s">
        <v>58</v>
      </c>
      <c r="D1330" s="2" t="n">
        <v>14</v>
      </c>
      <c r="E1330" s="5" t="s">
        <v>164</v>
      </c>
      <c r="F1330" s="5" t="s">
        <v>167</v>
      </c>
      <c r="G1330" s="2" t="n">
        <v>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</row>
    <row r="1331" customFormat="false" ht="15" hidden="false" customHeight="false" outlineLevel="0" collapsed="false">
      <c r="A1331" s="5" t="s">
        <v>4</v>
      </c>
      <c r="B1331" s="5" t="s">
        <v>81</v>
      </c>
      <c r="C1331" s="5" t="s">
        <v>62</v>
      </c>
      <c r="D1331" s="2" t="n">
        <v>14</v>
      </c>
      <c r="E1331" s="5" t="s">
        <v>164</v>
      </c>
      <c r="F1331" s="5" t="s">
        <v>167</v>
      </c>
      <c r="G1331" s="2" t="n">
        <v>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</row>
    <row r="1332" customFormat="false" ht="15" hidden="false" customHeight="false" outlineLevel="0" collapsed="false">
      <c r="A1332" s="5" t="s">
        <v>4</v>
      </c>
      <c r="B1332" s="5" t="s">
        <v>81</v>
      </c>
      <c r="C1332" s="5" t="s">
        <v>58</v>
      </c>
      <c r="D1332" s="2" t="n">
        <v>14</v>
      </c>
      <c r="E1332" s="5" t="s">
        <v>164</v>
      </c>
      <c r="F1332" s="5" t="s">
        <v>168</v>
      </c>
      <c r="G1332" s="2" t="n">
        <v>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</row>
    <row r="1333" customFormat="false" ht="15" hidden="false" customHeight="false" outlineLevel="0" collapsed="false">
      <c r="A1333" s="5" t="s">
        <v>4</v>
      </c>
      <c r="B1333" s="5" t="s">
        <v>81</v>
      </c>
      <c r="C1333" s="5" t="s">
        <v>62</v>
      </c>
      <c r="D1333" s="2" t="n">
        <v>14</v>
      </c>
      <c r="E1333" s="5" t="s">
        <v>164</v>
      </c>
      <c r="F1333" s="5" t="s">
        <v>168</v>
      </c>
      <c r="G1333" s="2" t="n">
        <v>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</row>
    <row r="1334" customFormat="false" ht="15" hidden="false" customHeight="false" outlineLevel="0" collapsed="false">
      <c r="A1334" s="5" t="s">
        <v>4</v>
      </c>
      <c r="B1334" s="5" t="s">
        <v>81</v>
      </c>
      <c r="C1334" s="5" t="s">
        <v>58</v>
      </c>
      <c r="D1334" s="2" t="n">
        <v>15</v>
      </c>
      <c r="E1334" s="5" t="s">
        <v>164</v>
      </c>
      <c r="F1334" s="5" t="s">
        <v>165</v>
      </c>
      <c r="G1334" s="2" t="n">
        <v>1</v>
      </c>
      <c r="H1334" s="7" t="n">
        <v>-0.9191917946</v>
      </c>
      <c r="I1334" s="7" t="n">
        <v>0.3938068283</v>
      </c>
      <c r="J1334" s="7" t="n">
        <v>0.001620729543</v>
      </c>
      <c r="K1334" s="7" t="n">
        <v>-0.3938069565</v>
      </c>
      <c r="L1334" s="7" t="n">
        <v>-0.9191931338</v>
      </c>
      <c r="M1334" s="7" t="n">
        <v>0.0002526713851</v>
      </c>
      <c r="N1334" s="7" t="n">
        <v>0.001589267184</v>
      </c>
      <c r="O1334" s="7" t="n">
        <v>-0.0004060011046</v>
      </c>
      <c r="P1334" s="7" t="n">
        <v>0.9999986547</v>
      </c>
      <c r="Q1334" s="7" t="n">
        <v>-1.446837504</v>
      </c>
      <c r="R1334" s="7" t="n">
        <v>-3.79921961</v>
      </c>
      <c r="S1334" s="7" t="n">
        <v>0.1072925403</v>
      </c>
    </row>
    <row r="1335" customFormat="false" ht="15" hidden="false" customHeight="false" outlineLevel="0" collapsed="false">
      <c r="A1335" s="5" t="s">
        <v>4</v>
      </c>
      <c r="B1335" s="5" t="s">
        <v>81</v>
      </c>
      <c r="C1335" s="5" t="s">
        <v>62</v>
      </c>
      <c r="D1335" s="2" t="n">
        <v>15</v>
      </c>
      <c r="E1335" s="5" t="s">
        <v>164</v>
      </c>
      <c r="F1335" s="5" t="s">
        <v>165</v>
      </c>
      <c r="G1335" s="2" t="n">
        <v>1</v>
      </c>
      <c r="H1335" s="7" t="n">
        <v>-0.9191917946</v>
      </c>
      <c r="I1335" s="7" t="n">
        <v>0.3938068283</v>
      </c>
      <c r="J1335" s="7" t="n">
        <v>0.001620729543</v>
      </c>
      <c r="K1335" s="7" t="n">
        <v>-0.3938069565</v>
      </c>
      <c r="L1335" s="7" t="n">
        <v>-0.9191931338</v>
      </c>
      <c r="M1335" s="7" t="n">
        <v>0.0002526713851</v>
      </c>
      <c r="N1335" s="7" t="n">
        <v>0.001589267184</v>
      </c>
      <c r="O1335" s="7" t="n">
        <v>-0.0004060011046</v>
      </c>
      <c r="P1335" s="7" t="n">
        <v>0.9999986547</v>
      </c>
      <c r="Q1335" s="7" t="n">
        <v>-1.446837504</v>
      </c>
      <c r="R1335" s="7" t="n">
        <v>-3.79921961</v>
      </c>
      <c r="S1335" s="7" t="n">
        <v>0.1072925403</v>
      </c>
    </row>
    <row r="1336" customFormat="false" ht="15" hidden="false" customHeight="false" outlineLevel="0" collapsed="false">
      <c r="A1336" s="5" t="s">
        <v>4</v>
      </c>
      <c r="B1336" s="5" t="s">
        <v>81</v>
      </c>
      <c r="C1336" s="5" t="s">
        <v>58</v>
      </c>
      <c r="D1336" s="2" t="n">
        <v>15</v>
      </c>
      <c r="E1336" s="5" t="s">
        <v>164</v>
      </c>
      <c r="F1336" s="5" t="s">
        <v>166</v>
      </c>
      <c r="G1336" s="2" t="n">
        <v>1</v>
      </c>
      <c r="H1336" s="7" t="n">
        <v>-0.9486595052</v>
      </c>
      <c r="I1336" s="7" t="n">
        <v>0.3162491585</v>
      </c>
      <c r="J1336" s="7" t="n">
        <v>-0.005622538606</v>
      </c>
      <c r="K1336" s="7" t="n">
        <v>-0.3162400044</v>
      </c>
      <c r="L1336" s="7" t="n">
        <v>-0.9486759974</v>
      </c>
      <c r="M1336" s="7" t="n">
        <v>-0.002472157185</v>
      </c>
      <c r="N1336" s="7" t="n">
        <v>-0.006115785049</v>
      </c>
      <c r="O1336" s="7" t="n">
        <v>-0.0005671637787</v>
      </c>
      <c r="P1336" s="7" t="n">
        <v>0.9999811376</v>
      </c>
      <c r="Q1336" s="7" t="n">
        <v>12.62886177</v>
      </c>
      <c r="R1336" s="7" t="n">
        <v>2.177495744</v>
      </c>
      <c r="S1336" s="7" t="n">
        <v>0.8660351462</v>
      </c>
    </row>
    <row r="1337" customFormat="false" ht="15" hidden="false" customHeight="false" outlineLevel="0" collapsed="false">
      <c r="A1337" s="5" t="s">
        <v>4</v>
      </c>
      <c r="B1337" s="5" t="s">
        <v>81</v>
      </c>
      <c r="C1337" s="5" t="s">
        <v>62</v>
      </c>
      <c r="D1337" s="2" t="n">
        <v>15</v>
      </c>
      <c r="E1337" s="5" t="s">
        <v>164</v>
      </c>
      <c r="F1337" s="5" t="s">
        <v>166</v>
      </c>
      <c r="G1337" s="2" t="n">
        <v>1</v>
      </c>
      <c r="H1337" s="7" t="n">
        <v>-0.9486595052</v>
      </c>
      <c r="I1337" s="7" t="n">
        <v>0.3162491585</v>
      </c>
      <c r="J1337" s="7" t="n">
        <v>-0.005622538606</v>
      </c>
      <c r="K1337" s="7" t="n">
        <v>-0.3162400044</v>
      </c>
      <c r="L1337" s="7" t="n">
        <v>-0.9486759974</v>
      </c>
      <c r="M1337" s="7" t="n">
        <v>-0.002472157185</v>
      </c>
      <c r="N1337" s="7" t="n">
        <v>-0.006115785049</v>
      </c>
      <c r="O1337" s="7" t="n">
        <v>-0.0005671637787</v>
      </c>
      <c r="P1337" s="7" t="n">
        <v>0.9999811376</v>
      </c>
      <c r="Q1337" s="7" t="n">
        <v>12.62886177</v>
      </c>
      <c r="R1337" s="7" t="n">
        <v>2.177495744</v>
      </c>
      <c r="S1337" s="7" t="n">
        <v>0.8660351462</v>
      </c>
    </row>
    <row r="1338" customFormat="false" ht="15" hidden="false" customHeight="false" outlineLevel="0" collapsed="false">
      <c r="A1338" s="5" t="s">
        <v>4</v>
      </c>
      <c r="B1338" s="5" t="s">
        <v>81</v>
      </c>
      <c r="C1338" s="5" t="s">
        <v>58</v>
      </c>
      <c r="D1338" s="2" t="n">
        <v>15</v>
      </c>
      <c r="E1338" s="5" t="s">
        <v>164</v>
      </c>
      <c r="F1338" s="5" t="s">
        <v>167</v>
      </c>
      <c r="G1338" s="2" t="n">
        <v>1</v>
      </c>
      <c r="H1338" s="7" t="n">
        <v>0.5142459709</v>
      </c>
      <c r="I1338" s="7" t="n">
        <v>0.8576386776</v>
      </c>
      <c r="J1338" s="7" t="n">
        <v>0.002641988106</v>
      </c>
      <c r="K1338" s="7" t="n">
        <v>-0.8575853063</v>
      </c>
      <c r="L1338" s="7" t="n">
        <v>0.5142447418</v>
      </c>
      <c r="M1338" s="7" t="n">
        <v>-0.009989395029</v>
      </c>
      <c r="N1338" s="7" t="n">
        <v>-0.009925920034</v>
      </c>
      <c r="O1338" s="7" t="n">
        <v>0.002871275966</v>
      </c>
      <c r="P1338" s="7" t="n">
        <v>0.9999466145</v>
      </c>
      <c r="Q1338" s="7" t="n">
        <v>-10.04147945</v>
      </c>
      <c r="R1338" s="7" t="n">
        <v>11.4710166</v>
      </c>
      <c r="S1338" s="7" t="n">
        <v>0.4644072965</v>
      </c>
    </row>
    <row r="1339" customFormat="false" ht="15" hidden="false" customHeight="false" outlineLevel="0" collapsed="false">
      <c r="A1339" s="5" t="s">
        <v>4</v>
      </c>
      <c r="B1339" s="5" t="s">
        <v>81</v>
      </c>
      <c r="C1339" s="5" t="s">
        <v>62</v>
      </c>
      <c r="D1339" s="2" t="n">
        <v>15</v>
      </c>
      <c r="E1339" s="5" t="s">
        <v>164</v>
      </c>
      <c r="F1339" s="5" t="s">
        <v>167</v>
      </c>
      <c r="G1339" s="2" t="n">
        <v>1</v>
      </c>
      <c r="H1339" s="7" t="n">
        <v>0.5142459709</v>
      </c>
      <c r="I1339" s="7" t="n">
        <v>0.8576386776</v>
      </c>
      <c r="J1339" s="7" t="n">
        <v>0.002641988106</v>
      </c>
      <c r="K1339" s="7" t="n">
        <v>-0.8575853063</v>
      </c>
      <c r="L1339" s="7" t="n">
        <v>0.5142447418</v>
      </c>
      <c r="M1339" s="7" t="n">
        <v>-0.009989395029</v>
      </c>
      <c r="N1339" s="7" t="n">
        <v>-0.009925920034</v>
      </c>
      <c r="O1339" s="7" t="n">
        <v>0.002871275966</v>
      </c>
      <c r="P1339" s="7" t="n">
        <v>0.9999466145</v>
      </c>
      <c r="Q1339" s="7" t="n">
        <v>-10.04147945</v>
      </c>
      <c r="R1339" s="7" t="n">
        <v>11.4710166</v>
      </c>
      <c r="S1339" s="7" t="n">
        <v>0.4644072965</v>
      </c>
    </row>
    <row r="1340" customFormat="false" ht="15" hidden="false" customHeight="false" outlineLevel="0" collapsed="false">
      <c r="A1340" s="5" t="s">
        <v>4</v>
      </c>
      <c r="B1340" s="5" t="s">
        <v>81</v>
      </c>
      <c r="C1340" s="5" t="s">
        <v>58</v>
      </c>
      <c r="D1340" s="2" t="n">
        <v>15</v>
      </c>
      <c r="E1340" s="5" t="s">
        <v>164</v>
      </c>
      <c r="F1340" s="5" t="s">
        <v>168</v>
      </c>
      <c r="G1340" s="2" t="n">
        <v>1</v>
      </c>
      <c r="H1340" s="7" t="n">
        <v>-0.8134578091</v>
      </c>
      <c r="I1340" s="7" t="n">
        <v>0.5816151841</v>
      </c>
      <c r="J1340" s="7" t="n">
        <v>-0.003189094518</v>
      </c>
      <c r="K1340" s="7" t="n">
        <v>-0.5816071382</v>
      </c>
      <c r="L1340" s="7" t="n">
        <v>-0.8134637612</v>
      </c>
      <c r="M1340" s="7" t="n">
        <v>-0.003137834696</v>
      </c>
      <c r="N1340" s="7" t="n">
        <v>-0.004419225126</v>
      </c>
      <c r="O1340" s="7" t="n">
        <v>-0.0006976960013</v>
      </c>
      <c r="P1340" s="7" t="n">
        <v>0.9999899918</v>
      </c>
      <c r="Q1340" s="7" t="n">
        <v>16.63478163</v>
      </c>
      <c r="R1340" s="7" t="n">
        <v>12.64952487</v>
      </c>
      <c r="S1340" s="7" t="n">
        <v>1.543974316</v>
      </c>
    </row>
    <row r="1341" customFormat="false" ht="15" hidden="false" customHeight="false" outlineLevel="0" collapsed="false">
      <c r="A1341" s="5" t="s">
        <v>4</v>
      </c>
      <c r="B1341" s="5" t="s">
        <v>81</v>
      </c>
      <c r="C1341" s="5" t="s">
        <v>62</v>
      </c>
      <c r="D1341" s="2" t="n">
        <v>15</v>
      </c>
      <c r="E1341" s="5" t="s">
        <v>164</v>
      </c>
      <c r="F1341" s="5" t="s">
        <v>168</v>
      </c>
      <c r="G1341" s="2" t="n">
        <v>1</v>
      </c>
      <c r="H1341" s="7" t="n">
        <v>-0.8131545048</v>
      </c>
      <c r="I1341" s="7" t="n">
        <v>0.5818357576</v>
      </c>
      <c r="J1341" s="7" t="n">
        <v>-0.01571312815</v>
      </c>
      <c r="K1341" s="7" t="n">
        <v>-0.5819343222</v>
      </c>
      <c r="L1341" s="7" t="n">
        <v>-0.8132328074</v>
      </c>
      <c r="M1341" s="7" t="n">
        <v>0.002201280165</v>
      </c>
      <c r="N1341" s="7" t="n">
        <v>-0.01149764781</v>
      </c>
      <c r="O1341" s="7" t="n">
        <v>0.01093398946</v>
      </c>
      <c r="P1341" s="7" t="n">
        <v>0.9998741181</v>
      </c>
      <c r="Q1341" s="7" t="n">
        <v>16.62268875</v>
      </c>
      <c r="R1341" s="7" t="n">
        <v>12.65402511</v>
      </c>
      <c r="S1341" s="7" t="n">
        <v>1.4769729</v>
      </c>
    </row>
    <row r="1342" customFormat="false" ht="15" hidden="false" customHeight="false" outlineLevel="0" collapsed="false">
      <c r="A1342" s="5" t="s">
        <v>4</v>
      </c>
      <c r="B1342" s="5" t="s">
        <v>81</v>
      </c>
      <c r="C1342" s="5" t="s">
        <v>58</v>
      </c>
      <c r="D1342" s="2" t="n">
        <v>16</v>
      </c>
      <c r="E1342" s="5" t="s">
        <v>164</v>
      </c>
      <c r="F1342" s="5" t="s">
        <v>165</v>
      </c>
      <c r="G1342" s="2" t="n">
        <v>1</v>
      </c>
      <c r="H1342" s="7" t="n">
        <v>-0.9195125316</v>
      </c>
      <c r="I1342" s="7" t="n">
        <v>0.3930551715</v>
      </c>
      <c r="J1342" s="7" t="n">
        <v>-0.002082415775</v>
      </c>
      <c r="K1342" s="7" t="n">
        <v>-0.3930601482</v>
      </c>
      <c r="L1342" s="7" t="n">
        <v>-0.9194895854</v>
      </c>
      <c r="M1342" s="7" t="n">
        <v>0.006528569929</v>
      </c>
      <c r="N1342" s="7" t="n">
        <v>0.0006513285559</v>
      </c>
      <c r="O1342" s="7" t="n">
        <v>0.006821616516</v>
      </c>
      <c r="P1342" s="7" t="n">
        <v>0.9999765204</v>
      </c>
      <c r="Q1342" s="7" t="n">
        <v>-1.453558636</v>
      </c>
      <c r="R1342" s="7" t="n">
        <v>-3.768930001</v>
      </c>
      <c r="S1342" s="7" t="n">
        <v>0.08636238465</v>
      </c>
    </row>
    <row r="1343" customFormat="false" ht="15" hidden="false" customHeight="false" outlineLevel="0" collapsed="false">
      <c r="A1343" s="5" t="s">
        <v>4</v>
      </c>
      <c r="B1343" s="5" t="s">
        <v>81</v>
      </c>
      <c r="C1343" s="5" t="s">
        <v>62</v>
      </c>
      <c r="D1343" s="2" t="n">
        <v>16</v>
      </c>
      <c r="E1343" s="5" t="s">
        <v>164</v>
      </c>
      <c r="F1343" s="5" t="s">
        <v>165</v>
      </c>
      <c r="G1343" s="2" t="n">
        <v>1</v>
      </c>
      <c r="H1343" s="7" t="n">
        <v>-0.9195125316</v>
      </c>
      <c r="I1343" s="7" t="n">
        <v>0.3930551715</v>
      </c>
      <c r="J1343" s="7" t="n">
        <v>-0.002082415775</v>
      </c>
      <c r="K1343" s="7" t="n">
        <v>-0.3930601482</v>
      </c>
      <c r="L1343" s="7" t="n">
        <v>-0.9194895854</v>
      </c>
      <c r="M1343" s="7" t="n">
        <v>0.006528569929</v>
      </c>
      <c r="N1343" s="7" t="n">
        <v>0.0006513285559</v>
      </c>
      <c r="O1343" s="7" t="n">
        <v>0.006821616516</v>
      </c>
      <c r="P1343" s="7" t="n">
        <v>0.9999765204</v>
      </c>
      <c r="Q1343" s="7" t="n">
        <v>-1.453558636</v>
      </c>
      <c r="R1343" s="7" t="n">
        <v>-3.768930001</v>
      </c>
      <c r="S1343" s="7" t="n">
        <v>0.08636238465</v>
      </c>
    </row>
    <row r="1344" customFormat="false" ht="15" hidden="false" customHeight="false" outlineLevel="0" collapsed="false">
      <c r="A1344" s="5" t="s">
        <v>4</v>
      </c>
      <c r="B1344" s="5" t="s">
        <v>81</v>
      </c>
      <c r="C1344" s="5" t="s">
        <v>58</v>
      </c>
      <c r="D1344" s="2" t="n">
        <v>16</v>
      </c>
      <c r="E1344" s="5" t="s">
        <v>164</v>
      </c>
      <c r="F1344" s="5" t="s">
        <v>166</v>
      </c>
      <c r="G1344" s="2" t="n">
        <v>1</v>
      </c>
      <c r="H1344" s="7" t="n">
        <v>-0.9478770856</v>
      </c>
      <c r="I1344" s="7" t="n">
        <v>0.3181805176</v>
      </c>
      <c r="J1344" s="7" t="n">
        <v>-0.01703492882</v>
      </c>
      <c r="K1344" s="7" t="n">
        <v>-0.318045294</v>
      </c>
      <c r="L1344" s="7" t="n">
        <v>-0.9480205974</v>
      </c>
      <c r="M1344" s="7" t="n">
        <v>-0.01020479859</v>
      </c>
      <c r="N1344" s="7" t="n">
        <v>-0.01939643149</v>
      </c>
      <c r="O1344" s="7" t="n">
        <v>-0.004255015799</v>
      </c>
      <c r="P1344" s="7" t="n">
        <v>0.9998028172</v>
      </c>
      <c r="Q1344" s="7" t="n">
        <v>12.62344056</v>
      </c>
      <c r="R1344" s="7" t="n">
        <v>2.184583458</v>
      </c>
      <c r="S1344" s="7" t="n">
        <v>0.8508038436</v>
      </c>
    </row>
    <row r="1345" customFormat="false" ht="15" hidden="false" customHeight="false" outlineLevel="0" collapsed="false">
      <c r="A1345" s="5" t="s">
        <v>4</v>
      </c>
      <c r="B1345" s="5" t="s">
        <v>81</v>
      </c>
      <c r="C1345" s="5" t="s">
        <v>62</v>
      </c>
      <c r="D1345" s="2" t="n">
        <v>16</v>
      </c>
      <c r="E1345" s="5" t="s">
        <v>164</v>
      </c>
      <c r="F1345" s="5" t="s">
        <v>166</v>
      </c>
      <c r="G1345" s="2" t="n">
        <v>1</v>
      </c>
      <c r="H1345" s="7" t="n">
        <v>-0.9478770856</v>
      </c>
      <c r="I1345" s="7" t="n">
        <v>0.3181805176</v>
      </c>
      <c r="J1345" s="7" t="n">
        <v>-0.01703492882</v>
      </c>
      <c r="K1345" s="7" t="n">
        <v>-0.318045294</v>
      </c>
      <c r="L1345" s="7" t="n">
        <v>-0.9480205974</v>
      </c>
      <c r="M1345" s="7" t="n">
        <v>-0.01020479859</v>
      </c>
      <c r="N1345" s="7" t="n">
        <v>-0.01939643149</v>
      </c>
      <c r="O1345" s="7" t="n">
        <v>-0.004255015799</v>
      </c>
      <c r="P1345" s="7" t="n">
        <v>0.9998028172</v>
      </c>
      <c r="Q1345" s="7" t="n">
        <v>12.62344056</v>
      </c>
      <c r="R1345" s="7" t="n">
        <v>2.184583458</v>
      </c>
      <c r="S1345" s="7" t="n">
        <v>0.8508038436</v>
      </c>
    </row>
    <row r="1346" customFormat="false" ht="15" hidden="false" customHeight="false" outlineLevel="0" collapsed="false">
      <c r="A1346" s="5" t="s">
        <v>4</v>
      </c>
      <c r="B1346" s="5" t="s">
        <v>81</v>
      </c>
      <c r="C1346" s="5" t="s">
        <v>58</v>
      </c>
      <c r="D1346" s="2" t="n">
        <v>16</v>
      </c>
      <c r="E1346" s="5" t="s">
        <v>164</v>
      </c>
      <c r="F1346" s="5" t="s">
        <v>167</v>
      </c>
      <c r="G1346" s="2" t="n">
        <v>1</v>
      </c>
      <c r="H1346" s="7" t="n">
        <v>0.5139564515</v>
      </c>
      <c r="I1346" s="7" t="n">
        <v>0.8578143809</v>
      </c>
      <c r="J1346" s="7" t="n">
        <v>0.001803864</v>
      </c>
      <c r="K1346" s="7" t="n">
        <v>-0.8578159217</v>
      </c>
      <c r="L1346" s="7" t="n">
        <v>0.5139531869</v>
      </c>
      <c r="M1346" s="7" t="n">
        <v>0.00199151097</v>
      </c>
      <c r="N1346" s="7" t="n">
        <v>0.0007812450983</v>
      </c>
      <c r="O1346" s="7" t="n">
        <v>-0.002570933171</v>
      </c>
      <c r="P1346" s="7" t="n">
        <v>0.99999639</v>
      </c>
      <c r="Q1346" s="7" t="n">
        <v>-10.04583256</v>
      </c>
      <c r="R1346" s="7" t="n">
        <v>11.47595638</v>
      </c>
      <c r="S1346" s="7" t="n">
        <v>0.3983542388</v>
      </c>
    </row>
    <row r="1347" customFormat="false" ht="15" hidden="false" customHeight="false" outlineLevel="0" collapsed="false">
      <c r="A1347" s="5" t="s">
        <v>4</v>
      </c>
      <c r="B1347" s="5" t="s">
        <v>81</v>
      </c>
      <c r="C1347" s="5" t="s">
        <v>62</v>
      </c>
      <c r="D1347" s="2" t="n">
        <v>16</v>
      </c>
      <c r="E1347" s="5" t="s">
        <v>164</v>
      </c>
      <c r="F1347" s="5" t="s">
        <v>167</v>
      </c>
      <c r="G1347" s="2" t="n">
        <v>1</v>
      </c>
      <c r="H1347" s="7" t="n">
        <v>0.5139564515</v>
      </c>
      <c r="I1347" s="7" t="n">
        <v>0.8578143809</v>
      </c>
      <c r="J1347" s="7" t="n">
        <v>0.001803864</v>
      </c>
      <c r="K1347" s="7" t="n">
        <v>-0.8578159217</v>
      </c>
      <c r="L1347" s="7" t="n">
        <v>0.5139531869</v>
      </c>
      <c r="M1347" s="7" t="n">
        <v>0.00199151097</v>
      </c>
      <c r="N1347" s="7" t="n">
        <v>0.0007812450983</v>
      </c>
      <c r="O1347" s="7" t="n">
        <v>-0.002570933171</v>
      </c>
      <c r="P1347" s="7" t="n">
        <v>0.99999639</v>
      </c>
      <c r="Q1347" s="7" t="n">
        <v>-10.04583256</v>
      </c>
      <c r="R1347" s="7" t="n">
        <v>11.47595638</v>
      </c>
      <c r="S1347" s="7" t="n">
        <v>0.3983542388</v>
      </c>
    </row>
    <row r="1348" customFormat="false" ht="15" hidden="false" customHeight="false" outlineLevel="0" collapsed="false">
      <c r="A1348" s="5" t="s">
        <v>4</v>
      </c>
      <c r="B1348" s="5" t="s">
        <v>81</v>
      </c>
      <c r="C1348" s="5" t="s">
        <v>58</v>
      </c>
      <c r="D1348" s="2" t="n">
        <v>16</v>
      </c>
      <c r="E1348" s="5" t="s">
        <v>164</v>
      </c>
      <c r="F1348" s="5" t="s">
        <v>168</v>
      </c>
      <c r="G1348" s="2" t="n">
        <v>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</row>
    <row r="1349" customFormat="false" ht="15" hidden="false" customHeight="false" outlineLevel="0" collapsed="false">
      <c r="A1349" s="5" t="s">
        <v>4</v>
      </c>
      <c r="B1349" s="5" t="s">
        <v>81</v>
      </c>
      <c r="C1349" s="5" t="s">
        <v>62</v>
      </c>
      <c r="D1349" s="2" t="n">
        <v>16</v>
      </c>
      <c r="E1349" s="5" t="s">
        <v>164</v>
      </c>
      <c r="F1349" s="5" t="s">
        <v>168</v>
      </c>
      <c r="G1349" s="2" t="n">
        <v>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</row>
    <row r="1350" customFormat="false" ht="15" hidden="false" customHeight="false" outlineLevel="0" collapsed="false">
      <c r="A1350" s="5" t="s">
        <v>4</v>
      </c>
      <c r="B1350" s="5" t="s">
        <v>81</v>
      </c>
      <c r="C1350" s="5" t="s">
        <v>58</v>
      </c>
      <c r="D1350" s="2" t="n">
        <v>17</v>
      </c>
      <c r="E1350" s="5" t="s">
        <v>164</v>
      </c>
      <c r="F1350" s="5" t="s">
        <v>165</v>
      </c>
      <c r="G1350" s="2" t="n">
        <v>1</v>
      </c>
      <c r="H1350" s="7" t="n">
        <v>-0.9197560723</v>
      </c>
      <c r="I1350" s="7" t="n">
        <v>0.3924900629</v>
      </c>
      <c r="J1350" s="7" t="n">
        <v>-0.0005638406781</v>
      </c>
      <c r="K1350" s="7" t="n">
        <v>-0.3924869723</v>
      </c>
      <c r="L1350" s="7" t="n">
        <v>-0.9197408687</v>
      </c>
      <c r="M1350" s="7" t="n">
        <v>0.005541751286</v>
      </c>
      <c r="N1350" s="7" t="n">
        <v>0.001656494996</v>
      </c>
      <c r="O1350" s="7" t="n">
        <v>0.005318359518</v>
      </c>
      <c r="P1350" s="7" t="n">
        <v>0.9999844854</v>
      </c>
      <c r="Q1350" s="7" t="n">
        <v>-1.449910106</v>
      </c>
      <c r="R1350" s="7" t="n">
        <v>-3.770004964</v>
      </c>
      <c r="S1350" s="7" t="n">
        <v>0.113303128</v>
      </c>
    </row>
    <row r="1351" customFormat="false" ht="15" hidden="false" customHeight="false" outlineLevel="0" collapsed="false">
      <c r="A1351" s="5" t="s">
        <v>4</v>
      </c>
      <c r="B1351" s="5" t="s">
        <v>81</v>
      </c>
      <c r="C1351" s="5" t="s">
        <v>62</v>
      </c>
      <c r="D1351" s="2" t="n">
        <v>17</v>
      </c>
      <c r="E1351" s="5" t="s">
        <v>164</v>
      </c>
      <c r="F1351" s="5" t="s">
        <v>165</v>
      </c>
      <c r="G1351" s="2" t="n">
        <v>1</v>
      </c>
      <c r="H1351" s="7" t="n">
        <v>-0.9197560723</v>
      </c>
      <c r="I1351" s="7" t="n">
        <v>0.3924900629</v>
      </c>
      <c r="J1351" s="7" t="n">
        <v>-0.0005638406781</v>
      </c>
      <c r="K1351" s="7" t="n">
        <v>-0.3924869723</v>
      </c>
      <c r="L1351" s="7" t="n">
        <v>-0.9197408687</v>
      </c>
      <c r="M1351" s="7" t="n">
        <v>0.005541751286</v>
      </c>
      <c r="N1351" s="7" t="n">
        <v>0.001656494996</v>
      </c>
      <c r="O1351" s="7" t="n">
        <v>0.005318359518</v>
      </c>
      <c r="P1351" s="7" t="n">
        <v>0.9999844854</v>
      </c>
      <c r="Q1351" s="7" t="n">
        <v>-1.449910106</v>
      </c>
      <c r="R1351" s="7" t="n">
        <v>-3.770004964</v>
      </c>
      <c r="S1351" s="7" t="n">
        <v>0.113303128</v>
      </c>
    </row>
    <row r="1352" customFormat="false" ht="15" hidden="false" customHeight="false" outlineLevel="0" collapsed="false">
      <c r="A1352" s="5" t="s">
        <v>4</v>
      </c>
      <c r="B1352" s="5" t="s">
        <v>81</v>
      </c>
      <c r="C1352" s="5" t="s">
        <v>58</v>
      </c>
      <c r="D1352" s="2" t="n">
        <v>17</v>
      </c>
      <c r="E1352" s="5" t="s">
        <v>164</v>
      </c>
      <c r="F1352" s="5" t="s">
        <v>166</v>
      </c>
      <c r="G1352" s="2" t="n">
        <v>1</v>
      </c>
      <c r="H1352" s="7" t="n">
        <v>-0.9484325485</v>
      </c>
      <c r="I1352" s="7" t="n">
        <v>0.3166832996</v>
      </c>
      <c r="J1352" s="7" t="n">
        <v>-0.01368899833</v>
      </c>
      <c r="K1352" s="7" t="n">
        <v>-0.3167829974</v>
      </c>
      <c r="L1352" s="7" t="n">
        <v>-0.948480288</v>
      </c>
      <c r="M1352" s="7" t="n">
        <v>0.005803079786</v>
      </c>
      <c r="N1352" s="7" t="n">
        <v>-0.01114600663</v>
      </c>
      <c r="O1352" s="7" t="n">
        <v>0.009840271673</v>
      </c>
      <c r="P1352" s="7" t="n">
        <v>0.9998894617</v>
      </c>
      <c r="Q1352" s="7" t="n">
        <v>12.59185641</v>
      </c>
      <c r="R1352" s="7" t="n">
        <v>2.182372305</v>
      </c>
      <c r="S1352" s="7" t="n">
        <v>0.8741274413</v>
      </c>
    </row>
    <row r="1353" customFormat="false" ht="15" hidden="false" customHeight="false" outlineLevel="0" collapsed="false">
      <c r="A1353" s="5" t="s">
        <v>4</v>
      </c>
      <c r="B1353" s="5" t="s">
        <v>81</v>
      </c>
      <c r="C1353" s="5" t="s">
        <v>62</v>
      </c>
      <c r="D1353" s="2" t="n">
        <v>17</v>
      </c>
      <c r="E1353" s="5" t="s">
        <v>164</v>
      </c>
      <c r="F1353" s="5" t="s">
        <v>166</v>
      </c>
      <c r="G1353" s="2" t="n">
        <v>1</v>
      </c>
      <c r="H1353" s="7" t="n">
        <v>-0.9484325485</v>
      </c>
      <c r="I1353" s="7" t="n">
        <v>0.3166832996</v>
      </c>
      <c r="J1353" s="7" t="n">
        <v>-0.01368899833</v>
      </c>
      <c r="K1353" s="7" t="n">
        <v>-0.3167829974</v>
      </c>
      <c r="L1353" s="7" t="n">
        <v>-0.948480288</v>
      </c>
      <c r="M1353" s="7" t="n">
        <v>0.005803079786</v>
      </c>
      <c r="N1353" s="7" t="n">
        <v>-0.01114600663</v>
      </c>
      <c r="O1353" s="7" t="n">
        <v>0.009840271673</v>
      </c>
      <c r="P1353" s="7" t="n">
        <v>0.9998894617</v>
      </c>
      <c r="Q1353" s="7" t="n">
        <v>12.59185641</v>
      </c>
      <c r="R1353" s="7" t="n">
        <v>2.182372305</v>
      </c>
      <c r="S1353" s="7" t="n">
        <v>0.8741274413</v>
      </c>
    </row>
    <row r="1354" customFormat="false" ht="15" hidden="false" customHeight="false" outlineLevel="0" collapsed="false">
      <c r="A1354" s="5" t="s">
        <v>4</v>
      </c>
      <c r="B1354" s="5" t="s">
        <v>81</v>
      </c>
      <c r="C1354" s="5" t="s">
        <v>58</v>
      </c>
      <c r="D1354" s="2" t="n">
        <v>17</v>
      </c>
      <c r="E1354" s="5" t="s">
        <v>164</v>
      </c>
      <c r="F1354" s="5" t="s">
        <v>167</v>
      </c>
      <c r="G1354" s="2" t="n">
        <v>1</v>
      </c>
      <c r="H1354" s="7" t="n">
        <v>0.5145427534</v>
      </c>
      <c r="I1354" s="7" t="n">
        <v>0.8574548223</v>
      </c>
      <c r="J1354" s="7" t="n">
        <v>0.004120998503</v>
      </c>
      <c r="K1354" s="7" t="n">
        <v>-0.8573566309</v>
      </c>
      <c r="L1354" s="7" t="n">
        <v>0.5145482569</v>
      </c>
      <c r="M1354" s="7" t="n">
        <v>-0.01340517708</v>
      </c>
      <c r="N1354" s="7" t="n">
        <v>-0.01361478633</v>
      </c>
      <c r="O1354" s="7" t="n">
        <v>0.00336437133</v>
      </c>
      <c r="P1354" s="7" t="n">
        <v>0.9999016545</v>
      </c>
      <c r="Q1354" s="7" t="n">
        <v>-10.03814778</v>
      </c>
      <c r="R1354" s="7" t="n">
        <v>11.44914276</v>
      </c>
      <c r="S1354" s="7" t="n">
        <v>0.4893760045</v>
      </c>
    </row>
    <row r="1355" customFormat="false" ht="15" hidden="false" customHeight="false" outlineLevel="0" collapsed="false">
      <c r="A1355" s="5" t="s">
        <v>4</v>
      </c>
      <c r="B1355" s="5" t="s">
        <v>81</v>
      </c>
      <c r="C1355" s="5" t="s">
        <v>62</v>
      </c>
      <c r="D1355" s="2" t="n">
        <v>17</v>
      </c>
      <c r="E1355" s="5" t="s">
        <v>164</v>
      </c>
      <c r="F1355" s="5" t="s">
        <v>167</v>
      </c>
      <c r="G1355" s="2" t="n">
        <v>1</v>
      </c>
      <c r="H1355" s="7" t="n">
        <v>0.5145427534</v>
      </c>
      <c r="I1355" s="7" t="n">
        <v>0.8574548223</v>
      </c>
      <c r="J1355" s="7" t="n">
        <v>0.004120998503</v>
      </c>
      <c r="K1355" s="7" t="n">
        <v>-0.8573566309</v>
      </c>
      <c r="L1355" s="7" t="n">
        <v>0.5145482569</v>
      </c>
      <c r="M1355" s="7" t="n">
        <v>-0.01340517708</v>
      </c>
      <c r="N1355" s="7" t="n">
        <v>-0.01361478633</v>
      </c>
      <c r="O1355" s="7" t="n">
        <v>0.00336437133</v>
      </c>
      <c r="P1355" s="7" t="n">
        <v>0.9999016545</v>
      </c>
      <c r="Q1355" s="7" t="n">
        <v>-10.03814778</v>
      </c>
      <c r="R1355" s="7" t="n">
        <v>11.44914276</v>
      </c>
      <c r="S1355" s="7" t="n">
        <v>0.4893760045</v>
      </c>
    </row>
    <row r="1356" customFormat="false" ht="15" hidden="false" customHeight="false" outlineLevel="0" collapsed="false">
      <c r="A1356" s="5" t="s">
        <v>4</v>
      </c>
      <c r="B1356" s="5" t="s">
        <v>81</v>
      </c>
      <c r="C1356" s="5" t="s">
        <v>58</v>
      </c>
      <c r="D1356" s="2" t="n">
        <v>17</v>
      </c>
      <c r="E1356" s="5" t="s">
        <v>164</v>
      </c>
      <c r="F1356" s="5" t="s">
        <v>168</v>
      </c>
      <c r="G1356" s="2" t="n">
        <v>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</row>
    <row r="1357" customFormat="false" ht="15" hidden="false" customHeight="false" outlineLevel="0" collapsed="false">
      <c r="A1357" s="5" t="s">
        <v>4</v>
      </c>
      <c r="B1357" s="5" t="s">
        <v>81</v>
      </c>
      <c r="C1357" s="5" t="s">
        <v>62</v>
      </c>
      <c r="D1357" s="2" t="n">
        <v>17</v>
      </c>
      <c r="E1357" s="5" t="s">
        <v>164</v>
      </c>
      <c r="F1357" s="5" t="s">
        <v>168</v>
      </c>
      <c r="G1357" s="2" t="n">
        <v>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</row>
    <row r="1358" customFormat="false" ht="15" hidden="false" customHeight="false" outlineLevel="0" collapsed="false">
      <c r="A1358" s="5" t="s">
        <v>4</v>
      </c>
      <c r="B1358" s="5" t="s">
        <v>81</v>
      </c>
      <c r="C1358" s="5" t="s">
        <v>58</v>
      </c>
      <c r="D1358" s="2" t="n">
        <v>18</v>
      </c>
      <c r="E1358" s="5" t="s">
        <v>164</v>
      </c>
      <c r="F1358" s="5" t="s">
        <v>165</v>
      </c>
      <c r="G1358" s="2" t="n">
        <v>1</v>
      </c>
      <c r="H1358" s="7" t="n">
        <v>-0.9158687604</v>
      </c>
      <c r="I1358" s="7" t="n">
        <v>0.4000466663</v>
      </c>
      <c r="J1358" s="7" t="n">
        <v>-0.03386854789</v>
      </c>
      <c r="K1358" s="7" t="n">
        <v>-0.3979948157</v>
      </c>
      <c r="L1358" s="7" t="n">
        <v>-0.9157747644</v>
      </c>
      <c r="M1358" s="7" t="n">
        <v>-0.05437561488</v>
      </c>
      <c r="N1358" s="7" t="n">
        <v>-0.05276874492</v>
      </c>
      <c r="O1358" s="7" t="n">
        <v>-0.03632142052</v>
      </c>
      <c r="P1358" s="7" t="n">
        <v>0.9979459975</v>
      </c>
      <c r="Q1358" s="7" t="n">
        <v>-1.596901909</v>
      </c>
      <c r="R1358" s="7" t="n">
        <v>-3.850226862</v>
      </c>
      <c r="S1358" s="7" t="n">
        <v>0.8698468369</v>
      </c>
    </row>
    <row r="1359" customFormat="false" ht="15" hidden="false" customHeight="false" outlineLevel="0" collapsed="false">
      <c r="A1359" s="5" t="s">
        <v>4</v>
      </c>
      <c r="B1359" s="5" t="s">
        <v>81</v>
      </c>
      <c r="C1359" s="5" t="s">
        <v>62</v>
      </c>
      <c r="D1359" s="2" t="n">
        <v>18</v>
      </c>
      <c r="E1359" s="5" t="s">
        <v>164</v>
      </c>
      <c r="F1359" s="5" t="s">
        <v>165</v>
      </c>
      <c r="G1359" s="2" t="n">
        <v>1</v>
      </c>
      <c r="H1359" s="7" t="n">
        <v>-0.9158687604</v>
      </c>
      <c r="I1359" s="7" t="n">
        <v>0.4000466663</v>
      </c>
      <c r="J1359" s="7" t="n">
        <v>-0.03386854789</v>
      </c>
      <c r="K1359" s="7" t="n">
        <v>-0.3979948157</v>
      </c>
      <c r="L1359" s="7" t="n">
        <v>-0.9157747644</v>
      </c>
      <c r="M1359" s="7" t="n">
        <v>-0.05437561488</v>
      </c>
      <c r="N1359" s="7" t="n">
        <v>-0.05276874492</v>
      </c>
      <c r="O1359" s="7" t="n">
        <v>-0.03632142052</v>
      </c>
      <c r="P1359" s="7" t="n">
        <v>0.9979459975</v>
      </c>
      <c r="Q1359" s="7" t="n">
        <v>-1.596901909</v>
      </c>
      <c r="R1359" s="7" t="n">
        <v>-3.850226862</v>
      </c>
      <c r="S1359" s="7" t="n">
        <v>0.8698468369</v>
      </c>
    </row>
    <row r="1360" customFormat="false" ht="15" hidden="false" customHeight="false" outlineLevel="0" collapsed="false">
      <c r="A1360" s="5" t="s">
        <v>4</v>
      </c>
      <c r="B1360" s="5" t="s">
        <v>81</v>
      </c>
      <c r="C1360" s="5" t="s">
        <v>58</v>
      </c>
      <c r="D1360" s="2" t="n">
        <v>18</v>
      </c>
      <c r="E1360" s="5" t="s">
        <v>164</v>
      </c>
      <c r="F1360" s="5" t="s">
        <v>166</v>
      </c>
      <c r="G1360" s="2" t="n">
        <v>1</v>
      </c>
      <c r="H1360" s="7" t="n">
        <v>-0.9486252352</v>
      </c>
      <c r="I1360" s="7" t="n">
        <v>0.3163918656</v>
      </c>
      <c r="J1360" s="7" t="n">
        <v>-0.002520024239</v>
      </c>
      <c r="K1360" s="7" t="n">
        <v>-0.3163619508</v>
      </c>
      <c r="L1360" s="7" t="n">
        <v>-0.9486019356</v>
      </c>
      <c r="M1360" s="7" t="n">
        <v>-0.008335697976</v>
      </c>
      <c r="N1360" s="7" t="n">
        <v>-0.005027846904</v>
      </c>
      <c r="O1360" s="7" t="n">
        <v>-0.007110213669</v>
      </c>
      <c r="P1360" s="7" t="n">
        <v>0.9999620821</v>
      </c>
      <c r="Q1360" s="7" t="n">
        <v>12.63949089</v>
      </c>
      <c r="R1360" s="7" t="n">
        <v>2.178544378</v>
      </c>
      <c r="S1360" s="7" t="n">
        <v>0.861960194</v>
      </c>
    </row>
    <row r="1361" customFormat="false" ht="15" hidden="false" customHeight="false" outlineLevel="0" collapsed="false">
      <c r="A1361" s="5" t="s">
        <v>4</v>
      </c>
      <c r="B1361" s="5" t="s">
        <v>81</v>
      </c>
      <c r="C1361" s="5" t="s">
        <v>62</v>
      </c>
      <c r="D1361" s="2" t="n">
        <v>18</v>
      </c>
      <c r="E1361" s="5" t="s">
        <v>164</v>
      </c>
      <c r="F1361" s="5" t="s">
        <v>166</v>
      </c>
      <c r="G1361" s="2" t="n">
        <v>1</v>
      </c>
      <c r="H1361" s="7" t="n">
        <v>-0.9486252352</v>
      </c>
      <c r="I1361" s="7" t="n">
        <v>0.3163918656</v>
      </c>
      <c r="J1361" s="7" t="n">
        <v>-0.002520024239</v>
      </c>
      <c r="K1361" s="7" t="n">
        <v>-0.3163619508</v>
      </c>
      <c r="L1361" s="7" t="n">
        <v>-0.9486019356</v>
      </c>
      <c r="M1361" s="7" t="n">
        <v>-0.008335697976</v>
      </c>
      <c r="N1361" s="7" t="n">
        <v>-0.005027846904</v>
      </c>
      <c r="O1361" s="7" t="n">
        <v>-0.007110213669</v>
      </c>
      <c r="P1361" s="7" t="n">
        <v>0.9999620821</v>
      </c>
      <c r="Q1361" s="7" t="n">
        <v>12.63949089</v>
      </c>
      <c r="R1361" s="7" t="n">
        <v>2.178544378</v>
      </c>
      <c r="S1361" s="7" t="n">
        <v>0.861960194</v>
      </c>
    </row>
    <row r="1362" customFormat="false" ht="15" hidden="false" customHeight="false" outlineLevel="0" collapsed="false">
      <c r="A1362" s="5" t="s">
        <v>4</v>
      </c>
      <c r="B1362" s="5" t="s">
        <v>81</v>
      </c>
      <c r="C1362" s="5" t="s">
        <v>58</v>
      </c>
      <c r="D1362" s="2" t="n">
        <v>18</v>
      </c>
      <c r="E1362" s="5" t="s">
        <v>164</v>
      </c>
      <c r="F1362" s="5" t="s">
        <v>167</v>
      </c>
      <c r="G1362" s="2" t="n">
        <v>1</v>
      </c>
      <c r="H1362" s="7" t="n">
        <v>0.5145597495</v>
      </c>
      <c r="I1362" s="7" t="n">
        <v>0.8574265457</v>
      </c>
      <c r="J1362" s="7" t="n">
        <v>0.006926966157</v>
      </c>
      <c r="K1362" s="7" t="n">
        <v>-0.8573548586</v>
      </c>
      <c r="L1362" s="7" t="n">
        <v>0.51460632</v>
      </c>
      <c r="M1362" s="7" t="n">
        <v>-0.01108972144</v>
      </c>
      <c r="N1362" s="7" t="n">
        <v>-0.01307328211</v>
      </c>
      <c r="O1362" s="7" t="n">
        <v>-0.000232543802</v>
      </c>
      <c r="P1362" s="7" t="n">
        <v>0.999914514</v>
      </c>
      <c r="Q1362" s="7" t="n">
        <v>-10.03684793</v>
      </c>
      <c r="R1362" s="7" t="n">
        <v>11.44237488</v>
      </c>
      <c r="S1362" s="7" t="n">
        <v>0.5150293931</v>
      </c>
    </row>
    <row r="1363" customFormat="false" ht="15" hidden="false" customHeight="false" outlineLevel="0" collapsed="false">
      <c r="A1363" s="5" t="s">
        <v>4</v>
      </c>
      <c r="B1363" s="5" t="s">
        <v>81</v>
      </c>
      <c r="C1363" s="5" t="s">
        <v>62</v>
      </c>
      <c r="D1363" s="2" t="n">
        <v>18</v>
      </c>
      <c r="E1363" s="5" t="s">
        <v>164</v>
      </c>
      <c r="F1363" s="5" t="s">
        <v>167</v>
      </c>
      <c r="G1363" s="2" t="n">
        <v>1</v>
      </c>
      <c r="H1363" s="7" t="n">
        <v>0.5145597495</v>
      </c>
      <c r="I1363" s="7" t="n">
        <v>0.8574265457</v>
      </c>
      <c r="J1363" s="7" t="n">
        <v>0.006926966157</v>
      </c>
      <c r="K1363" s="7" t="n">
        <v>-0.8573548586</v>
      </c>
      <c r="L1363" s="7" t="n">
        <v>0.51460632</v>
      </c>
      <c r="M1363" s="7" t="n">
        <v>-0.01108972144</v>
      </c>
      <c r="N1363" s="7" t="n">
        <v>-0.01307328211</v>
      </c>
      <c r="O1363" s="7" t="n">
        <v>-0.000232543802</v>
      </c>
      <c r="P1363" s="7" t="n">
        <v>0.999914514</v>
      </c>
      <c r="Q1363" s="7" t="n">
        <v>-10.03684793</v>
      </c>
      <c r="R1363" s="7" t="n">
        <v>11.44237488</v>
      </c>
      <c r="S1363" s="7" t="n">
        <v>0.5150293931</v>
      </c>
    </row>
    <row r="1364" customFormat="false" ht="15" hidden="false" customHeight="false" outlineLevel="0" collapsed="false">
      <c r="A1364" s="5" t="s">
        <v>4</v>
      </c>
      <c r="B1364" s="5" t="s">
        <v>81</v>
      </c>
      <c r="C1364" s="5" t="s">
        <v>58</v>
      </c>
      <c r="D1364" s="2" t="n">
        <v>18</v>
      </c>
      <c r="E1364" s="5" t="s">
        <v>164</v>
      </c>
      <c r="F1364" s="5" t="s">
        <v>168</v>
      </c>
      <c r="G1364" s="2" t="n">
        <v>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</row>
    <row r="1365" customFormat="false" ht="15" hidden="false" customHeight="false" outlineLevel="0" collapsed="false">
      <c r="A1365" s="5" t="s">
        <v>4</v>
      </c>
      <c r="B1365" s="5" t="s">
        <v>81</v>
      </c>
      <c r="C1365" s="5" t="s">
        <v>62</v>
      </c>
      <c r="D1365" s="2" t="n">
        <v>18</v>
      </c>
      <c r="E1365" s="5" t="s">
        <v>164</v>
      </c>
      <c r="F1365" s="5" t="s">
        <v>168</v>
      </c>
      <c r="G1365" s="2" t="n">
        <v>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</row>
    <row r="1366" customFormat="false" ht="15" hidden="false" customHeight="false" outlineLevel="0" collapsed="false">
      <c r="A1366" s="5" t="s">
        <v>4</v>
      </c>
      <c r="B1366" s="5" t="s">
        <v>81</v>
      </c>
      <c r="C1366" s="5" t="s">
        <v>58</v>
      </c>
      <c r="D1366" s="2" t="n">
        <v>19</v>
      </c>
      <c r="E1366" s="5" t="s">
        <v>164</v>
      </c>
      <c r="F1366" s="5" t="s">
        <v>165</v>
      </c>
      <c r="G1366" s="2" t="n">
        <v>1</v>
      </c>
      <c r="H1366" s="7" t="n">
        <v>-0.9195513666</v>
      </c>
      <c r="I1366" s="7" t="n">
        <v>0.3929697632</v>
      </c>
      <c r="J1366" s="7" t="n">
        <v>-0.0002222077583</v>
      </c>
      <c r="K1366" s="7" t="n">
        <v>-0.3929636751</v>
      </c>
      <c r="L1366" s="7" t="n">
        <v>-0.9195336626</v>
      </c>
      <c r="M1366" s="7" t="n">
        <v>0.00611502297</v>
      </c>
      <c r="N1366" s="7" t="n">
        <v>0.002198691615</v>
      </c>
      <c r="O1366" s="7" t="n">
        <v>0.005710397306</v>
      </c>
      <c r="P1366" s="7" t="n">
        <v>0.9999812784</v>
      </c>
      <c r="Q1366" s="7" t="n">
        <v>-1.446225612</v>
      </c>
      <c r="R1366" s="7" t="n">
        <v>-3.755161042</v>
      </c>
      <c r="S1366" s="7" t="n">
        <v>0.08473332026</v>
      </c>
    </row>
    <row r="1367" customFormat="false" ht="15" hidden="false" customHeight="false" outlineLevel="0" collapsed="false">
      <c r="A1367" s="5" t="s">
        <v>4</v>
      </c>
      <c r="B1367" s="5" t="s">
        <v>81</v>
      </c>
      <c r="C1367" s="5" t="s">
        <v>62</v>
      </c>
      <c r="D1367" s="2" t="n">
        <v>19</v>
      </c>
      <c r="E1367" s="5" t="s">
        <v>164</v>
      </c>
      <c r="F1367" s="5" t="s">
        <v>165</v>
      </c>
      <c r="G1367" s="2" t="n">
        <v>1</v>
      </c>
      <c r="H1367" s="7" t="n">
        <v>-0.9195513666</v>
      </c>
      <c r="I1367" s="7" t="n">
        <v>0.3929697632</v>
      </c>
      <c r="J1367" s="7" t="n">
        <v>-0.0002222077583</v>
      </c>
      <c r="K1367" s="7" t="n">
        <v>-0.3929636751</v>
      </c>
      <c r="L1367" s="7" t="n">
        <v>-0.9195336626</v>
      </c>
      <c r="M1367" s="7" t="n">
        <v>0.00611502297</v>
      </c>
      <c r="N1367" s="7" t="n">
        <v>0.002198691615</v>
      </c>
      <c r="O1367" s="7" t="n">
        <v>0.005710397306</v>
      </c>
      <c r="P1367" s="7" t="n">
        <v>0.9999812784</v>
      </c>
      <c r="Q1367" s="7" t="n">
        <v>-1.446225612</v>
      </c>
      <c r="R1367" s="7" t="n">
        <v>-3.755161042</v>
      </c>
      <c r="S1367" s="7" t="n">
        <v>0.08473332026</v>
      </c>
    </row>
    <row r="1368" customFormat="false" ht="15" hidden="false" customHeight="false" outlineLevel="0" collapsed="false">
      <c r="A1368" s="5" t="s">
        <v>4</v>
      </c>
      <c r="B1368" s="5" t="s">
        <v>81</v>
      </c>
      <c r="C1368" s="5" t="s">
        <v>58</v>
      </c>
      <c r="D1368" s="2" t="n">
        <v>19</v>
      </c>
      <c r="E1368" s="5" t="s">
        <v>164</v>
      </c>
      <c r="F1368" s="5" t="s">
        <v>166</v>
      </c>
      <c r="G1368" s="2" t="n">
        <v>1</v>
      </c>
      <c r="H1368" s="7" t="n">
        <v>-0.9484973027</v>
      </c>
      <c r="I1368" s="7" t="n">
        <v>0.3167505854</v>
      </c>
      <c r="J1368" s="7" t="n">
        <v>-0.00468332011</v>
      </c>
      <c r="K1368" s="7" t="n">
        <v>-0.3167384717</v>
      </c>
      <c r="L1368" s="7" t="n">
        <v>-0.9485076655</v>
      </c>
      <c r="M1368" s="7" t="n">
        <v>-0.003154219244</v>
      </c>
      <c r="N1368" s="7" t="n">
        <v>-0.005441265816</v>
      </c>
      <c r="O1368" s="7" t="n">
        <v>-0.001508380791</v>
      </c>
      <c r="P1368" s="7" t="n">
        <v>0.9999840586</v>
      </c>
      <c r="Q1368" s="7" t="n">
        <v>12.62220235</v>
      </c>
      <c r="R1368" s="7" t="n">
        <v>2.167842783</v>
      </c>
      <c r="S1368" s="7" t="n">
        <v>0.8697537434</v>
      </c>
    </row>
    <row r="1369" customFormat="false" ht="15" hidden="false" customHeight="false" outlineLevel="0" collapsed="false">
      <c r="A1369" s="5" t="s">
        <v>4</v>
      </c>
      <c r="B1369" s="5" t="s">
        <v>81</v>
      </c>
      <c r="C1369" s="5" t="s">
        <v>62</v>
      </c>
      <c r="D1369" s="2" t="n">
        <v>19</v>
      </c>
      <c r="E1369" s="5" t="s">
        <v>164</v>
      </c>
      <c r="F1369" s="5" t="s">
        <v>166</v>
      </c>
      <c r="G1369" s="2" t="n">
        <v>1</v>
      </c>
      <c r="H1369" s="7" t="n">
        <v>-0.9484973027</v>
      </c>
      <c r="I1369" s="7" t="n">
        <v>0.3167505854</v>
      </c>
      <c r="J1369" s="7" t="n">
        <v>-0.00468332011</v>
      </c>
      <c r="K1369" s="7" t="n">
        <v>-0.3167384717</v>
      </c>
      <c r="L1369" s="7" t="n">
        <v>-0.9485076655</v>
      </c>
      <c r="M1369" s="7" t="n">
        <v>-0.003154219244</v>
      </c>
      <c r="N1369" s="7" t="n">
        <v>-0.005441265816</v>
      </c>
      <c r="O1369" s="7" t="n">
        <v>-0.001508380791</v>
      </c>
      <c r="P1369" s="7" t="n">
        <v>0.9999840586</v>
      </c>
      <c r="Q1369" s="7" t="n">
        <v>12.62220235</v>
      </c>
      <c r="R1369" s="7" t="n">
        <v>2.167842783</v>
      </c>
      <c r="S1369" s="7" t="n">
        <v>0.8697537434</v>
      </c>
    </row>
    <row r="1370" customFormat="false" ht="15" hidden="false" customHeight="false" outlineLevel="0" collapsed="false">
      <c r="A1370" s="5" t="s">
        <v>4</v>
      </c>
      <c r="B1370" s="5" t="s">
        <v>81</v>
      </c>
      <c r="C1370" s="5" t="s">
        <v>58</v>
      </c>
      <c r="D1370" s="2" t="n">
        <v>19</v>
      </c>
      <c r="E1370" s="5" t="s">
        <v>164</v>
      </c>
      <c r="F1370" s="5" t="s">
        <v>167</v>
      </c>
      <c r="G1370" s="2" t="n">
        <v>1</v>
      </c>
      <c r="H1370" s="7" t="n">
        <v>0.5192542211</v>
      </c>
      <c r="I1370" s="7" t="n">
        <v>0.8543521788</v>
      </c>
      <c r="J1370" s="7" t="n">
        <v>0.02138710805</v>
      </c>
      <c r="K1370" s="7" t="n">
        <v>-0.8543886331</v>
      </c>
      <c r="L1370" s="7" t="n">
        <v>0.5195332345</v>
      </c>
      <c r="M1370" s="7" t="n">
        <v>-0.01026070027</v>
      </c>
      <c r="N1370" s="7" t="n">
        <v>-0.01987756505</v>
      </c>
      <c r="O1370" s="7" t="n">
        <v>-0.01294499008</v>
      </c>
      <c r="P1370" s="7" t="n">
        <v>0.9997186152</v>
      </c>
      <c r="Q1370" s="7" t="n">
        <v>-10.04254318</v>
      </c>
      <c r="R1370" s="7" t="n">
        <v>11.3933906</v>
      </c>
      <c r="S1370" s="7" t="n">
        <v>0.6070818029</v>
      </c>
    </row>
    <row r="1371" customFormat="false" ht="15" hidden="false" customHeight="false" outlineLevel="0" collapsed="false">
      <c r="A1371" s="5" t="s">
        <v>4</v>
      </c>
      <c r="B1371" s="5" t="s">
        <v>81</v>
      </c>
      <c r="C1371" s="5" t="s">
        <v>62</v>
      </c>
      <c r="D1371" s="2" t="n">
        <v>19</v>
      </c>
      <c r="E1371" s="5" t="s">
        <v>164</v>
      </c>
      <c r="F1371" s="5" t="s">
        <v>167</v>
      </c>
      <c r="G1371" s="2" t="n">
        <v>1</v>
      </c>
      <c r="H1371" s="7" t="n">
        <v>0.5192542211</v>
      </c>
      <c r="I1371" s="7" t="n">
        <v>0.8543521788</v>
      </c>
      <c r="J1371" s="7" t="n">
        <v>0.02138710805</v>
      </c>
      <c r="K1371" s="7" t="n">
        <v>-0.8543886331</v>
      </c>
      <c r="L1371" s="7" t="n">
        <v>0.5195332345</v>
      </c>
      <c r="M1371" s="7" t="n">
        <v>-0.01026070027</v>
      </c>
      <c r="N1371" s="7" t="n">
        <v>-0.01987756505</v>
      </c>
      <c r="O1371" s="7" t="n">
        <v>-0.01294499008</v>
      </c>
      <c r="P1371" s="7" t="n">
        <v>0.9997186152</v>
      </c>
      <c r="Q1371" s="7" t="n">
        <v>-10.04254318</v>
      </c>
      <c r="R1371" s="7" t="n">
        <v>11.3933906</v>
      </c>
      <c r="S1371" s="7" t="n">
        <v>0.6070818029</v>
      </c>
    </row>
    <row r="1372" customFormat="false" ht="15" hidden="false" customHeight="false" outlineLevel="0" collapsed="false">
      <c r="A1372" s="5" t="s">
        <v>4</v>
      </c>
      <c r="B1372" s="5" t="s">
        <v>81</v>
      </c>
      <c r="C1372" s="5" t="s">
        <v>58</v>
      </c>
      <c r="D1372" s="2" t="n">
        <v>19</v>
      </c>
      <c r="E1372" s="5" t="s">
        <v>164</v>
      </c>
      <c r="F1372" s="5" t="s">
        <v>168</v>
      </c>
      <c r="G1372" s="2" t="n">
        <v>1</v>
      </c>
      <c r="H1372" s="7" t="n">
        <v>-0.8133696505</v>
      </c>
      <c r="I1372" s="7" t="n">
        <v>0.5817349988</v>
      </c>
      <c r="J1372" s="7" t="n">
        <v>-0.003768653451</v>
      </c>
      <c r="K1372" s="7" t="n">
        <v>-0.5817335802</v>
      </c>
      <c r="L1372" s="7" t="n">
        <v>-0.8133778709</v>
      </c>
      <c r="M1372" s="7" t="n">
        <v>-0.001575081289</v>
      </c>
      <c r="N1372" s="7" t="n">
        <v>-0.003981619232</v>
      </c>
      <c r="O1372" s="7" t="n">
        <v>0.0009112289473</v>
      </c>
      <c r="P1372" s="7" t="n">
        <v>0.9999916582</v>
      </c>
      <c r="Q1372" s="7" t="n">
        <v>16.63187467</v>
      </c>
      <c r="R1372" s="7" t="n">
        <v>12.63658266</v>
      </c>
      <c r="S1372" s="7" t="n">
        <v>1.565525253</v>
      </c>
    </row>
    <row r="1373" customFormat="false" ht="15" hidden="false" customHeight="false" outlineLevel="0" collapsed="false">
      <c r="A1373" s="5" t="s">
        <v>4</v>
      </c>
      <c r="B1373" s="5" t="s">
        <v>81</v>
      </c>
      <c r="C1373" s="5" t="s">
        <v>62</v>
      </c>
      <c r="D1373" s="2" t="n">
        <v>19</v>
      </c>
      <c r="E1373" s="5" t="s">
        <v>164</v>
      </c>
      <c r="F1373" s="5" t="s">
        <v>168</v>
      </c>
      <c r="G1373" s="2" t="n">
        <v>1</v>
      </c>
      <c r="H1373" s="7" t="n">
        <v>-0.8133696505</v>
      </c>
      <c r="I1373" s="7" t="n">
        <v>0.5817349988</v>
      </c>
      <c r="J1373" s="7" t="n">
        <v>-0.003768653451</v>
      </c>
      <c r="K1373" s="7" t="n">
        <v>-0.5817335802</v>
      </c>
      <c r="L1373" s="7" t="n">
        <v>-0.8133778709</v>
      </c>
      <c r="M1373" s="7" t="n">
        <v>-0.001575081289</v>
      </c>
      <c r="N1373" s="7" t="n">
        <v>-0.003981619232</v>
      </c>
      <c r="O1373" s="7" t="n">
        <v>0.0009112289473</v>
      </c>
      <c r="P1373" s="7" t="n">
        <v>0.9999916582</v>
      </c>
      <c r="Q1373" s="7" t="n">
        <v>16.63187467</v>
      </c>
      <c r="R1373" s="7" t="n">
        <v>12.63658266</v>
      </c>
      <c r="S1373" s="7" t="n">
        <v>1.565525253</v>
      </c>
    </row>
    <row r="1374" customFormat="false" ht="15" hidden="false" customHeight="false" outlineLevel="0" collapsed="false">
      <c r="A1374" s="5" t="s">
        <v>4</v>
      </c>
      <c r="B1374" s="5" t="s">
        <v>81</v>
      </c>
      <c r="C1374" s="5" t="s">
        <v>58</v>
      </c>
      <c r="D1374" s="2" t="n">
        <v>20</v>
      </c>
      <c r="E1374" s="5" t="s">
        <v>164</v>
      </c>
      <c r="F1374" s="5" t="s">
        <v>165</v>
      </c>
      <c r="G1374" s="2" t="n">
        <v>1</v>
      </c>
      <c r="H1374" s="7" t="n">
        <v>-0.9176359883</v>
      </c>
      <c r="I1374" s="7" t="n">
        <v>0.3944004192</v>
      </c>
      <c r="J1374" s="7" t="n">
        <v>-0.04891321082</v>
      </c>
      <c r="K1374" s="7" t="n">
        <v>-0.395866321</v>
      </c>
      <c r="L1374" s="7" t="n">
        <v>-0.9179738348</v>
      </c>
      <c r="M1374" s="7" t="n">
        <v>0.02477689375</v>
      </c>
      <c r="N1374" s="7" t="n">
        <v>-0.03512903043</v>
      </c>
      <c r="O1374" s="7" t="n">
        <v>0.0420992622</v>
      </c>
      <c r="P1374" s="7" t="n">
        <v>0.9984956702</v>
      </c>
      <c r="Q1374" s="7" t="n">
        <v>-1.573364704</v>
      </c>
      <c r="R1374" s="7" t="n">
        <v>-3.701972589</v>
      </c>
      <c r="S1374" s="7" t="n">
        <v>0.3654528989</v>
      </c>
    </row>
    <row r="1375" customFormat="false" ht="15" hidden="false" customHeight="false" outlineLevel="0" collapsed="false">
      <c r="A1375" s="5" t="s">
        <v>4</v>
      </c>
      <c r="B1375" s="5" t="s">
        <v>81</v>
      </c>
      <c r="C1375" s="5" t="s">
        <v>62</v>
      </c>
      <c r="D1375" s="2" t="n">
        <v>20</v>
      </c>
      <c r="E1375" s="5" t="s">
        <v>164</v>
      </c>
      <c r="F1375" s="5" t="s">
        <v>165</v>
      </c>
      <c r="G1375" s="2" t="n">
        <v>1</v>
      </c>
      <c r="H1375" s="7" t="n">
        <v>-0.9196552445</v>
      </c>
      <c r="I1375" s="7" t="n">
        <v>0.3926915638</v>
      </c>
      <c r="J1375" s="7" t="n">
        <v>-0.005250415091</v>
      </c>
      <c r="K1375" s="7" t="n">
        <v>-0.3927215258</v>
      </c>
      <c r="L1375" s="7" t="n">
        <v>-0.9196294027</v>
      </c>
      <c r="M1375" s="7" t="n">
        <v>0.007180873854</v>
      </c>
      <c r="N1375" s="7" t="n">
        <v>-0.00200856751</v>
      </c>
      <c r="O1375" s="7" t="n">
        <v>0.008665879326</v>
      </c>
      <c r="P1375" s="7" t="n">
        <v>0.9999604333</v>
      </c>
      <c r="Q1375" s="7" t="n">
        <v>-1.459102193</v>
      </c>
      <c r="R1375" s="7" t="n">
        <v>-3.771357932</v>
      </c>
      <c r="S1375" s="7" t="n">
        <v>0.1347972285</v>
      </c>
    </row>
    <row r="1376" customFormat="false" ht="15" hidden="false" customHeight="false" outlineLevel="0" collapsed="false">
      <c r="A1376" s="5" t="s">
        <v>4</v>
      </c>
      <c r="B1376" s="5" t="s">
        <v>81</v>
      </c>
      <c r="C1376" s="5" t="s">
        <v>58</v>
      </c>
      <c r="D1376" s="2" t="n">
        <v>20</v>
      </c>
      <c r="E1376" s="5" t="s">
        <v>164</v>
      </c>
      <c r="F1376" s="5" t="s">
        <v>166</v>
      </c>
      <c r="G1376" s="2" t="n">
        <v>1</v>
      </c>
      <c r="H1376" s="7" t="n">
        <v>-0.9486899089</v>
      </c>
      <c r="I1376" s="7" t="n">
        <v>0.316161448</v>
      </c>
      <c r="J1376" s="7" t="n">
        <v>-0.005421757721</v>
      </c>
      <c r="K1376" s="7" t="n">
        <v>-0.3161447535</v>
      </c>
      <c r="L1376" s="7" t="n">
        <v>-0.9487036597</v>
      </c>
      <c r="M1376" s="7" t="n">
        <v>-0.003723030322</v>
      </c>
      <c r="N1376" s="7" t="n">
        <v>-0.00632072005</v>
      </c>
      <c r="O1376" s="7" t="n">
        <v>-0.001817941038</v>
      </c>
      <c r="P1376" s="7" t="n">
        <v>0.9999783716</v>
      </c>
      <c r="Q1376" s="7" t="n">
        <v>12.61555322</v>
      </c>
      <c r="R1376" s="7" t="n">
        <v>2.181177438</v>
      </c>
      <c r="S1376" s="7" t="n">
        <v>0.8704848754</v>
      </c>
    </row>
    <row r="1377" customFormat="false" ht="15" hidden="false" customHeight="false" outlineLevel="0" collapsed="false">
      <c r="A1377" s="5" t="s">
        <v>4</v>
      </c>
      <c r="B1377" s="5" t="s">
        <v>81</v>
      </c>
      <c r="C1377" s="5" t="s">
        <v>62</v>
      </c>
      <c r="D1377" s="2" t="n">
        <v>20</v>
      </c>
      <c r="E1377" s="5" t="s">
        <v>164</v>
      </c>
      <c r="F1377" s="5" t="s">
        <v>166</v>
      </c>
      <c r="G1377" s="2" t="n">
        <v>1</v>
      </c>
      <c r="H1377" s="7" t="n">
        <v>-0.9486899089</v>
      </c>
      <c r="I1377" s="7" t="n">
        <v>0.316161448</v>
      </c>
      <c r="J1377" s="7" t="n">
        <v>-0.005421757721</v>
      </c>
      <c r="K1377" s="7" t="n">
        <v>-0.3161447535</v>
      </c>
      <c r="L1377" s="7" t="n">
        <v>-0.9487036597</v>
      </c>
      <c r="M1377" s="7" t="n">
        <v>-0.003723030322</v>
      </c>
      <c r="N1377" s="7" t="n">
        <v>-0.00632072005</v>
      </c>
      <c r="O1377" s="7" t="n">
        <v>-0.001817941038</v>
      </c>
      <c r="P1377" s="7" t="n">
        <v>0.9999783716</v>
      </c>
      <c r="Q1377" s="7" t="n">
        <v>12.61555322</v>
      </c>
      <c r="R1377" s="7" t="n">
        <v>2.181177438</v>
      </c>
      <c r="S1377" s="7" t="n">
        <v>0.8704848754</v>
      </c>
    </row>
    <row r="1378" customFormat="false" ht="15" hidden="false" customHeight="false" outlineLevel="0" collapsed="false">
      <c r="A1378" s="5" t="s">
        <v>4</v>
      </c>
      <c r="B1378" s="5" t="s">
        <v>81</v>
      </c>
      <c r="C1378" s="5" t="s">
        <v>58</v>
      </c>
      <c r="D1378" s="2" t="n">
        <v>20</v>
      </c>
      <c r="E1378" s="5" t="s">
        <v>164</v>
      </c>
      <c r="F1378" s="5" t="s">
        <v>167</v>
      </c>
      <c r="G1378" s="2" t="n">
        <v>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</row>
    <row r="1379" customFormat="false" ht="15" hidden="false" customHeight="false" outlineLevel="0" collapsed="false">
      <c r="A1379" s="5" t="s">
        <v>4</v>
      </c>
      <c r="B1379" s="5" t="s">
        <v>81</v>
      </c>
      <c r="C1379" s="5" t="s">
        <v>62</v>
      </c>
      <c r="D1379" s="2" t="n">
        <v>20</v>
      </c>
      <c r="E1379" s="5" t="s">
        <v>164</v>
      </c>
      <c r="F1379" s="5" t="s">
        <v>167</v>
      </c>
      <c r="G1379" s="2" t="n">
        <v>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</row>
    <row r="1380" customFormat="false" ht="15" hidden="false" customHeight="false" outlineLevel="0" collapsed="false">
      <c r="A1380" s="5" t="s">
        <v>4</v>
      </c>
      <c r="B1380" s="5" t="s">
        <v>81</v>
      </c>
      <c r="C1380" s="5" t="s">
        <v>58</v>
      </c>
      <c r="D1380" s="2" t="n">
        <v>20</v>
      </c>
      <c r="E1380" s="5" t="s">
        <v>164</v>
      </c>
      <c r="F1380" s="5" t="s">
        <v>168</v>
      </c>
      <c r="G1380" s="2" t="n">
        <v>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</row>
    <row r="1381" customFormat="false" ht="15" hidden="false" customHeight="false" outlineLevel="0" collapsed="false">
      <c r="A1381" s="5" t="s">
        <v>4</v>
      </c>
      <c r="B1381" s="5" t="s">
        <v>81</v>
      </c>
      <c r="C1381" s="5" t="s">
        <v>62</v>
      </c>
      <c r="D1381" s="2" t="n">
        <v>20</v>
      </c>
      <c r="E1381" s="5" t="s">
        <v>164</v>
      </c>
      <c r="F1381" s="5" t="s">
        <v>168</v>
      </c>
      <c r="G1381" s="2" t="n">
        <v>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</row>
    <row r="1382" customFormat="false" ht="15" hidden="false" customHeight="false" outlineLevel="0" collapsed="false">
      <c r="A1382" s="5" t="s">
        <v>4</v>
      </c>
      <c r="B1382" s="5" t="s">
        <v>81</v>
      </c>
      <c r="C1382" s="5" t="s">
        <v>58</v>
      </c>
      <c r="D1382" s="2" t="n">
        <v>11</v>
      </c>
      <c r="E1382" s="5" t="s">
        <v>165</v>
      </c>
      <c r="F1382" s="5" t="s">
        <v>166</v>
      </c>
      <c r="G1382" s="2" t="n">
        <v>1</v>
      </c>
      <c r="H1382" s="7" t="n">
        <v>0.9966280637</v>
      </c>
      <c r="I1382" s="7" t="n">
        <v>0.0801955682</v>
      </c>
      <c r="J1382" s="7" t="n">
        <v>-0.01735435105</v>
      </c>
      <c r="K1382" s="7" t="n">
        <v>-0.08021131928</v>
      </c>
      <c r="L1382" s="7" t="n">
        <v>0.9967778585</v>
      </c>
      <c r="M1382" s="7" t="n">
        <v>-0.0002123436302</v>
      </c>
      <c r="N1382" s="7" t="n">
        <v>0.01728140385</v>
      </c>
      <c r="O1382" s="7" t="n">
        <v>0.001603643014</v>
      </c>
      <c r="P1382" s="7" t="n">
        <v>0.9998493794</v>
      </c>
      <c r="Q1382" s="7" t="n">
        <v>14.34115505</v>
      </c>
      <c r="R1382" s="7" t="n">
        <v>5.850010949</v>
      </c>
      <c r="S1382" s="7" t="n">
        <v>0.8527467854</v>
      </c>
    </row>
    <row r="1383" customFormat="false" ht="15" hidden="false" customHeight="false" outlineLevel="0" collapsed="false">
      <c r="A1383" s="5" t="s">
        <v>4</v>
      </c>
      <c r="B1383" s="5" t="s">
        <v>81</v>
      </c>
      <c r="C1383" s="5" t="s">
        <v>62</v>
      </c>
      <c r="D1383" s="2" t="n">
        <v>11</v>
      </c>
      <c r="E1383" s="5" t="s">
        <v>165</v>
      </c>
      <c r="F1383" s="5" t="s">
        <v>166</v>
      </c>
      <c r="G1383" s="2" t="n">
        <v>1</v>
      </c>
      <c r="H1383" s="7" t="n">
        <v>0.9966280637</v>
      </c>
      <c r="I1383" s="7" t="n">
        <v>0.0801955682</v>
      </c>
      <c r="J1383" s="7" t="n">
        <v>-0.01735435105</v>
      </c>
      <c r="K1383" s="7" t="n">
        <v>-0.08021131928</v>
      </c>
      <c r="L1383" s="7" t="n">
        <v>0.9967778585</v>
      </c>
      <c r="M1383" s="7" t="n">
        <v>-0.0002123436302</v>
      </c>
      <c r="N1383" s="7" t="n">
        <v>0.01728140385</v>
      </c>
      <c r="O1383" s="7" t="n">
        <v>0.001603643014</v>
      </c>
      <c r="P1383" s="7" t="n">
        <v>0.9998493794</v>
      </c>
      <c r="Q1383" s="7" t="n">
        <v>14.34115505</v>
      </c>
      <c r="R1383" s="7" t="n">
        <v>5.850010949</v>
      </c>
      <c r="S1383" s="7" t="n">
        <v>0.8527467854</v>
      </c>
    </row>
    <row r="1384" customFormat="false" ht="15" hidden="false" customHeight="false" outlineLevel="0" collapsed="false">
      <c r="A1384" s="5" t="s">
        <v>4</v>
      </c>
      <c r="B1384" s="5" t="s">
        <v>81</v>
      </c>
      <c r="C1384" s="5" t="s">
        <v>58</v>
      </c>
      <c r="D1384" s="2" t="n">
        <v>11</v>
      </c>
      <c r="E1384" s="5" t="s">
        <v>165</v>
      </c>
      <c r="F1384" s="5" t="s">
        <v>167</v>
      </c>
      <c r="G1384" s="2" t="n">
        <v>1</v>
      </c>
      <c r="H1384" s="7" t="n">
        <v>-0.1351410934</v>
      </c>
      <c r="I1384" s="7" t="n">
        <v>-0.9908223385</v>
      </c>
      <c r="J1384" s="7" t="n">
        <v>0.002824591591</v>
      </c>
      <c r="K1384" s="7" t="n">
        <v>0.9908240697</v>
      </c>
      <c r="L1384" s="7" t="n">
        <v>-0.1351463669</v>
      </c>
      <c r="M1384" s="7" t="n">
        <v>-0.001767017714</v>
      </c>
      <c r="N1384" s="7" t="n">
        <v>0.002132533915</v>
      </c>
      <c r="O1384" s="7" t="n">
        <v>0.002559876629</v>
      </c>
      <c r="P1384" s="7" t="n">
        <v>0.9999944496</v>
      </c>
      <c r="Q1384" s="7" t="n">
        <v>-13.98038746</v>
      </c>
      <c r="R1384" s="7" t="n">
        <v>12.4016478</v>
      </c>
      <c r="S1384" s="7" t="n">
        <v>0.3305102117</v>
      </c>
    </row>
    <row r="1385" customFormat="false" ht="15" hidden="false" customHeight="false" outlineLevel="0" collapsed="false">
      <c r="A1385" s="5" t="s">
        <v>4</v>
      </c>
      <c r="B1385" s="5" t="s">
        <v>81</v>
      </c>
      <c r="C1385" s="5" t="s">
        <v>62</v>
      </c>
      <c r="D1385" s="2" t="n">
        <v>11</v>
      </c>
      <c r="E1385" s="5" t="s">
        <v>165</v>
      </c>
      <c r="F1385" s="5" t="s">
        <v>167</v>
      </c>
      <c r="G1385" s="2" t="n">
        <v>1</v>
      </c>
      <c r="H1385" s="7" t="n">
        <v>-0.1351410934</v>
      </c>
      <c r="I1385" s="7" t="n">
        <v>-0.9908223385</v>
      </c>
      <c r="J1385" s="7" t="n">
        <v>0.002824591591</v>
      </c>
      <c r="K1385" s="7" t="n">
        <v>0.9908240697</v>
      </c>
      <c r="L1385" s="7" t="n">
        <v>-0.1351463669</v>
      </c>
      <c r="M1385" s="7" t="n">
        <v>-0.001767017714</v>
      </c>
      <c r="N1385" s="7" t="n">
        <v>0.002132533915</v>
      </c>
      <c r="O1385" s="7" t="n">
        <v>0.002559876629</v>
      </c>
      <c r="P1385" s="7" t="n">
        <v>0.9999944496</v>
      </c>
      <c r="Q1385" s="7" t="n">
        <v>-13.98038746</v>
      </c>
      <c r="R1385" s="7" t="n">
        <v>12.4016478</v>
      </c>
      <c r="S1385" s="7" t="n">
        <v>0.3305102117</v>
      </c>
    </row>
    <row r="1386" customFormat="false" ht="15" hidden="false" customHeight="false" outlineLevel="0" collapsed="false">
      <c r="A1386" s="5" t="s">
        <v>4</v>
      </c>
      <c r="B1386" s="5" t="s">
        <v>81</v>
      </c>
      <c r="C1386" s="5" t="s">
        <v>58</v>
      </c>
      <c r="D1386" s="2" t="n">
        <v>11</v>
      </c>
      <c r="E1386" s="5" t="s">
        <v>165</v>
      </c>
      <c r="F1386" s="5" t="s">
        <v>168</v>
      </c>
      <c r="G1386" s="2" t="n">
        <v>1</v>
      </c>
      <c r="H1386" s="7" t="n">
        <v>0.9765064148</v>
      </c>
      <c r="I1386" s="7" t="n">
        <v>-0.2154212941</v>
      </c>
      <c r="J1386" s="7" t="n">
        <v>0.005374739915</v>
      </c>
      <c r="K1386" s="7" t="n">
        <v>0.2154828465</v>
      </c>
      <c r="L1386" s="7" t="n">
        <v>0.9763557538</v>
      </c>
      <c r="M1386" s="7" t="n">
        <v>-0.01722164205</v>
      </c>
      <c r="N1386" s="7" t="n">
        <v>-0.001537749824</v>
      </c>
      <c r="O1386" s="7" t="n">
        <v>0.01797520819</v>
      </c>
      <c r="P1386" s="7" t="n">
        <v>0.9998372504</v>
      </c>
      <c r="Q1386" s="7" t="n">
        <v>17.25482386</v>
      </c>
      <c r="R1386" s="7" t="n">
        <v>16.61651732</v>
      </c>
      <c r="S1386" s="7" t="n">
        <v>1.693394803</v>
      </c>
    </row>
    <row r="1387" customFormat="false" ht="15" hidden="false" customHeight="false" outlineLevel="0" collapsed="false">
      <c r="A1387" s="5" t="s">
        <v>4</v>
      </c>
      <c r="B1387" s="5" t="s">
        <v>81</v>
      </c>
      <c r="C1387" s="5" t="s">
        <v>62</v>
      </c>
      <c r="D1387" s="2" t="n">
        <v>11</v>
      </c>
      <c r="E1387" s="5" t="s">
        <v>165</v>
      </c>
      <c r="F1387" s="5" t="s">
        <v>168</v>
      </c>
      <c r="G1387" s="2" t="n">
        <v>1</v>
      </c>
      <c r="H1387" s="7" t="n">
        <v>0.9765064148</v>
      </c>
      <c r="I1387" s="7" t="n">
        <v>-0.2154212941</v>
      </c>
      <c r="J1387" s="7" t="n">
        <v>0.005374739915</v>
      </c>
      <c r="K1387" s="7" t="n">
        <v>0.2154828465</v>
      </c>
      <c r="L1387" s="7" t="n">
        <v>0.9763557538</v>
      </c>
      <c r="M1387" s="7" t="n">
        <v>-0.01722164205</v>
      </c>
      <c r="N1387" s="7" t="n">
        <v>-0.001537749824</v>
      </c>
      <c r="O1387" s="7" t="n">
        <v>0.01797520819</v>
      </c>
      <c r="P1387" s="7" t="n">
        <v>0.9998372504</v>
      </c>
      <c r="Q1387" s="7" t="n">
        <v>17.25482386</v>
      </c>
      <c r="R1387" s="7" t="n">
        <v>16.61651732</v>
      </c>
      <c r="S1387" s="7" t="n">
        <v>1.693394803</v>
      </c>
    </row>
    <row r="1388" customFormat="false" ht="15" hidden="false" customHeight="false" outlineLevel="0" collapsed="false">
      <c r="A1388" s="5" t="s">
        <v>4</v>
      </c>
      <c r="B1388" s="5" t="s">
        <v>81</v>
      </c>
      <c r="C1388" s="5" t="s">
        <v>58</v>
      </c>
      <c r="D1388" s="2" t="n">
        <v>12</v>
      </c>
      <c r="E1388" s="5" t="s">
        <v>165</v>
      </c>
      <c r="F1388" s="5" t="s">
        <v>166</v>
      </c>
      <c r="G1388" s="2" t="n">
        <v>1</v>
      </c>
      <c r="H1388" s="7" t="n">
        <v>0.9967025593</v>
      </c>
      <c r="I1388" s="7" t="n">
        <v>0.08107326462</v>
      </c>
      <c r="J1388" s="7" t="n">
        <v>-0.003336773344</v>
      </c>
      <c r="K1388" s="7" t="n">
        <v>-0.08107553964</v>
      </c>
      <c r="L1388" s="7" t="n">
        <v>0.9967078068</v>
      </c>
      <c r="M1388" s="7" t="n">
        <v>-0.0005520555797</v>
      </c>
      <c r="N1388" s="7" t="n">
        <v>0.003281031093</v>
      </c>
      <c r="O1388" s="7" t="n">
        <v>0.0008207659087</v>
      </c>
      <c r="P1388" s="7" t="n">
        <v>0.9999942806</v>
      </c>
      <c r="Q1388" s="7" t="n">
        <v>14.36762335</v>
      </c>
      <c r="R1388" s="7" t="n">
        <v>5.838078287</v>
      </c>
      <c r="S1388" s="7" t="n">
        <v>0.7531833992</v>
      </c>
    </row>
    <row r="1389" customFormat="false" ht="15" hidden="false" customHeight="false" outlineLevel="0" collapsed="false">
      <c r="A1389" s="5" t="s">
        <v>4</v>
      </c>
      <c r="B1389" s="5" t="s">
        <v>81</v>
      </c>
      <c r="C1389" s="5" t="s">
        <v>62</v>
      </c>
      <c r="D1389" s="2" t="n">
        <v>12</v>
      </c>
      <c r="E1389" s="5" t="s">
        <v>165</v>
      </c>
      <c r="F1389" s="5" t="s">
        <v>166</v>
      </c>
      <c r="G1389" s="2" t="n">
        <v>1</v>
      </c>
      <c r="H1389" s="7" t="n">
        <v>0.9967025593</v>
      </c>
      <c r="I1389" s="7" t="n">
        <v>0.08107326462</v>
      </c>
      <c r="J1389" s="7" t="n">
        <v>-0.003336773344</v>
      </c>
      <c r="K1389" s="7" t="n">
        <v>-0.08107553964</v>
      </c>
      <c r="L1389" s="7" t="n">
        <v>0.9967078068</v>
      </c>
      <c r="M1389" s="7" t="n">
        <v>-0.0005520555797</v>
      </c>
      <c r="N1389" s="7" t="n">
        <v>0.003281031093</v>
      </c>
      <c r="O1389" s="7" t="n">
        <v>0.0008207659087</v>
      </c>
      <c r="P1389" s="7" t="n">
        <v>0.9999942806</v>
      </c>
      <c r="Q1389" s="7" t="n">
        <v>14.36762335</v>
      </c>
      <c r="R1389" s="7" t="n">
        <v>5.838078287</v>
      </c>
      <c r="S1389" s="7" t="n">
        <v>0.7531833992</v>
      </c>
    </row>
    <row r="1390" customFormat="false" ht="15" hidden="false" customHeight="false" outlineLevel="0" collapsed="false">
      <c r="A1390" s="5" t="s">
        <v>4</v>
      </c>
      <c r="B1390" s="5" t="s">
        <v>81</v>
      </c>
      <c r="C1390" s="5" t="s">
        <v>58</v>
      </c>
      <c r="D1390" s="2" t="n">
        <v>12</v>
      </c>
      <c r="E1390" s="5" t="s">
        <v>165</v>
      </c>
      <c r="F1390" s="5" t="s">
        <v>167</v>
      </c>
      <c r="G1390" s="2" t="n">
        <v>1</v>
      </c>
      <c r="H1390" s="7" t="n">
        <v>-0.1378086885</v>
      </c>
      <c r="I1390" s="7" t="n">
        <v>-0.9904473981</v>
      </c>
      <c r="J1390" s="7" t="n">
        <v>0.004766239016</v>
      </c>
      <c r="K1390" s="7" t="n">
        <v>0.9904470927</v>
      </c>
      <c r="L1390" s="7" t="n">
        <v>-0.1378289179</v>
      </c>
      <c r="M1390" s="7" t="n">
        <v>-0.004212594026</v>
      </c>
      <c r="N1390" s="7" t="n">
        <v>0.004829278358</v>
      </c>
      <c r="O1390" s="7" t="n">
        <v>0.004140175519</v>
      </c>
      <c r="P1390" s="7" t="n">
        <v>0.9999797683</v>
      </c>
      <c r="Q1390" s="7" t="n">
        <v>-14.01963034</v>
      </c>
      <c r="R1390" s="7" t="n">
        <v>12.39574176</v>
      </c>
      <c r="S1390" s="7" t="n">
        <v>0.3551611437</v>
      </c>
    </row>
    <row r="1391" customFormat="false" ht="15" hidden="false" customHeight="false" outlineLevel="0" collapsed="false">
      <c r="A1391" s="5" t="s">
        <v>4</v>
      </c>
      <c r="B1391" s="5" t="s">
        <v>81</v>
      </c>
      <c r="C1391" s="5" t="s">
        <v>62</v>
      </c>
      <c r="D1391" s="2" t="n">
        <v>12</v>
      </c>
      <c r="E1391" s="5" t="s">
        <v>165</v>
      </c>
      <c r="F1391" s="5" t="s">
        <v>167</v>
      </c>
      <c r="G1391" s="2" t="n">
        <v>1</v>
      </c>
      <c r="H1391" s="7" t="n">
        <v>-0.1378086885</v>
      </c>
      <c r="I1391" s="7" t="n">
        <v>-0.9904473981</v>
      </c>
      <c r="J1391" s="7" t="n">
        <v>0.004766239016</v>
      </c>
      <c r="K1391" s="7" t="n">
        <v>0.9904470927</v>
      </c>
      <c r="L1391" s="7" t="n">
        <v>-0.1378289179</v>
      </c>
      <c r="M1391" s="7" t="n">
        <v>-0.004212594026</v>
      </c>
      <c r="N1391" s="7" t="n">
        <v>0.004829278358</v>
      </c>
      <c r="O1391" s="7" t="n">
        <v>0.004140175519</v>
      </c>
      <c r="P1391" s="7" t="n">
        <v>0.9999797683</v>
      </c>
      <c r="Q1391" s="7" t="n">
        <v>-14.01963034</v>
      </c>
      <c r="R1391" s="7" t="n">
        <v>12.39574176</v>
      </c>
      <c r="S1391" s="7" t="n">
        <v>0.3551611437</v>
      </c>
    </row>
    <row r="1392" customFormat="false" ht="15" hidden="false" customHeight="false" outlineLevel="0" collapsed="false">
      <c r="A1392" s="5" t="s">
        <v>4</v>
      </c>
      <c r="B1392" s="5" t="s">
        <v>81</v>
      </c>
      <c r="C1392" s="5" t="s">
        <v>58</v>
      </c>
      <c r="D1392" s="2" t="n">
        <v>12</v>
      </c>
      <c r="E1392" s="5" t="s">
        <v>165</v>
      </c>
      <c r="F1392" s="5" t="s">
        <v>168</v>
      </c>
      <c r="G1392" s="2" t="n">
        <v>1</v>
      </c>
      <c r="H1392" s="7" t="n">
        <v>0.9763360299</v>
      </c>
      <c r="I1392" s="7" t="n">
        <v>-0.2162148921</v>
      </c>
      <c r="J1392" s="7" t="n">
        <v>0.004367752506</v>
      </c>
      <c r="K1392" s="7" t="n">
        <v>0.216238215</v>
      </c>
      <c r="L1392" s="7" t="n">
        <v>0.9763230821</v>
      </c>
      <c r="M1392" s="7" t="n">
        <v>-0.005854380876</v>
      </c>
      <c r="N1392" s="7" t="n">
        <v>-0.002998533259</v>
      </c>
      <c r="O1392" s="7" t="n">
        <v>0.006660317987</v>
      </c>
      <c r="P1392" s="7" t="n">
        <v>0.9999733241</v>
      </c>
      <c r="Q1392" s="7" t="n">
        <v>17.23632091</v>
      </c>
      <c r="R1392" s="7" t="n">
        <v>16.66395433</v>
      </c>
      <c r="S1392" s="7" t="n">
        <v>1.438263761</v>
      </c>
    </row>
    <row r="1393" customFormat="false" ht="15" hidden="false" customHeight="false" outlineLevel="0" collapsed="false">
      <c r="A1393" s="5" t="s">
        <v>4</v>
      </c>
      <c r="B1393" s="5" t="s">
        <v>81</v>
      </c>
      <c r="C1393" s="5" t="s">
        <v>62</v>
      </c>
      <c r="D1393" s="2" t="n">
        <v>12</v>
      </c>
      <c r="E1393" s="5" t="s">
        <v>165</v>
      </c>
      <c r="F1393" s="5" t="s">
        <v>168</v>
      </c>
      <c r="G1393" s="2" t="n">
        <v>1</v>
      </c>
      <c r="H1393" s="7" t="n">
        <v>0.9678279497</v>
      </c>
      <c r="I1393" s="7" t="n">
        <v>-0.1949620301</v>
      </c>
      <c r="J1393" s="7" t="n">
        <v>0.1590561745</v>
      </c>
      <c r="K1393" s="7" t="n">
        <v>0.1885387501</v>
      </c>
      <c r="L1393" s="7" t="n">
        <v>0.9805428898</v>
      </c>
      <c r="M1393" s="7" t="n">
        <v>0.05466974431</v>
      </c>
      <c r="N1393" s="7" t="n">
        <v>-0.1666199253</v>
      </c>
      <c r="O1393" s="7" t="n">
        <v>-0.02292265421</v>
      </c>
      <c r="P1393" s="7" t="n">
        <v>0.9857547121</v>
      </c>
      <c r="Q1393" s="7" t="n">
        <v>17.75545374</v>
      </c>
      <c r="R1393" s="7" t="n">
        <v>16.37925479</v>
      </c>
      <c r="S1393" s="7" t="n">
        <v>-1.90667992</v>
      </c>
    </row>
    <row r="1394" customFormat="false" ht="15" hidden="false" customHeight="false" outlineLevel="0" collapsed="false">
      <c r="A1394" s="5" t="s">
        <v>4</v>
      </c>
      <c r="B1394" s="5" t="s">
        <v>81</v>
      </c>
      <c r="C1394" s="5" t="s">
        <v>58</v>
      </c>
      <c r="D1394" s="2" t="n">
        <v>13</v>
      </c>
      <c r="E1394" s="5" t="s">
        <v>165</v>
      </c>
      <c r="F1394" s="5" t="s">
        <v>166</v>
      </c>
      <c r="G1394" s="2" t="n">
        <v>1</v>
      </c>
      <c r="H1394" s="7" t="n">
        <v>0.9967421637</v>
      </c>
      <c r="I1394" s="7" t="n">
        <v>0.08022393219</v>
      </c>
      <c r="J1394" s="7" t="n">
        <v>-0.008317435991</v>
      </c>
      <c r="K1394" s="7" t="n">
        <v>-0.08019328416</v>
      </c>
      <c r="L1394" s="7" t="n">
        <v>0.9967714836</v>
      </c>
      <c r="M1394" s="7" t="n">
        <v>0.003955587127</v>
      </c>
      <c r="N1394" s="7" t="n">
        <v>0.008607915766</v>
      </c>
      <c r="O1394" s="7" t="n">
        <v>-0.003275697963</v>
      </c>
      <c r="P1394" s="7" t="n">
        <v>0.9999575859</v>
      </c>
      <c r="Q1394" s="7" t="n">
        <v>14.36051571</v>
      </c>
      <c r="R1394" s="7" t="n">
        <v>5.833974384</v>
      </c>
      <c r="S1394" s="7" t="n">
        <v>0.7308735503</v>
      </c>
    </row>
    <row r="1395" customFormat="false" ht="15" hidden="false" customHeight="false" outlineLevel="0" collapsed="false">
      <c r="A1395" s="5" t="s">
        <v>4</v>
      </c>
      <c r="B1395" s="5" t="s">
        <v>81</v>
      </c>
      <c r="C1395" s="5" t="s">
        <v>62</v>
      </c>
      <c r="D1395" s="2" t="n">
        <v>13</v>
      </c>
      <c r="E1395" s="5" t="s">
        <v>165</v>
      </c>
      <c r="F1395" s="5" t="s">
        <v>166</v>
      </c>
      <c r="G1395" s="2" t="n">
        <v>1</v>
      </c>
      <c r="H1395" s="7" t="n">
        <v>0.9967421637</v>
      </c>
      <c r="I1395" s="7" t="n">
        <v>0.08022393219</v>
      </c>
      <c r="J1395" s="7" t="n">
        <v>-0.008317435991</v>
      </c>
      <c r="K1395" s="7" t="n">
        <v>-0.08019328416</v>
      </c>
      <c r="L1395" s="7" t="n">
        <v>0.9967714836</v>
      </c>
      <c r="M1395" s="7" t="n">
        <v>0.003955587127</v>
      </c>
      <c r="N1395" s="7" t="n">
        <v>0.008607915766</v>
      </c>
      <c r="O1395" s="7" t="n">
        <v>-0.003275697963</v>
      </c>
      <c r="P1395" s="7" t="n">
        <v>0.9999575859</v>
      </c>
      <c r="Q1395" s="7" t="n">
        <v>14.36051571</v>
      </c>
      <c r="R1395" s="7" t="n">
        <v>5.833974384</v>
      </c>
      <c r="S1395" s="7" t="n">
        <v>0.7308735503</v>
      </c>
    </row>
    <row r="1396" customFormat="false" ht="15" hidden="false" customHeight="false" outlineLevel="0" collapsed="false">
      <c r="A1396" s="5" t="s">
        <v>4</v>
      </c>
      <c r="B1396" s="5" t="s">
        <v>81</v>
      </c>
      <c r="C1396" s="5" t="s">
        <v>58</v>
      </c>
      <c r="D1396" s="2" t="n">
        <v>13</v>
      </c>
      <c r="E1396" s="5" t="s">
        <v>165</v>
      </c>
      <c r="F1396" s="5" t="s">
        <v>167</v>
      </c>
      <c r="G1396" s="2" t="n">
        <v>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</row>
    <row r="1397" customFormat="false" ht="15" hidden="false" customHeight="false" outlineLevel="0" collapsed="false">
      <c r="A1397" s="5" t="s">
        <v>4</v>
      </c>
      <c r="B1397" s="5" t="s">
        <v>81</v>
      </c>
      <c r="C1397" s="5" t="s">
        <v>62</v>
      </c>
      <c r="D1397" s="2" t="n">
        <v>13</v>
      </c>
      <c r="E1397" s="5" t="s">
        <v>165</v>
      </c>
      <c r="F1397" s="5" t="s">
        <v>167</v>
      </c>
      <c r="G1397" s="2" t="n">
        <v>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</row>
    <row r="1398" customFormat="false" ht="15" hidden="false" customHeight="false" outlineLevel="0" collapsed="false">
      <c r="A1398" s="5" t="s">
        <v>4</v>
      </c>
      <c r="B1398" s="5" t="s">
        <v>81</v>
      </c>
      <c r="C1398" s="5" t="s">
        <v>58</v>
      </c>
      <c r="D1398" s="2" t="n">
        <v>13</v>
      </c>
      <c r="E1398" s="5" t="s">
        <v>165</v>
      </c>
      <c r="F1398" s="5" t="s">
        <v>168</v>
      </c>
      <c r="G1398" s="2" t="n">
        <v>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</row>
    <row r="1399" customFormat="false" ht="15" hidden="false" customHeight="false" outlineLevel="0" collapsed="false">
      <c r="A1399" s="5" t="s">
        <v>4</v>
      </c>
      <c r="B1399" s="5" t="s">
        <v>81</v>
      </c>
      <c r="C1399" s="5" t="s">
        <v>62</v>
      </c>
      <c r="D1399" s="2" t="n">
        <v>13</v>
      </c>
      <c r="E1399" s="5" t="s">
        <v>165</v>
      </c>
      <c r="F1399" s="5" t="s">
        <v>168</v>
      </c>
      <c r="G1399" s="2" t="n">
        <v>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</row>
    <row r="1400" customFormat="false" ht="15" hidden="false" customHeight="false" outlineLevel="0" collapsed="false">
      <c r="A1400" s="5" t="s">
        <v>4</v>
      </c>
      <c r="B1400" s="5" t="s">
        <v>81</v>
      </c>
      <c r="C1400" s="5" t="s">
        <v>58</v>
      </c>
      <c r="D1400" s="2" t="n">
        <v>14</v>
      </c>
      <c r="E1400" s="5" t="s">
        <v>165</v>
      </c>
      <c r="F1400" s="5" t="s">
        <v>166</v>
      </c>
      <c r="G1400" s="2" t="n">
        <v>1</v>
      </c>
      <c r="H1400" s="7" t="n">
        <v>0.9966668286</v>
      </c>
      <c r="I1400" s="7" t="n">
        <v>0.0802540233</v>
      </c>
      <c r="J1400" s="7" t="n">
        <v>-0.01464665208</v>
      </c>
      <c r="K1400" s="7" t="n">
        <v>-0.08016289112</v>
      </c>
      <c r="L1400" s="7" t="n">
        <v>0.9967592089</v>
      </c>
      <c r="M1400" s="7" t="n">
        <v>0.006707492333</v>
      </c>
      <c r="N1400" s="7" t="n">
        <v>0.01513748858</v>
      </c>
      <c r="O1400" s="7" t="n">
        <v>-0.005511017136</v>
      </c>
      <c r="P1400" s="7" t="n">
        <v>0.9998702341</v>
      </c>
      <c r="Q1400" s="7" t="n">
        <v>14.35941226</v>
      </c>
      <c r="R1400" s="7" t="n">
        <v>5.86941644</v>
      </c>
      <c r="S1400" s="7" t="n">
        <v>0.7452163353</v>
      </c>
    </row>
    <row r="1401" customFormat="false" ht="15" hidden="false" customHeight="false" outlineLevel="0" collapsed="false">
      <c r="A1401" s="5" t="s">
        <v>4</v>
      </c>
      <c r="B1401" s="5" t="s">
        <v>81</v>
      </c>
      <c r="C1401" s="5" t="s">
        <v>62</v>
      </c>
      <c r="D1401" s="2" t="n">
        <v>14</v>
      </c>
      <c r="E1401" s="5" t="s">
        <v>165</v>
      </c>
      <c r="F1401" s="5" t="s">
        <v>166</v>
      </c>
      <c r="G1401" s="2" t="n">
        <v>1</v>
      </c>
      <c r="H1401" s="7" t="n">
        <v>0.9966668286</v>
      </c>
      <c r="I1401" s="7" t="n">
        <v>0.0802540233</v>
      </c>
      <c r="J1401" s="7" t="n">
        <v>-0.01464665208</v>
      </c>
      <c r="K1401" s="7" t="n">
        <v>-0.08016289112</v>
      </c>
      <c r="L1401" s="7" t="n">
        <v>0.9967592089</v>
      </c>
      <c r="M1401" s="7" t="n">
        <v>0.006707492333</v>
      </c>
      <c r="N1401" s="7" t="n">
        <v>0.01513748858</v>
      </c>
      <c r="O1401" s="7" t="n">
        <v>-0.005511017136</v>
      </c>
      <c r="P1401" s="7" t="n">
        <v>0.9998702341</v>
      </c>
      <c r="Q1401" s="7" t="n">
        <v>14.35941226</v>
      </c>
      <c r="R1401" s="7" t="n">
        <v>5.86941644</v>
      </c>
      <c r="S1401" s="7" t="n">
        <v>0.7452163353</v>
      </c>
    </row>
    <row r="1402" customFormat="false" ht="15" hidden="false" customHeight="false" outlineLevel="0" collapsed="false">
      <c r="A1402" s="5" t="s">
        <v>4</v>
      </c>
      <c r="B1402" s="5" t="s">
        <v>81</v>
      </c>
      <c r="C1402" s="5" t="s">
        <v>58</v>
      </c>
      <c r="D1402" s="2" t="n">
        <v>14</v>
      </c>
      <c r="E1402" s="5" t="s">
        <v>165</v>
      </c>
      <c r="F1402" s="5" t="s">
        <v>167</v>
      </c>
      <c r="G1402" s="2" t="n">
        <v>1</v>
      </c>
      <c r="H1402" s="7" t="n">
        <v>-0.1354083655</v>
      </c>
      <c r="I1402" s="7" t="n">
        <v>-0.9907842568</v>
      </c>
      <c r="J1402" s="7" t="n">
        <v>-0.003336310835</v>
      </c>
      <c r="K1402" s="7" t="n">
        <v>0.9907823143</v>
      </c>
      <c r="L1402" s="7" t="n">
        <v>-0.1353934105</v>
      </c>
      <c r="M1402" s="7" t="n">
        <v>-0.004362345972</v>
      </c>
      <c r="N1402" s="7" t="n">
        <v>0.003870429209</v>
      </c>
      <c r="O1402" s="7" t="n">
        <v>-0.003896255908</v>
      </c>
      <c r="P1402" s="7" t="n">
        <v>0.9999849194</v>
      </c>
      <c r="Q1402" s="7" t="n">
        <v>-13.96984386</v>
      </c>
      <c r="R1402" s="7" t="n">
        <v>12.4134847</v>
      </c>
      <c r="S1402" s="7" t="n">
        <v>0.2403094951</v>
      </c>
    </row>
    <row r="1403" customFormat="false" ht="15" hidden="false" customHeight="false" outlineLevel="0" collapsed="false">
      <c r="A1403" s="5" t="s">
        <v>4</v>
      </c>
      <c r="B1403" s="5" t="s">
        <v>81</v>
      </c>
      <c r="C1403" s="5" t="s">
        <v>62</v>
      </c>
      <c r="D1403" s="2" t="n">
        <v>14</v>
      </c>
      <c r="E1403" s="5" t="s">
        <v>165</v>
      </c>
      <c r="F1403" s="5" t="s">
        <v>167</v>
      </c>
      <c r="G1403" s="2" t="n">
        <v>1</v>
      </c>
      <c r="H1403" s="7" t="n">
        <v>-0.1354083655</v>
      </c>
      <c r="I1403" s="7" t="n">
        <v>-0.9907842568</v>
      </c>
      <c r="J1403" s="7" t="n">
        <v>-0.003336310835</v>
      </c>
      <c r="K1403" s="7" t="n">
        <v>0.9907823143</v>
      </c>
      <c r="L1403" s="7" t="n">
        <v>-0.1353934105</v>
      </c>
      <c r="M1403" s="7" t="n">
        <v>-0.004362345972</v>
      </c>
      <c r="N1403" s="7" t="n">
        <v>0.003870429209</v>
      </c>
      <c r="O1403" s="7" t="n">
        <v>-0.003896255908</v>
      </c>
      <c r="P1403" s="7" t="n">
        <v>0.9999849194</v>
      </c>
      <c r="Q1403" s="7" t="n">
        <v>-13.96984386</v>
      </c>
      <c r="R1403" s="7" t="n">
        <v>12.4134847</v>
      </c>
      <c r="S1403" s="7" t="n">
        <v>0.2403094951</v>
      </c>
    </row>
    <row r="1404" customFormat="false" ht="15" hidden="false" customHeight="false" outlineLevel="0" collapsed="false">
      <c r="A1404" s="5" t="s">
        <v>4</v>
      </c>
      <c r="B1404" s="5" t="s">
        <v>81</v>
      </c>
      <c r="C1404" s="5" t="s">
        <v>58</v>
      </c>
      <c r="D1404" s="2" t="n">
        <v>14</v>
      </c>
      <c r="E1404" s="5" t="s">
        <v>165</v>
      </c>
      <c r="F1404" s="5" t="s">
        <v>168</v>
      </c>
      <c r="G1404" s="2" t="n">
        <v>1</v>
      </c>
      <c r="H1404" s="7" t="n">
        <v>0.976658572</v>
      </c>
      <c r="I1404" s="7" t="n">
        <v>-0.2146170624</v>
      </c>
      <c r="J1404" s="7" t="n">
        <v>0.008806263261</v>
      </c>
      <c r="K1404" s="7" t="n">
        <v>0.2145676756</v>
      </c>
      <c r="L1404" s="7" t="n">
        <v>0.976689282</v>
      </c>
      <c r="M1404" s="7" t="n">
        <v>0.006225676827</v>
      </c>
      <c r="N1404" s="7" t="n">
        <v>-0.009937119414</v>
      </c>
      <c r="O1404" s="7" t="n">
        <v>-0.004190821202</v>
      </c>
      <c r="P1404" s="7" t="n">
        <v>0.9999418436</v>
      </c>
      <c r="Q1404" s="7" t="n">
        <v>17.28826692</v>
      </c>
      <c r="R1404" s="7" t="n">
        <v>16.64858672</v>
      </c>
      <c r="S1404" s="7" t="n">
        <v>1.033701618</v>
      </c>
    </row>
    <row r="1405" customFormat="false" ht="15" hidden="false" customHeight="false" outlineLevel="0" collapsed="false">
      <c r="A1405" s="5" t="s">
        <v>4</v>
      </c>
      <c r="B1405" s="5" t="s">
        <v>81</v>
      </c>
      <c r="C1405" s="5" t="s">
        <v>62</v>
      </c>
      <c r="D1405" s="2" t="n">
        <v>14</v>
      </c>
      <c r="E1405" s="5" t="s">
        <v>165</v>
      </c>
      <c r="F1405" s="5" t="s">
        <v>168</v>
      </c>
      <c r="G1405" s="2" t="n">
        <v>1</v>
      </c>
      <c r="H1405" s="7" t="n">
        <v>0.976658572</v>
      </c>
      <c r="I1405" s="7" t="n">
        <v>-0.2146170624</v>
      </c>
      <c r="J1405" s="7" t="n">
        <v>0.008806263261</v>
      </c>
      <c r="K1405" s="7" t="n">
        <v>0.2145676756</v>
      </c>
      <c r="L1405" s="7" t="n">
        <v>0.976689282</v>
      </c>
      <c r="M1405" s="7" t="n">
        <v>0.006225676827</v>
      </c>
      <c r="N1405" s="7" t="n">
        <v>-0.009937119414</v>
      </c>
      <c r="O1405" s="7" t="n">
        <v>-0.004190821202</v>
      </c>
      <c r="P1405" s="7" t="n">
        <v>0.9999418436</v>
      </c>
      <c r="Q1405" s="7" t="n">
        <v>17.28826692</v>
      </c>
      <c r="R1405" s="7" t="n">
        <v>16.64858672</v>
      </c>
      <c r="S1405" s="7" t="n">
        <v>1.033701618</v>
      </c>
    </row>
    <row r="1406" customFormat="false" ht="15" hidden="false" customHeight="false" outlineLevel="0" collapsed="false">
      <c r="A1406" s="5" t="s">
        <v>4</v>
      </c>
      <c r="B1406" s="5" t="s">
        <v>81</v>
      </c>
      <c r="C1406" s="5" t="s">
        <v>58</v>
      </c>
      <c r="D1406" s="2" t="n">
        <v>15</v>
      </c>
      <c r="E1406" s="5" t="s">
        <v>165</v>
      </c>
      <c r="F1406" s="5" t="s">
        <v>166</v>
      </c>
      <c r="G1406" s="2" t="n">
        <v>1</v>
      </c>
      <c r="H1406" s="7" t="n">
        <v>0.9966645948</v>
      </c>
      <c r="I1406" s="7" t="n">
        <v>0.08127524939</v>
      </c>
      <c r="J1406" s="7" t="n">
        <v>-0.007349776624</v>
      </c>
      <c r="K1406" s="7" t="n">
        <v>-0.0812584263</v>
      </c>
      <c r="L1406" s="7" t="n">
        <v>0.9966897791</v>
      </c>
      <c r="M1406" s="7" t="n">
        <v>0.00255978264</v>
      </c>
      <c r="N1406" s="7" t="n">
        <v>0.007533494211</v>
      </c>
      <c r="O1406" s="7" t="n">
        <v>-0.001954013445</v>
      </c>
      <c r="P1406" s="7" t="n">
        <v>0.9999697137</v>
      </c>
      <c r="Q1406" s="7" t="n">
        <v>14.37015009</v>
      </c>
      <c r="R1406" s="7" t="n">
        <v>5.836239091</v>
      </c>
      <c r="S1406" s="7" t="n">
        <v>0.7440926859</v>
      </c>
    </row>
    <row r="1407" customFormat="false" ht="15" hidden="false" customHeight="false" outlineLevel="0" collapsed="false">
      <c r="A1407" s="5" t="s">
        <v>4</v>
      </c>
      <c r="B1407" s="5" t="s">
        <v>81</v>
      </c>
      <c r="C1407" s="5" t="s">
        <v>62</v>
      </c>
      <c r="D1407" s="2" t="n">
        <v>15</v>
      </c>
      <c r="E1407" s="5" t="s">
        <v>165</v>
      </c>
      <c r="F1407" s="5" t="s">
        <v>166</v>
      </c>
      <c r="G1407" s="2" t="n">
        <v>1</v>
      </c>
      <c r="H1407" s="7" t="n">
        <v>0.9966645948</v>
      </c>
      <c r="I1407" s="7" t="n">
        <v>0.08127524939</v>
      </c>
      <c r="J1407" s="7" t="n">
        <v>-0.007349776624</v>
      </c>
      <c r="K1407" s="7" t="n">
        <v>-0.0812584263</v>
      </c>
      <c r="L1407" s="7" t="n">
        <v>0.9966897791</v>
      </c>
      <c r="M1407" s="7" t="n">
        <v>0.00255978264</v>
      </c>
      <c r="N1407" s="7" t="n">
        <v>0.007533494211</v>
      </c>
      <c r="O1407" s="7" t="n">
        <v>-0.001954013445</v>
      </c>
      <c r="P1407" s="7" t="n">
        <v>0.9999697137</v>
      </c>
      <c r="Q1407" s="7" t="n">
        <v>14.37015009</v>
      </c>
      <c r="R1407" s="7" t="n">
        <v>5.836239091</v>
      </c>
      <c r="S1407" s="7" t="n">
        <v>0.7440926859</v>
      </c>
    </row>
    <row r="1408" customFormat="false" ht="15" hidden="false" customHeight="false" outlineLevel="0" collapsed="false">
      <c r="A1408" s="5" t="s">
        <v>4</v>
      </c>
      <c r="B1408" s="5" t="s">
        <v>81</v>
      </c>
      <c r="C1408" s="5" t="s">
        <v>58</v>
      </c>
      <c r="D1408" s="2" t="n">
        <v>15</v>
      </c>
      <c r="E1408" s="5" t="s">
        <v>165</v>
      </c>
      <c r="F1408" s="5" t="s">
        <v>167</v>
      </c>
      <c r="G1408" s="2" t="n">
        <v>1</v>
      </c>
      <c r="H1408" s="7" t="n">
        <v>-0.1369149201</v>
      </c>
      <c r="I1408" s="7" t="n">
        <v>-0.9905738056</v>
      </c>
      <c r="J1408" s="7" t="n">
        <v>0.004223777267</v>
      </c>
      <c r="K1408" s="7" t="n">
        <v>0.990567787</v>
      </c>
      <c r="L1408" s="7" t="n">
        <v>-0.1369350826</v>
      </c>
      <c r="M1408" s="7" t="n">
        <v>-0.004923661133</v>
      </c>
      <c r="N1408" s="7" t="n">
        <v>0.005455633035</v>
      </c>
      <c r="O1408" s="7" t="n">
        <v>0.00350981503</v>
      </c>
      <c r="P1408" s="7" t="n">
        <v>0.9999789584</v>
      </c>
      <c r="Q1408" s="7" t="n">
        <v>-13.99849165</v>
      </c>
      <c r="R1408" s="7" t="n">
        <v>12.37716429</v>
      </c>
      <c r="S1408" s="7" t="n">
        <v>0.3849221769</v>
      </c>
    </row>
    <row r="1409" customFormat="false" ht="15" hidden="false" customHeight="false" outlineLevel="0" collapsed="false">
      <c r="A1409" s="5" t="s">
        <v>4</v>
      </c>
      <c r="B1409" s="5" t="s">
        <v>81</v>
      </c>
      <c r="C1409" s="5" t="s">
        <v>62</v>
      </c>
      <c r="D1409" s="2" t="n">
        <v>15</v>
      </c>
      <c r="E1409" s="5" t="s">
        <v>165</v>
      </c>
      <c r="F1409" s="5" t="s">
        <v>167</v>
      </c>
      <c r="G1409" s="2" t="n">
        <v>1</v>
      </c>
      <c r="H1409" s="7" t="n">
        <v>-0.1369149201</v>
      </c>
      <c r="I1409" s="7" t="n">
        <v>-0.9905738056</v>
      </c>
      <c r="J1409" s="7" t="n">
        <v>0.004223777267</v>
      </c>
      <c r="K1409" s="7" t="n">
        <v>0.990567787</v>
      </c>
      <c r="L1409" s="7" t="n">
        <v>-0.1369350826</v>
      </c>
      <c r="M1409" s="7" t="n">
        <v>-0.004923661133</v>
      </c>
      <c r="N1409" s="7" t="n">
        <v>0.005455633035</v>
      </c>
      <c r="O1409" s="7" t="n">
        <v>0.00350981503</v>
      </c>
      <c r="P1409" s="7" t="n">
        <v>0.9999789584</v>
      </c>
      <c r="Q1409" s="7" t="n">
        <v>-13.99849165</v>
      </c>
      <c r="R1409" s="7" t="n">
        <v>12.37716429</v>
      </c>
      <c r="S1409" s="7" t="n">
        <v>0.3849221769</v>
      </c>
    </row>
    <row r="1410" customFormat="false" ht="15" hidden="false" customHeight="false" outlineLevel="0" collapsed="false">
      <c r="A1410" s="5" t="s">
        <v>4</v>
      </c>
      <c r="B1410" s="5" t="s">
        <v>81</v>
      </c>
      <c r="C1410" s="5" t="s">
        <v>58</v>
      </c>
      <c r="D1410" s="2" t="n">
        <v>15</v>
      </c>
      <c r="E1410" s="5" t="s">
        <v>165</v>
      </c>
      <c r="F1410" s="5" t="s">
        <v>168</v>
      </c>
      <c r="G1410" s="2" t="n">
        <v>1</v>
      </c>
      <c r="H1410" s="7" t="n">
        <v>0.9762532809</v>
      </c>
      <c r="I1410" s="7" t="n">
        <v>-0.2166049235</v>
      </c>
      <c r="J1410" s="7" t="n">
        <v>0.00344074374</v>
      </c>
      <c r="K1410" s="7" t="n">
        <v>0.2166316478</v>
      </c>
      <c r="L1410" s="7" t="n">
        <v>0.9761648644</v>
      </c>
      <c r="M1410" s="7" t="n">
        <v>-0.01314863586</v>
      </c>
      <c r="N1410" s="7" t="n">
        <v>-0.0005106738822</v>
      </c>
      <c r="O1410" s="7" t="n">
        <v>0.01358177288</v>
      </c>
      <c r="P1410" s="7" t="n">
        <v>0.9999076331</v>
      </c>
      <c r="Q1410" s="7" t="n">
        <v>17.23141827</v>
      </c>
      <c r="R1410" s="7" t="n">
        <v>16.64495669</v>
      </c>
      <c r="S1410" s="7" t="n">
        <v>1.639210086</v>
      </c>
    </row>
    <row r="1411" customFormat="false" ht="15" hidden="false" customHeight="false" outlineLevel="0" collapsed="false">
      <c r="A1411" s="5" t="s">
        <v>4</v>
      </c>
      <c r="B1411" s="5" t="s">
        <v>81</v>
      </c>
      <c r="C1411" s="5" t="s">
        <v>62</v>
      </c>
      <c r="D1411" s="2" t="n">
        <v>15</v>
      </c>
      <c r="E1411" s="5" t="s">
        <v>165</v>
      </c>
      <c r="F1411" s="5" t="s">
        <v>168</v>
      </c>
      <c r="G1411" s="2" t="n">
        <v>1</v>
      </c>
      <c r="H1411" s="7" t="n">
        <v>0.9762532809</v>
      </c>
      <c r="I1411" s="7" t="n">
        <v>-0.2166049235</v>
      </c>
      <c r="J1411" s="7" t="n">
        <v>0.00344074374</v>
      </c>
      <c r="K1411" s="7" t="n">
        <v>0.2166316478</v>
      </c>
      <c r="L1411" s="7" t="n">
        <v>0.9761648644</v>
      </c>
      <c r="M1411" s="7" t="n">
        <v>-0.01314863586</v>
      </c>
      <c r="N1411" s="7" t="n">
        <v>-0.0005106738822</v>
      </c>
      <c r="O1411" s="7" t="n">
        <v>0.01358177288</v>
      </c>
      <c r="P1411" s="7" t="n">
        <v>0.9999076331</v>
      </c>
      <c r="Q1411" s="7" t="n">
        <v>17.23141827</v>
      </c>
      <c r="R1411" s="7" t="n">
        <v>16.64495669</v>
      </c>
      <c r="S1411" s="7" t="n">
        <v>1.639210086</v>
      </c>
    </row>
    <row r="1412" customFormat="false" ht="15" hidden="false" customHeight="false" outlineLevel="0" collapsed="false">
      <c r="A1412" s="5" t="s">
        <v>4</v>
      </c>
      <c r="B1412" s="5" t="s">
        <v>81</v>
      </c>
      <c r="C1412" s="5" t="s">
        <v>58</v>
      </c>
      <c r="D1412" s="2" t="n">
        <v>16</v>
      </c>
      <c r="E1412" s="5" t="s">
        <v>165</v>
      </c>
      <c r="F1412" s="5" t="s">
        <v>166</v>
      </c>
      <c r="G1412" s="2" t="n">
        <v>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</row>
    <row r="1413" customFormat="false" ht="15" hidden="false" customHeight="false" outlineLevel="0" collapsed="false">
      <c r="A1413" s="5" t="s">
        <v>4</v>
      </c>
      <c r="B1413" s="5" t="s">
        <v>81</v>
      </c>
      <c r="C1413" s="5" t="s">
        <v>62</v>
      </c>
      <c r="D1413" s="2" t="n">
        <v>16</v>
      </c>
      <c r="E1413" s="5" t="s">
        <v>165</v>
      </c>
      <c r="F1413" s="5" t="s">
        <v>166</v>
      </c>
      <c r="G1413" s="2" t="n">
        <v>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</row>
    <row r="1414" customFormat="false" ht="15" hidden="false" customHeight="false" outlineLevel="0" collapsed="false">
      <c r="A1414" s="5" t="s">
        <v>4</v>
      </c>
      <c r="B1414" s="5" t="s">
        <v>81</v>
      </c>
      <c r="C1414" s="5" t="s">
        <v>58</v>
      </c>
      <c r="D1414" s="2" t="n">
        <v>16</v>
      </c>
      <c r="E1414" s="5" t="s">
        <v>165</v>
      </c>
      <c r="F1414" s="5" t="s">
        <v>167</v>
      </c>
      <c r="G1414" s="2" t="n">
        <v>1</v>
      </c>
      <c r="H1414" s="7" t="n">
        <v>-0.13499515</v>
      </c>
      <c r="I1414" s="7" t="n">
        <v>-0.9908434489</v>
      </c>
      <c r="J1414" s="7" t="n">
        <v>0.002359922563</v>
      </c>
      <c r="K1414" s="7" t="n">
        <v>0.9908082016</v>
      </c>
      <c r="L1414" s="7" t="n">
        <v>-0.1350104568</v>
      </c>
      <c r="M1414" s="7" t="n">
        <v>-0.008443002688</v>
      </c>
      <c r="N1414" s="7" t="n">
        <v>0.008684308125</v>
      </c>
      <c r="O1414" s="7" t="n">
        <v>0.001198466216</v>
      </c>
      <c r="P1414" s="7" t="n">
        <v>0.9999615725</v>
      </c>
      <c r="Q1414" s="7" t="n">
        <v>-13.99035488</v>
      </c>
      <c r="R1414" s="7" t="n">
        <v>12.39909343</v>
      </c>
      <c r="S1414" s="7" t="n">
        <v>0.3298158764</v>
      </c>
    </row>
    <row r="1415" customFormat="false" ht="15" hidden="false" customHeight="false" outlineLevel="0" collapsed="false">
      <c r="A1415" s="5" t="s">
        <v>4</v>
      </c>
      <c r="B1415" s="5" t="s">
        <v>81</v>
      </c>
      <c r="C1415" s="5" t="s">
        <v>62</v>
      </c>
      <c r="D1415" s="2" t="n">
        <v>16</v>
      </c>
      <c r="E1415" s="5" t="s">
        <v>165</v>
      </c>
      <c r="F1415" s="5" t="s">
        <v>167</v>
      </c>
      <c r="G1415" s="2" t="n">
        <v>1</v>
      </c>
      <c r="H1415" s="7" t="n">
        <v>-0.13499515</v>
      </c>
      <c r="I1415" s="7" t="n">
        <v>-0.9908434489</v>
      </c>
      <c r="J1415" s="7" t="n">
        <v>0.002359922563</v>
      </c>
      <c r="K1415" s="7" t="n">
        <v>0.9908082016</v>
      </c>
      <c r="L1415" s="7" t="n">
        <v>-0.1350104568</v>
      </c>
      <c r="M1415" s="7" t="n">
        <v>-0.008443002688</v>
      </c>
      <c r="N1415" s="7" t="n">
        <v>0.008684308125</v>
      </c>
      <c r="O1415" s="7" t="n">
        <v>0.001198466216</v>
      </c>
      <c r="P1415" s="7" t="n">
        <v>0.9999615725</v>
      </c>
      <c r="Q1415" s="7" t="n">
        <v>-13.99035488</v>
      </c>
      <c r="R1415" s="7" t="n">
        <v>12.39909343</v>
      </c>
      <c r="S1415" s="7" t="n">
        <v>0.3298158764</v>
      </c>
    </row>
    <row r="1416" customFormat="false" ht="15" hidden="false" customHeight="false" outlineLevel="0" collapsed="false">
      <c r="A1416" s="5" t="s">
        <v>4</v>
      </c>
      <c r="B1416" s="5" t="s">
        <v>81</v>
      </c>
      <c r="C1416" s="5" t="s">
        <v>58</v>
      </c>
      <c r="D1416" s="2" t="n">
        <v>16</v>
      </c>
      <c r="E1416" s="5" t="s">
        <v>165</v>
      </c>
      <c r="F1416" s="5" t="s">
        <v>168</v>
      </c>
      <c r="G1416" s="2" t="n">
        <v>1</v>
      </c>
      <c r="H1416" s="7" t="n">
        <v>0.976378604</v>
      </c>
      <c r="I1416" s="7" t="n">
        <v>-0.2160651056</v>
      </c>
      <c r="J1416" s="7" t="n">
        <v>0.0008316905412</v>
      </c>
      <c r="K1416" s="7" t="n">
        <v>0.2160618094</v>
      </c>
      <c r="L1416" s="7" t="n">
        <v>0.9763233274</v>
      </c>
      <c r="M1416" s="7" t="n">
        <v>-0.01049070833</v>
      </c>
      <c r="N1416" s="7" t="n">
        <v>0.001454677126</v>
      </c>
      <c r="O1416" s="7" t="n">
        <v>0.01042259971</v>
      </c>
      <c r="P1416" s="7" t="n">
        <v>0.9999446251</v>
      </c>
      <c r="Q1416" s="7" t="n">
        <v>17.21490421</v>
      </c>
      <c r="R1416" s="7" t="n">
        <v>16.66249763</v>
      </c>
      <c r="S1416" s="7" t="n">
        <v>1.623197349</v>
      </c>
    </row>
    <row r="1417" customFormat="false" ht="15" hidden="false" customHeight="false" outlineLevel="0" collapsed="false">
      <c r="A1417" s="5" t="s">
        <v>4</v>
      </c>
      <c r="B1417" s="5" t="s">
        <v>81</v>
      </c>
      <c r="C1417" s="5" t="s">
        <v>62</v>
      </c>
      <c r="D1417" s="2" t="n">
        <v>16</v>
      </c>
      <c r="E1417" s="5" t="s">
        <v>165</v>
      </c>
      <c r="F1417" s="5" t="s">
        <v>168</v>
      </c>
      <c r="G1417" s="2" t="n">
        <v>1</v>
      </c>
      <c r="H1417" s="7" t="n">
        <v>0.976378604</v>
      </c>
      <c r="I1417" s="7" t="n">
        <v>-0.2160651056</v>
      </c>
      <c r="J1417" s="7" t="n">
        <v>0.0008316905412</v>
      </c>
      <c r="K1417" s="7" t="n">
        <v>0.2160618094</v>
      </c>
      <c r="L1417" s="7" t="n">
        <v>0.9763233274</v>
      </c>
      <c r="M1417" s="7" t="n">
        <v>-0.01049070833</v>
      </c>
      <c r="N1417" s="7" t="n">
        <v>0.001454677126</v>
      </c>
      <c r="O1417" s="7" t="n">
        <v>0.01042259971</v>
      </c>
      <c r="P1417" s="7" t="n">
        <v>0.9999446251</v>
      </c>
      <c r="Q1417" s="7" t="n">
        <v>17.21490421</v>
      </c>
      <c r="R1417" s="7" t="n">
        <v>16.66249763</v>
      </c>
      <c r="S1417" s="7" t="n">
        <v>1.623197349</v>
      </c>
    </row>
    <row r="1418" customFormat="false" ht="15" hidden="false" customHeight="false" outlineLevel="0" collapsed="false">
      <c r="A1418" s="5" t="s">
        <v>4</v>
      </c>
      <c r="B1418" s="5" t="s">
        <v>81</v>
      </c>
      <c r="C1418" s="5" t="s">
        <v>58</v>
      </c>
      <c r="D1418" s="2" t="n">
        <v>17</v>
      </c>
      <c r="E1418" s="5" t="s">
        <v>165</v>
      </c>
      <c r="F1418" s="5" t="s">
        <v>166</v>
      </c>
      <c r="G1418" s="2" t="n">
        <v>1</v>
      </c>
      <c r="H1418" s="7" t="n">
        <v>0.9965483471</v>
      </c>
      <c r="I1418" s="7" t="n">
        <v>0.0820059941</v>
      </c>
      <c r="J1418" s="7" t="n">
        <v>-0.01289995186</v>
      </c>
      <c r="K1418" s="7" t="n">
        <v>-0.08203007892</v>
      </c>
      <c r="L1418" s="7" t="n">
        <v>0.9966289422</v>
      </c>
      <c r="M1418" s="7" t="n">
        <v>-0.001348254225</v>
      </c>
      <c r="N1418" s="7" t="n">
        <v>0.01274590044</v>
      </c>
      <c r="O1418" s="7" t="n">
        <v>0.002401784589</v>
      </c>
      <c r="P1418" s="7" t="n">
        <v>0.9999158832</v>
      </c>
      <c r="Q1418" s="7" t="n">
        <v>14.35766674</v>
      </c>
      <c r="R1418" s="7" t="n">
        <v>5.831363954</v>
      </c>
      <c r="S1418" s="7" t="n">
        <v>0.8317981631</v>
      </c>
    </row>
    <row r="1419" customFormat="false" ht="15" hidden="false" customHeight="false" outlineLevel="0" collapsed="false">
      <c r="A1419" s="5" t="s">
        <v>4</v>
      </c>
      <c r="B1419" s="5" t="s">
        <v>81</v>
      </c>
      <c r="C1419" s="5" t="s">
        <v>62</v>
      </c>
      <c r="D1419" s="2" t="n">
        <v>17</v>
      </c>
      <c r="E1419" s="5" t="s">
        <v>165</v>
      </c>
      <c r="F1419" s="5" t="s">
        <v>166</v>
      </c>
      <c r="G1419" s="2" t="n">
        <v>1</v>
      </c>
      <c r="H1419" s="7" t="n">
        <v>0.9965483471</v>
      </c>
      <c r="I1419" s="7" t="n">
        <v>0.0820059941</v>
      </c>
      <c r="J1419" s="7" t="n">
        <v>-0.01289995186</v>
      </c>
      <c r="K1419" s="7" t="n">
        <v>-0.08203007892</v>
      </c>
      <c r="L1419" s="7" t="n">
        <v>0.9966289422</v>
      </c>
      <c r="M1419" s="7" t="n">
        <v>-0.001348254225</v>
      </c>
      <c r="N1419" s="7" t="n">
        <v>0.01274590044</v>
      </c>
      <c r="O1419" s="7" t="n">
        <v>0.002401784589</v>
      </c>
      <c r="P1419" s="7" t="n">
        <v>0.9999158832</v>
      </c>
      <c r="Q1419" s="7" t="n">
        <v>14.35766674</v>
      </c>
      <c r="R1419" s="7" t="n">
        <v>5.831363954</v>
      </c>
      <c r="S1419" s="7" t="n">
        <v>0.8317981631</v>
      </c>
    </row>
    <row r="1420" customFormat="false" ht="15" hidden="false" customHeight="false" outlineLevel="0" collapsed="false">
      <c r="A1420" s="5" t="s">
        <v>4</v>
      </c>
      <c r="B1420" s="5" t="s">
        <v>81</v>
      </c>
      <c r="C1420" s="5" t="s">
        <v>58</v>
      </c>
      <c r="D1420" s="2" t="n">
        <v>17</v>
      </c>
      <c r="E1420" s="5" t="s">
        <v>165</v>
      </c>
      <c r="F1420" s="5" t="s">
        <v>167</v>
      </c>
      <c r="G1420" s="2" t="n">
        <v>1</v>
      </c>
      <c r="H1420" s="7" t="n">
        <v>-0.1353400154</v>
      </c>
      <c r="I1420" s="7" t="n">
        <v>-0.9907733186</v>
      </c>
      <c r="J1420" s="7" t="n">
        <v>0.007163194268</v>
      </c>
      <c r="K1420" s="7" t="n">
        <v>0.9907692659</v>
      </c>
      <c r="L1420" s="7" t="n">
        <v>-0.1353885981</v>
      </c>
      <c r="M1420" s="7" t="n">
        <v>-0.006796264329</v>
      </c>
      <c r="N1420" s="7" t="n">
        <v>0.007703372193</v>
      </c>
      <c r="O1420" s="7" t="n">
        <v>0.006177266208</v>
      </c>
      <c r="P1420" s="7" t="n">
        <v>0.9999512485</v>
      </c>
      <c r="Q1420" s="7" t="n">
        <v>-13.98099774</v>
      </c>
      <c r="R1420" s="7" t="n">
        <v>12.3841854</v>
      </c>
      <c r="S1420" s="7" t="n">
        <v>0.3845913143</v>
      </c>
    </row>
    <row r="1421" customFormat="false" ht="15" hidden="false" customHeight="false" outlineLevel="0" collapsed="false">
      <c r="A1421" s="5" t="s">
        <v>4</v>
      </c>
      <c r="B1421" s="5" t="s">
        <v>81</v>
      </c>
      <c r="C1421" s="5" t="s">
        <v>62</v>
      </c>
      <c r="D1421" s="2" t="n">
        <v>17</v>
      </c>
      <c r="E1421" s="5" t="s">
        <v>165</v>
      </c>
      <c r="F1421" s="5" t="s">
        <v>167</v>
      </c>
      <c r="G1421" s="2" t="n">
        <v>1</v>
      </c>
      <c r="H1421" s="7" t="n">
        <v>-0.1353400154</v>
      </c>
      <c r="I1421" s="7" t="n">
        <v>-0.9907733186</v>
      </c>
      <c r="J1421" s="7" t="n">
        <v>0.007163194268</v>
      </c>
      <c r="K1421" s="7" t="n">
        <v>0.9907692659</v>
      </c>
      <c r="L1421" s="7" t="n">
        <v>-0.1353885981</v>
      </c>
      <c r="M1421" s="7" t="n">
        <v>-0.006796264329</v>
      </c>
      <c r="N1421" s="7" t="n">
        <v>0.007703372193</v>
      </c>
      <c r="O1421" s="7" t="n">
        <v>0.006177266208</v>
      </c>
      <c r="P1421" s="7" t="n">
        <v>0.9999512485</v>
      </c>
      <c r="Q1421" s="7" t="n">
        <v>-13.98099774</v>
      </c>
      <c r="R1421" s="7" t="n">
        <v>12.3841854</v>
      </c>
      <c r="S1421" s="7" t="n">
        <v>0.3845913143</v>
      </c>
    </row>
    <row r="1422" customFormat="false" ht="15" hidden="false" customHeight="false" outlineLevel="0" collapsed="false">
      <c r="A1422" s="5" t="s">
        <v>4</v>
      </c>
      <c r="B1422" s="5" t="s">
        <v>81</v>
      </c>
      <c r="C1422" s="5" t="s">
        <v>58</v>
      </c>
      <c r="D1422" s="2" t="n">
        <v>17</v>
      </c>
      <c r="E1422" s="5" t="s">
        <v>165</v>
      </c>
      <c r="F1422" s="5" t="s">
        <v>168</v>
      </c>
      <c r="G1422" s="2" t="n">
        <v>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</row>
    <row r="1423" customFormat="false" ht="15" hidden="false" customHeight="false" outlineLevel="0" collapsed="false">
      <c r="A1423" s="5" t="s">
        <v>4</v>
      </c>
      <c r="B1423" s="5" t="s">
        <v>81</v>
      </c>
      <c r="C1423" s="5" t="s">
        <v>62</v>
      </c>
      <c r="D1423" s="2" t="n">
        <v>17</v>
      </c>
      <c r="E1423" s="5" t="s">
        <v>165</v>
      </c>
      <c r="F1423" s="5" t="s">
        <v>168</v>
      </c>
      <c r="G1423" s="2" t="n">
        <v>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</row>
    <row r="1424" customFormat="false" ht="15" hidden="false" customHeight="false" outlineLevel="0" collapsed="false">
      <c r="A1424" s="5" t="s">
        <v>4</v>
      </c>
      <c r="B1424" s="5" t="s">
        <v>81</v>
      </c>
      <c r="C1424" s="5" t="s">
        <v>58</v>
      </c>
      <c r="D1424" s="2" t="n">
        <v>18</v>
      </c>
      <c r="E1424" s="5" t="s">
        <v>165</v>
      </c>
      <c r="F1424" s="5" t="s">
        <v>166</v>
      </c>
      <c r="G1424" s="2" t="n">
        <v>1</v>
      </c>
      <c r="H1424" s="7" t="n">
        <v>0.9967201793</v>
      </c>
      <c r="I1424" s="7" t="n">
        <v>0.08066870614</v>
      </c>
      <c r="J1424" s="7" t="n">
        <v>-0.006437702866</v>
      </c>
      <c r="K1424" s="7" t="n">
        <v>-0.08063630575</v>
      </c>
      <c r="L1424" s="7" t="n">
        <v>0.99673032</v>
      </c>
      <c r="M1424" s="7" t="n">
        <v>0.005143475048</v>
      </c>
      <c r="N1424" s="7" t="n">
        <v>0.006831571115</v>
      </c>
      <c r="O1424" s="7" t="n">
        <v>-0.004607492795</v>
      </c>
      <c r="P1424" s="7" t="n">
        <v>0.9999660497</v>
      </c>
      <c r="Q1424" s="7" t="n">
        <v>14.3726</v>
      </c>
      <c r="R1424" s="7" t="n">
        <v>5.846250017</v>
      </c>
      <c r="S1424" s="7" t="n">
        <v>0.7312613487</v>
      </c>
    </row>
    <row r="1425" customFormat="false" ht="15" hidden="false" customHeight="false" outlineLevel="0" collapsed="false">
      <c r="A1425" s="5" t="s">
        <v>4</v>
      </c>
      <c r="B1425" s="5" t="s">
        <v>81</v>
      </c>
      <c r="C1425" s="5" t="s">
        <v>62</v>
      </c>
      <c r="D1425" s="2" t="n">
        <v>18</v>
      </c>
      <c r="E1425" s="5" t="s">
        <v>165</v>
      </c>
      <c r="F1425" s="5" t="s">
        <v>166</v>
      </c>
      <c r="G1425" s="2" t="n">
        <v>1</v>
      </c>
      <c r="H1425" s="7" t="n">
        <v>0.9967201793</v>
      </c>
      <c r="I1425" s="7" t="n">
        <v>0.08066870614</v>
      </c>
      <c r="J1425" s="7" t="n">
        <v>-0.006437702866</v>
      </c>
      <c r="K1425" s="7" t="n">
        <v>-0.08063630575</v>
      </c>
      <c r="L1425" s="7" t="n">
        <v>0.99673032</v>
      </c>
      <c r="M1425" s="7" t="n">
        <v>0.005143475048</v>
      </c>
      <c r="N1425" s="7" t="n">
        <v>0.006831571115</v>
      </c>
      <c r="O1425" s="7" t="n">
        <v>-0.004607492795</v>
      </c>
      <c r="P1425" s="7" t="n">
        <v>0.9999660497</v>
      </c>
      <c r="Q1425" s="7" t="n">
        <v>14.3726</v>
      </c>
      <c r="R1425" s="7" t="n">
        <v>5.846250017</v>
      </c>
      <c r="S1425" s="7" t="n">
        <v>0.7312613487</v>
      </c>
    </row>
    <row r="1426" customFormat="false" ht="15" hidden="false" customHeight="false" outlineLevel="0" collapsed="false">
      <c r="A1426" s="5" t="s">
        <v>4</v>
      </c>
      <c r="B1426" s="5" t="s">
        <v>81</v>
      </c>
      <c r="C1426" s="5" t="s">
        <v>58</v>
      </c>
      <c r="D1426" s="2" t="n">
        <v>18</v>
      </c>
      <c r="E1426" s="5" t="s">
        <v>165</v>
      </c>
      <c r="F1426" s="5" t="s">
        <v>167</v>
      </c>
      <c r="G1426" s="2" t="n">
        <v>1</v>
      </c>
      <c r="H1426" s="7" t="n">
        <v>-0.1354899972</v>
      </c>
      <c r="I1426" s="7" t="n">
        <v>-0.9907782259</v>
      </c>
      <c r="J1426" s="7" t="n">
        <v>-0.0009836986723</v>
      </c>
      <c r="K1426" s="7" t="n">
        <v>0.9907770713</v>
      </c>
      <c r="L1426" s="7" t="n">
        <v>-0.1354915139</v>
      </c>
      <c r="M1426" s="7" t="n">
        <v>0.001686590841</v>
      </c>
      <c r="N1426" s="7" t="n">
        <v>-0.001804320303</v>
      </c>
      <c r="O1426" s="7" t="n">
        <v>-0.0007461099013</v>
      </c>
      <c r="P1426" s="7" t="n">
        <v>0.9999980939</v>
      </c>
      <c r="Q1426" s="7" t="n">
        <v>-14.00713004</v>
      </c>
      <c r="R1426" s="7" t="n">
        <v>12.42063373</v>
      </c>
      <c r="S1426" s="7" t="n">
        <v>0.2658498642</v>
      </c>
    </row>
    <row r="1427" customFormat="false" ht="15" hidden="false" customHeight="false" outlineLevel="0" collapsed="false">
      <c r="A1427" s="5" t="s">
        <v>4</v>
      </c>
      <c r="B1427" s="5" t="s">
        <v>81</v>
      </c>
      <c r="C1427" s="5" t="s">
        <v>62</v>
      </c>
      <c r="D1427" s="2" t="n">
        <v>18</v>
      </c>
      <c r="E1427" s="5" t="s">
        <v>165</v>
      </c>
      <c r="F1427" s="5" t="s">
        <v>167</v>
      </c>
      <c r="G1427" s="2" t="n">
        <v>1</v>
      </c>
      <c r="H1427" s="7" t="n">
        <v>-0.1354899972</v>
      </c>
      <c r="I1427" s="7" t="n">
        <v>-0.9907782259</v>
      </c>
      <c r="J1427" s="7" t="n">
        <v>-0.0009836986723</v>
      </c>
      <c r="K1427" s="7" t="n">
        <v>0.9907770713</v>
      </c>
      <c r="L1427" s="7" t="n">
        <v>-0.1354915139</v>
      </c>
      <c r="M1427" s="7" t="n">
        <v>0.001686590841</v>
      </c>
      <c r="N1427" s="7" t="n">
        <v>-0.001804320303</v>
      </c>
      <c r="O1427" s="7" t="n">
        <v>-0.0007461099013</v>
      </c>
      <c r="P1427" s="7" t="n">
        <v>0.9999980939</v>
      </c>
      <c r="Q1427" s="7" t="n">
        <v>-14.00713004</v>
      </c>
      <c r="R1427" s="7" t="n">
        <v>12.42063373</v>
      </c>
      <c r="S1427" s="7" t="n">
        <v>0.2658498642</v>
      </c>
    </row>
    <row r="1428" customFormat="false" ht="15" hidden="false" customHeight="false" outlineLevel="0" collapsed="false">
      <c r="A1428" s="5" t="s">
        <v>4</v>
      </c>
      <c r="B1428" s="5" t="s">
        <v>81</v>
      </c>
      <c r="C1428" s="5" t="s">
        <v>58</v>
      </c>
      <c r="D1428" s="2" t="n">
        <v>18</v>
      </c>
      <c r="E1428" s="5" t="s">
        <v>165</v>
      </c>
      <c r="F1428" s="5" t="s">
        <v>168</v>
      </c>
      <c r="G1428" s="2" t="n">
        <v>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</row>
    <row r="1429" customFormat="false" ht="15" hidden="false" customHeight="false" outlineLevel="0" collapsed="false">
      <c r="A1429" s="5" t="s">
        <v>4</v>
      </c>
      <c r="B1429" s="5" t="s">
        <v>81</v>
      </c>
      <c r="C1429" s="5" t="s">
        <v>62</v>
      </c>
      <c r="D1429" s="2" t="n">
        <v>18</v>
      </c>
      <c r="E1429" s="5" t="s">
        <v>165</v>
      </c>
      <c r="F1429" s="5" t="s">
        <v>168</v>
      </c>
      <c r="G1429" s="2" t="n">
        <v>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</row>
    <row r="1430" customFormat="false" ht="15" hidden="false" customHeight="false" outlineLevel="0" collapsed="false">
      <c r="A1430" s="5" t="s">
        <v>4</v>
      </c>
      <c r="B1430" s="5" t="s">
        <v>81</v>
      </c>
      <c r="C1430" s="5" t="s">
        <v>58</v>
      </c>
      <c r="D1430" s="2" t="n">
        <v>19</v>
      </c>
      <c r="E1430" s="5" t="s">
        <v>165</v>
      </c>
      <c r="F1430" s="5" t="s">
        <v>166</v>
      </c>
      <c r="G1430" s="2" t="n">
        <v>1</v>
      </c>
      <c r="H1430" s="7" t="n">
        <v>0.9966342957</v>
      </c>
      <c r="I1430" s="7" t="n">
        <v>0.08111507778</v>
      </c>
      <c r="J1430" s="7" t="n">
        <v>-0.01185009264</v>
      </c>
      <c r="K1430" s="7" t="n">
        <v>-0.08109497834</v>
      </c>
      <c r="L1430" s="7" t="n">
        <v>0.996704021</v>
      </c>
      <c r="M1430" s="7" t="n">
        <v>0.002167710031</v>
      </c>
      <c r="N1430" s="7" t="n">
        <v>0.01198686895</v>
      </c>
      <c r="O1430" s="7" t="n">
        <v>-0.001199431154</v>
      </c>
      <c r="P1430" s="7" t="n">
        <v>0.9999274355</v>
      </c>
      <c r="Q1430" s="7" t="n">
        <v>14.37390389</v>
      </c>
      <c r="R1430" s="7" t="n">
        <v>5.829769186</v>
      </c>
      <c r="S1430" s="7" t="n">
        <v>0.7500868638</v>
      </c>
    </row>
    <row r="1431" customFormat="false" ht="15" hidden="false" customHeight="false" outlineLevel="0" collapsed="false">
      <c r="A1431" s="5" t="s">
        <v>4</v>
      </c>
      <c r="B1431" s="5" t="s">
        <v>81</v>
      </c>
      <c r="C1431" s="5" t="s">
        <v>62</v>
      </c>
      <c r="D1431" s="2" t="n">
        <v>19</v>
      </c>
      <c r="E1431" s="5" t="s">
        <v>165</v>
      </c>
      <c r="F1431" s="5" t="s">
        <v>166</v>
      </c>
      <c r="G1431" s="2" t="n">
        <v>1</v>
      </c>
      <c r="H1431" s="7" t="n">
        <v>0.9966342957</v>
      </c>
      <c r="I1431" s="7" t="n">
        <v>0.08111507778</v>
      </c>
      <c r="J1431" s="7" t="n">
        <v>-0.01185009264</v>
      </c>
      <c r="K1431" s="7" t="n">
        <v>-0.08109497834</v>
      </c>
      <c r="L1431" s="7" t="n">
        <v>0.996704021</v>
      </c>
      <c r="M1431" s="7" t="n">
        <v>0.002167710031</v>
      </c>
      <c r="N1431" s="7" t="n">
        <v>0.01198686895</v>
      </c>
      <c r="O1431" s="7" t="n">
        <v>-0.001199431154</v>
      </c>
      <c r="P1431" s="7" t="n">
        <v>0.9999274355</v>
      </c>
      <c r="Q1431" s="7" t="n">
        <v>14.37390389</v>
      </c>
      <c r="R1431" s="7" t="n">
        <v>5.829769186</v>
      </c>
      <c r="S1431" s="7" t="n">
        <v>0.7500868638</v>
      </c>
    </row>
    <row r="1432" customFormat="false" ht="15" hidden="false" customHeight="false" outlineLevel="0" collapsed="false">
      <c r="A1432" s="5" t="s">
        <v>4</v>
      </c>
      <c r="B1432" s="5" t="s">
        <v>81</v>
      </c>
      <c r="C1432" s="5" t="s">
        <v>58</v>
      </c>
      <c r="D1432" s="2" t="n">
        <v>19</v>
      </c>
      <c r="E1432" s="5" t="s">
        <v>165</v>
      </c>
      <c r="F1432" s="5" t="s">
        <v>167</v>
      </c>
      <c r="G1432" s="2" t="n">
        <v>1</v>
      </c>
      <c r="H1432" s="7" t="n">
        <v>-0.1364090337</v>
      </c>
      <c r="I1432" s="7" t="n">
        <v>-0.9906349555</v>
      </c>
      <c r="J1432" s="7" t="n">
        <v>0.005912745873</v>
      </c>
      <c r="K1432" s="7" t="n">
        <v>0.9906525276</v>
      </c>
      <c r="L1432" s="7" t="n">
        <v>-0.1364042982</v>
      </c>
      <c r="M1432" s="7" t="n">
        <v>0.001198778716</v>
      </c>
      <c r="N1432" s="7" t="n">
        <v>-0.0003810281482</v>
      </c>
      <c r="O1432" s="7" t="n">
        <v>0.00602100089</v>
      </c>
      <c r="P1432" s="7" t="n">
        <v>0.999981801</v>
      </c>
      <c r="Q1432" s="7" t="n">
        <v>-13.99326559</v>
      </c>
      <c r="R1432" s="7" t="n">
        <v>12.41389494</v>
      </c>
      <c r="S1432" s="7" t="n">
        <v>0.3353306044</v>
      </c>
    </row>
    <row r="1433" customFormat="false" ht="15" hidden="false" customHeight="false" outlineLevel="0" collapsed="false">
      <c r="A1433" s="5" t="s">
        <v>4</v>
      </c>
      <c r="B1433" s="5" t="s">
        <v>81</v>
      </c>
      <c r="C1433" s="5" t="s">
        <v>62</v>
      </c>
      <c r="D1433" s="2" t="n">
        <v>19</v>
      </c>
      <c r="E1433" s="5" t="s">
        <v>165</v>
      </c>
      <c r="F1433" s="5" t="s">
        <v>167</v>
      </c>
      <c r="G1433" s="2" t="n">
        <v>1</v>
      </c>
      <c r="H1433" s="7" t="n">
        <v>-0.1364090337</v>
      </c>
      <c r="I1433" s="7" t="n">
        <v>-0.9906349555</v>
      </c>
      <c r="J1433" s="7" t="n">
        <v>0.005912745873</v>
      </c>
      <c r="K1433" s="7" t="n">
        <v>0.9906525276</v>
      </c>
      <c r="L1433" s="7" t="n">
        <v>-0.1364042982</v>
      </c>
      <c r="M1433" s="7" t="n">
        <v>0.001198778716</v>
      </c>
      <c r="N1433" s="7" t="n">
        <v>-0.0003810281482</v>
      </c>
      <c r="O1433" s="7" t="n">
        <v>0.00602100089</v>
      </c>
      <c r="P1433" s="7" t="n">
        <v>0.999981801</v>
      </c>
      <c r="Q1433" s="7" t="n">
        <v>-13.99326559</v>
      </c>
      <c r="R1433" s="7" t="n">
        <v>12.41389494</v>
      </c>
      <c r="S1433" s="7" t="n">
        <v>0.3353306044</v>
      </c>
    </row>
    <row r="1434" customFormat="false" ht="15" hidden="false" customHeight="false" outlineLevel="0" collapsed="false">
      <c r="A1434" s="5" t="s">
        <v>4</v>
      </c>
      <c r="B1434" s="5" t="s">
        <v>81</v>
      </c>
      <c r="C1434" s="5" t="s">
        <v>58</v>
      </c>
      <c r="D1434" s="2" t="n">
        <v>19</v>
      </c>
      <c r="E1434" s="5" t="s">
        <v>165</v>
      </c>
      <c r="F1434" s="5" t="s">
        <v>168</v>
      </c>
      <c r="G1434" s="2" t="n">
        <v>1</v>
      </c>
      <c r="H1434" s="7" t="n">
        <v>0.9766802356</v>
      </c>
      <c r="I1434" s="7" t="n">
        <v>-0.2146696386</v>
      </c>
      <c r="J1434" s="7" t="n">
        <v>-0.003558600821</v>
      </c>
      <c r="K1434" s="7" t="n">
        <v>0.2146736871</v>
      </c>
      <c r="L1434" s="7" t="n">
        <v>0.9766855067</v>
      </c>
      <c r="M1434" s="7" t="n">
        <v>0.0007931464466</v>
      </c>
      <c r="N1434" s="7" t="n">
        <v>0.003305369385</v>
      </c>
      <c r="O1434" s="7" t="n">
        <v>-0.001538588417</v>
      </c>
      <c r="P1434" s="7" t="n">
        <v>0.9999933536</v>
      </c>
      <c r="Q1434" s="7" t="n">
        <v>17.26690375</v>
      </c>
      <c r="R1434" s="7" t="n">
        <v>16.65524779</v>
      </c>
      <c r="S1434" s="7" t="n">
        <v>1.393294541</v>
      </c>
    </row>
    <row r="1435" customFormat="false" ht="15" hidden="false" customHeight="false" outlineLevel="0" collapsed="false">
      <c r="A1435" s="5" t="s">
        <v>4</v>
      </c>
      <c r="B1435" s="5" t="s">
        <v>81</v>
      </c>
      <c r="C1435" s="5" t="s">
        <v>62</v>
      </c>
      <c r="D1435" s="2" t="n">
        <v>19</v>
      </c>
      <c r="E1435" s="5" t="s">
        <v>165</v>
      </c>
      <c r="F1435" s="5" t="s">
        <v>168</v>
      </c>
      <c r="G1435" s="2" t="n">
        <v>1</v>
      </c>
      <c r="H1435" s="7" t="n">
        <v>0.9766802356</v>
      </c>
      <c r="I1435" s="7" t="n">
        <v>-0.2146696386</v>
      </c>
      <c r="J1435" s="7" t="n">
        <v>-0.003558600821</v>
      </c>
      <c r="K1435" s="7" t="n">
        <v>0.2146736871</v>
      </c>
      <c r="L1435" s="7" t="n">
        <v>0.9766855067</v>
      </c>
      <c r="M1435" s="7" t="n">
        <v>0.0007931464466</v>
      </c>
      <c r="N1435" s="7" t="n">
        <v>0.003305369385</v>
      </c>
      <c r="O1435" s="7" t="n">
        <v>-0.001538588417</v>
      </c>
      <c r="P1435" s="7" t="n">
        <v>0.9999933536</v>
      </c>
      <c r="Q1435" s="7" t="n">
        <v>17.26690375</v>
      </c>
      <c r="R1435" s="7" t="n">
        <v>16.65524779</v>
      </c>
      <c r="S1435" s="7" t="n">
        <v>1.393294541</v>
      </c>
    </row>
    <row r="1436" customFormat="false" ht="15" hidden="false" customHeight="false" outlineLevel="0" collapsed="false">
      <c r="A1436" s="5" t="s">
        <v>4</v>
      </c>
      <c r="B1436" s="5" t="s">
        <v>81</v>
      </c>
      <c r="C1436" s="5" t="s">
        <v>58</v>
      </c>
      <c r="D1436" s="2" t="n">
        <v>20</v>
      </c>
      <c r="E1436" s="5" t="s">
        <v>165</v>
      </c>
      <c r="F1436" s="5" t="s">
        <v>166</v>
      </c>
      <c r="G1436" s="2" t="n">
        <v>1</v>
      </c>
      <c r="H1436" s="7" t="n">
        <v>0.9966357411</v>
      </c>
      <c r="I1436" s="7" t="n">
        <v>0.08108268267</v>
      </c>
      <c r="J1436" s="7" t="n">
        <v>-0.01194981827</v>
      </c>
      <c r="K1436" s="7" t="n">
        <v>-0.08109202934</v>
      </c>
      <c r="L1436" s="7" t="n">
        <v>0.9967065734</v>
      </c>
      <c r="M1436" s="7" t="n">
        <v>-0.0002989125394</v>
      </c>
      <c r="N1436" s="7" t="n">
        <v>0.01188622579</v>
      </c>
      <c r="O1436" s="7" t="n">
        <v>0.001266941934</v>
      </c>
      <c r="P1436" s="7" t="n">
        <v>0.9999285537</v>
      </c>
      <c r="Q1436" s="7" t="n">
        <v>14.36868013</v>
      </c>
      <c r="R1436" s="7" t="n">
        <v>5.831673694</v>
      </c>
      <c r="S1436" s="7" t="n">
        <v>0.7931790135</v>
      </c>
    </row>
    <row r="1437" customFormat="false" ht="15" hidden="false" customHeight="false" outlineLevel="0" collapsed="false">
      <c r="A1437" s="5" t="s">
        <v>4</v>
      </c>
      <c r="B1437" s="5" t="s">
        <v>81</v>
      </c>
      <c r="C1437" s="5" t="s">
        <v>62</v>
      </c>
      <c r="D1437" s="2" t="n">
        <v>20</v>
      </c>
      <c r="E1437" s="5" t="s">
        <v>165</v>
      </c>
      <c r="F1437" s="5" t="s">
        <v>166</v>
      </c>
      <c r="G1437" s="2" t="n">
        <v>1</v>
      </c>
      <c r="H1437" s="7" t="n">
        <v>0.9966357411</v>
      </c>
      <c r="I1437" s="7" t="n">
        <v>0.08108268267</v>
      </c>
      <c r="J1437" s="7" t="n">
        <v>-0.01194981827</v>
      </c>
      <c r="K1437" s="7" t="n">
        <v>-0.08109202934</v>
      </c>
      <c r="L1437" s="7" t="n">
        <v>0.9967065734</v>
      </c>
      <c r="M1437" s="7" t="n">
        <v>-0.0002989125394</v>
      </c>
      <c r="N1437" s="7" t="n">
        <v>0.01188622579</v>
      </c>
      <c r="O1437" s="7" t="n">
        <v>0.001266941934</v>
      </c>
      <c r="P1437" s="7" t="n">
        <v>0.9999285537</v>
      </c>
      <c r="Q1437" s="7" t="n">
        <v>14.36868013</v>
      </c>
      <c r="R1437" s="7" t="n">
        <v>5.831673694</v>
      </c>
      <c r="S1437" s="7" t="n">
        <v>0.7931790135</v>
      </c>
    </row>
    <row r="1438" customFormat="false" ht="15" hidden="false" customHeight="false" outlineLevel="0" collapsed="false">
      <c r="A1438" s="5" t="s">
        <v>4</v>
      </c>
      <c r="B1438" s="5" t="s">
        <v>81</v>
      </c>
      <c r="C1438" s="5" t="s">
        <v>58</v>
      </c>
      <c r="D1438" s="2" t="n">
        <v>20</v>
      </c>
      <c r="E1438" s="5" t="s">
        <v>165</v>
      </c>
      <c r="F1438" s="5" t="s">
        <v>167</v>
      </c>
      <c r="G1438" s="2" t="n">
        <v>1</v>
      </c>
      <c r="H1438" s="7" t="n">
        <v>-0.1358759554</v>
      </c>
      <c r="I1438" s="7" t="n">
        <v>-0.9906481685</v>
      </c>
      <c r="J1438" s="7" t="n">
        <v>-0.01240689189</v>
      </c>
      <c r="K1438" s="7" t="n">
        <v>0.9907039177</v>
      </c>
      <c r="L1438" s="7" t="n">
        <v>-0.1357789502</v>
      </c>
      <c r="M1438" s="7" t="n">
        <v>-0.008356084008</v>
      </c>
      <c r="N1438" s="7" t="n">
        <v>0.006593344563</v>
      </c>
      <c r="O1438" s="7" t="n">
        <v>-0.0134269473</v>
      </c>
      <c r="P1438" s="7" t="n">
        <v>0.9998881162</v>
      </c>
      <c r="Q1438" s="7" t="n">
        <v>-14.02010922</v>
      </c>
      <c r="R1438" s="7" t="n">
        <v>12.39078904</v>
      </c>
      <c r="S1438" s="7" t="n">
        <v>0.1176115804</v>
      </c>
    </row>
    <row r="1439" customFormat="false" ht="15" hidden="false" customHeight="false" outlineLevel="0" collapsed="false">
      <c r="A1439" s="5" t="s">
        <v>4</v>
      </c>
      <c r="B1439" s="5" t="s">
        <v>81</v>
      </c>
      <c r="C1439" s="5" t="s">
        <v>62</v>
      </c>
      <c r="D1439" s="2" t="n">
        <v>20</v>
      </c>
      <c r="E1439" s="5" t="s">
        <v>165</v>
      </c>
      <c r="F1439" s="5" t="s">
        <v>167</v>
      </c>
      <c r="G1439" s="2" t="n">
        <v>1</v>
      </c>
      <c r="H1439" s="7" t="n">
        <v>-0.1358759554</v>
      </c>
      <c r="I1439" s="7" t="n">
        <v>-0.9906481685</v>
      </c>
      <c r="J1439" s="7" t="n">
        <v>-0.01240689189</v>
      </c>
      <c r="K1439" s="7" t="n">
        <v>0.9907039177</v>
      </c>
      <c r="L1439" s="7" t="n">
        <v>-0.1357789502</v>
      </c>
      <c r="M1439" s="7" t="n">
        <v>-0.008356084008</v>
      </c>
      <c r="N1439" s="7" t="n">
        <v>0.006593344563</v>
      </c>
      <c r="O1439" s="7" t="n">
        <v>-0.0134269473</v>
      </c>
      <c r="P1439" s="7" t="n">
        <v>0.9998881162</v>
      </c>
      <c r="Q1439" s="7" t="n">
        <v>-14.02010922</v>
      </c>
      <c r="R1439" s="7" t="n">
        <v>12.39078904</v>
      </c>
      <c r="S1439" s="7" t="n">
        <v>0.1176115804</v>
      </c>
    </row>
    <row r="1440" customFormat="false" ht="15" hidden="false" customHeight="false" outlineLevel="0" collapsed="false">
      <c r="A1440" s="5" t="s">
        <v>4</v>
      </c>
      <c r="B1440" s="5" t="s">
        <v>81</v>
      </c>
      <c r="C1440" s="5" t="s">
        <v>58</v>
      </c>
      <c r="D1440" s="2" t="n">
        <v>20</v>
      </c>
      <c r="E1440" s="5" t="s">
        <v>165</v>
      </c>
      <c r="F1440" s="5" t="s">
        <v>168</v>
      </c>
      <c r="G1440" s="2" t="n">
        <v>1</v>
      </c>
      <c r="H1440" s="7" t="n">
        <v>0.9761336244</v>
      </c>
      <c r="I1440" s="7" t="n">
        <v>-0.2164258389</v>
      </c>
      <c r="J1440" s="7" t="n">
        <v>0.01797230086</v>
      </c>
      <c r="K1440" s="7" t="n">
        <v>0.216867493</v>
      </c>
      <c r="L1440" s="7" t="n">
        <v>0.9757988706</v>
      </c>
      <c r="M1440" s="7" t="n">
        <v>-0.02801882681</v>
      </c>
      <c r="N1440" s="7" t="n">
        <v>-0.01147335279</v>
      </c>
      <c r="O1440" s="7" t="n">
        <v>0.03124772679</v>
      </c>
      <c r="P1440" s="7" t="n">
        <v>0.9994458173</v>
      </c>
      <c r="Q1440" s="7" t="n">
        <v>17.25817477</v>
      </c>
      <c r="R1440" s="7" t="n">
        <v>16.62197848</v>
      </c>
      <c r="S1440" s="7" t="n">
        <v>1.711304148</v>
      </c>
    </row>
    <row r="1441" customFormat="false" ht="15" hidden="false" customHeight="false" outlineLevel="0" collapsed="false">
      <c r="A1441" s="5" t="s">
        <v>4</v>
      </c>
      <c r="B1441" s="5" t="s">
        <v>81</v>
      </c>
      <c r="C1441" s="5" t="s">
        <v>62</v>
      </c>
      <c r="D1441" s="2" t="n">
        <v>20</v>
      </c>
      <c r="E1441" s="5" t="s">
        <v>165</v>
      </c>
      <c r="F1441" s="5" t="s">
        <v>168</v>
      </c>
      <c r="G1441" s="2" t="n">
        <v>1</v>
      </c>
      <c r="H1441" s="7" t="n">
        <v>0.9761336244</v>
      </c>
      <c r="I1441" s="7" t="n">
        <v>-0.2164258389</v>
      </c>
      <c r="J1441" s="7" t="n">
        <v>0.01797230086</v>
      </c>
      <c r="K1441" s="7" t="n">
        <v>0.216867493</v>
      </c>
      <c r="L1441" s="7" t="n">
        <v>0.9757988706</v>
      </c>
      <c r="M1441" s="7" t="n">
        <v>-0.02801882681</v>
      </c>
      <c r="N1441" s="7" t="n">
        <v>-0.01147335279</v>
      </c>
      <c r="O1441" s="7" t="n">
        <v>0.03124772679</v>
      </c>
      <c r="P1441" s="7" t="n">
        <v>0.9994458173</v>
      </c>
      <c r="Q1441" s="7" t="n">
        <v>17.25817477</v>
      </c>
      <c r="R1441" s="7" t="n">
        <v>16.62197848</v>
      </c>
      <c r="S1441" s="7" t="n">
        <v>1.711304148</v>
      </c>
    </row>
    <row r="1442" customFormat="false" ht="15" hidden="false" customHeight="false" outlineLevel="0" collapsed="false">
      <c r="A1442" s="5" t="s">
        <v>4</v>
      </c>
      <c r="B1442" s="5" t="s">
        <v>81</v>
      </c>
      <c r="C1442" s="5" t="s">
        <v>58</v>
      </c>
      <c r="D1442" s="2" t="n">
        <v>11</v>
      </c>
      <c r="E1442" s="5" t="s">
        <v>166</v>
      </c>
      <c r="F1442" s="5" t="s">
        <v>167</v>
      </c>
      <c r="G1442" s="2" t="n">
        <v>1</v>
      </c>
      <c r="H1442" s="7" t="n">
        <v>-0.2174312346</v>
      </c>
      <c r="I1442" s="7" t="n">
        <v>-0.9759282484</v>
      </c>
      <c r="J1442" s="7" t="n">
        <v>0.01696208293</v>
      </c>
      <c r="K1442" s="7" t="n">
        <v>0.9760741345</v>
      </c>
      <c r="L1442" s="7" t="n">
        <v>-0.2174286041</v>
      </c>
      <c r="M1442" s="7" t="n">
        <v>0.002021415505</v>
      </c>
      <c r="N1442" s="7" t="n">
        <v>0.00171528552</v>
      </c>
      <c r="O1442" s="7" t="n">
        <v>0.01699576928</v>
      </c>
      <c r="P1442" s="7" t="n">
        <v>0.9998540902</v>
      </c>
      <c r="Q1442" s="7" t="n">
        <v>-5.178011649</v>
      </c>
      <c r="R1442" s="7" t="n">
        <v>-0.3777647265</v>
      </c>
      <c r="S1442" s="7" t="n">
        <v>-0.3406075488</v>
      </c>
    </row>
    <row r="1443" customFormat="false" ht="15" hidden="false" customHeight="false" outlineLevel="0" collapsed="false">
      <c r="A1443" s="5" t="s">
        <v>4</v>
      </c>
      <c r="B1443" s="5" t="s">
        <v>81</v>
      </c>
      <c r="C1443" s="5" t="s">
        <v>62</v>
      </c>
      <c r="D1443" s="2" t="n">
        <v>11</v>
      </c>
      <c r="E1443" s="5" t="s">
        <v>166</v>
      </c>
      <c r="F1443" s="5" t="s">
        <v>167</v>
      </c>
      <c r="G1443" s="2" t="n">
        <v>1</v>
      </c>
      <c r="H1443" s="7" t="n">
        <v>-0.2174312346</v>
      </c>
      <c r="I1443" s="7" t="n">
        <v>-0.9759282484</v>
      </c>
      <c r="J1443" s="7" t="n">
        <v>0.01696208293</v>
      </c>
      <c r="K1443" s="7" t="n">
        <v>0.9760741345</v>
      </c>
      <c r="L1443" s="7" t="n">
        <v>-0.2174286041</v>
      </c>
      <c r="M1443" s="7" t="n">
        <v>0.002021415505</v>
      </c>
      <c r="N1443" s="7" t="n">
        <v>0.00171528552</v>
      </c>
      <c r="O1443" s="7" t="n">
        <v>0.01699576928</v>
      </c>
      <c r="P1443" s="7" t="n">
        <v>0.9998540902</v>
      </c>
      <c r="Q1443" s="7" t="n">
        <v>-5.178011649</v>
      </c>
      <c r="R1443" s="7" t="n">
        <v>-0.3777647265</v>
      </c>
      <c r="S1443" s="7" t="n">
        <v>-0.3406075488</v>
      </c>
    </row>
    <row r="1444" customFormat="false" ht="15" hidden="false" customHeight="false" outlineLevel="0" collapsed="false">
      <c r="A1444" s="5" t="s">
        <v>4</v>
      </c>
      <c r="B1444" s="5" t="s">
        <v>81</v>
      </c>
      <c r="C1444" s="5" t="s">
        <v>58</v>
      </c>
      <c r="D1444" s="2" t="n">
        <v>11</v>
      </c>
      <c r="E1444" s="5" t="s">
        <v>166</v>
      </c>
      <c r="F1444" s="5" t="s">
        <v>168</v>
      </c>
      <c r="G1444" s="2" t="n">
        <v>1</v>
      </c>
      <c r="H1444" s="7" t="n">
        <v>0.9558787825</v>
      </c>
      <c r="I1444" s="7" t="n">
        <v>-0.2937541219</v>
      </c>
      <c r="J1444" s="7" t="n">
        <v>0.002066178284</v>
      </c>
      <c r="K1444" s="7" t="n">
        <v>0.293754407</v>
      </c>
      <c r="L1444" s="7" t="n">
        <v>0.9558809126</v>
      </c>
      <c r="M1444" s="7" t="n">
        <v>0.0001709264007</v>
      </c>
      <c r="N1444" s="7" t="n">
        <v>-0.002025230718</v>
      </c>
      <c r="O1444" s="7" t="n">
        <v>0.0004435640568</v>
      </c>
      <c r="P1444" s="7" t="n">
        <v>0.9999978508</v>
      </c>
      <c r="Q1444" s="7" t="n">
        <v>5.217890649</v>
      </c>
      <c r="R1444" s="7" t="n">
        <v>6.852729234</v>
      </c>
      <c r="S1444" s="7" t="n">
        <v>0.7808804471</v>
      </c>
    </row>
    <row r="1445" customFormat="false" ht="15" hidden="false" customHeight="false" outlineLevel="0" collapsed="false">
      <c r="A1445" s="5" t="s">
        <v>4</v>
      </c>
      <c r="B1445" s="5" t="s">
        <v>81</v>
      </c>
      <c r="C1445" s="5" t="s">
        <v>62</v>
      </c>
      <c r="D1445" s="2" t="n">
        <v>11</v>
      </c>
      <c r="E1445" s="5" t="s">
        <v>166</v>
      </c>
      <c r="F1445" s="5" t="s">
        <v>168</v>
      </c>
      <c r="G1445" s="2" t="n">
        <v>1</v>
      </c>
      <c r="H1445" s="7" t="n">
        <v>0.9558787825</v>
      </c>
      <c r="I1445" s="7" t="n">
        <v>-0.2937541219</v>
      </c>
      <c r="J1445" s="7" t="n">
        <v>0.002066178284</v>
      </c>
      <c r="K1445" s="7" t="n">
        <v>0.293754407</v>
      </c>
      <c r="L1445" s="7" t="n">
        <v>0.9558809126</v>
      </c>
      <c r="M1445" s="7" t="n">
        <v>0.0001709264007</v>
      </c>
      <c r="N1445" s="7" t="n">
        <v>-0.002025230718</v>
      </c>
      <c r="O1445" s="7" t="n">
        <v>0.0004435640568</v>
      </c>
      <c r="P1445" s="7" t="n">
        <v>0.9999978508</v>
      </c>
      <c r="Q1445" s="7" t="n">
        <v>5.217890649</v>
      </c>
      <c r="R1445" s="7" t="n">
        <v>6.852729234</v>
      </c>
      <c r="S1445" s="7" t="n">
        <v>0.7808804471</v>
      </c>
    </row>
    <row r="1446" customFormat="false" ht="15" hidden="false" customHeight="false" outlineLevel="0" collapsed="false">
      <c r="A1446" s="5" t="s">
        <v>4</v>
      </c>
      <c r="B1446" s="5" t="s">
        <v>81</v>
      </c>
      <c r="C1446" s="5" t="s">
        <v>58</v>
      </c>
      <c r="D1446" s="2" t="n">
        <v>12</v>
      </c>
      <c r="E1446" s="5" t="s">
        <v>166</v>
      </c>
      <c r="F1446" s="5" t="s">
        <v>167</v>
      </c>
      <c r="G1446" s="2" t="n">
        <v>1</v>
      </c>
      <c r="H1446" s="7" t="n">
        <v>-0.2179471791</v>
      </c>
      <c r="I1446" s="7" t="n">
        <v>-0.9759488781</v>
      </c>
      <c r="J1446" s="7" t="n">
        <v>0.004776454653</v>
      </c>
      <c r="K1446" s="7" t="n">
        <v>0.9759549051</v>
      </c>
      <c r="L1446" s="7" t="n">
        <v>-0.2179599744</v>
      </c>
      <c r="M1446" s="7" t="n">
        <v>-0.002339385423</v>
      </c>
      <c r="N1446" s="7" t="n">
        <v>0.003324196512</v>
      </c>
      <c r="O1446" s="7" t="n">
        <v>0.004151741894</v>
      </c>
      <c r="P1446" s="7" t="n">
        <v>0.9999858563</v>
      </c>
      <c r="Q1446" s="7" t="n">
        <v>-5.193786431</v>
      </c>
      <c r="R1446" s="7" t="n">
        <v>-0.3913217525</v>
      </c>
      <c r="S1446" s="7" t="n">
        <v>-0.3959354588</v>
      </c>
    </row>
    <row r="1447" customFormat="false" ht="15" hidden="false" customHeight="false" outlineLevel="0" collapsed="false">
      <c r="A1447" s="5" t="s">
        <v>4</v>
      </c>
      <c r="B1447" s="5" t="s">
        <v>81</v>
      </c>
      <c r="C1447" s="5" t="s">
        <v>62</v>
      </c>
      <c r="D1447" s="2" t="n">
        <v>12</v>
      </c>
      <c r="E1447" s="5" t="s">
        <v>166</v>
      </c>
      <c r="F1447" s="5" t="s">
        <v>167</v>
      </c>
      <c r="G1447" s="2" t="n">
        <v>1</v>
      </c>
      <c r="H1447" s="7" t="n">
        <v>-0.2179471791</v>
      </c>
      <c r="I1447" s="7" t="n">
        <v>-0.9759488781</v>
      </c>
      <c r="J1447" s="7" t="n">
        <v>0.004776454653</v>
      </c>
      <c r="K1447" s="7" t="n">
        <v>0.9759549051</v>
      </c>
      <c r="L1447" s="7" t="n">
        <v>-0.2179599744</v>
      </c>
      <c r="M1447" s="7" t="n">
        <v>-0.002339385423</v>
      </c>
      <c r="N1447" s="7" t="n">
        <v>0.003324196512</v>
      </c>
      <c r="O1447" s="7" t="n">
        <v>0.004151741894</v>
      </c>
      <c r="P1447" s="7" t="n">
        <v>0.9999858563</v>
      </c>
      <c r="Q1447" s="7" t="n">
        <v>-5.193786431</v>
      </c>
      <c r="R1447" s="7" t="n">
        <v>-0.3913217525</v>
      </c>
      <c r="S1447" s="7" t="n">
        <v>-0.3959354588</v>
      </c>
    </row>
    <row r="1448" customFormat="false" ht="15" hidden="false" customHeight="false" outlineLevel="0" collapsed="false">
      <c r="A1448" s="5" t="s">
        <v>4</v>
      </c>
      <c r="B1448" s="5" t="s">
        <v>81</v>
      </c>
      <c r="C1448" s="5" t="s">
        <v>58</v>
      </c>
      <c r="D1448" s="2" t="n">
        <v>12</v>
      </c>
      <c r="E1448" s="5" t="s">
        <v>166</v>
      </c>
      <c r="F1448" s="5" t="s">
        <v>168</v>
      </c>
      <c r="G1448" s="2" t="n">
        <v>1</v>
      </c>
      <c r="H1448" s="7" t="n">
        <v>0.9558083515</v>
      </c>
      <c r="I1448" s="7" t="n">
        <v>-0.2939903319</v>
      </c>
      <c r="J1448" s="7" t="n">
        <v>0.0002827199409</v>
      </c>
      <c r="K1448" s="7" t="n">
        <v>0.2939887804</v>
      </c>
      <c r="L1448" s="7" t="n">
        <v>0.9558056816</v>
      </c>
      <c r="M1448" s="7" t="n">
        <v>0.00246899355</v>
      </c>
      <c r="N1448" s="7" t="n">
        <v>-0.0009960855591</v>
      </c>
      <c r="O1448" s="7" t="n">
        <v>-0.002276768164</v>
      </c>
      <c r="P1448" s="7" t="n">
        <v>0.9999969121</v>
      </c>
      <c r="Q1448" s="7" t="n">
        <v>5.209025606</v>
      </c>
      <c r="R1448" s="7" t="n">
        <v>6.855834652</v>
      </c>
      <c r="S1448" s="7" t="n">
        <v>0.7555673408</v>
      </c>
    </row>
    <row r="1449" customFormat="false" ht="15" hidden="false" customHeight="false" outlineLevel="0" collapsed="false">
      <c r="A1449" s="5" t="s">
        <v>4</v>
      </c>
      <c r="B1449" s="5" t="s">
        <v>81</v>
      </c>
      <c r="C1449" s="5" t="s">
        <v>62</v>
      </c>
      <c r="D1449" s="2" t="n">
        <v>12</v>
      </c>
      <c r="E1449" s="5" t="s">
        <v>166</v>
      </c>
      <c r="F1449" s="5" t="s">
        <v>168</v>
      </c>
      <c r="G1449" s="2" t="n">
        <v>1</v>
      </c>
      <c r="H1449" s="7" t="n">
        <v>0.9558083515</v>
      </c>
      <c r="I1449" s="7" t="n">
        <v>-0.2939903319</v>
      </c>
      <c r="J1449" s="7" t="n">
        <v>0.0002827199409</v>
      </c>
      <c r="K1449" s="7" t="n">
        <v>0.2939887804</v>
      </c>
      <c r="L1449" s="7" t="n">
        <v>0.9558056816</v>
      </c>
      <c r="M1449" s="7" t="n">
        <v>0.00246899355</v>
      </c>
      <c r="N1449" s="7" t="n">
        <v>-0.0009960855591</v>
      </c>
      <c r="O1449" s="7" t="n">
        <v>-0.002276768164</v>
      </c>
      <c r="P1449" s="7" t="n">
        <v>0.9999969121</v>
      </c>
      <c r="Q1449" s="7" t="n">
        <v>5.209025606</v>
      </c>
      <c r="R1449" s="7" t="n">
        <v>6.855834652</v>
      </c>
      <c r="S1449" s="7" t="n">
        <v>0.7555673408</v>
      </c>
    </row>
    <row r="1450" customFormat="false" ht="15" hidden="false" customHeight="false" outlineLevel="0" collapsed="false">
      <c r="A1450" s="5" t="s">
        <v>4</v>
      </c>
      <c r="B1450" s="5" t="s">
        <v>81</v>
      </c>
      <c r="C1450" s="5" t="s">
        <v>58</v>
      </c>
      <c r="D1450" s="2" t="n">
        <v>13</v>
      </c>
      <c r="E1450" s="5" t="s">
        <v>166</v>
      </c>
      <c r="F1450" s="5" t="s">
        <v>167</v>
      </c>
      <c r="G1450" s="2" t="n">
        <v>1</v>
      </c>
      <c r="H1450" s="7" t="n">
        <v>-0.2158774011</v>
      </c>
      <c r="I1450" s="7" t="n">
        <v>-0.9764190701</v>
      </c>
      <c r="J1450" s="7" t="n">
        <v>-0.001657494366</v>
      </c>
      <c r="K1450" s="7" t="n">
        <v>0.9764011858</v>
      </c>
      <c r="L1450" s="7" t="n">
        <v>-0.2158834956</v>
      </c>
      <c r="M1450" s="7" t="n">
        <v>0.005919524115</v>
      </c>
      <c r="N1450" s="7" t="n">
        <v>-0.00613776191</v>
      </c>
      <c r="O1450" s="7" t="n">
        <v>-0.0003404879823</v>
      </c>
      <c r="P1450" s="7" t="n">
        <v>0.9999811058</v>
      </c>
      <c r="Q1450" s="7" t="n">
        <v>-5.195743024</v>
      </c>
      <c r="R1450" s="7" t="n">
        <v>-0.3618593087</v>
      </c>
      <c r="S1450" s="7" t="n">
        <v>-0.3659367507</v>
      </c>
    </row>
    <row r="1451" customFormat="false" ht="15" hidden="false" customHeight="false" outlineLevel="0" collapsed="false">
      <c r="A1451" s="5" t="s">
        <v>4</v>
      </c>
      <c r="B1451" s="5" t="s">
        <v>81</v>
      </c>
      <c r="C1451" s="5" t="s">
        <v>62</v>
      </c>
      <c r="D1451" s="2" t="n">
        <v>13</v>
      </c>
      <c r="E1451" s="5" t="s">
        <v>166</v>
      </c>
      <c r="F1451" s="5" t="s">
        <v>167</v>
      </c>
      <c r="G1451" s="2" t="n">
        <v>1</v>
      </c>
      <c r="H1451" s="7" t="n">
        <v>-0.2158774011</v>
      </c>
      <c r="I1451" s="7" t="n">
        <v>-0.9764190701</v>
      </c>
      <c r="J1451" s="7" t="n">
        <v>-0.001657494366</v>
      </c>
      <c r="K1451" s="7" t="n">
        <v>0.9764011858</v>
      </c>
      <c r="L1451" s="7" t="n">
        <v>-0.2158834956</v>
      </c>
      <c r="M1451" s="7" t="n">
        <v>0.005919524115</v>
      </c>
      <c r="N1451" s="7" t="n">
        <v>-0.00613776191</v>
      </c>
      <c r="O1451" s="7" t="n">
        <v>-0.0003404879823</v>
      </c>
      <c r="P1451" s="7" t="n">
        <v>0.9999811058</v>
      </c>
      <c r="Q1451" s="7" t="n">
        <v>-5.195743024</v>
      </c>
      <c r="R1451" s="7" t="n">
        <v>-0.3618593087</v>
      </c>
      <c r="S1451" s="7" t="n">
        <v>-0.3659367507</v>
      </c>
    </row>
    <row r="1452" customFormat="false" ht="15" hidden="false" customHeight="false" outlineLevel="0" collapsed="false">
      <c r="A1452" s="5" t="s">
        <v>4</v>
      </c>
      <c r="B1452" s="5" t="s">
        <v>81</v>
      </c>
      <c r="C1452" s="5" t="s">
        <v>58</v>
      </c>
      <c r="D1452" s="2" t="n">
        <v>13</v>
      </c>
      <c r="E1452" s="5" t="s">
        <v>166</v>
      </c>
      <c r="F1452" s="5" t="s">
        <v>168</v>
      </c>
      <c r="G1452" s="2" t="n">
        <v>1</v>
      </c>
      <c r="H1452" s="7" t="n">
        <v>0.9555614041</v>
      </c>
      <c r="I1452" s="7" t="n">
        <v>-0.2947862993</v>
      </c>
      <c r="J1452" s="7" t="n">
        <v>0.001854911382</v>
      </c>
      <c r="K1452" s="7" t="n">
        <v>0.2947890405</v>
      </c>
      <c r="L1452" s="7" t="n">
        <v>0.9555612879</v>
      </c>
      <c r="M1452" s="7" t="n">
        <v>-0.001430611107</v>
      </c>
      <c r="N1452" s="7" t="n">
        <v>-0.001350756955</v>
      </c>
      <c r="O1452" s="7" t="n">
        <v>0.001913844305</v>
      </c>
      <c r="P1452" s="7" t="n">
        <v>0.9999972563</v>
      </c>
      <c r="Q1452" s="7" t="n">
        <v>5.213791247</v>
      </c>
      <c r="R1452" s="7" t="n">
        <v>6.84910869</v>
      </c>
      <c r="S1452" s="7" t="n">
        <v>0.7609882207</v>
      </c>
    </row>
    <row r="1453" customFormat="false" ht="15" hidden="false" customHeight="false" outlineLevel="0" collapsed="false">
      <c r="A1453" s="5" t="s">
        <v>4</v>
      </c>
      <c r="B1453" s="5" t="s">
        <v>81</v>
      </c>
      <c r="C1453" s="5" t="s">
        <v>62</v>
      </c>
      <c r="D1453" s="2" t="n">
        <v>13</v>
      </c>
      <c r="E1453" s="5" t="s">
        <v>166</v>
      </c>
      <c r="F1453" s="5" t="s">
        <v>168</v>
      </c>
      <c r="G1453" s="2" t="n">
        <v>1</v>
      </c>
      <c r="H1453" s="7" t="n">
        <v>0.9555614041</v>
      </c>
      <c r="I1453" s="7" t="n">
        <v>-0.2947862993</v>
      </c>
      <c r="J1453" s="7" t="n">
        <v>0.001854911382</v>
      </c>
      <c r="K1453" s="7" t="n">
        <v>0.2947890405</v>
      </c>
      <c r="L1453" s="7" t="n">
        <v>0.9555612879</v>
      </c>
      <c r="M1453" s="7" t="n">
        <v>-0.001430611107</v>
      </c>
      <c r="N1453" s="7" t="n">
        <v>-0.001350756955</v>
      </c>
      <c r="O1453" s="7" t="n">
        <v>0.001913844305</v>
      </c>
      <c r="P1453" s="7" t="n">
        <v>0.9999972563</v>
      </c>
      <c r="Q1453" s="7" t="n">
        <v>5.213791247</v>
      </c>
      <c r="R1453" s="7" t="n">
        <v>6.84910869</v>
      </c>
      <c r="S1453" s="7" t="n">
        <v>0.7609882207</v>
      </c>
    </row>
    <row r="1454" customFormat="false" ht="15" hidden="false" customHeight="false" outlineLevel="0" collapsed="false">
      <c r="A1454" s="5" t="s">
        <v>4</v>
      </c>
      <c r="B1454" s="5" t="s">
        <v>81</v>
      </c>
      <c r="C1454" s="5" t="s">
        <v>58</v>
      </c>
      <c r="D1454" s="2" t="n">
        <v>14</v>
      </c>
      <c r="E1454" s="5" t="s">
        <v>166</v>
      </c>
      <c r="F1454" s="5" t="s">
        <v>167</v>
      </c>
      <c r="G1454" s="2" t="n">
        <v>1</v>
      </c>
      <c r="H1454" s="7" t="n">
        <v>-0.2264850876</v>
      </c>
      <c r="I1454" s="7" t="n">
        <v>-0.970509127</v>
      </c>
      <c r="J1454" s="7" t="n">
        <v>0.0825623367</v>
      </c>
      <c r="K1454" s="7" t="n">
        <v>0.9737778675</v>
      </c>
      <c r="L1454" s="7" t="n">
        <v>-0.2274839855</v>
      </c>
      <c r="M1454" s="7" t="n">
        <v>-0.002775097462</v>
      </c>
      <c r="N1454" s="7" t="n">
        <v>0.02147486682</v>
      </c>
      <c r="O1454" s="7" t="n">
        <v>0.07976885798</v>
      </c>
      <c r="P1454" s="7" t="n">
        <v>0.9965820385</v>
      </c>
      <c r="Q1454" s="7" t="n">
        <v>-5.071973186</v>
      </c>
      <c r="R1454" s="7" t="n">
        <v>-0.4461547077</v>
      </c>
      <c r="S1454" s="7" t="n">
        <v>0.06246057825</v>
      </c>
    </row>
    <row r="1455" customFormat="false" ht="15" hidden="false" customHeight="false" outlineLevel="0" collapsed="false">
      <c r="A1455" s="5" t="s">
        <v>4</v>
      </c>
      <c r="B1455" s="5" t="s">
        <v>81</v>
      </c>
      <c r="C1455" s="5" t="s">
        <v>62</v>
      </c>
      <c r="D1455" s="2" t="n">
        <v>14</v>
      </c>
      <c r="E1455" s="5" t="s">
        <v>166</v>
      </c>
      <c r="F1455" s="5" t="s">
        <v>167</v>
      </c>
      <c r="G1455" s="2" t="n">
        <v>1</v>
      </c>
      <c r="H1455" s="7" t="n">
        <v>-0.2264850876</v>
      </c>
      <c r="I1455" s="7" t="n">
        <v>-0.970509127</v>
      </c>
      <c r="J1455" s="7" t="n">
        <v>0.0825623367</v>
      </c>
      <c r="K1455" s="7" t="n">
        <v>0.9737778675</v>
      </c>
      <c r="L1455" s="7" t="n">
        <v>-0.2274839855</v>
      </c>
      <c r="M1455" s="7" t="n">
        <v>-0.002775097462</v>
      </c>
      <c r="N1455" s="7" t="n">
        <v>0.02147486682</v>
      </c>
      <c r="O1455" s="7" t="n">
        <v>0.07976885798</v>
      </c>
      <c r="P1455" s="7" t="n">
        <v>0.9965820385</v>
      </c>
      <c r="Q1455" s="7" t="n">
        <v>-5.071973186</v>
      </c>
      <c r="R1455" s="7" t="n">
        <v>-0.4461547077</v>
      </c>
      <c r="S1455" s="7" t="n">
        <v>0.06246057825</v>
      </c>
    </row>
    <row r="1456" customFormat="false" ht="15" hidden="false" customHeight="false" outlineLevel="0" collapsed="false">
      <c r="A1456" s="5" t="s">
        <v>4</v>
      </c>
      <c r="B1456" s="5" t="s">
        <v>81</v>
      </c>
      <c r="C1456" s="5" t="s">
        <v>58</v>
      </c>
      <c r="D1456" s="2" t="n">
        <v>14</v>
      </c>
      <c r="E1456" s="5" t="s">
        <v>166</v>
      </c>
      <c r="F1456" s="5" t="s">
        <v>168</v>
      </c>
      <c r="G1456" s="2" t="n">
        <v>1</v>
      </c>
      <c r="H1456" s="7" t="n">
        <v>0.9560339704</v>
      </c>
      <c r="I1456" s="7" t="n">
        <v>-0.2931941577</v>
      </c>
      <c r="J1456" s="7" t="n">
        <v>-0.006019415856</v>
      </c>
      <c r="K1456" s="7" t="n">
        <v>0.2932195721</v>
      </c>
      <c r="L1456" s="7" t="n">
        <v>0.9560372697</v>
      </c>
      <c r="M1456" s="7" t="n">
        <v>0.003875746242</v>
      </c>
      <c r="N1456" s="7" t="n">
        <v>0.004618439746</v>
      </c>
      <c r="O1456" s="7" t="n">
        <v>-0.00547035561</v>
      </c>
      <c r="P1456" s="7" t="n">
        <v>0.9999743723</v>
      </c>
      <c r="Q1456" s="7" t="n">
        <v>5.199893775</v>
      </c>
      <c r="R1456" s="7" t="n">
        <v>6.851090872</v>
      </c>
      <c r="S1456" s="7" t="n">
        <v>0.7102378411</v>
      </c>
    </row>
    <row r="1457" customFormat="false" ht="15" hidden="false" customHeight="false" outlineLevel="0" collapsed="false">
      <c r="A1457" s="5" t="s">
        <v>4</v>
      </c>
      <c r="B1457" s="5" t="s">
        <v>81</v>
      </c>
      <c r="C1457" s="5" t="s">
        <v>62</v>
      </c>
      <c r="D1457" s="2" t="n">
        <v>14</v>
      </c>
      <c r="E1457" s="5" t="s">
        <v>166</v>
      </c>
      <c r="F1457" s="5" t="s">
        <v>168</v>
      </c>
      <c r="G1457" s="2" t="n">
        <v>1</v>
      </c>
      <c r="H1457" s="7" t="n">
        <v>0.9560339704</v>
      </c>
      <c r="I1457" s="7" t="n">
        <v>-0.2931941577</v>
      </c>
      <c r="J1457" s="7" t="n">
        <v>-0.006019415856</v>
      </c>
      <c r="K1457" s="7" t="n">
        <v>0.2932195721</v>
      </c>
      <c r="L1457" s="7" t="n">
        <v>0.9560372697</v>
      </c>
      <c r="M1457" s="7" t="n">
        <v>0.003875746242</v>
      </c>
      <c r="N1457" s="7" t="n">
        <v>0.004618439746</v>
      </c>
      <c r="O1457" s="7" t="n">
        <v>-0.00547035561</v>
      </c>
      <c r="P1457" s="7" t="n">
        <v>0.9999743723</v>
      </c>
      <c r="Q1457" s="7" t="n">
        <v>5.199893775</v>
      </c>
      <c r="R1457" s="7" t="n">
        <v>6.851090872</v>
      </c>
      <c r="S1457" s="7" t="n">
        <v>0.7102378411</v>
      </c>
    </row>
    <row r="1458" customFormat="false" ht="15" hidden="false" customHeight="false" outlineLevel="0" collapsed="false">
      <c r="A1458" s="5" t="s">
        <v>4</v>
      </c>
      <c r="B1458" s="5" t="s">
        <v>81</v>
      </c>
      <c r="C1458" s="5" t="s">
        <v>58</v>
      </c>
      <c r="D1458" s="2" t="n">
        <v>15</v>
      </c>
      <c r="E1458" s="5" t="s">
        <v>166</v>
      </c>
      <c r="F1458" s="5" t="s">
        <v>167</v>
      </c>
      <c r="G1458" s="2" t="n">
        <v>1</v>
      </c>
      <c r="H1458" s="7" t="n">
        <v>-0.2164974265</v>
      </c>
      <c r="I1458" s="7" t="n">
        <v>-0.9762609056</v>
      </c>
      <c r="J1458" s="7" t="n">
        <v>0.006596104554</v>
      </c>
      <c r="K1458" s="7" t="n">
        <v>0.9762805367</v>
      </c>
      <c r="L1458" s="7" t="n">
        <v>-0.2165076447</v>
      </c>
      <c r="M1458" s="7" t="n">
        <v>-0.0008680212315</v>
      </c>
      <c r="N1458" s="7" t="n">
        <v>0.002275522255</v>
      </c>
      <c r="O1458" s="7" t="n">
        <v>0.006251724131</v>
      </c>
      <c r="P1458" s="7" t="n">
        <v>0.9999778687</v>
      </c>
      <c r="Q1458" s="7" t="n">
        <v>-5.183081532</v>
      </c>
      <c r="R1458" s="7" t="n">
        <v>-0.3788454278</v>
      </c>
      <c r="S1458" s="7" t="n">
        <v>-0.4146115908</v>
      </c>
    </row>
    <row r="1459" customFormat="false" ht="15" hidden="false" customHeight="false" outlineLevel="0" collapsed="false">
      <c r="A1459" s="5" t="s">
        <v>4</v>
      </c>
      <c r="B1459" s="5" t="s">
        <v>81</v>
      </c>
      <c r="C1459" s="5" t="s">
        <v>62</v>
      </c>
      <c r="D1459" s="2" t="n">
        <v>15</v>
      </c>
      <c r="E1459" s="5" t="s">
        <v>166</v>
      </c>
      <c r="F1459" s="5" t="s">
        <v>167</v>
      </c>
      <c r="G1459" s="2" t="n">
        <v>1</v>
      </c>
      <c r="H1459" s="7" t="n">
        <v>-0.2164974265</v>
      </c>
      <c r="I1459" s="7" t="n">
        <v>-0.9762609056</v>
      </c>
      <c r="J1459" s="7" t="n">
        <v>0.006596104554</v>
      </c>
      <c r="K1459" s="7" t="n">
        <v>0.9762805367</v>
      </c>
      <c r="L1459" s="7" t="n">
        <v>-0.2165076447</v>
      </c>
      <c r="M1459" s="7" t="n">
        <v>-0.0008680212315</v>
      </c>
      <c r="N1459" s="7" t="n">
        <v>0.002275522255</v>
      </c>
      <c r="O1459" s="7" t="n">
        <v>0.006251724131</v>
      </c>
      <c r="P1459" s="7" t="n">
        <v>0.9999778687</v>
      </c>
      <c r="Q1459" s="7" t="n">
        <v>-5.183081532</v>
      </c>
      <c r="R1459" s="7" t="n">
        <v>-0.3788454278</v>
      </c>
      <c r="S1459" s="7" t="n">
        <v>-0.4146115908</v>
      </c>
    </row>
    <row r="1460" customFormat="false" ht="15" hidden="false" customHeight="false" outlineLevel="0" collapsed="false">
      <c r="A1460" s="5" t="s">
        <v>4</v>
      </c>
      <c r="B1460" s="5" t="s">
        <v>81</v>
      </c>
      <c r="C1460" s="5" t="s">
        <v>58</v>
      </c>
      <c r="D1460" s="2" t="n">
        <v>15</v>
      </c>
      <c r="E1460" s="5" t="s">
        <v>166</v>
      </c>
      <c r="F1460" s="5" t="s">
        <v>168</v>
      </c>
      <c r="G1460" s="2" t="n">
        <v>1</v>
      </c>
      <c r="H1460" s="7" t="n">
        <v>0.9557030724</v>
      </c>
      <c r="I1460" s="7" t="n">
        <v>-0.2943143831</v>
      </c>
      <c r="J1460" s="7" t="n">
        <v>-0.003268218385</v>
      </c>
      <c r="K1460" s="7" t="n">
        <v>0.2943268457</v>
      </c>
      <c r="L1460" s="7" t="n">
        <v>0.9555567025</v>
      </c>
      <c r="M1460" s="7" t="n">
        <v>0.0168254645</v>
      </c>
      <c r="N1460" s="7" t="n">
        <v>-0.001829008223</v>
      </c>
      <c r="O1460" s="7" t="n">
        <v>-0.01704207253</v>
      </c>
      <c r="P1460" s="7" t="n">
        <v>0.9998531005</v>
      </c>
      <c r="Q1460" s="7" t="n">
        <v>5.208530879</v>
      </c>
      <c r="R1460" s="7" t="n">
        <v>6.86380565</v>
      </c>
      <c r="S1460" s="7" t="n">
        <v>0.8906946986</v>
      </c>
    </row>
    <row r="1461" customFormat="false" ht="15" hidden="false" customHeight="false" outlineLevel="0" collapsed="false">
      <c r="A1461" s="5" t="s">
        <v>4</v>
      </c>
      <c r="B1461" s="5" t="s">
        <v>81</v>
      </c>
      <c r="C1461" s="5" t="s">
        <v>62</v>
      </c>
      <c r="D1461" s="2" t="n">
        <v>15</v>
      </c>
      <c r="E1461" s="5" t="s">
        <v>166</v>
      </c>
      <c r="F1461" s="5" t="s">
        <v>168</v>
      </c>
      <c r="G1461" s="2" t="n">
        <v>1</v>
      </c>
      <c r="H1461" s="7" t="n">
        <v>0.9555293712</v>
      </c>
      <c r="I1461" s="7" t="n">
        <v>-0.2948957321</v>
      </c>
      <c r="J1461" s="7" t="n">
        <v>0.0003576360911</v>
      </c>
      <c r="K1461" s="7" t="n">
        <v>0.2948958712</v>
      </c>
      <c r="L1461" s="7" t="n">
        <v>0.9555292973</v>
      </c>
      <c r="M1461" s="7" t="n">
        <v>-0.0004325293117</v>
      </c>
      <c r="N1461" s="7" t="n">
        <v>-0.0002141807148</v>
      </c>
      <c r="O1461" s="7" t="n">
        <v>0.0005187598679</v>
      </c>
      <c r="P1461" s="7" t="n">
        <v>0.9999998425</v>
      </c>
      <c r="Q1461" s="7" t="n">
        <v>5.21572297</v>
      </c>
      <c r="R1461" s="7" t="n">
        <v>6.848450802</v>
      </c>
      <c r="S1461" s="7" t="n">
        <v>0.7619381729</v>
      </c>
    </row>
    <row r="1462" customFormat="false" ht="15" hidden="false" customHeight="false" outlineLevel="0" collapsed="false">
      <c r="A1462" s="5" t="s">
        <v>4</v>
      </c>
      <c r="B1462" s="5" t="s">
        <v>81</v>
      </c>
      <c r="C1462" s="5" t="s">
        <v>58</v>
      </c>
      <c r="D1462" s="2" t="n">
        <v>16</v>
      </c>
      <c r="E1462" s="5" t="s">
        <v>166</v>
      </c>
      <c r="F1462" s="5" t="s">
        <v>167</v>
      </c>
      <c r="G1462" s="2" t="n">
        <v>1</v>
      </c>
      <c r="H1462" s="7" t="n">
        <v>-0.2161704912</v>
      </c>
      <c r="I1462" s="7" t="n">
        <v>-0.9763444196</v>
      </c>
      <c r="J1462" s="7" t="n">
        <v>-0.004678999726</v>
      </c>
      <c r="K1462" s="7" t="n">
        <v>0.9763183307</v>
      </c>
      <c r="L1462" s="7" t="n">
        <v>-0.2162016403</v>
      </c>
      <c r="M1462" s="7" t="n">
        <v>0.007705049793</v>
      </c>
      <c r="N1462" s="7" t="n">
        <v>-0.008534389784</v>
      </c>
      <c r="O1462" s="7" t="n">
        <v>-0.002902588804</v>
      </c>
      <c r="P1462" s="7" t="n">
        <v>0.9999593688</v>
      </c>
      <c r="Q1462" s="7" t="n">
        <v>-5.208297734</v>
      </c>
      <c r="R1462" s="7" t="n">
        <v>-0.3825419473</v>
      </c>
      <c r="S1462" s="7" t="n">
        <v>-0.3321845953</v>
      </c>
    </row>
    <row r="1463" customFormat="false" ht="15" hidden="false" customHeight="false" outlineLevel="0" collapsed="false">
      <c r="A1463" s="5" t="s">
        <v>4</v>
      </c>
      <c r="B1463" s="5" t="s">
        <v>81</v>
      </c>
      <c r="C1463" s="5" t="s">
        <v>62</v>
      </c>
      <c r="D1463" s="2" t="n">
        <v>16</v>
      </c>
      <c r="E1463" s="5" t="s">
        <v>166</v>
      </c>
      <c r="F1463" s="5" t="s">
        <v>167</v>
      </c>
      <c r="G1463" s="2" t="n">
        <v>1</v>
      </c>
      <c r="H1463" s="7" t="n">
        <v>-0.2161704912</v>
      </c>
      <c r="I1463" s="7" t="n">
        <v>-0.9763444196</v>
      </c>
      <c r="J1463" s="7" t="n">
        <v>-0.004678999726</v>
      </c>
      <c r="K1463" s="7" t="n">
        <v>0.9763183307</v>
      </c>
      <c r="L1463" s="7" t="n">
        <v>-0.2162016403</v>
      </c>
      <c r="M1463" s="7" t="n">
        <v>0.007705049793</v>
      </c>
      <c r="N1463" s="7" t="n">
        <v>-0.008534389784</v>
      </c>
      <c r="O1463" s="7" t="n">
        <v>-0.002902588804</v>
      </c>
      <c r="P1463" s="7" t="n">
        <v>0.9999593688</v>
      </c>
      <c r="Q1463" s="7" t="n">
        <v>-5.208297734</v>
      </c>
      <c r="R1463" s="7" t="n">
        <v>-0.3825419473</v>
      </c>
      <c r="S1463" s="7" t="n">
        <v>-0.3321845953</v>
      </c>
    </row>
    <row r="1464" customFormat="false" ht="15" hidden="false" customHeight="false" outlineLevel="0" collapsed="false">
      <c r="A1464" s="5" t="s">
        <v>4</v>
      </c>
      <c r="B1464" s="5" t="s">
        <v>81</v>
      </c>
      <c r="C1464" s="5" t="s">
        <v>58</v>
      </c>
      <c r="D1464" s="2" t="n">
        <v>16</v>
      </c>
      <c r="E1464" s="5" t="s">
        <v>166</v>
      </c>
      <c r="F1464" s="5" t="s">
        <v>168</v>
      </c>
      <c r="G1464" s="2" t="n">
        <v>1</v>
      </c>
      <c r="H1464" s="7" t="n">
        <v>0.9556350689</v>
      </c>
      <c r="I1464" s="7" t="n">
        <v>-0.2945509091</v>
      </c>
      <c r="J1464" s="7" t="n">
        <v>-0.0011735172</v>
      </c>
      <c r="K1464" s="7" t="n">
        <v>0.2945508961</v>
      </c>
      <c r="L1464" s="7" t="n">
        <v>0.9556357749</v>
      </c>
      <c r="M1464" s="7" t="n">
        <v>-0.0001877778891</v>
      </c>
      <c r="N1464" s="7" t="n">
        <v>0.001176765167</v>
      </c>
      <c r="O1464" s="7" t="n">
        <v>-0.0001662134069</v>
      </c>
      <c r="P1464" s="7" t="n">
        <v>0.9999992938</v>
      </c>
      <c r="Q1464" s="7" t="n">
        <v>5.207868093</v>
      </c>
      <c r="R1464" s="7" t="n">
        <v>6.848407563</v>
      </c>
      <c r="S1464" s="7" t="n">
        <v>0.721297336</v>
      </c>
    </row>
    <row r="1465" customFormat="false" ht="15" hidden="false" customHeight="false" outlineLevel="0" collapsed="false">
      <c r="A1465" s="5" t="s">
        <v>4</v>
      </c>
      <c r="B1465" s="5" t="s">
        <v>81</v>
      </c>
      <c r="C1465" s="5" t="s">
        <v>62</v>
      </c>
      <c r="D1465" s="2" t="n">
        <v>16</v>
      </c>
      <c r="E1465" s="5" t="s">
        <v>166</v>
      </c>
      <c r="F1465" s="5" t="s">
        <v>168</v>
      </c>
      <c r="G1465" s="2" t="n">
        <v>1</v>
      </c>
      <c r="H1465" s="7" t="n">
        <v>0.9556350689</v>
      </c>
      <c r="I1465" s="7" t="n">
        <v>-0.2945509091</v>
      </c>
      <c r="J1465" s="7" t="n">
        <v>-0.0011735172</v>
      </c>
      <c r="K1465" s="7" t="n">
        <v>0.2945508961</v>
      </c>
      <c r="L1465" s="7" t="n">
        <v>0.9556357749</v>
      </c>
      <c r="M1465" s="7" t="n">
        <v>-0.0001877778891</v>
      </c>
      <c r="N1465" s="7" t="n">
        <v>0.001176765167</v>
      </c>
      <c r="O1465" s="7" t="n">
        <v>-0.0001662134069</v>
      </c>
      <c r="P1465" s="7" t="n">
        <v>0.9999992938</v>
      </c>
      <c r="Q1465" s="7" t="n">
        <v>5.207868093</v>
      </c>
      <c r="R1465" s="7" t="n">
        <v>6.848407563</v>
      </c>
      <c r="S1465" s="7" t="n">
        <v>0.721297336</v>
      </c>
    </row>
    <row r="1466" customFormat="false" ht="15" hidden="false" customHeight="false" outlineLevel="0" collapsed="false">
      <c r="A1466" s="5" t="s">
        <v>4</v>
      </c>
      <c r="B1466" s="5" t="s">
        <v>81</v>
      </c>
      <c r="C1466" s="5" t="s">
        <v>58</v>
      </c>
      <c r="D1466" s="2" t="n">
        <v>17</v>
      </c>
      <c r="E1466" s="5" t="s">
        <v>166</v>
      </c>
      <c r="F1466" s="5" t="s">
        <v>167</v>
      </c>
      <c r="G1466" s="2" t="n">
        <v>1</v>
      </c>
      <c r="H1466" s="7" t="n">
        <v>-0.2144889287</v>
      </c>
      <c r="I1466" s="7" t="n">
        <v>-0.9767237008</v>
      </c>
      <c r="J1466" s="7" t="n">
        <v>0.002304715009</v>
      </c>
      <c r="K1466" s="7" t="n">
        <v>0.9767163156</v>
      </c>
      <c r="L1466" s="7" t="n">
        <v>-0.2144968458</v>
      </c>
      <c r="M1466" s="7" t="n">
        <v>-0.004042531009</v>
      </c>
      <c r="N1466" s="7" t="n">
        <v>0.004442789948</v>
      </c>
      <c r="O1466" s="7" t="n">
        <v>0.001383974607</v>
      </c>
      <c r="P1466" s="7" t="n">
        <v>0.9999891731</v>
      </c>
      <c r="Q1466" s="7" t="n">
        <v>-5.197513762</v>
      </c>
      <c r="R1466" s="7" t="n">
        <v>-0.3769736258</v>
      </c>
      <c r="S1466" s="7" t="n">
        <v>-0.4298427083</v>
      </c>
    </row>
    <row r="1467" customFormat="false" ht="15" hidden="false" customHeight="false" outlineLevel="0" collapsed="false">
      <c r="A1467" s="5" t="s">
        <v>4</v>
      </c>
      <c r="B1467" s="5" t="s">
        <v>81</v>
      </c>
      <c r="C1467" s="5" t="s">
        <v>62</v>
      </c>
      <c r="D1467" s="2" t="n">
        <v>17</v>
      </c>
      <c r="E1467" s="5" t="s">
        <v>166</v>
      </c>
      <c r="F1467" s="5" t="s">
        <v>167</v>
      </c>
      <c r="G1467" s="2" t="n">
        <v>1</v>
      </c>
      <c r="H1467" s="7" t="n">
        <v>-0.2144889287</v>
      </c>
      <c r="I1467" s="7" t="n">
        <v>-0.9767237008</v>
      </c>
      <c r="J1467" s="7" t="n">
        <v>0.002304715009</v>
      </c>
      <c r="K1467" s="7" t="n">
        <v>0.9767163156</v>
      </c>
      <c r="L1467" s="7" t="n">
        <v>-0.2144968458</v>
      </c>
      <c r="M1467" s="7" t="n">
        <v>-0.004042531009</v>
      </c>
      <c r="N1467" s="7" t="n">
        <v>0.004442789948</v>
      </c>
      <c r="O1467" s="7" t="n">
        <v>0.001383974607</v>
      </c>
      <c r="P1467" s="7" t="n">
        <v>0.9999891731</v>
      </c>
      <c r="Q1467" s="7" t="n">
        <v>-5.197513762</v>
      </c>
      <c r="R1467" s="7" t="n">
        <v>-0.3769736258</v>
      </c>
      <c r="S1467" s="7" t="n">
        <v>-0.4298427083</v>
      </c>
    </row>
    <row r="1468" customFormat="false" ht="15" hidden="false" customHeight="false" outlineLevel="0" collapsed="false">
      <c r="A1468" s="5" t="s">
        <v>4</v>
      </c>
      <c r="B1468" s="5" t="s">
        <v>81</v>
      </c>
      <c r="C1468" s="5" t="s">
        <v>58</v>
      </c>
      <c r="D1468" s="2" t="n">
        <v>17</v>
      </c>
      <c r="E1468" s="5" t="s">
        <v>166</v>
      </c>
      <c r="F1468" s="5" t="s">
        <v>168</v>
      </c>
      <c r="G1468" s="2" t="n">
        <v>1</v>
      </c>
      <c r="H1468" s="7" t="n">
        <v>0.9559009985</v>
      </c>
      <c r="I1468" s="7" t="n">
        <v>-0.2936851139</v>
      </c>
      <c r="J1468" s="7" t="n">
        <v>-0.001528047546</v>
      </c>
      <c r="K1468" s="7" t="n">
        <v>0.2936824172</v>
      </c>
      <c r="L1468" s="7" t="n">
        <v>0.9559014151</v>
      </c>
      <c r="M1468" s="7" t="n">
        <v>-0.00176705938</v>
      </c>
      <c r="N1468" s="7" t="n">
        <v>0.001979621846</v>
      </c>
      <c r="O1468" s="7" t="n">
        <v>0.001240373129</v>
      </c>
      <c r="P1468" s="7" t="n">
        <v>0.9999972713</v>
      </c>
      <c r="Q1468" s="7" t="n">
        <v>5.215596156</v>
      </c>
      <c r="R1468" s="7" t="n">
        <v>6.836690745</v>
      </c>
      <c r="S1468" s="7" t="n">
        <v>0.6988373762</v>
      </c>
    </row>
    <row r="1469" customFormat="false" ht="15" hidden="false" customHeight="false" outlineLevel="0" collapsed="false">
      <c r="A1469" s="5" t="s">
        <v>4</v>
      </c>
      <c r="B1469" s="5" t="s">
        <v>81</v>
      </c>
      <c r="C1469" s="5" t="s">
        <v>62</v>
      </c>
      <c r="D1469" s="2" t="n">
        <v>17</v>
      </c>
      <c r="E1469" s="5" t="s">
        <v>166</v>
      </c>
      <c r="F1469" s="5" t="s">
        <v>168</v>
      </c>
      <c r="G1469" s="2" t="n">
        <v>1</v>
      </c>
      <c r="H1469" s="7" t="n">
        <v>0.9559009985</v>
      </c>
      <c r="I1469" s="7" t="n">
        <v>-0.2936851139</v>
      </c>
      <c r="J1469" s="7" t="n">
        <v>-0.001528047546</v>
      </c>
      <c r="K1469" s="7" t="n">
        <v>0.2936824172</v>
      </c>
      <c r="L1469" s="7" t="n">
        <v>0.9559014151</v>
      </c>
      <c r="M1469" s="7" t="n">
        <v>-0.00176705938</v>
      </c>
      <c r="N1469" s="7" t="n">
        <v>0.001979621846</v>
      </c>
      <c r="O1469" s="7" t="n">
        <v>0.001240373129</v>
      </c>
      <c r="P1469" s="7" t="n">
        <v>0.9999972713</v>
      </c>
      <c r="Q1469" s="7" t="n">
        <v>5.215596156</v>
      </c>
      <c r="R1469" s="7" t="n">
        <v>6.836690745</v>
      </c>
      <c r="S1469" s="7" t="n">
        <v>0.6988373762</v>
      </c>
    </row>
    <row r="1470" customFormat="false" ht="15" hidden="false" customHeight="false" outlineLevel="0" collapsed="false">
      <c r="A1470" s="5" t="s">
        <v>4</v>
      </c>
      <c r="B1470" s="5" t="s">
        <v>81</v>
      </c>
      <c r="C1470" s="5" t="s">
        <v>58</v>
      </c>
      <c r="D1470" s="2" t="n">
        <v>18</v>
      </c>
      <c r="E1470" s="5" t="s">
        <v>166</v>
      </c>
      <c r="F1470" s="5" t="s">
        <v>167</v>
      </c>
      <c r="G1470" s="2" t="n">
        <v>1</v>
      </c>
      <c r="H1470" s="7" t="n">
        <v>-0.2150156185</v>
      </c>
      <c r="I1470" s="7" t="n">
        <v>-0.9766106016</v>
      </c>
      <c r="J1470" s="7" t="n">
        <v>-0.0001293159693</v>
      </c>
      <c r="K1470" s="7" t="n">
        <v>0.9766058817</v>
      </c>
      <c r="L1470" s="7" t="n">
        <v>-0.2150149876</v>
      </c>
      <c r="M1470" s="7" t="n">
        <v>0.003083329211</v>
      </c>
      <c r="N1470" s="7" t="n">
        <v>-0.003039016867</v>
      </c>
      <c r="O1470" s="7" t="n">
        <v>0.000536673201</v>
      </c>
      <c r="P1470" s="7" t="n">
        <v>0.9999952382</v>
      </c>
      <c r="Q1470" s="7" t="n">
        <v>-5.203251308</v>
      </c>
      <c r="R1470" s="7" t="n">
        <v>-0.370105552</v>
      </c>
      <c r="S1470" s="7" t="n">
        <v>-0.4100159016</v>
      </c>
    </row>
    <row r="1471" customFormat="false" ht="15" hidden="false" customHeight="false" outlineLevel="0" collapsed="false">
      <c r="A1471" s="5" t="s">
        <v>4</v>
      </c>
      <c r="B1471" s="5" t="s">
        <v>81</v>
      </c>
      <c r="C1471" s="5" t="s">
        <v>62</v>
      </c>
      <c r="D1471" s="2" t="n">
        <v>18</v>
      </c>
      <c r="E1471" s="5" t="s">
        <v>166</v>
      </c>
      <c r="F1471" s="5" t="s">
        <v>167</v>
      </c>
      <c r="G1471" s="2" t="n">
        <v>1</v>
      </c>
      <c r="H1471" s="7" t="n">
        <v>-0.2150156185</v>
      </c>
      <c r="I1471" s="7" t="n">
        <v>-0.9766106016</v>
      </c>
      <c r="J1471" s="7" t="n">
        <v>-0.0001293159693</v>
      </c>
      <c r="K1471" s="7" t="n">
        <v>0.9766058817</v>
      </c>
      <c r="L1471" s="7" t="n">
        <v>-0.2150149876</v>
      </c>
      <c r="M1471" s="7" t="n">
        <v>0.003083329211</v>
      </c>
      <c r="N1471" s="7" t="n">
        <v>-0.003039016867</v>
      </c>
      <c r="O1471" s="7" t="n">
        <v>0.000536673201</v>
      </c>
      <c r="P1471" s="7" t="n">
        <v>0.9999952382</v>
      </c>
      <c r="Q1471" s="7" t="n">
        <v>-5.203251308</v>
      </c>
      <c r="R1471" s="7" t="n">
        <v>-0.370105552</v>
      </c>
      <c r="S1471" s="7" t="n">
        <v>-0.4100159016</v>
      </c>
    </row>
    <row r="1472" customFormat="false" ht="15" hidden="false" customHeight="false" outlineLevel="0" collapsed="false">
      <c r="A1472" s="5" t="s">
        <v>4</v>
      </c>
      <c r="B1472" s="5" t="s">
        <v>81</v>
      </c>
      <c r="C1472" s="5" t="s">
        <v>58</v>
      </c>
      <c r="D1472" s="2" t="n">
        <v>18</v>
      </c>
      <c r="E1472" s="5" t="s">
        <v>166</v>
      </c>
      <c r="F1472" s="5" t="s">
        <v>168</v>
      </c>
      <c r="G1472" s="2" t="n">
        <v>1</v>
      </c>
      <c r="H1472" s="7" t="n">
        <v>0.9557216264</v>
      </c>
      <c r="I1472" s="7" t="n">
        <v>-0.2941857391</v>
      </c>
      <c r="J1472" s="7" t="n">
        <v>0.007136083867</v>
      </c>
      <c r="K1472" s="7" t="n">
        <v>0.294206865</v>
      </c>
      <c r="L1472" s="7" t="n">
        <v>0.9557394713</v>
      </c>
      <c r="M1472" s="7" t="n">
        <v>-0.002093686023</v>
      </c>
      <c r="N1472" s="7" t="n">
        <v>-0.006204304452</v>
      </c>
      <c r="O1472" s="7" t="n">
        <v>0.004100465874</v>
      </c>
      <c r="P1472" s="7" t="n">
        <v>0.999972346</v>
      </c>
      <c r="Q1472" s="7" t="n">
        <v>5.230001563</v>
      </c>
      <c r="R1472" s="7" t="n">
        <v>6.850177949</v>
      </c>
      <c r="S1472" s="7" t="n">
        <v>0.8338663506</v>
      </c>
    </row>
    <row r="1473" customFormat="false" ht="15" hidden="false" customHeight="false" outlineLevel="0" collapsed="false">
      <c r="A1473" s="5" t="s">
        <v>4</v>
      </c>
      <c r="B1473" s="5" t="s">
        <v>81</v>
      </c>
      <c r="C1473" s="5" t="s">
        <v>62</v>
      </c>
      <c r="D1473" s="2" t="n">
        <v>18</v>
      </c>
      <c r="E1473" s="5" t="s">
        <v>166</v>
      </c>
      <c r="F1473" s="5" t="s">
        <v>168</v>
      </c>
      <c r="G1473" s="2" t="n">
        <v>1</v>
      </c>
      <c r="H1473" s="7" t="n">
        <v>0.9557216264</v>
      </c>
      <c r="I1473" s="7" t="n">
        <v>-0.2941857391</v>
      </c>
      <c r="J1473" s="7" t="n">
        <v>0.007136083867</v>
      </c>
      <c r="K1473" s="7" t="n">
        <v>0.294206865</v>
      </c>
      <c r="L1473" s="7" t="n">
        <v>0.9557394713</v>
      </c>
      <c r="M1473" s="7" t="n">
        <v>-0.002093686023</v>
      </c>
      <c r="N1473" s="7" t="n">
        <v>-0.006204304452</v>
      </c>
      <c r="O1473" s="7" t="n">
        <v>0.004100465874</v>
      </c>
      <c r="P1473" s="7" t="n">
        <v>0.999972346</v>
      </c>
      <c r="Q1473" s="7" t="n">
        <v>5.230001563</v>
      </c>
      <c r="R1473" s="7" t="n">
        <v>6.850177949</v>
      </c>
      <c r="S1473" s="7" t="n">
        <v>0.8338663506</v>
      </c>
    </row>
    <row r="1474" customFormat="false" ht="15" hidden="false" customHeight="false" outlineLevel="0" collapsed="false">
      <c r="A1474" s="5" t="s">
        <v>4</v>
      </c>
      <c r="B1474" s="5" t="s">
        <v>81</v>
      </c>
      <c r="C1474" s="5" t="s">
        <v>58</v>
      </c>
      <c r="D1474" s="2" t="n">
        <v>19</v>
      </c>
      <c r="E1474" s="5" t="s">
        <v>166</v>
      </c>
      <c r="F1474" s="5" t="s">
        <v>167</v>
      </c>
      <c r="G1474" s="2" t="n">
        <v>1</v>
      </c>
      <c r="H1474" s="7" t="n">
        <v>-0.2171252892</v>
      </c>
      <c r="I1474" s="7" t="n">
        <v>-0.9761291372</v>
      </c>
      <c r="J1474" s="7" t="n">
        <v>0.005340058824</v>
      </c>
      <c r="K1474" s="7" t="n">
        <v>0.9761369162</v>
      </c>
      <c r="L1474" s="7" t="n">
        <v>-0.2171409825</v>
      </c>
      <c r="M1474" s="7" t="n">
        <v>-0.002552358435</v>
      </c>
      <c r="N1474" s="7" t="n">
        <v>0.003650977057</v>
      </c>
      <c r="O1474" s="7" t="n">
        <v>0.004658446989</v>
      </c>
      <c r="P1474" s="7" t="n">
        <v>0.9999824845</v>
      </c>
      <c r="Q1474" s="7" t="n">
        <v>-5.1995506</v>
      </c>
      <c r="R1474" s="7" t="n">
        <v>-0.3819687952</v>
      </c>
      <c r="S1474" s="7" t="n">
        <v>-0.3940428705</v>
      </c>
    </row>
    <row r="1475" customFormat="false" ht="15" hidden="false" customHeight="false" outlineLevel="0" collapsed="false">
      <c r="A1475" s="5" t="s">
        <v>4</v>
      </c>
      <c r="B1475" s="5" t="s">
        <v>81</v>
      </c>
      <c r="C1475" s="5" t="s">
        <v>62</v>
      </c>
      <c r="D1475" s="2" t="n">
        <v>19</v>
      </c>
      <c r="E1475" s="5" t="s">
        <v>166</v>
      </c>
      <c r="F1475" s="5" t="s">
        <v>167</v>
      </c>
      <c r="G1475" s="2" t="n">
        <v>1</v>
      </c>
      <c r="H1475" s="7" t="n">
        <v>-0.2171252892</v>
      </c>
      <c r="I1475" s="7" t="n">
        <v>-0.9761291372</v>
      </c>
      <c r="J1475" s="7" t="n">
        <v>0.005340058824</v>
      </c>
      <c r="K1475" s="7" t="n">
        <v>0.9761369162</v>
      </c>
      <c r="L1475" s="7" t="n">
        <v>-0.2171409825</v>
      </c>
      <c r="M1475" s="7" t="n">
        <v>-0.002552358435</v>
      </c>
      <c r="N1475" s="7" t="n">
        <v>0.003650977057</v>
      </c>
      <c r="O1475" s="7" t="n">
        <v>0.004658446989</v>
      </c>
      <c r="P1475" s="7" t="n">
        <v>0.9999824845</v>
      </c>
      <c r="Q1475" s="7" t="n">
        <v>-5.1995506</v>
      </c>
      <c r="R1475" s="7" t="n">
        <v>-0.3819687952</v>
      </c>
      <c r="S1475" s="7" t="n">
        <v>-0.3940428705</v>
      </c>
    </row>
    <row r="1476" customFormat="false" ht="15" hidden="false" customHeight="false" outlineLevel="0" collapsed="false">
      <c r="A1476" s="5" t="s">
        <v>4</v>
      </c>
      <c r="B1476" s="5" t="s">
        <v>81</v>
      </c>
      <c r="C1476" s="5" t="s">
        <v>58</v>
      </c>
      <c r="D1476" s="2" t="n">
        <v>19</v>
      </c>
      <c r="E1476" s="5" t="s">
        <v>166</v>
      </c>
      <c r="F1476" s="5" t="s">
        <v>168</v>
      </c>
      <c r="G1476" s="2" t="n">
        <v>1</v>
      </c>
      <c r="H1476" s="7" t="n">
        <v>0.9554620136</v>
      </c>
      <c r="I1476" s="7" t="n">
        <v>-0.295099637</v>
      </c>
      <c r="J1476" s="7" t="n">
        <v>0.002923155275</v>
      </c>
      <c r="K1476" s="7" t="n">
        <v>0.2951096621</v>
      </c>
      <c r="L1476" s="7" t="n">
        <v>0.9554551365</v>
      </c>
      <c r="M1476" s="7" t="n">
        <v>-0.003971068252</v>
      </c>
      <c r="N1476" s="7" t="n">
        <v>-0.001621082922</v>
      </c>
      <c r="O1476" s="7" t="n">
        <v>0.004656856233</v>
      </c>
      <c r="P1476" s="7" t="n">
        <v>0.9999878428</v>
      </c>
      <c r="Q1476" s="7" t="n">
        <v>5.234394356</v>
      </c>
      <c r="R1476" s="7" t="n">
        <v>6.843102927</v>
      </c>
      <c r="S1476" s="7" t="n">
        <v>0.7555166278</v>
      </c>
    </row>
    <row r="1477" customFormat="false" ht="15" hidden="false" customHeight="false" outlineLevel="0" collapsed="false">
      <c r="A1477" s="5" t="s">
        <v>4</v>
      </c>
      <c r="B1477" s="5" t="s">
        <v>81</v>
      </c>
      <c r="C1477" s="5" t="s">
        <v>62</v>
      </c>
      <c r="D1477" s="2" t="n">
        <v>19</v>
      </c>
      <c r="E1477" s="5" t="s">
        <v>166</v>
      </c>
      <c r="F1477" s="5" t="s">
        <v>168</v>
      </c>
      <c r="G1477" s="2" t="n">
        <v>1</v>
      </c>
      <c r="H1477" s="7" t="n">
        <v>0.9554620136</v>
      </c>
      <c r="I1477" s="7" t="n">
        <v>-0.295099637</v>
      </c>
      <c r="J1477" s="7" t="n">
        <v>0.002923155275</v>
      </c>
      <c r="K1477" s="7" t="n">
        <v>0.2951096621</v>
      </c>
      <c r="L1477" s="7" t="n">
        <v>0.9554551365</v>
      </c>
      <c r="M1477" s="7" t="n">
        <v>-0.003971068252</v>
      </c>
      <c r="N1477" s="7" t="n">
        <v>-0.001621082922</v>
      </c>
      <c r="O1477" s="7" t="n">
        <v>0.004656856233</v>
      </c>
      <c r="P1477" s="7" t="n">
        <v>0.9999878428</v>
      </c>
      <c r="Q1477" s="7" t="n">
        <v>5.234394356</v>
      </c>
      <c r="R1477" s="7" t="n">
        <v>6.843102927</v>
      </c>
      <c r="S1477" s="7" t="n">
        <v>0.7555166278</v>
      </c>
    </row>
    <row r="1478" customFormat="false" ht="15" hidden="false" customHeight="false" outlineLevel="0" collapsed="false">
      <c r="A1478" s="5" t="s">
        <v>4</v>
      </c>
      <c r="B1478" s="5" t="s">
        <v>81</v>
      </c>
      <c r="C1478" s="5" t="s">
        <v>58</v>
      </c>
      <c r="D1478" s="2" t="n">
        <v>20</v>
      </c>
      <c r="E1478" s="5" t="s">
        <v>166</v>
      </c>
      <c r="F1478" s="5" t="s">
        <v>167</v>
      </c>
      <c r="G1478" s="2" t="n">
        <v>1</v>
      </c>
      <c r="H1478" s="7" t="n">
        <v>-0.2158347978</v>
      </c>
      <c r="I1478" s="7" t="n">
        <v>-0.9764249353</v>
      </c>
      <c r="J1478" s="7" t="n">
        <v>0.003112203987</v>
      </c>
      <c r="K1478" s="7" t="n">
        <v>0.9764246328</v>
      </c>
      <c r="L1478" s="7" t="n">
        <v>-0.2158430025</v>
      </c>
      <c r="M1478" s="7" t="n">
        <v>-0.002595136614</v>
      </c>
      <c r="N1478" s="7" t="n">
        <v>0.003205703553</v>
      </c>
      <c r="O1478" s="7" t="n">
        <v>0.002478711849</v>
      </c>
      <c r="P1478" s="7" t="n">
        <v>0.9999917897</v>
      </c>
      <c r="Q1478" s="7" t="n">
        <v>-5.20814636</v>
      </c>
      <c r="R1478" s="7" t="n">
        <v>-0.3698352653</v>
      </c>
      <c r="S1478" s="7" t="n">
        <v>-0.4143758191</v>
      </c>
    </row>
    <row r="1479" customFormat="false" ht="15" hidden="false" customHeight="false" outlineLevel="0" collapsed="false">
      <c r="A1479" s="5" t="s">
        <v>4</v>
      </c>
      <c r="B1479" s="5" t="s">
        <v>81</v>
      </c>
      <c r="C1479" s="5" t="s">
        <v>62</v>
      </c>
      <c r="D1479" s="2" t="n">
        <v>20</v>
      </c>
      <c r="E1479" s="5" t="s">
        <v>166</v>
      </c>
      <c r="F1479" s="5" t="s">
        <v>167</v>
      </c>
      <c r="G1479" s="2" t="n">
        <v>1</v>
      </c>
      <c r="H1479" s="7" t="n">
        <v>-0.2158347978</v>
      </c>
      <c r="I1479" s="7" t="n">
        <v>-0.9764249353</v>
      </c>
      <c r="J1479" s="7" t="n">
        <v>0.003112203987</v>
      </c>
      <c r="K1479" s="7" t="n">
        <v>0.9764246328</v>
      </c>
      <c r="L1479" s="7" t="n">
        <v>-0.2158430025</v>
      </c>
      <c r="M1479" s="7" t="n">
        <v>-0.002595136614</v>
      </c>
      <c r="N1479" s="7" t="n">
        <v>0.003205703553</v>
      </c>
      <c r="O1479" s="7" t="n">
        <v>0.002478711849</v>
      </c>
      <c r="P1479" s="7" t="n">
        <v>0.9999917897</v>
      </c>
      <c r="Q1479" s="7" t="n">
        <v>-5.20814636</v>
      </c>
      <c r="R1479" s="7" t="n">
        <v>-0.3698352653</v>
      </c>
      <c r="S1479" s="7" t="n">
        <v>-0.4143758191</v>
      </c>
    </row>
    <row r="1480" customFormat="false" ht="15" hidden="false" customHeight="false" outlineLevel="0" collapsed="false">
      <c r="A1480" s="5" t="s">
        <v>4</v>
      </c>
      <c r="B1480" s="5" t="s">
        <v>81</v>
      </c>
      <c r="C1480" s="5" t="s">
        <v>58</v>
      </c>
      <c r="D1480" s="2" t="n">
        <v>20</v>
      </c>
      <c r="E1480" s="5" t="s">
        <v>166</v>
      </c>
      <c r="F1480" s="5" t="s">
        <v>168</v>
      </c>
      <c r="G1480" s="2" t="n">
        <v>1</v>
      </c>
      <c r="H1480" s="7" t="n">
        <v>0.9556046426</v>
      </c>
      <c r="I1480" s="7" t="n">
        <v>-0.2946429596</v>
      </c>
      <c r="J1480" s="7" t="n">
        <v>0.002300752027</v>
      </c>
      <c r="K1480" s="7" t="n">
        <v>0.2946446734</v>
      </c>
      <c r="L1480" s="7" t="n">
        <v>0.9556067836</v>
      </c>
      <c r="M1480" s="7" t="n">
        <v>-0.0004376137104</v>
      </c>
      <c r="N1480" s="7" t="n">
        <v>-0.002069674446</v>
      </c>
      <c r="O1480" s="7" t="n">
        <v>0.001096090023</v>
      </c>
      <c r="P1480" s="7" t="n">
        <v>0.9999972575</v>
      </c>
      <c r="Q1480" s="7" t="n">
        <v>5.228524927</v>
      </c>
      <c r="R1480" s="7" t="n">
        <v>6.861265004</v>
      </c>
      <c r="S1480" s="7" t="n">
        <v>0.7934603819</v>
      </c>
    </row>
    <row r="1481" customFormat="false" ht="15" hidden="false" customHeight="false" outlineLevel="0" collapsed="false">
      <c r="A1481" s="5" t="s">
        <v>4</v>
      </c>
      <c r="B1481" s="5" t="s">
        <v>81</v>
      </c>
      <c r="C1481" s="5" t="s">
        <v>62</v>
      </c>
      <c r="D1481" s="2" t="n">
        <v>20</v>
      </c>
      <c r="E1481" s="5" t="s">
        <v>166</v>
      </c>
      <c r="F1481" s="5" t="s">
        <v>168</v>
      </c>
      <c r="G1481" s="2" t="n">
        <v>1</v>
      </c>
      <c r="H1481" s="7" t="n">
        <v>0.9556046426</v>
      </c>
      <c r="I1481" s="7" t="n">
        <v>-0.2946429596</v>
      </c>
      <c r="J1481" s="7" t="n">
        <v>0.002300752027</v>
      </c>
      <c r="K1481" s="7" t="n">
        <v>0.2946446734</v>
      </c>
      <c r="L1481" s="7" t="n">
        <v>0.9556067836</v>
      </c>
      <c r="M1481" s="7" t="n">
        <v>-0.0004376137104</v>
      </c>
      <c r="N1481" s="7" t="n">
        <v>-0.002069674446</v>
      </c>
      <c r="O1481" s="7" t="n">
        <v>0.001096090023</v>
      </c>
      <c r="P1481" s="7" t="n">
        <v>0.9999972575</v>
      </c>
      <c r="Q1481" s="7" t="n">
        <v>5.228524927</v>
      </c>
      <c r="R1481" s="7" t="n">
        <v>6.861265004</v>
      </c>
      <c r="S1481" s="7" t="n">
        <v>0.7934603819</v>
      </c>
    </row>
    <row r="1482" customFormat="false" ht="15" hidden="false" customHeight="false" outlineLevel="0" collapsed="false">
      <c r="A1482" s="5" t="s">
        <v>4</v>
      </c>
      <c r="B1482" s="5" t="s">
        <v>81</v>
      </c>
      <c r="C1482" s="5" t="s">
        <v>58</v>
      </c>
      <c r="D1482" s="2" t="n">
        <v>11</v>
      </c>
      <c r="E1482" s="5" t="s">
        <v>167</v>
      </c>
      <c r="F1482" s="5" t="s">
        <v>168</v>
      </c>
      <c r="G1482" s="2" t="n">
        <v>1</v>
      </c>
      <c r="H1482" s="7" t="n">
        <v>0.07910269304</v>
      </c>
      <c r="I1482" s="7" t="n">
        <v>0.996805246</v>
      </c>
      <c r="J1482" s="7" t="n">
        <v>-0.01104832754</v>
      </c>
      <c r="K1482" s="7" t="n">
        <v>-0.9968338365</v>
      </c>
      <c r="L1482" s="7" t="n">
        <v>0.07918492619</v>
      </c>
      <c r="M1482" s="7" t="n">
        <v>0.007214563201</v>
      </c>
      <c r="N1482" s="7" t="n">
        <v>0.008066375447</v>
      </c>
      <c r="O1482" s="7" t="n">
        <v>0.01044265535</v>
      </c>
      <c r="P1482" s="7" t="n">
        <v>0.9999129385</v>
      </c>
      <c r="Q1482" s="7" t="n">
        <v>6.003499929</v>
      </c>
      <c r="R1482" s="7" t="n">
        <v>1.703927355</v>
      </c>
      <c r="S1482" s="7" t="n">
        <v>1.182802015</v>
      </c>
    </row>
    <row r="1483" customFormat="false" ht="15" hidden="false" customHeight="false" outlineLevel="0" collapsed="false">
      <c r="A1483" s="5" t="s">
        <v>4</v>
      </c>
      <c r="B1483" s="5" t="s">
        <v>81</v>
      </c>
      <c r="C1483" s="5" t="s">
        <v>62</v>
      </c>
      <c r="D1483" s="2" t="n">
        <v>11</v>
      </c>
      <c r="E1483" s="5" t="s">
        <v>167</v>
      </c>
      <c r="F1483" s="5" t="s">
        <v>168</v>
      </c>
      <c r="G1483" s="2" t="n">
        <v>1</v>
      </c>
      <c r="H1483" s="7" t="n">
        <v>0.07921922483</v>
      </c>
      <c r="I1483" s="7" t="n">
        <v>0.996690701</v>
      </c>
      <c r="J1483" s="7" t="n">
        <v>0.01821979337</v>
      </c>
      <c r="K1483" s="7" t="n">
        <v>-0.9966434127</v>
      </c>
      <c r="L1483" s="7" t="n">
        <v>0.07881047784</v>
      </c>
      <c r="M1483" s="7" t="n">
        <v>0.02215437797</v>
      </c>
      <c r="N1483" s="7" t="n">
        <v>0.02064515189</v>
      </c>
      <c r="O1483" s="7" t="n">
        <v>-0.01991368969</v>
      </c>
      <c r="P1483" s="7" t="n">
        <v>0.9995885267</v>
      </c>
      <c r="Q1483" s="7" t="n">
        <v>6.066295662</v>
      </c>
      <c r="R1483" s="7" t="n">
        <v>1.739961805</v>
      </c>
      <c r="S1483" s="7" t="n">
        <v>0.8931613453</v>
      </c>
    </row>
    <row r="1484" customFormat="false" ht="15" hidden="false" customHeight="false" outlineLevel="0" collapsed="false">
      <c r="A1484" s="5" t="s">
        <v>4</v>
      </c>
      <c r="B1484" s="5" t="s">
        <v>81</v>
      </c>
      <c r="C1484" s="5" t="s">
        <v>58</v>
      </c>
      <c r="D1484" s="2" t="n">
        <v>12</v>
      </c>
      <c r="E1484" s="5" t="s">
        <v>167</v>
      </c>
      <c r="F1484" s="5" t="s">
        <v>168</v>
      </c>
      <c r="G1484" s="2" t="n">
        <v>1</v>
      </c>
      <c r="H1484" s="7" t="n">
        <v>0.08014022502</v>
      </c>
      <c r="I1484" s="7" t="n">
        <v>0.9967823636</v>
      </c>
      <c r="J1484" s="7" t="n">
        <v>0.001569678715</v>
      </c>
      <c r="K1484" s="7" t="n">
        <v>-0.9967835867</v>
      </c>
      <c r="L1484" s="7" t="n">
        <v>0.08013987185</v>
      </c>
      <c r="M1484" s="7" t="n">
        <v>0.0002867204538</v>
      </c>
      <c r="N1484" s="7" t="n">
        <v>0.0001600040406</v>
      </c>
      <c r="O1484" s="7" t="n">
        <v>-0.001587607821</v>
      </c>
      <c r="P1484" s="7" t="n">
        <v>0.9999987269</v>
      </c>
      <c r="Q1484" s="7" t="n">
        <v>6.010162434</v>
      </c>
      <c r="R1484" s="7" t="n">
        <v>1.705308063</v>
      </c>
      <c r="S1484" s="7" t="n">
        <v>1.155320491</v>
      </c>
    </row>
    <row r="1485" customFormat="false" ht="15" hidden="false" customHeight="false" outlineLevel="0" collapsed="false">
      <c r="A1485" s="5" t="s">
        <v>4</v>
      </c>
      <c r="B1485" s="5" t="s">
        <v>81</v>
      </c>
      <c r="C1485" s="5" t="s">
        <v>62</v>
      </c>
      <c r="D1485" s="2" t="n">
        <v>12</v>
      </c>
      <c r="E1485" s="5" t="s">
        <v>167</v>
      </c>
      <c r="F1485" s="5" t="s">
        <v>168</v>
      </c>
      <c r="G1485" s="2" t="n">
        <v>1</v>
      </c>
      <c r="H1485" s="7" t="n">
        <v>0.08014022502</v>
      </c>
      <c r="I1485" s="7" t="n">
        <v>0.9967823636</v>
      </c>
      <c r="J1485" s="7" t="n">
        <v>0.001569678715</v>
      </c>
      <c r="K1485" s="7" t="n">
        <v>-0.9967835867</v>
      </c>
      <c r="L1485" s="7" t="n">
        <v>0.08013987185</v>
      </c>
      <c r="M1485" s="7" t="n">
        <v>0.0002867204538</v>
      </c>
      <c r="N1485" s="7" t="n">
        <v>0.0001600040406</v>
      </c>
      <c r="O1485" s="7" t="n">
        <v>-0.001587607821</v>
      </c>
      <c r="P1485" s="7" t="n">
        <v>0.9999987269</v>
      </c>
      <c r="Q1485" s="7" t="n">
        <v>6.010162434</v>
      </c>
      <c r="R1485" s="7" t="n">
        <v>1.705308063</v>
      </c>
      <c r="S1485" s="7" t="n">
        <v>1.155320491</v>
      </c>
    </row>
    <row r="1486" customFormat="false" ht="15" hidden="false" customHeight="false" outlineLevel="0" collapsed="false">
      <c r="A1486" s="5" t="s">
        <v>4</v>
      </c>
      <c r="B1486" s="5" t="s">
        <v>81</v>
      </c>
      <c r="C1486" s="5" t="s">
        <v>58</v>
      </c>
      <c r="D1486" s="2" t="n">
        <v>13</v>
      </c>
      <c r="E1486" s="5" t="s">
        <v>167</v>
      </c>
      <c r="F1486" s="5" t="s">
        <v>168</v>
      </c>
      <c r="G1486" s="2" t="n">
        <v>1</v>
      </c>
      <c r="H1486" s="7" t="n">
        <v>0.08105034261</v>
      </c>
      <c r="I1486" s="7" t="n">
        <v>0.9967099788</v>
      </c>
      <c r="J1486" s="7" t="n">
        <v>-0.0002450135479</v>
      </c>
      <c r="K1486" s="7" t="n">
        <v>-0.9967037232</v>
      </c>
      <c r="L1486" s="7" t="n">
        <v>0.08104895599</v>
      </c>
      <c r="M1486" s="7" t="n">
        <v>-0.003571386928</v>
      </c>
      <c r="N1486" s="7" t="n">
        <v>-0.003539778897</v>
      </c>
      <c r="O1486" s="7" t="n">
        <v>0.0005336680495</v>
      </c>
      <c r="P1486" s="7" t="n">
        <v>0.9999935926</v>
      </c>
      <c r="Q1486" s="7" t="n">
        <v>6.023222908</v>
      </c>
      <c r="R1486" s="7" t="n">
        <v>1.699965583</v>
      </c>
      <c r="S1486" s="7" t="n">
        <v>1.179593974</v>
      </c>
    </row>
    <row r="1487" customFormat="false" ht="15" hidden="false" customHeight="false" outlineLevel="0" collapsed="false">
      <c r="A1487" s="5" t="s">
        <v>4</v>
      </c>
      <c r="B1487" s="5" t="s">
        <v>81</v>
      </c>
      <c r="C1487" s="5" t="s">
        <v>62</v>
      </c>
      <c r="D1487" s="2" t="n">
        <v>13</v>
      </c>
      <c r="E1487" s="5" t="s">
        <v>167</v>
      </c>
      <c r="F1487" s="5" t="s">
        <v>168</v>
      </c>
      <c r="G1487" s="2" t="n">
        <v>1</v>
      </c>
      <c r="H1487" s="7" t="n">
        <v>0.08105034261</v>
      </c>
      <c r="I1487" s="7" t="n">
        <v>0.9967099788</v>
      </c>
      <c r="J1487" s="7" t="n">
        <v>-0.0002450135479</v>
      </c>
      <c r="K1487" s="7" t="n">
        <v>-0.9967037232</v>
      </c>
      <c r="L1487" s="7" t="n">
        <v>0.08104895599</v>
      </c>
      <c r="M1487" s="7" t="n">
        <v>-0.003571386928</v>
      </c>
      <c r="N1487" s="7" t="n">
        <v>-0.003539778897</v>
      </c>
      <c r="O1487" s="7" t="n">
        <v>0.0005336680495</v>
      </c>
      <c r="P1487" s="7" t="n">
        <v>0.9999935926</v>
      </c>
      <c r="Q1487" s="7" t="n">
        <v>6.023222908</v>
      </c>
      <c r="R1487" s="7" t="n">
        <v>1.699965583</v>
      </c>
      <c r="S1487" s="7" t="n">
        <v>1.179593974</v>
      </c>
    </row>
    <row r="1488" customFormat="false" ht="15" hidden="false" customHeight="false" outlineLevel="0" collapsed="false">
      <c r="A1488" s="5" t="s">
        <v>4</v>
      </c>
      <c r="B1488" s="5" t="s">
        <v>81</v>
      </c>
      <c r="C1488" s="5" t="s">
        <v>58</v>
      </c>
      <c r="D1488" s="2" t="n">
        <v>14</v>
      </c>
      <c r="E1488" s="5" t="s">
        <v>167</v>
      </c>
      <c r="F1488" s="5" t="s">
        <v>168</v>
      </c>
      <c r="G1488" s="2" t="n">
        <v>1</v>
      </c>
      <c r="H1488" s="7" t="n">
        <v>0.08012002177</v>
      </c>
      <c r="I1488" s="7" t="n">
        <v>0.9967515043</v>
      </c>
      <c r="J1488" s="7" t="n">
        <v>0.008198827743</v>
      </c>
      <c r="K1488" s="7" t="n">
        <v>-0.9967326033</v>
      </c>
      <c r="L1488" s="7" t="n">
        <v>0.08002856675</v>
      </c>
      <c r="M1488" s="7" t="n">
        <v>0.01093370726</v>
      </c>
      <c r="N1488" s="7" t="n">
        <v>0.01024204873</v>
      </c>
      <c r="O1488" s="7" t="n">
        <v>-0.009048047784</v>
      </c>
      <c r="P1488" s="7" t="n">
        <v>0.9999066123</v>
      </c>
      <c r="Q1488" s="7" t="n">
        <v>6.031928505</v>
      </c>
      <c r="R1488" s="7" t="n">
        <v>1.733178911</v>
      </c>
      <c r="S1488" s="7" t="n">
        <v>0.9678020076</v>
      </c>
    </row>
    <row r="1489" customFormat="false" ht="15" hidden="false" customHeight="false" outlineLevel="0" collapsed="false">
      <c r="A1489" s="5" t="s">
        <v>4</v>
      </c>
      <c r="B1489" s="5" t="s">
        <v>81</v>
      </c>
      <c r="C1489" s="5" t="s">
        <v>62</v>
      </c>
      <c r="D1489" s="2" t="n">
        <v>14</v>
      </c>
      <c r="E1489" s="5" t="s">
        <v>167</v>
      </c>
      <c r="F1489" s="5" t="s">
        <v>168</v>
      </c>
      <c r="G1489" s="2" t="n">
        <v>1</v>
      </c>
      <c r="H1489" s="7" t="n">
        <v>0.08012002177</v>
      </c>
      <c r="I1489" s="7" t="n">
        <v>0.9967515043</v>
      </c>
      <c r="J1489" s="7" t="n">
        <v>0.008198827743</v>
      </c>
      <c r="K1489" s="7" t="n">
        <v>-0.9967326033</v>
      </c>
      <c r="L1489" s="7" t="n">
        <v>0.08002856675</v>
      </c>
      <c r="M1489" s="7" t="n">
        <v>0.01093370726</v>
      </c>
      <c r="N1489" s="7" t="n">
        <v>0.01024204873</v>
      </c>
      <c r="O1489" s="7" t="n">
        <v>-0.009048047784</v>
      </c>
      <c r="P1489" s="7" t="n">
        <v>0.9999066123</v>
      </c>
      <c r="Q1489" s="7" t="n">
        <v>6.031928505</v>
      </c>
      <c r="R1489" s="7" t="n">
        <v>1.733178911</v>
      </c>
      <c r="S1489" s="7" t="n">
        <v>0.9678020076</v>
      </c>
    </row>
    <row r="1490" customFormat="false" ht="15" hidden="false" customHeight="false" outlineLevel="0" collapsed="false">
      <c r="A1490" s="5" t="s">
        <v>4</v>
      </c>
      <c r="B1490" s="5" t="s">
        <v>81</v>
      </c>
      <c r="C1490" s="5" t="s">
        <v>58</v>
      </c>
      <c r="D1490" s="2" t="n">
        <v>15</v>
      </c>
      <c r="E1490" s="5" t="s">
        <v>167</v>
      </c>
      <c r="F1490" s="5" t="s">
        <v>168</v>
      </c>
      <c r="G1490" s="2" t="n">
        <v>1</v>
      </c>
      <c r="H1490" s="7" t="n">
        <v>0.08149063584</v>
      </c>
      <c r="I1490" s="7" t="n">
        <v>0.9966636248</v>
      </c>
      <c r="J1490" s="7" t="n">
        <v>-0.004571136148</v>
      </c>
      <c r="K1490" s="7" t="n">
        <v>-0.9966739443</v>
      </c>
      <c r="L1490" s="7" t="n">
        <v>0.08148714164</v>
      </c>
      <c r="M1490" s="7" t="n">
        <v>-0.0009458219418</v>
      </c>
      <c r="N1490" s="7" t="n">
        <v>-0.0005701775062</v>
      </c>
      <c r="O1490" s="7" t="n">
        <v>0.004633007926</v>
      </c>
      <c r="P1490" s="7" t="n">
        <v>0.999989105</v>
      </c>
      <c r="Q1490" s="7" t="n">
        <v>5.991427333</v>
      </c>
      <c r="R1490" s="7" t="n">
        <v>1.709163592</v>
      </c>
      <c r="S1490" s="7" t="n">
        <v>1.186961881</v>
      </c>
    </row>
    <row r="1491" customFormat="false" ht="15" hidden="false" customHeight="false" outlineLevel="0" collapsed="false">
      <c r="A1491" s="5" t="s">
        <v>4</v>
      </c>
      <c r="B1491" s="5" t="s">
        <v>81</v>
      </c>
      <c r="C1491" s="5" t="s">
        <v>62</v>
      </c>
      <c r="D1491" s="2" t="n">
        <v>15</v>
      </c>
      <c r="E1491" s="5" t="s">
        <v>167</v>
      </c>
      <c r="F1491" s="5" t="s">
        <v>168</v>
      </c>
      <c r="G1491" s="2" t="n">
        <v>1</v>
      </c>
      <c r="H1491" s="7" t="n">
        <v>0.08149063584</v>
      </c>
      <c r="I1491" s="7" t="n">
        <v>0.9966636248</v>
      </c>
      <c r="J1491" s="7" t="n">
        <v>-0.004571136148</v>
      </c>
      <c r="K1491" s="7" t="n">
        <v>-0.9966739443</v>
      </c>
      <c r="L1491" s="7" t="n">
        <v>0.08148714164</v>
      </c>
      <c r="M1491" s="7" t="n">
        <v>-0.0009458219418</v>
      </c>
      <c r="N1491" s="7" t="n">
        <v>-0.0005701775062</v>
      </c>
      <c r="O1491" s="7" t="n">
        <v>0.004633007926</v>
      </c>
      <c r="P1491" s="7" t="n">
        <v>0.999989105</v>
      </c>
      <c r="Q1491" s="7" t="n">
        <v>5.991427333</v>
      </c>
      <c r="R1491" s="7" t="n">
        <v>1.709163592</v>
      </c>
      <c r="S1491" s="7" t="n">
        <v>1.186961881</v>
      </c>
    </row>
    <row r="1492" customFormat="false" ht="15" hidden="false" customHeight="false" outlineLevel="0" collapsed="false">
      <c r="A1492" s="5" t="s">
        <v>4</v>
      </c>
      <c r="B1492" s="5" t="s">
        <v>81</v>
      </c>
      <c r="C1492" s="5" t="s">
        <v>58</v>
      </c>
      <c r="D1492" s="2" t="n">
        <v>16</v>
      </c>
      <c r="E1492" s="5" t="s">
        <v>167</v>
      </c>
      <c r="F1492" s="5" t="s">
        <v>168</v>
      </c>
      <c r="G1492" s="2" t="n">
        <v>1</v>
      </c>
      <c r="H1492" s="7" t="n">
        <v>0.08045439829</v>
      </c>
      <c r="I1492" s="7" t="n">
        <v>0.9964876566</v>
      </c>
      <c r="J1492" s="7" t="n">
        <v>-0.0232258484</v>
      </c>
      <c r="K1492" s="7" t="n">
        <v>-0.9963989451</v>
      </c>
      <c r="L1492" s="7" t="n">
        <v>0.08102918841</v>
      </c>
      <c r="M1492" s="7" t="n">
        <v>0.02496823728</v>
      </c>
      <c r="N1492" s="7" t="n">
        <v>0.0267625119</v>
      </c>
      <c r="O1492" s="7" t="n">
        <v>0.02113340634</v>
      </c>
      <c r="P1492" s="7" t="n">
        <v>0.9994184044</v>
      </c>
      <c r="Q1492" s="7" t="n">
        <v>5.967834809</v>
      </c>
      <c r="R1492" s="7" t="n">
        <v>1.757920804</v>
      </c>
      <c r="S1492" s="7" t="n">
        <v>1.300191658</v>
      </c>
    </row>
    <row r="1493" customFormat="false" ht="15" hidden="false" customHeight="false" outlineLevel="0" collapsed="false">
      <c r="A1493" s="5" t="s">
        <v>4</v>
      </c>
      <c r="B1493" s="5" t="s">
        <v>81</v>
      </c>
      <c r="C1493" s="5" t="s">
        <v>62</v>
      </c>
      <c r="D1493" s="2" t="n">
        <v>16</v>
      </c>
      <c r="E1493" s="5" t="s">
        <v>167</v>
      </c>
      <c r="F1493" s="5" t="s">
        <v>168</v>
      </c>
      <c r="G1493" s="2" t="n">
        <v>1</v>
      </c>
      <c r="H1493" s="7" t="n">
        <v>0.0803762241</v>
      </c>
      <c r="I1493" s="7" t="n">
        <v>0.996757034</v>
      </c>
      <c r="J1493" s="7" t="n">
        <v>-0.003883022978</v>
      </c>
      <c r="K1493" s="7" t="n">
        <v>-0.9967533205</v>
      </c>
      <c r="L1493" s="7" t="n">
        <v>0.08039323544</v>
      </c>
      <c r="M1493" s="7" t="n">
        <v>0.004443610734</v>
      </c>
      <c r="N1493" s="7" t="n">
        <v>0.004741369036</v>
      </c>
      <c r="O1493" s="7" t="n">
        <v>0.003513255395</v>
      </c>
      <c r="P1493" s="7" t="n">
        <v>0.9999825881</v>
      </c>
      <c r="Q1493" s="7" t="n">
        <v>6.006610192</v>
      </c>
      <c r="R1493" s="7" t="n">
        <v>1.712474134</v>
      </c>
      <c r="S1493" s="7" t="n">
        <v>1.190435924</v>
      </c>
    </row>
    <row r="1494" customFormat="false" ht="15" hidden="false" customHeight="false" outlineLevel="0" collapsed="false">
      <c r="A1494" s="5" t="s">
        <v>4</v>
      </c>
      <c r="B1494" s="5" t="s">
        <v>81</v>
      </c>
      <c r="C1494" s="5" t="s">
        <v>58</v>
      </c>
      <c r="D1494" s="2" t="n">
        <v>17</v>
      </c>
      <c r="E1494" s="5" t="s">
        <v>167</v>
      </c>
      <c r="F1494" s="5" t="s">
        <v>168</v>
      </c>
      <c r="G1494" s="2" t="n">
        <v>1</v>
      </c>
      <c r="H1494" s="7" t="n">
        <v>0.08106614093</v>
      </c>
      <c r="I1494" s="7" t="n">
        <v>0.9967009341</v>
      </c>
      <c r="J1494" s="7" t="n">
        <v>0.003940658348</v>
      </c>
      <c r="K1494" s="7" t="n">
        <v>-0.9967029261</v>
      </c>
      <c r="L1494" s="7" t="n">
        <v>0.08105155009</v>
      </c>
      <c r="M1494" s="7" t="n">
        <v>0.003731401917</v>
      </c>
      <c r="N1494" s="7" t="n">
        <v>0.003399695309</v>
      </c>
      <c r="O1494" s="7" t="n">
        <v>-0.00423015606</v>
      </c>
      <c r="P1494" s="7" t="n">
        <v>0.9999852738</v>
      </c>
      <c r="Q1494" s="7" t="n">
        <v>6.017321483</v>
      </c>
      <c r="R1494" s="7" t="n">
        <v>1.749285636</v>
      </c>
      <c r="S1494" s="7" t="n">
        <v>1.070319528</v>
      </c>
    </row>
    <row r="1495" customFormat="false" ht="15" hidden="false" customHeight="false" outlineLevel="0" collapsed="false">
      <c r="A1495" s="5" t="s">
        <v>4</v>
      </c>
      <c r="B1495" s="5" t="s">
        <v>81</v>
      </c>
      <c r="C1495" s="5" t="s">
        <v>62</v>
      </c>
      <c r="D1495" s="2" t="n">
        <v>17</v>
      </c>
      <c r="E1495" s="5" t="s">
        <v>167</v>
      </c>
      <c r="F1495" s="5" t="s">
        <v>168</v>
      </c>
      <c r="G1495" s="2" t="n">
        <v>1</v>
      </c>
      <c r="H1495" s="7" t="n">
        <v>0.08106614093</v>
      </c>
      <c r="I1495" s="7" t="n">
        <v>0.9967009341</v>
      </c>
      <c r="J1495" s="7" t="n">
        <v>0.003940658348</v>
      </c>
      <c r="K1495" s="7" t="n">
        <v>-0.9967029261</v>
      </c>
      <c r="L1495" s="7" t="n">
        <v>0.08105155009</v>
      </c>
      <c r="M1495" s="7" t="n">
        <v>0.003731401917</v>
      </c>
      <c r="N1495" s="7" t="n">
        <v>0.003399695309</v>
      </c>
      <c r="O1495" s="7" t="n">
        <v>-0.00423015606</v>
      </c>
      <c r="P1495" s="7" t="n">
        <v>0.9999852738</v>
      </c>
      <c r="Q1495" s="7" t="n">
        <v>6.017321483</v>
      </c>
      <c r="R1495" s="7" t="n">
        <v>1.749285636</v>
      </c>
      <c r="S1495" s="7" t="n">
        <v>1.070319528</v>
      </c>
    </row>
    <row r="1496" customFormat="false" ht="15" hidden="false" customHeight="false" outlineLevel="0" collapsed="false">
      <c r="A1496" s="5" t="s">
        <v>4</v>
      </c>
      <c r="B1496" s="5" t="s">
        <v>81</v>
      </c>
      <c r="C1496" s="5" t="s">
        <v>58</v>
      </c>
      <c r="D1496" s="2" t="n">
        <v>18</v>
      </c>
      <c r="E1496" s="5" t="s">
        <v>167</v>
      </c>
      <c r="F1496" s="5" t="s">
        <v>168</v>
      </c>
      <c r="G1496" s="2" t="n">
        <v>1</v>
      </c>
      <c r="H1496" s="7" t="n">
        <v>0.08077174901</v>
      </c>
      <c r="I1496" s="7" t="n">
        <v>0.9967298923</v>
      </c>
      <c r="J1496" s="7" t="n">
        <v>-0.002333743125</v>
      </c>
      <c r="K1496" s="7" t="n">
        <v>-0.9967316679</v>
      </c>
      <c r="L1496" s="7" t="n">
        <v>0.08076820631</v>
      </c>
      <c r="M1496" s="7" t="n">
        <v>-0.001574522454</v>
      </c>
      <c r="N1496" s="7" t="n">
        <v>-0.00138088135</v>
      </c>
      <c r="O1496" s="7" t="n">
        <v>0.00245329261</v>
      </c>
      <c r="P1496" s="7" t="n">
        <v>0.9999960373</v>
      </c>
      <c r="Q1496" s="7" t="n">
        <v>6.010209935</v>
      </c>
      <c r="R1496" s="7" t="n">
        <v>1.706793306</v>
      </c>
      <c r="S1496" s="7" t="n">
        <v>1.180775222</v>
      </c>
    </row>
    <row r="1497" customFormat="false" ht="15" hidden="false" customHeight="false" outlineLevel="0" collapsed="false">
      <c r="A1497" s="5" t="s">
        <v>4</v>
      </c>
      <c r="B1497" s="5" t="s">
        <v>81</v>
      </c>
      <c r="C1497" s="5" t="s">
        <v>62</v>
      </c>
      <c r="D1497" s="2" t="n">
        <v>18</v>
      </c>
      <c r="E1497" s="5" t="s">
        <v>167</v>
      </c>
      <c r="F1497" s="5" t="s">
        <v>168</v>
      </c>
      <c r="G1497" s="2" t="n">
        <v>1</v>
      </c>
      <c r="H1497" s="7" t="n">
        <v>0.08077174901</v>
      </c>
      <c r="I1497" s="7" t="n">
        <v>0.9967298923</v>
      </c>
      <c r="J1497" s="7" t="n">
        <v>-0.002333743125</v>
      </c>
      <c r="K1497" s="7" t="n">
        <v>-0.9967316679</v>
      </c>
      <c r="L1497" s="7" t="n">
        <v>0.08076820631</v>
      </c>
      <c r="M1497" s="7" t="n">
        <v>-0.001574522454</v>
      </c>
      <c r="N1497" s="7" t="n">
        <v>-0.00138088135</v>
      </c>
      <c r="O1497" s="7" t="n">
        <v>0.00245329261</v>
      </c>
      <c r="P1497" s="7" t="n">
        <v>0.9999960373</v>
      </c>
      <c r="Q1497" s="7" t="n">
        <v>6.010209935</v>
      </c>
      <c r="R1497" s="7" t="n">
        <v>1.706793306</v>
      </c>
      <c r="S1497" s="7" t="n">
        <v>1.180775222</v>
      </c>
    </row>
    <row r="1498" customFormat="false" ht="15" hidden="false" customHeight="false" outlineLevel="0" collapsed="false">
      <c r="A1498" s="5" t="s">
        <v>4</v>
      </c>
      <c r="B1498" s="5" t="s">
        <v>81</v>
      </c>
      <c r="C1498" s="5" t="s">
        <v>58</v>
      </c>
      <c r="D1498" s="2" t="n">
        <v>19</v>
      </c>
      <c r="E1498" s="5" t="s">
        <v>167</v>
      </c>
      <c r="F1498" s="5" t="s">
        <v>168</v>
      </c>
      <c r="G1498" s="2" t="n">
        <v>1</v>
      </c>
      <c r="H1498" s="7" t="n">
        <v>0.07906362108</v>
      </c>
      <c r="I1498" s="7" t="n">
        <v>0.9968169337</v>
      </c>
      <c r="J1498" s="7" t="n">
        <v>-0.01024424705</v>
      </c>
      <c r="K1498" s="7" t="n">
        <v>-0.9968695652</v>
      </c>
      <c r="L1498" s="7" t="n">
        <v>0.07905823352</v>
      </c>
      <c r="M1498" s="7" t="n">
        <v>-0.0009304391711</v>
      </c>
      <c r="N1498" s="7" t="n">
        <v>-0.0001175854458</v>
      </c>
      <c r="O1498" s="7" t="n">
        <v>0.01028574199</v>
      </c>
      <c r="P1498" s="7" t="n">
        <v>0.9999470934</v>
      </c>
      <c r="Q1498" s="7" t="n">
        <v>5.993134668</v>
      </c>
      <c r="R1498" s="7" t="n">
        <v>1.685263942</v>
      </c>
      <c r="S1498" s="7" t="n">
        <v>1.275235737</v>
      </c>
    </row>
    <row r="1499" customFormat="false" ht="15" hidden="false" customHeight="false" outlineLevel="0" collapsed="false">
      <c r="A1499" s="5" t="s">
        <v>4</v>
      </c>
      <c r="B1499" s="5" t="s">
        <v>81</v>
      </c>
      <c r="C1499" s="5" t="s">
        <v>62</v>
      </c>
      <c r="D1499" s="2" t="n">
        <v>19</v>
      </c>
      <c r="E1499" s="5" t="s">
        <v>167</v>
      </c>
      <c r="F1499" s="5" t="s">
        <v>168</v>
      </c>
      <c r="G1499" s="2" t="n">
        <v>1</v>
      </c>
      <c r="H1499" s="7" t="n">
        <v>0.07906362108</v>
      </c>
      <c r="I1499" s="7" t="n">
        <v>0.9968169337</v>
      </c>
      <c r="J1499" s="7" t="n">
        <v>-0.01024424705</v>
      </c>
      <c r="K1499" s="7" t="n">
        <v>-0.9968695652</v>
      </c>
      <c r="L1499" s="7" t="n">
        <v>0.07905823352</v>
      </c>
      <c r="M1499" s="7" t="n">
        <v>-0.0009304391711</v>
      </c>
      <c r="N1499" s="7" t="n">
        <v>-0.0001175854458</v>
      </c>
      <c r="O1499" s="7" t="n">
        <v>0.01028574199</v>
      </c>
      <c r="P1499" s="7" t="n">
        <v>0.9999470934</v>
      </c>
      <c r="Q1499" s="7" t="n">
        <v>5.993134668</v>
      </c>
      <c r="R1499" s="7" t="n">
        <v>1.685263942</v>
      </c>
      <c r="S1499" s="7" t="n">
        <v>1.275235737</v>
      </c>
    </row>
    <row r="1500" customFormat="false" ht="15" hidden="false" customHeight="false" outlineLevel="0" collapsed="false">
      <c r="A1500" s="5" t="s">
        <v>4</v>
      </c>
      <c r="B1500" s="5" t="s">
        <v>81</v>
      </c>
      <c r="C1500" s="5" t="s">
        <v>58</v>
      </c>
      <c r="D1500" s="2" t="n">
        <v>20</v>
      </c>
      <c r="E1500" s="5" t="s">
        <v>167</v>
      </c>
      <c r="F1500" s="5" t="s">
        <v>168</v>
      </c>
      <c r="G1500" s="2" t="n">
        <v>1</v>
      </c>
      <c r="H1500" s="7" t="n">
        <v>0.07998427552</v>
      </c>
      <c r="I1500" s="7" t="n">
        <v>0.9967019518</v>
      </c>
      <c r="J1500" s="7" t="n">
        <v>-0.01370163932</v>
      </c>
      <c r="K1500" s="7" t="n">
        <v>-0.9967698003</v>
      </c>
      <c r="L1500" s="7" t="n">
        <v>0.08007450563</v>
      </c>
      <c r="M1500" s="7" t="n">
        <v>0.006167562768</v>
      </c>
      <c r="N1500" s="7" t="n">
        <v>0.007244373843</v>
      </c>
      <c r="O1500" s="7" t="n">
        <v>0.01316407225</v>
      </c>
      <c r="P1500" s="7" t="n">
        <v>0.9998871068</v>
      </c>
      <c r="Q1500" s="7" t="n">
        <v>5.989435679</v>
      </c>
      <c r="R1500" s="7" t="n">
        <v>1.712724709</v>
      </c>
      <c r="S1500" s="7" t="n">
        <v>1.233304676</v>
      </c>
    </row>
    <row r="1501" customFormat="false" ht="15" hidden="false" customHeight="false" outlineLevel="0" collapsed="false">
      <c r="A1501" s="5" t="s">
        <v>4</v>
      </c>
      <c r="B1501" s="5" t="s">
        <v>81</v>
      </c>
      <c r="C1501" s="5" t="s">
        <v>62</v>
      </c>
      <c r="D1501" s="2" t="n">
        <v>20</v>
      </c>
      <c r="E1501" s="5" t="s">
        <v>167</v>
      </c>
      <c r="F1501" s="5" t="s">
        <v>168</v>
      </c>
      <c r="G1501" s="2" t="n">
        <v>1</v>
      </c>
      <c r="H1501" s="7" t="n">
        <v>0.07998427552</v>
      </c>
      <c r="I1501" s="7" t="n">
        <v>0.9967019518</v>
      </c>
      <c r="J1501" s="7" t="n">
        <v>-0.01370163932</v>
      </c>
      <c r="K1501" s="7" t="n">
        <v>-0.9967698003</v>
      </c>
      <c r="L1501" s="7" t="n">
        <v>0.08007450563</v>
      </c>
      <c r="M1501" s="7" t="n">
        <v>0.006167562768</v>
      </c>
      <c r="N1501" s="7" t="n">
        <v>0.007244373843</v>
      </c>
      <c r="O1501" s="7" t="n">
        <v>0.01316407225</v>
      </c>
      <c r="P1501" s="7" t="n">
        <v>0.9998871068</v>
      </c>
      <c r="Q1501" s="7" t="n">
        <v>5.989435679</v>
      </c>
      <c r="R1501" s="7" t="n">
        <v>1.712724709</v>
      </c>
      <c r="S1501" s="7" t="n">
        <v>1.233304676</v>
      </c>
    </row>
    <row r="1502" customFormat="false" ht="15" hidden="false" customHeight="false" outlineLevel="0" collapsed="false">
      <c r="A1502" s="5" t="s">
        <v>4</v>
      </c>
      <c r="B1502" s="5" t="s">
        <v>83</v>
      </c>
      <c r="C1502" s="5" t="s">
        <v>58</v>
      </c>
      <c r="D1502" s="2" t="n">
        <v>11</v>
      </c>
      <c r="E1502" s="5" t="s">
        <v>163</v>
      </c>
      <c r="F1502" s="5" t="s">
        <v>164</v>
      </c>
      <c r="G1502" s="2" t="n">
        <v>1</v>
      </c>
      <c r="H1502" s="7" t="n">
        <v>-0.7183020565</v>
      </c>
      <c r="I1502" s="7" t="n">
        <v>-0.6956952562</v>
      </c>
      <c r="J1502" s="7" t="n">
        <v>0.00708985484</v>
      </c>
      <c r="K1502" s="7" t="n">
        <v>0.6956974528</v>
      </c>
      <c r="L1502" s="7" t="n">
        <v>-0.718330371</v>
      </c>
      <c r="M1502" s="7" t="n">
        <v>-0.002555823676</v>
      </c>
      <c r="N1502" s="7" t="n">
        <v>0.006870932464</v>
      </c>
      <c r="O1502" s="7" t="n">
        <v>0.00309654055</v>
      </c>
      <c r="P1502" s="7" t="n">
        <v>0.9999716005</v>
      </c>
      <c r="Q1502" s="7" t="n">
        <v>-11.07577379</v>
      </c>
      <c r="R1502" s="7" t="n">
        <v>-0.8732478571</v>
      </c>
      <c r="S1502" s="7" t="n">
        <v>0.5471209404</v>
      </c>
    </row>
    <row r="1503" customFormat="false" ht="15" hidden="false" customHeight="false" outlineLevel="0" collapsed="false">
      <c r="A1503" s="5" t="s">
        <v>4</v>
      </c>
      <c r="B1503" s="5" t="s">
        <v>83</v>
      </c>
      <c r="C1503" s="5" t="s">
        <v>62</v>
      </c>
      <c r="D1503" s="2" t="n">
        <v>11</v>
      </c>
      <c r="E1503" s="5" t="s">
        <v>163</v>
      </c>
      <c r="F1503" s="5" t="s">
        <v>164</v>
      </c>
      <c r="G1503" s="2" t="n">
        <v>1</v>
      </c>
      <c r="H1503" s="7" t="n">
        <v>-0.7183020565</v>
      </c>
      <c r="I1503" s="7" t="n">
        <v>-0.6956952562</v>
      </c>
      <c r="J1503" s="7" t="n">
        <v>0.00708985484</v>
      </c>
      <c r="K1503" s="7" t="n">
        <v>0.6956974528</v>
      </c>
      <c r="L1503" s="7" t="n">
        <v>-0.718330371</v>
      </c>
      <c r="M1503" s="7" t="n">
        <v>-0.002555823676</v>
      </c>
      <c r="N1503" s="7" t="n">
        <v>0.006870932464</v>
      </c>
      <c r="O1503" s="7" t="n">
        <v>0.00309654055</v>
      </c>
      <c r="P1503" s="7" t="n">
        <v>0.9999716005</v>
      </c>
      <c r="Q1503" s="7" t="n">
        <v>-11.07577379</v>
      </c>
      <c r="R1503" s="7" t="n">
        <v>-0.8732478571</v>
      </c>
      <c r="S1503" s="7" t="n">
        <v>0.5471209404</v>
      </c>
    </row>
    <row r="1504" customFormat="false" ht="15" hidden="false" customHeight="false" outlineLevel="0" collapsed="false">
      <c r="A1504" s="5" t="s">
        <v>4</v>
      </c>
      <c r="B1504" s="5" t="s">
        <v>83</v>
      </c>
      <c r="C1504" s="5" t="s">
        <v>58</v>
      </c>
      <c r="D1504" s="2" t="n">
        <v>11</v>
      </c>
      <c r="E1504" s="5" t="s">
        <v>163</v>
      </c>
      <c r="F1504" s="5" t="s">
        <v>165</v>
      </c>
      <c r="G1504" s="2" t="n">
        <v>1</v>
      </c>
      <c r="H1504" s="7" t="n">
        <v>0.9341490658</v>
      </c>
      <c r="I1504" s="7" t="n">
        <v>0.3568547809</v>
      </c>
      <c r="J1504" s="7" t="n">
        <v>-0.004493138623</v>
      </c>
      <c r="K1504" s="7" t="n">
        <v>-0.3568374281</v>
      </c>
      <c r="L1504" s="7" t="n">
        <v>0.9341569172</v>
      </c>
      <c r="M1504" s="7" t="n">
        <v>0.004231310806</v>
      </c>
      <c r="N1504" s="7" t="n">
        <v>0.005707260015</v>
      </c>
      <c r="O1504" s="7" t="n">
        <v>-0.002349355006</v>
      </c>
      <c r="P1504" s="7" t="n">
        <v>0.9999809537</v>
      </c>
      <c r="Q1504" s="7" t="n">
        <v>8.390895457</v>
      </c>
      <c r="R1504" s="7" t="n">
        <v>1.38298482</v>
      </c>
      <c r="S1504" s="7" t="n">
        <v>0.6512468878</v>
      </c>
    </row>
    <row r="1505" customFormat="false" ht="15" hidden="false" customHeight="false" outlineLevel="0" collapsed="false">
      <c r="A1505" s="5" t="s">
        <v>4</v>
      </c>
      <c r="B1505" s="5" t="s">
        <v>83</v>
      </c>
      <c r="C1505" s="5" t="s">
        <v>62</v>
      </c>
      <c r="D1505" s="2" t="n">
        <v>11</v>
      </c>
      <c r="E1505" s="5" t="s">
        <v>163</v>
      </c>
      <c r="F1505" s="5" t="s">
        <v>165</v>
      </c>
      <c r="G1505" s="2" t="n">
        <v>1</v>
      </c>
      <c r="H1505" s="7" t="n">
        <v>0.9341490658</v>
      </c>
      <c r="I1505" s="7" t="n">
        <v>0.3568547809</v>
      </c>
      <c r="J1505" s="7" t="n">
        <v>-0.004493138623</v>
      </c>
      <c r="K1505" s="7" t="n">
        <v>-0.3568374281</v>
      </c>
      <c r="L1505" s="7" t="n">
        <v>0.9341569172</v>
      </c>
      <c r="M1505" s="7" t="n">
        <v>0.004231310806</v>
      </c>
      <c r="N1505" s="7" t="n">
        <v>0.005707260015</v>
      </c>
      <c r="O1505" s="7" t="n">
        <v>-0.002349355006</v>
      </c>
      <c r="P1505" s="7" t="n">
        <v>0.9999809537</v>
      </c>
      <c r="Q1505" s="7" t="n">
        <v>8.390895457</v>
      </c>
      <c r="R1505" s="7" t="n">
        <v>1.38298482</v>
      </c>
      <c r="S1505" s="7" t="n">
        <v>0.6512468878</v>
      </c>
    </row>
    <row r="1506" customFormat="false" ht="15" hidden="false" customHeight="false" outlineLevel="0" collapsed="false">
      <c r="A1506" s="5" t="s">
        <v>4</v>
      </c>
      <c r="B1506" s="5" t="s">
        <v>83</v>
      </c>
      <c r="C1506" s="5" t="s">
        <v>58</v>
      </c>
      <c r="D1506" s="2" t="n">
        <v>11</v>
      </c>
      <c r="E1506" s="5" t="s">
        <v>163</v>
      </c>
      <c r="F1506" s="5" t="s">
        <v>166</v>
      </c>
      <c r="G1506" s="2" t="n">
        <v>1</v>
      </c>
      <c r="H1506" s="7" t="n">
        <v>0.90266201</v>
      </c>
      <c r="I1506" s="7" t="n">
        <v>0.4300975767</v>
      </c>
      <c r="J1506" s="7" t="n">
        <v>-0.01474348432</v>
      </c>
      <c r="K1506" s="7" t="n">
        <v>-0.4302357774</v>
      </c>
      <c r="L1506" s="7" t="n">
        <v>0.9026822362</v>
      </c>
      <c r="M1506" s="7" t="n">
        <v>-0.007871227135</v>
      </c>
      <c r="N1506" s="7" t="n">
        <v>0.009923285678</v>
      </c>
      <c r="O1506" s="7" t="n">
        <v>0.01344823214</v>
      </c>
      <c r="P1506" s="7" t="n">
        <v>0.999860327</v>
      </c>
      <c r="Q1506" s="7" t="n">
        <v>22.82240649</v>
      </c>
      <c r="R1506" s="7" t="n">
        <v>6.551349369</v>
      </c>
      <c r="S1506" s="7" t="n">
        <v>1.602272685</v>
      </c>
    </row>
    <row r="1507" customFormat="false" ht="15" hidden="false" customHeight="false" outlineLevel="0" collapsed="false">
      <c r="A1507" s="5" t="s">
        <v>4</v>
      </c>
      <c r="B1507" s="5" t="s">
        <v>83</v>
      </c>
      <c r="C1507" s="5" t="s">
        <v>62</v>
      </c>
      <c r="D1507" s="2" t="n">
        <v>11</v>
      </c>
      <c r="E1507" s="5" t="s">
        <v>163</v>
      </c>
      <c r="F1507" s="5" t="s">
        <v>166</v>
      </c>
      <c r="G1507" s="2" t="n">
        <v>1</v>
      </c>
      <c r="H1507" s="7" t="n">
        <v>0.90266201</v>
      </c>
      <c r="I1507" s="7" t="n">
        <v>0.4300975767</v>
      </c>
      <c r="J1507" s="7" t="n">
        <v>-0.01474348432</v>
      </c>
      <c r="K1507" s="7" t="n">
        <v>-0.4302357774</v>
      </c>
      <c r="L1507" s="7" t="n">
        <v>0.9026822362</v>
      </c>
      <c r="M1507" s="7" t="n">
        <v>-0.007871227135</v>
      </c>
      <c r="N1507" s="7" t="n">
        <v>0.009923285678</v>
      </c>
      <c r="O1507" s="7" t="n">
        <v>0.01344823214</v>
      </c>
      <c r="P1507" s="7" t="n">
        <v>0.999860327</v>
      </c>
      <c r="Q1507" s="7" t="n">
        <v>22.82240649</v>
      </c>
      <c r="R1507" s="7" t="n">
        <v>6.551349369</v>
      </c>
      <c r="S1507" s="7" t="n">
        <v>1.602272685</v>
      </c>
    </row>
    <row r="1508" customFormat="false" ht="15" hidden="false" customHeight="false" outlineLevel="0" collapsed="false">
      <c r="A1508" s="5" t="s">
        <v>4</v>
      </c>
      <c r="B1508" s="5" t="s">
        <v>83</v>
      </c>
      <c r="C1508" s="5" t="s">
        <v>58</v>
      </c>
      <c r="D1508" s="2" t="n">
        <v>11</v>
      </c>
      <c r="E1508" s="5" t="s">
        <v>163</v>
      </c>
      <c r="F1508" s="5" t="s">
        <v>167</v>
      </c>
      <c r="G1508" s="2" t="n">
        <v>1</v>
      </c>
      <c r="H1508" s="7" t="n">
        <v>0.2243269969</v>
      </c>
      <c r="I1508" s="7" t="n">
        <v>-0.9744718161</v>
      </c>
      <c r="J1508" s="7" t="n">
        <v>0.00905969974</v>
      </c>
      <c r="K1508" s="7" t="n">
        <v>0.9741683842</v>
      </c>
      <c r="L1508" s="7" t="n">
        <v>0.2239902151</v>
      </c>
      <c r="M1508" s="7" t="n">
        <v>-0.02871137115</v>
      </c>
      <c r="N1508" s="7" t="n">
        <v>0.02594913789</v>
      </c>
      <c r="O1508" s="7" t="n">
        <v>0.01526640872</v>
      </c>
      <c r="P1508" s="7" t="n">
        <v>0.9995466868</v>
      </c>
      <c r="Q1508" s="7" t="n">
        <v>-16.51580289</v>
      </c>
      <c r="R1508" s="7" t="n">
        <v>20.43543043</v>
      </c>
      <c r="S1508" s="7" t="n">
        <v>1.380190238</v>
      </c>
    </row>
    <row r="1509" customFormat="false" ht="15" hidden="false" customHeight="false" outlineLevel="0" collapsed="false">
      <c r="A1509" s="5" t="s">
        <v>4</v>
      </c>
      <c r="B1509" s="5" t="s">
        <v>83</v>
      </c>
      <c r="C1509" s="5" t="s">
        <v>62</v>
      </c>
      <c r="D1509" s="2" t="n">
        <v>11</v>
      </c>
      <c r="E1509" s="5" t="s">
        <v>163</v>
      </c>
      <c r="F1509" s="5" t="s">
        <v>167</v>
      </c>
      <c r="G1509" s="2" t="n">
        <v>1</v>
      </c>
      <c r="H1509" s="7" t="n">
        <v>0.2248529572</v>
      </c>
      <c r="I1509" s="7" t="n">
        <v>-0.9743773513</v>
      </c>
      <c r="J1509" s="7" t="n">
        <v>0.005470361786</v>
      </c>
      <c r="K1509" s="7" t="n">
        <v>0.974198702</v>
      </c>
      <c r="L1509" s="7" t="n">
        <v>0.2246926203</v>
      </c>
      <c r="M1509" s="7" t="n">
        <v>-0.0212159242</v>
      </c>
      <c r="N1509" s="7" t="n">
        <v>0.01944316611</v>
      </c>
      <c r="O1509" s="7" t="n">
        <v>0.01009968265</v>
      </c>
      <c r="P1509" s="7" t="n">
        <v>0.999759951</v>
      </c>
      <c r="Q1509" s="7" t="n">
        <v>-16.51418964</v>
      </c>
      <c r="R1509" s="7" t="n">
        <v>20.46771794</v>
      </c>
      <c r="S1509" s="7" t="n">
        <v>1.272080235</v>
      </c>
    </row>
    <row r="1510" customFormat="false" ht="15" hidden="false" customHeight="false" outlineLevel="0" collapsed="false">
      <c r="A1510" s="5" t="s">
        <v>4</v>
      </c>
      <c r="B1510" s="5" t="s">
        <v>83</v>
      </c>
      <c r="C1510" s="5" t="s">
        <v>58</v>
      </c>
      <c r="D1510" s="2" t="n">
        <v>11</v>
      </c>
      <c r="E1510" s="5" t="s">
        <v>163</v>
      </c>
      <c r="F1510" s="5" t="s">
        <v>168</v>
      </c>
      <c r="G1510" s="2" t="n">
        <v>1</v>
      </c>
      <c r="H1510" s="7" t="n">
        <v>0.9883197612</v>
      </c>
      <c r="I1510" s="7" t="n">
        <v>0.1392663563</v>
      </c>
      <c r="J1510" s="7" t="n">
        <v>-0.06187836126</v>
      </c>
      <c r="K1510" s="7" t="n">
        <v>-0.1397674623</v>
      </c>
      <c r="L1510" s="7" t="n">
        <v>0.9901769719</v>
      </c>
      <c r="M1510" s="7" t="n">
        <v>-0.003823726653</v>
      </c>
      <c r="N1510" s="7" t="n">
        <v>0.0607380119</v>
      </c>
      <c r="O1510" s="7" t="n">
        <v>0.01242764614</v>
      </c>
      <c r="P1510" s="7" t="n">
        <v>0.9980763736</v>
      </c>
      <c r="Q1510" s="7" t="n">
        <v>24.81474804</v>
      </c>
      <c r="R1510" s="7" t="n">
        <v>19.95517006</v>
      </c>
      <c r="S1510" s="7" t="n">
        <v>3.175803669</v>
      </c>
    </row>
    <row r="1511" customFormat="false" ht="15" hidden="false" customHeight="false" outlineLevel="0" collapsed="false">
      <c r="A1511" s="5" t="s">
        <v>4</v>
      </c>
      <c r="B1511" s="5" t="s">
        <v>83</v>
      </c>
      <c r="C1511" s="5" t="s">
        <v>62</v>
      </c>
      <c r="D1511" s="2" t="n">
        <v>11</v>
      </c>
      <c r="E1511" s="5" t="s">
        <v>163</v>
      </c>
      <c r="F1511" s="5" t="s">
        <v>168</v>
      </c>
      <c r="G1511" s="2" t="n">
        <v>1</v>
      </c>
      <c r="H1511" s="7" t="n">
        <v>0.9883197612</v>
      </c>
      <c r="I1511" s="7" t="n">
        <v>0.1392663563</v>
      </c>
      <c r="J1511" s="7" t="n">
        <v>-0.06187836126</v>
      </c>
      <c r="K1511" s="7" t="n">
        <v>-0.1397674623</v>
      </c>
      <c r="L1511" s="7" t="n">
        <v>0.9901769719</v>
      </c>
      <c r="M1511" s="7" t="n">
        <v>-0.003823726653</v>
      </c>
      <c r="N1511" s="7" t="n">
        <v>0.0607380119</v>
      </c>
      <c r="O1511" s="7" t="n">
        <v>0.01242764614</v>
      </c>
      <c r="P1511" s="7" t="n">
        <v>0.9980763736</v>
      </c>
      <c r="Q1511" s="7" t="n">
        <v>24.81474804</v>
      </c>
      <c r="R1511" s="7" t="n">
        <v>19.95517006</v>
      </c>
      <c r="S1511" s="7" t="n">
        <v>3.175803669</v>
      </c>
    </row>
    <row r="1512" customFormat="false" ht="15" hidden="false" customHeight="false" outlineLevel="0" collapsed="false">
      <c r="A1512" s="5" t="s">
        <v>4</v>
      </c>
      <c r="B1512" s="5" t="s">
        <v>83</v>
      </c>
      <c r="C1512" s="5" t="s">
        <v>58</v>
      </c>
      <c r="D1512" s="2" t="n">
        <v>12</v>
      </c>
      <c r="E1512" s="5" t="s">
        <v>163</v>
      </c>
      <c r="F1512" s="5" t="s">
        <v>164</v>
      </c>
      <c r="G1512" s="2" t="n">
        <v>1</v>
      </c>
      <c r="H1512" s="7" t="n">
        <v>-0.7179773774</v>
      </c>
      <c r="I1512" s="7" t="n">
        <v>-0.6960444283</v>
      </c>
      <c r="J1512" s="7" t="n">
        <v>0.005535288244</v>
      </c>
      <c r="K1512" s="7" t="n">
        <v>0.6960324233</v>
      </c>
      <c r="L1512" s="7" t="n">
        <v>-0.7179982062</v>
      </c>
      <c r="M1512" s="7" t="n">
        <v>-0.00417632184</v>
      </c>
      <c r="N1512" s="7" t="n">
        <v>0.006881232578</v>
      </c>
      <c r="O1512" s="7" t="n">
        <v>0.0008542354882</v>
      </c>
      <c r="P1512" s="7" t="n">
        <v>0.9999759592</v>
      </c>
      <c r="Q1512" s="7" t="n">
        <v>-11.08507934</v>
      </c>
      <c r="R1512" s="7" t="n">
        <v>-0.8783268153</v>
      </c>
      <c r="S1512" s="7" t="n">
        <v>0.6009644735</v>
      </c>
    </row>
    <row r="1513" customFormat="false" ht="15" hidden="false" customHeight="false" outlineLevel="0" collapsed="false">
      <c r="A1513" s="5" t="s">
        <v>4</v>
      </c>
      <c r="B1513" s="5" t="s">
        <v>83</v>
      </c>
      <c r="C1513" s="5" t="s">
        <v>62</v>
      </c>
      <c r="D1513" s="2" t="n">
        <v>12</v>
      </c>
      <c r="E1513" s="5" t="s">
        <v>163</v>
      </c>
      <c r="F1513" s="5" t="s">
        <v>164</v>
      </c>
      <c r="G1513" s="2" t="n">
        <v>1</v>
      </c>
      <c r="H1513" s="7" t="n">
        <v>-0.7179773774</v>
      </c>
      <c r="I1513" s="7" t="n">
        <v>-0.6960444283</v>
      </c>
      <c r="J1513" s="7" t="n">
        <v>0.005535288244</v>
      </c>
      <c r="K1513" s="7" t="n">
        <v>0.6960324233</v>
      </c>
      <c r="L1513" s="7" t="n">
        <v>-0.7179982062</v>
      </c>
      <c r="M1513" s="7" t="n">
        <v>-0.00417632184</v>
      </c>
      <c r="N1513" s="7" t="n">
        <v>0.006881232578</v>
      </c>
      <c r="O1513" s="7" t="n">
        <v>0.0008542354882</v>
      </c>
      <c r="P1513" s="7" t="n">
        <v>0.9999759592</v>
      </c>
      <c r="Q1513" s="7" t="n">
        <v>-11.08507934</v>
      </c>
      <c r="R1513" s="7" t="n">
        <v>-0.8783268153</v>
      </c>
      <c r="S1513" s="7" t="n">
        <v>0.6009644735</v>
      </c>
    </row>
    <row r="1514" customFormat="false" ht="15" hidden="false" customHeight="false" outlineLevel="0" collapsed="false">
      <c r="A1514" s="5" t="s">
        <v>4</v>
      </c>
      <c r="B1514" s="5" t="s">
        <v>83</v>
      </c>
      <c r="C1514" s="5" t="s">
        <v>58</v>
      </c>
      <c r="D1514" s="2" t="n">
        <v>12</v>
      </c>
      <c r="E1514" s="5" t="s">
        <v>163</v>
      </c>
      <c r="F1514" s="5" t="s">
        <v>165</v>
      </c>
      <c r="G1514" s="2" t="n">
        <v>1</v>
      </c>
      <c r="H1514" s="7" t="n">
        <v>0.9338249489</v>
      </c>
      <c r="I1514" s="7" t="n">
        <v>0.3576791944</v>
      </c>
      <c r="J1514" s="7" t="n">
        <v>-0.006046382931</v>
      </c>
      <c r="K1514" s="7" t="n">
        <v>-0.3576337514</v>
      </c>
      <c r="L1514" s="7" t="n">
        <v>0.9338322216</v>
      </c>
      <c r="M1514" s="7" t="n">
        <v>0.007448612165</v>
      </c>
      <c r="N1514" s="7" t="n">
        <v>0.008310520804</v>
      </c>
      <c r="O1514" s="7" t="n">
        <v>-0.004793309265</v>
      </c>
      <c r="P1514" s="7" t="n">
        <v>0.9999539787</v>
      </c>
      <c r="Q1514" s="7" t="n">
        <v>8.396540407</v>
      </c>
      <c r="R1514" s="7" t="n">
        <v>1.379180464</v>
      </c>
      <c r="S1514" s="7" t="n">
        <v>0.6585788525</v>
      </c>
    </row>
    <row r="1515" customFormat="false" ht="15" hidden="false" customHeight="false" outlineLevel="0" collapsed="false">
      <c r="A1515" s="5" t="s">
        <v>4</v>
      </c>
      <c r="B1515" s="5" t="s">
        <v>83</v>
      </c>
      <c r="C1515" s="5" t="s">
        <v>62</v>
      </c>
      <c r="D1515" s="2" t="n">
        <v>12</v>
      </c>
      <c r="E1515" s="5" t="s">
        <v>163</v>
      </c>
      <c r="F1515" s="5" t="s">
        <v>165</v>
      </c>
      <c r="G1515" s="2" t="n">
        <v>1</v>
      </c>
      <c r="H1515" s="7" t="n">
        <v>0.9338249489</v>
      </c>
      <c r="I1515" s="7" t="n">
        <v>0.3576791944</v>
      </c>
      <c r="J1515" s="7" t="n">
        <v>-0.006046382931</v>
      </c>
      <c r="K1515" s="7" t="n">
        <v>-0.3576337514</v>
      </c>
      <c r="L1515" s="7" t="n">
        <v>0.9338322216</v>
      </c>
      <c r="M1515" s="7" t="n">
        <v>0.007448612165</v>
      </c>
      <c r="N1515" s="7" t="n">
        <v>0.008310520804</v>
      </c>
      <c r="O1515" s="7" t="n">
        <v>-0.004793309265</v>
      </c>
      <c r="P1515" s="7" t="n">
        <v>0.9999539787</v>
      </c>
      <c r="Q1515" s="7" t="n">
        <v>8.396540407</v>
      </c>
      <c r="R1515" s="7" t="n">
        <v>1.379180464</v>
      </c>
      <c r="S1515" s="7" t="n">
        <v>0.6585788525</v>
      </c>
    </row>
    <row r="1516" customFormat="false" ht="15" hidden="false" customHeight="false" outlineLevel="0" collapsed="false">
      <c r="A1516" s="5" t="s">
        <v>4</v>
      </c>
      <c r="B1516" s="5" t="s">
        <v>83</v>
      </c>
      <c r="C1516" s="5" t="s">
        <v>58</v>
      </c>
      <c r="D1516" s="2" t="n">
        <v>12</v>
      </c>
      <c r="E1516" s="5" t="s">
        <v>163</v>
      </c>
      <c r="F1516" s="5" t="s">
        <v>166</v>
      </c>
      <c r="G1516" s="2" t="n">
        <v>1</v>
      </c>
      <c r="H1516" s="7" t="n">
        <v>0.9022041467</v>
      </c>
      <c r="I1516" s="7" t="n">
        <v>0.4310013684</v>
      </c>
      <c r="J1516" s="7" t="n">
        <v>-0.01629410984</v>
      </c>
      <c r="K1516" s="7" t="n">
        <v>-0.4311602416</v>
      </c>
      <c r="L1516" s="7" t="n">
        <v>0.9022416042</v>
      </c>
      <c r="M1516" s="7" t="n">
        <v>-0.007806003044</v>
      </c>
      <c r="N1516" s="7" t="n">
        <v>0.01133682581</v>
      </c>
      <c r="O1516" s="7" t="n">
        <v>0.01406798065</v>
      </c>
      <c r="P1516" s="7" t="n">
        <v>0.9998367708</v>
      </c>
      <c r="Q1516" s="7" t="n">
        <v>22.83807445</v>
      </c>
      <c r="R1516" s="7" t="n">
        <v>6.521795809</v>
      </c>
      <c r="S1516" s="7" t="n">
        <v>1.620594917</v>
      </c>
    </row>
    <row r="1517" customFormat="false" ht="15" hidden="false" customHeight="false" outlineLevel="0" collapsed="false">
      <c r="A1517" s="5" t="s">
        <v>4</v>
      </c>
      <c r="B1517" s="5" t="s">
        <v>83</v>
      </c>
      <c r="C1517" s="5" t="s">
        <v>62</v>
      </c>
      <c r="D1517" s="2" t="n">
        <v>12</v>
      </c>
      <c r="E1517" s="5" t="s">
        <v>163</v>
      </c>
      <c r="F1517" s="5" t="s">
        <v>166</v>
      </c>
      <c r="G1517" s="2" t="n">
        <v>1</v>
      </c>
      <c r="H1517" s="7" t="n">
        <v>0.9022041467</v>
      </c>
      <c r="I1517" s="7" t="n">
        <v>0.4310013684</v>
      </c>
      <c r="J1517" s="7" t="n">
        <v>-0.01629410984</v>
      </c>
      <c r="K1517" s="7" t="n">
        <v>-0.4311602416</v>
      </c>
      <c r="L1517" s="7" t="n">
        <v>0.9022416042</v>
      </c>
      <c r="M1517" s="7" t="n">
        <v>-0.007806003044</v>
      </c>
      <c r="N1517" s="7" t="n">
        <v>0.01133682581</v>
      </c>
      <c r="O1517" s="7" t="n">
        <v>0.01406798065</v>
      </c>
      <c r="P1517" s="7" t="n">
        <v>0.9998367708</v>
      </c>
      <c r="Q1517" s="7" t="n">
        <v>22.83807445</v>
      </c>
      <c r="R1517" s="7" t="n">
        <v>6.521795809</v>
      </c>
      <c r="S1517" s="7" t="n">
        <v>1.620594917</v>
      </c>
    </row>
    <row r="1518" customFormat="false" ht="15" hidden="false" customHeight="false" outlineLevel="0" collapsed="false">
      <c r="A1518" s="5" t="s">
        <v>4</v>
      </c>
      <c r="B1518" s="5" t="s">
        <v>83</v>
      </c>
      <c r="C1518" s="5" t="s">
        <v>58</v>
      </c>
      <c r="D1518" s="2" t="n">
        <v>12</v>
      </c>
      <c r="E1518" s="5" t="s">
        <v>163</v>
      </c>
      <c r="F1518" s="5" t="s">
        <v>167</v>
      </c>
      <c r="G1518" s="2" t="n">
        <v>1</v>
      </c>
      <c r="H1518" s="7" t="n">
        <v>0.2250836688</v>
      </c>
      <c r="I1518" s="7" t="n">
        <v>-0.9743393907</v>
      </c>
      <c r="J1518" s="7" t="n">
        <v>0.0003061500694</v>
      </c>
      <c r="K1518" s="7" t="n">
        <v>0.9742806109</v>
      </c>
      <c r="L1518" s="7" t="n">
        <v>0.225066615</v>
      </c>
      <c r="M1518" s="7" t="n">
        <v>-0.01105939083</v>
      </c>
      <c r="N1518" s="7" t="n">
        <v>0.01070669596</v>
      </c>
      <c r="O1518" s="7" t="n">
        <v>0.00278756434</v>
      </c>
      <c r="P1518" s="7" t="n">
        <v>0.9999387962</v>
      </c>
      <c r="Q1518" s="7" t="n">
        <v>-16.50389113</v>
      </c>
      <c r="R1518" s="7" t="n">
        <v>20.50737531</v>
      </c>
      <c r="S1518" s="7" t="n">
        <v>1.075158231</v>
      </c>
    </row>
    <row r="1519" customFormat="false" ht="15" hidden="false" customHeight="false" outlineLevel="0" collapsed="false">
      <c r="A1519" s="5" t="s">
        <v>4</v>
      </c>
      <c r="B1519" s="5" t="s">
        <v>83</v>
      </c>
      <c r="C1519" s="5" t="s">
        <v>62</v>
      </c>
      <c r="D1519" s="2" t="n">
        <v>12</v>
      </c>
      <c r="E1519" s="5" t="s">
        <v>163</v>
      </c>
      <c r="F1519" s="5" t="s">
        <v>167</v>
      </c>
      <c r="G1519" s="2" t="n">
        <v>1</v>
      </c>
      <c r="H1519" s="7" t="n">
        <v>0.2250836688</v>
      </c>
      <c r="I1519" s="7" t="n">
        <v>-0.9743393907</v>
      </c>
      <c r="J1519" s="7" t="n">
        <v>0.0003061500694</v>
      </c>
      <c r="K1519" s="7" t="n">
        <v>0.9742806109</v>
      </c>
      <c r="L1519" s="7" t="n">
        <v>0.225066615</v>
      </c>
      <c r="M1519" s="7" t="n">
        <v>-0.01105939083</v>
      </c>
      <c r="N1519" s="7" t="n">
        <v>0.01070669596</v>
      </c>
      <c r="O1519" s="7" t="n">
        <v>0.00278756434</v>
      </c>
      <c r="P1519" s="7" t="n">
        <v>0.9999387962</v>
      </c>
      <c r="Q1519" s="7" t="n">
        <v>-16.50389113</v>
      </c>
      <c r="R1519" s="7" t="n">
        <v>20.50737531</v>
      </c>
      <c r="S1519" s="7" t="n">
        <v>1.075158231</v>
      </c>
    </row>
    <row r="1520" customFormat="false" ht="15" hidden="false" customHeight="false" outlineLevel="0" collapsed="false">
      <c r="A1520" s="5" t="s">
        <v>4</v>
      </c>
      <c r="B1520" s="5" t="s">
        <v>83</v>
      </c>
      <c r="C1520" s="5" t="s">
        <v>58</v>
      </c>
      <c r="D1520" s="2" t="n">
        <v>12</v>
      </c>
      <c r="E1520" s="5" t="s">
        <v>163</v>
      </c>
      <c r="F1520" s="5" t="s">
        <v>168</v>
      </c>
      <c r="G1520" s="2" t="n">
        <v>1</v>
      </c>
      <c r="H1520" s="7" t="n">
        <v>0.9888789326</v>
      </c>
      <c r="I1520" s="7" t="n">
        <v>0.1484790231</v>
      </c>
      <c r="J1520" s="7" t="n">
        <v>-0.00851095103</v>
      </c>
      <c r="K1520" s="7" t="n">
        <v>-0.1484337006</v>
      </c>
      <c r="L1520" s="7" t="n">
        <v>0.9889057396</v>
      </c>
      <c r="M1520" s="7" t="n">
        <v>0.005733640223</v>
      </c>
      <c r="N1520" s="7" t="n">
        <v>0.009267853623</v>
      </c>
      <c r="O1520" s="7" t="n">
        <v>-0.004406564067</v>
      </c>
      <c r="P1520" s="7" t="n">
        <v>0.9999473432</v>
      </c>
      <c r="Q1520" s="7" t="n">
        <v>25.14776444</v>
      </c>
      <c r="R1520" s="7" t="n">
        <v>19.83307658</v>
      </c>
      <c r="S1520" s="7" t="n">
        <v>2.129621898</v>
      </c>
    </row>
    <row r="1521" customFormat="false" ht="15" hidden="false" customHeight="false" outlineLevel="0" collapsed="false">
      <c r="A1521" s="5" t="s">
        <v>4</v>
      </c>
      <c r="B1521" s="5" t="s">
        <v>83</v>
      </c>
      <c r="C1521" s="5" t="s">
        <v>62</v>
      </c>
      <c r="D1521" s="2" t="n">
        <v>12</v>
      </c>
      <c r="E1521" s="5" t="s">
        <v>163</v>
      </c>
      <c r="F1521" s="5" t="s">
        <v>168</v>
      </c>
      <c r="G1521" s="2" t="n">
        <v>1</v>
      </c>
      <c r="H1521" s="7" t="n">
        <v>0.9888789326</v>
      </c>
      <c r="I1521" s="7" t="n">
        <v>0.1484790231</v>
      </c>
      <c r="J1521" s="7" t="n">
        <v>-0.00851095103</v>
      </c>
      <c r="K1521" s="7" t="n">
        <v>-0.1484337006</v>
      </c>
      <c r="L1521" s="7" t="n">
        <v>0.9889057396</v>
      </c>
      <c r="M1521" s="7" t="n">
        <v>0.005733640223</v>
      </c>
      <c r="N1521" s="7" t="n">
        <v>0.009267853623</v>
      </c>
      <c r="O1521" s="7" t="n">
        <v>-0.004406564067</v>
      </c>
      <c r="P1521" s="7" t="n">
        <v>0.9999473432</v>
      </c>
      <c r="Q1521" s="7" t="n">
        <v>25.14776444</v>
      </c>
      <c r="R1521" s="7" t="n">
        <v>19.83307658</v>
      </c>
      <c r="S1521" s="7" t="n">
        <v>2.129621898</v>
      </c>
    </row>
    <row r="1522" customFormat="false" ht="15" hidden="false" customHeight="false" outlineLevel="0" collapsed="false">
      <c r="A1522" s="5" t="s">
        <v>4</v>
      </c>
      <c r="B1522" s="5" t="s">
        <v>83</v>
      </c>
      <c r="C1522" s="5" t="s">
        <v>58</v>
      </c>
      <c r="D1522" s="2" t="n">
        <v>13</v>
      </c>
      <c r="E1522" s="5" t="s">
        <v>163</v>
      </c>
      <c r="F1522" s="5" t="s">
        <v>164</v>
      </c>
      <c r="G1522" s="2" t="n">
        <v>1</v>
      </c>
      <c r="H1522" s="7" t="n">
        <v>-0.7180182992</v>
      </c>
      <c r="I1522" s="7" t="n">
        <v>-0.696019192</v>
      </c>
      <c r="J1522" s="7" t="n">
        <v>0.002646953015</v>
      </c>
      <c r="K1522" s="7" t="n">
        <v>0.6960161293</v>
      </c>
      <c r="L1522" s="7" t="n">
        <v>-0.7180230977</v>
      </c>
      <c r="M1522" s="7" t="n">
        <v>-0.002092579884</v>
      </c>
      <c r="N1522" s="7" t="n">
        <v>0.003357049164</v>
      </c>
      <c r="O1522" s="7" t="n">
        <v>0.0003398113422</v>
      </c>
      <c r="P1522" s="7" t="n">
        <v>0.9999943074</v>
      </c>
      <c r="Q1522" s="7" t="n">
        <v>-11.09563257</v>
      </c>
      <c r="R1522" s="7" t="n">
        <v>-0.8649130173</v>
      </c>
      <c r="S1522" s="7" t="n">
        <v>0.576178108</v>
      </c>
    </row>
    <row r="1523" customFormat="false" ht="15" hidden="false" customHeight="false" outlineLevel="0" collapsed="false">
      <c r="A1523" s="5" t="s">
        <v>4</v>
      </c>
      <c r="B1523" s="5" t="s">
        <v>83</v>
      </c>
      <c r="C1523" s="5" t="s">
        <v>62</v>
      </c>
      <c r="D1523" s="2" t="n">
        <v>13</v>
      </c>
      <c r="E1523" s="5" t="s">
        <v>163</v>
      </c>
      <c r="F1523" s="5" t="s">
        <v>164</v>
      </c>
      <c r="G1523" s="2" t="n">
        <v>1</v>
      </c>
      <c r="H1523" s="7" t="n">
        <v>-0.7180182992</v>
      </c>
      <c r="I1523" s="7" t="n">
        <v>-0.696019192</v>
      </c>
      <c r="J1523" s="7" t="n">
        <v>0.002646953015</v>
      </c>
      <c r="K1523" s="7" t="n">
        <v>0.6960161293</v>
      </c>
      <c r="L1523" s="7" t="n">
        <v>-0.7180230977</v>
      </c>
      <c r="M1523" s="7" t="n">
        <v>-0.002092579884</v>
      </c>
      <c r="N1523" s="7" t="n">
        <v>0.003357049164</v>
      </c>
      <c r="O1523" s="7" t="n">
        <v>0.0003398113422</v>
      </c>
      <c r="P1523" s="7" t="n">
        <v>0.9999943074</v>
      </c>
      <c r="Q1523" s="7" t="n">
        <v>-11.09563257</v>
      </c>
      <c r="R1523" s="7" t="n">
        <v>-0.8649130173</v>
      </c>
      <c r="S1523" s="7" t="n">
        <v>0.576178108</v>
      </c>
    </row>
    <row r="1524" customFormat="false" ht="15" hidden="false" customHeight="false" outlineLevel="0" collapsed="false">
      <c r="A1524" s="5" t="s">
        <v>4</v>
      </c>
      <c r="B1524" s="5" t="s">
        <v>83</v>
      </c>
      <c r="C1524" s="5" t="s">
        <v>58</v>
      </c>
      <c r="D1524" s="2" t="n">
        <v>13</v>
      </c>
      <c r="E1524" s="5" t="s">
        <v>163</v>
      </c>
      <c r="F1524" s="5" t="s">
        <v>165</v>
      </c>
      <c r="G1524" s="2" t="n">
        <v>1</v>
      </c>
      <c r="H1524" s="7" t="n">
        <v>0.9338323207</v>
      </c>
      <c r="I1524" s="7" t="n">
        <v>0.3576793649</v>
      </c>
      <c r="J1524" s="7" t="n">
        <v>-0.004761171012</v>
      </c>
      <c r="K1524" s="7" t="n">
        <v>-0.3576484189</v>
      </c>
      <c r="L1524" s="7" t="n">
        <v>0.9338351698</v>
      </c>
      <c r="M1524" s="7" t="n">
        <v>0.006283632479</v>
      </c>
      <c r="N1524" s="7" t="n">
        <v>0.006693674615</v>
      </c>
      <c r="O1524" s="7" t="n">
        <v>-0.004165033815</v>
      </c>
      <c r="P1524" s="7" t="n">
        <v>0.9999689231</v>
      </c>
      <c r="Q1524" s="7" t="n">
        <v>8.401933662</v>
      </c>
      <c r="R1524" s="7" t="n">
        <v>1.383218948</v>
      </c>
      <c r="S1524" s="7" t="n">
        <v>0.6498030693</v>
      </c>
    </row>
    <row r="1525" customFormat="false" ht="15" hidden="false" customHeight="false" outlineLevel="0" collapsed="false">
      <c r="A1525" s="5" t="s">
        <v>4</v>
      </c>
      <c r="B1525" s="5" t="s">
        <v>83</v>
      </c>
      <c r="C1525" s="5" t="s">
        <v>62</v>
      </c>
      <c r="D1525" s="2" t="n">
        <v>13</v>
      </c>
      <c r="E1525" s="5" t="s">
        <v>163</v>
      </c>
      <c r="F1525" s="5" t="s">
        <v>165</v>
      </c>
      <c r="G1525" s="2" t="n">
        <v>1</v>
      </c>
      <c r="H1525" s="7" t="n">
        <v>0.9338323207</v>
      </c>
      <c r="I1525" s="7" t="n">
        <v>0.3576793649</v>
      </c>
      <c r="J1525" s="7" t="n">
        <v>-0.004761171012</v>
      </c>
      <c r="K1525" s="7" t="n">
        <v>-0.3576484189</v>
      </c>
      <c r="L1525" s="7" t="n">
        <v>0.9338351698</v>
      </c>
      <c r="M1525" s="7" t="n">
        <v>0.006283632479</v>
      </c>
      <c r="N1525" s="7" t="n">
        <v>0.006693674615</v>
      </c>
      <c r="O1525" s="7" t="n">
        <v>-0.004165033815</v>
      </c>
      <c r="P1525" s="7" t="n">
        <v>0.9999689231</v>
      </c>
      <c r="Q1525" s="7" t="n">
        <v>8.401933662</v>
      </c>
      <c r="R1525" s="7" t="n">
        <v>1.383218948</v>
      </c>
      <c r="S1525" s="7" t="n">
        <v>0.6498030693</v>
      </c>
    </row>
    <row r="1526" customFormat="false" ht="15" hidden="false" customHeight="false" outlineLevel="0" collapsed="false">
      <c r="A1526" s="5" t="s">
        <v>4</v>
      </c>
      <c r="B1526" s="5" t="s">
        <v>83</v>
      </c>
      <c r="C1526" s="5" t="s">
        <v>58</v>
      </c>
      <c r="D1526" s="2" t="n">
        <v>13</v>
      </c>
      <c r="E1526" s="5" t="s">
        <v>163</v>
      </c>
      <c r="F1526" s="5" t="s">
        <v>166</v>
      </c>
      <c r="G1526" s="2" t="n">
        <v>1</v>
      </c>
      <c r="H1526" s="7" t="n">
        <v>0.9015117375</v>
      </c>
      <c r="I1526" s="7" t="n">
        <v>0.432517736</v>
      </c>
      <c r="J1526" s="7" t="n">
        <v>-0.01431765077</v>
      </c>
      <c r="K1526" s="7" t="n">
        <v>-0.4325845447</v>
      </c>
      <c r="L1526" s="7" t="n">
        <v>0.9015915881</v>
      </c>
      <c r="M1526" s="7" t="n">
        <v>-0.001794428949</v>
      </c>
      <c r="N1526" s="7" t="n">
        <v>0.01213255115</v>
      </c>
      <c r="O1526" s="7" t="n">
        <v>0.007811293197</v>
      </c>
      <c r="P1526" s="7" t="n">
        <v>0.999895887</v>
      </c>
      <c r="Q1526" s="7" t="n">
        <v>22.86512101</v>
      </c>
      <c r="R1526" s="7" t="n">
        <v>6.531332561</v>
      </c>
      <c r="S1526" s="7" t="n">
        <v>1.538876624</v>
      </c>
    </row>
    <row r="1527" customFormat="false" ht="15" hidden="false" customHeight="false" outlineLevel="0" collapsed="false">
      <c r="A1527" s="5" t="s">
        <v>4</v>
      </c>
      <c r="B1527" s="5" t="s">
        <v>83</v>
      </c>
      <c r="C1527" s="5" t="s">
        <v>62</v>
      </c>
      <c r="D1527" s="2" t="n">
        <v>13</v>
      </c>
      <c r="E1527" s="5" t="s">
        <v>163</v>
      </c>
      <c r="F1527" s="5" t="s">
        <v>166</v>
      </c>
      <c r="G1527" s="2" t="n">
        <v>1</v>
      </c>
      <c r="H1527" s="7" t="n">
        <v>0.9015117375</v>
      </c>
      <c r="I1527" s="7" t="n">
        <v>0.432517736</v>
      </c>
      <c r="J1527" s="7" t="n">
        <v>-0.01431765077</v>
      </c>
      <c r="K1527" s="7" t="n">
        <v>-0.4325845447</v>
      </c>
      <c r="L1527" s="7" t="n">
        <v>0.9015915881</v>
      </c>
      <c r="M1527" s="7" t="n">
        <v>-0.001794428949</v>
      </c>
      <c r="N1527" s="7" t="n">
        <v>0.01213255115</v>
      </c>
      <c r="O1527" s="7" t="n">
        <v>0.007811293197</v>
      </c>
      <c r="P1527" s="7" t="n">
        <v>0.999895887</v>
      </c>
      <c r="Q1527" s="7" t="n">
        <v>22.86512101</v>
      </c>
      <c r="R1527" s="7" t="n">
        <v>6.531332561</v>
      </c>
      <c r="S1527" s="7" t="n">
        <v>1.538876624</v>
      </c>
    </row>
    <row r="1528" customFormat="false" ht="15" hidden="false" customHeight="false" outlineLevel="0" collapsed="false">
      <c r="A1528" s="5" t="s">
        <v>4</v>
      </c>
      <c r="B1528" s="5" t="s">
        <v>83</v>
      </c>
      <c r="C1528" s="5" t="s">
        <v>58</v>
      </c>
      <c r="D1528" s="2" t="n">
        <v>13</v>
      </c>
      <c r="E1528" s="5" t="s">
        <v>163</v>
      </c>
      <c r="F1528" s="5" t="s">
        <v>167</v>
      </c>
      <c r="G1528" s="2" t="n">
        <v>1</v>
      </c>
      <c r="H1528" s="7" t="n">
        <v>0.2257718368</v>
      </c>
      <c r="I1528" s="7" t="n">
        <v>-0.9741765398</v>
      </c>
      <c r="J1528" s="7" t="n">
        <v>0.002673399159</v>
      </c>
      <c r="K1528" s="7" t="n">
        <v>0.9741601805</v>
      </c>
      <c r="L1528" s="7" t="n">
        <v>0.2257487485</v>
      </c>
      <c r="M1528" s="7" t="n">
        <v>-0.007031726875</v>
      </c>
      <c r="N1528" s="7" t="n">
        <v>0.006246626841</v>
      </c>
      <c r="O1528" s="7" t="n">
        <v>0.0041918849</v>
      </c>
      <c r="P1528" s="7" t="n">
        <v>0.9999717035</v>
      </c>
      <c r="Q1528" s="7" t="n">
        <v>-16.51331243</v>
      </c>
      <c r="R1528" s="7" t="n">
        <v>20.53329439</v>
      </c>
      <c r="S1528" s="7" t="n">
        <v>1.03925902</v>
      </c>
    </row>
    <row r="1529" customFormat="false" ht="15" hidden="false" customHeight="false" outlineLevel="0" collapsed="false">
      <c r="A1529" s="5" t="s">
        <v>4</v>
      </c>
      <c r="B1529" s="5" t="s">
        <v>83</v>
      </c>
      <c r="C1529" s="5" t="s">
        <v>62</v>
      </c>
      <c r="D1529" s="2" t="n">
        <v>13</v>
      </c>
      <c r="E1529" s="5" t="s">
        <v>163</v>
      </c>
      <c r="F1529" s="5" t="s">
        <v>167</v>
      </c>
      <c r="G1529" s="2" t="n">
        <v>1</v>
      </c>
      <c r="H1529" s="7" t="n">
        <v>0.2257718368</v>
      </c>
      <c r="I1529" s="7" t="n">
        <v>-0.9741765398</v>
      </c>
      <c r="J1529" s="7" t="n">
        <v>0.002673399159</v>
      </c>
      <c r="K1529" s="7" t="n">
        <v>0.9741601805</v>
      </c>
      <c r="L1529" s="7" t="n">
        <v>0.2257487485</v>
      </c>
      <c r="M1529" s="7" t="n">
        <v>-0.007031726875</v>
      </c>
      <c r="N1529" s="7" t="n">
        <v>0.006246626841</v>
      </c>
      <c r="O1529" s="7" t="n">
        <v>0.0041918849</v>
      </c>
      <c r="P1529" s="7" t="n">
        <v>0.9999717035</v>
      </c>
      <c r="Q1529" s="7" t="n">
        <v>-16.51331243</v>
      </c>
      <c r="R1529" s="7" t="n">
        <v>20.53329439</v>
      </c>
      <c r="S1529" s="7" t="n">
        <v>1.03925902</v>
      </c>
    </row>
    <row r="1530" customFormat="false" ht="15" hidden="false" customHeight="false" outlineLevel="0" collapsed="false">
      <c r="A1530" s="5" t="s">
        <v>4</v>
      </c>
      <c r="B1530" s="5" t="s">
        <v>83</v>
      </c>
      <c r="C1530" s="5" t="s">
        <v>58</v>
      </c>
      <c r="D1530" s="2" t="n">
        <v>13</v>
      </c>
      <c r="E1530" s="5" t="s">
        <v>163</v>
      </c>
      <c r="F1530" s="5" t="s">
        <v>168</v>
      </c>
      <c r="G1530" s="2" t="n">
        <v>1</v>
      </c>
      <c r="H1530" s="7" t="n">
        <v>0.9891936893</v>
      </c>
      <c r="I1530" s="7" t="n">
        <v>0.1463381934</v>
      </c>
      <c r="J1530" s="7" t="n">
        <v>-0.008998787783</v>
      </c>
      <c r="K1530" s="7" t="n">
        <v>-0.1463982847</v>
      </c>
      <c r="L1530" s="7" t="n">
        <v>0.9892048717</v>
      </c>
      <c r="M1530" s="7" t="n">
        <v>-0.006423703056</v>
      </c>
      <c r="N1530" s="7" t="n">
        <v>0.007961611615</v>
      </c>
      <c r="O1530" s="7" t="n">
        <v>0.00767169362</v>
      </c>
      <c r="P1530" s="7" t="n">
        <v>0.9999388771</v>
      </c>
      <c r="Q1530" s="7" t="n">
        <v>25.12453422</v>
      </c>
      <c r="R1530" s="7" t="n">
        <v>19.83215335</v>
      </c>
      <c r="S1530" s="7" t="n">
        <v>2.279467892</v>
      </c>
    </row>
    <row r="1531" customFormat="false" ht="15" hidden="false" customHeight="false" outlineLevel="0" collapsed="false">
      <c r="A1531" s="5" t="s">
        <v>4</v>
      </c>
      <c r="B1531" s="5" t="s">
        <v>83</v>
      </c>
      <c r="C1531" s="5" t="s">
        <v>62</v>
      </c>
      <c r="D1531" s="2" t="n">
        <v>13</v>
      </c>
      <c r="E1531" s="5" t="s">
        <v>163</v>
      </c>
      <c r="F1531" s="5" t="s">
        <v>168</v>
      </c>
      <c r="G1531" s="2" t="n">
        <v>1</v>
      </c>
      <c r="H1531" s="7" t="n">
        <v>0.9891936893</v>
      </c>
      <c r="I1531" s="7" t="n">
        <v>0.1463381934</v>
      </c>
      <c r="J1531" s="7" t="n">
        <v>-0.008998787783</v>
      </c>
      <c r="K1531" s="7" t="n">
        <v>-0.1463982847</v>
      </c>
      <c r="L1531" s="7" t="n">
        <v>0.9892048717</v>
      </c>
      <c r="M1531" s="7" t="n">
        <v>-0.006423703056</v>
      </c>
      <c r="N1531" s="7" t="n">
        <v>0.007961611615</v>
      </c>
      <c r="O1531" s="7" t="n">
        <v>0.00767169362</v>
      </c>
      <c r="P1531" s="7" t="n">
        <v>0.9999388771</v>
      </c>
      <c r="Q1531" s="7" t="n">
        <v>25.12453422</v>
      </c>
      <c r="R1531" s="7" t="n">
        <v>19.83215335</v>
      </c>
      <c r="S1531" s="7" t="n">
        <v>2.279467892</v>
      </c>
    </row>
    <row r="1532" customFormat="false" ht="15" hidden="false" customHeight="false" outlineLevel="0" collapsed="false">
      <c r="A1532" s="5" t="s">
        <v>4</v>
      </c>
      <c r="B1532" s="5" t="s">
        <v>83</v>
      </c>
      <c r="C1532" s="5" t="s">
        <v>58</v>
      </c>
      <c r="D1532" s="2" t="n">
        <v>14</v>
      </c>
      <c r="E1532" s="5" t="s">
        <v>163</v>
      </c>
      <c r="F1532" s="5" t="s">
        <v>164</v>
      </c>
      <c r="G1532" s="2" t="n">
        <v>1</v>
      </c>
      <c r="H1532" s="7" t="n">
        <v>-0.7183461797</v>
      </c>
      <c r="I1532" s="7" t="n">
        <v>-0.6956780482</v>
      </c>
      <c r="J1532" s="7" t="n">
        <v>0.003289291208</v>
      </c>
      <c r="K1532" s="7" t="n">
        <v>0.6956807385</v>
      </c>
      <c r="L1532" s="7" t="n">
        <v>-0.718350978</v>
      </c>
      <c r="M1532" s="7" t="n">
        <v>-0.0004272988123</v>
      </c>
      <c r="N1532" s="7" t="n">
        <v>0.002660127959</v>
      </c>
      <c r="O1532" s="7" t="n">
        <v>0.001981348067</v>
      </c>
      <c r="P1532" s="7" t="n">
        <v>0.999994499</v>
      </c>
      <c r="Q1532" s="7" t="n">
        <v>-11.07578304</v>
      </c>
      <c r="R1532" s="7" t="n">
        <v>-0.8709298818</v>
      </c>
      <c r="S1532" s="7" t="n">
        <v>0.5846364569</v>
      </c>
    </row>
    <row r="1533" customFormat="false" ht="15" hidden="false" customHeight="false" outlineLevel="0" collapsed="false">
      <c r="A1533" s="5" t="s">
        <v>4</v>
      </c>
      <c r="B1533" s="5" t="s">
        <v>83</v>
      </c>
      <c r="C1533" s="5" t="s">
        <v>62</v>
      </c>
      <c r="D1533" s="2" t="n">
        <v>14</v>
      </c>
      <c r="E1533" s="5" t="s">
        <v>163</v>
      </c>
      <c r="F1533" s="5" t="s">
        <v>164</v>
      </c>
      <c r="G1533" s="2" t="n">
        <v>1</v>
      </c>
      <c r="H1533" s="7" t="n">
        <v>-0.7183461797</v>
      </c>
      <c r="I1533" s="7" t="n">
        <v>-0.6956780482</v>
      </c>
      <c r="J1533" s="7" t="n">
        <v>0.003289291208</v>
      </c>
      <c r="K1533" s="7" t="n">
        <v>0.6956807385</v>
      </c>
      <c r="L1533" s="7" t="n">
        <v>-0.718350978</v>
      </c>
      <c r="M1533" s="7" t="n">
        <v>-0.0004272988123</v>
      </c>
      <c r="N1533" s="7" t="n">
        <v>0.002660127959</v>
      </c>
      <c r="O1533" s="7" t="n">
        <v>0.001981348067</v>
      </c>
      <c r="P1533" s="7" t="n">
        <v>0.999994499</v>
      </c>
      <c r="Q1533" s="7" t="n">
        <v>-11.07578304</v>
      </c>
      <c r="R1533" s="7" t="n">
        <v>-0.8709298818</v>
      </c>
      <c r="S1533" s="7" t="n">
        <v>0.5846364569</v>
      </c>
    </row>
    <row r="1534" customFormat="false" ht="15" hidden="false" customHeight="false" outlineLevel="0" collapsed="false">
      <c r="A1534" s="5" t="s">
        <v>4</v>
      </c>
      <c r="B1534" s="5" t="s">
        <v>83</v>
      </c>
      <c r="C1534" s="5" t="s">
        <v>58</v>
      </c>
      <c r="D1534" s="2" t="n">
        <v>14</v>
      </c>
      <c r="E1534" s="5" t="s">
        <v>163</v>
      </c>
      <c r="F1534" s="5" t="s">
        <v>165</v>
      </c>
      <c r="G1534" s="2" t="n">
        <v>1</v>
      </c>
      <c r="H1534" s="7" t="n">
        <v>0.9333005248</v>
      </c>
      <c r="I1534" s="7" t="n">
        <v>0.35901875</v>
      </c>
      <c r="J1534" s="7" t="n">
        <v>-0.007461071549</v>
      </c>
      <c r="K1534" s="7" t="n">
        <v>-0.3589752185</v>
      </c>
      <c r="L1534" s="7" t="n">
        <v>0.9333239495</v>
      </c>
      <c r="M1534" s="7" t="n">
        <v>0.006572501929</v>
      </c>
      <c r="N1534" s="7" t="n">
        <v>0.009323248193</v>
      </c>
      <c r="O1534" s="7" t="n">
        <v>-0.00345577971</v>
      </c>
      <c r="P1534" s="7" t="n">
        <v>0.9999505661</v>
      </c>
      <c r="Q1534" s="7" t="n">
        <v>8.395480099</v>
      </c>
      <c r="R1534" s="7" t="n">
        <v>1.351770374</v>
      </c>
      <c r="S1534" s="7" t="n">
        <v>0.6848226809</v>
      </c>
    </row>
    <row r="1535" customFormat="false" ht="15" hidden="false" customHeight="false" outlineLevel="0" collapsed="false">
      <c r="A1535" s="5" t="s">
        <v>4</v>
      </c>
      <c r="B1535" s="5" t="s">
        <v>83</v>
      </c>
      <c r="C1535" s="5" t="s">
        <v>62</v>
      </c>
      <c r="D1535" s="2" t="n">
        <v>14</v>
      </c>
      <c r="E1535" s="5" t="s">
        <v>163</v>
      </c>
      <c r="F1535" s="5" t="s">
        <v>165</v>
      </c>
      <c r="G1535" s="2" t="n">
        <v>1</v>
      </c>
      <c r="H1535" s="7" t="n">
        <v>0.9333005248</v>
      </c>
      <c r="I1535" s="7" t="n">
        <v>0.35901875</v>
      </c>
      <c r="J1535" s="7" t="n">
        <v>-0.007461071549</v>
      </c>
      <c r="K1535" s="7" t="n">
        <v>-0.3589752185</v>
      </c>
      <c r="L1535" s="7" t="n">
        <v>0.9333239495</v>
      </c>
      <c r="M1535" s="7" t="n">
        <v>0.006572501929</v>
      </c>
      <c r="N1535" s="7" t="n">
        <v>0.009323248193</v>
      </c>
      <c r="O1535" s="7" t="n">
        <v>-0.00345577971</v>
      </c>
      <c r="P1535" s="7" t="n">
        <v>0.9999505661</v>
      </c>
      <c r="Q1535" s="7" t="n">
        <v>8.395480099</v>
      </c>
      <c r="R1535" s="7" t="n">
        <v>1.351770374</v>
      </c>
      <c r="S1535" s="7" t="n">
        <v>0.6848226809</v>
      </c>
    </row>
    <row r="1536" customFormat="false" ht="15" hidden="false" customHeight="false" outlineLevel="0" collapsed="false">
      <c r="A1536" s="5" t="s">
        <v>4</v>
      </c>
      <c r="B1536" s="5" t="s">
        <v>83</v>
      </c>
      <c r="C1536" s="5" t="s">
        <v>58</v>
      </c>
      <c r="D1536" s="2" t="n">
        <v>14</v>
      </c>
      <c r="E1536" s="5" t="s">
        <v>163</v>
      </c>
      <c r="F1536" s="5" t="s">
        <v>166</v>
      </c>
      <c r="G1536" s="2" t="n">
        <v>1</v>
      </c>
      <c r="H1536" s="7" t="n">
        <v>0.9018720916</v>
      </c>
      <c r="I1536" s="7" t="n">
        <v>0.4316730099</v>
      </c>
      <c r="J1536" s="7" t="n">
        <v>-0.01688617484</v>
      </c>
      <c r="K1536" s="7" t="n">
        <v>-0.4318371413</v>
      </c>
      <c r="L1536" s="7" t="n">
        <v>0.901920088</v>
      </c>
      <c r="M1536" s="7" t="n">
        <v>-0.007539113522</v>
      </c>
      <c r="N1536" s="7" t="n">
        <v>0.01197554847</v>
      </c>
      <c r="O1536" s="7" t="n">
        <v>0.01409139355</v>
      </c>
      <c r="P1536" s="7" t="n">
        <v>0.9998289948</v>
      </c>
      <c r="Q1536" s="7" t="n">
        <v>22.83588132</v>
      </c>
      <c r="R1536" s="7" t="n">
        <v>6.51453548</v>
      </c>
      <c r="S1536" s="7" t="n">
        <v>1.624930407</v>
      </c>
    </row>
    <row r="1537" customFormat="false" ht="15" hidden="false" customHeight="false" outlineLevel="0" collapsed="false">
      <c r="A1537" s="5" t="s">
        <v>4</v>
      </c>
      <c r="B1537" s="5" t="s">
        <v>83</v>
      </c>
      <c r="C1537" s="5" t="s">
        <v>62</v>
      </c>
      <c r="D1537" s="2" t="n">
        <v>14</v>
      </c>
      <c r="E1537" s="5" t="s">
        <v>163</v>
      </c>
      <c r="F1537" s="5" t="s">
        <v>166</v>
      </c>
      <c r="G1537" s="2" t="n">
        <v>1</v>
      </c>
      <c r="H1537" s="7" t="n">
        <v>0.9018720916</v>
      </c>
      <c r="I1537" s="7" t="n">
        <v>0.4316730099</v>
      </c>
      <c r="J1537" s="7" t="n">
        <v>-0.01688617484</v>
      </c>
      <c r="K1537" s="7" t="n">
        <v>-0.4318371413</v>
      </c>
      <c r="L1537" s="7" t="n">
        <v>0.901920088</v>
      </c>
      <c r="M1537" s="7" t="n">
        <v>-0.007539113522</v>
      </c>
      <c r="N1537" s="7" t="n">
        <v>0.01197554847</v>
      </c>
      <c r="O1537" s="7" t="n">
        <v>0.01409139355</v>
      </c>
      <c r="P1537" s="7" t="n">
        <v>0.9998289948</v>
      </c>
      <c r="Q1537" s="7" t="n">
        <v>22.83588132</v>
      </c>
      <c r="R1537" s="7" t="n">
        <v>6.51453548</v>
      </c>
      <c r="S1537" s="7" t="n">
        <v>1.624930407</v>
      </c>
    </row>
    <row r="1538" customFormat="false" ht="15" hidden="false" customHeight="false" outlineLevel="0" collapsed="false">
      <c r="A1538" s="5" t="s">
        <v>4</v>
      </c>
      <c r="B1538" s="5" t="s">
        <v>83</v>
      </c>
      <c r="C1538" s="5" t="s">
        <v>58</v>
      </c>
      <c r="D1538" s="2" t="n">
        <v>14</v>
      </c>
      <c r="E1538" s="5" t="s">
        <v>163</v>
      </c>
      <c r="F1538" s="5" t="s">
        <v>167</v>
      </c>
      <c r="G1538" s="2" t="n">
        <v>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</row>
    <row r="1539" customFormat="false" ht="15" hidden="false" customHeight="false" outlineLevel="0" collapsed="false">
      <c r="A1539" s="5" t="s">
        <v>4</v>
      </c>
      <c r="B1539" s="5" t="s">
        <v>83</v>
      </c>
      <c r="C1539" s="5" t="s">
        <v>62</v>
      </c>
      <c r="D1539" s="2" t="n">
        <v>14</v>
      </c>
      <c r="E1539" s="5" t="s">
        <v>163</v>
      </c>
      <c r="F1539" s="5" t="s">
        <v>167</v>
      </c>
      <c r="G1539" s="2" t="n">
        <v>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</row>
    <row r="1540" customFormat="false" ht="15" hidden="false" customHeight="false" outlineLevel="0" collapsed="false">
      <c r="A1540" s="5" t="s">
        <v>4</v>
      </c>
      <c r="B1540" s="5" t="s">
        <v>83</v>
      </c>
      <c r="C1540" s="5" t="s">
        <v>58</v>
      </c>
      <c r="D1540" s="2" t="n">
        <v>14</v>
      </c>
      <c r="E1540" s="5" t="s">
        <v>163</v>
      </c>
      <c r="F1540" s="5" t="s">
        <v>168</v>
      </c>
      <c r="G1540" s="2" t="n">
        <v>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</row>
    <row r="1541" customFormat="false" ht="15" hidden="false" customHeight="false" outlineLevel="0" collapsed="false">
      <c r="A1541" s="5" t="s">
        <v>4</v>
      </c>
      <c r="B1541" s="5" t="s">
        <v>83</v>
      </c>
      <c r="C1541" s="5" t="s">
        <v>62</v>
      </c>
      <c r="D1541" s="2" t="n">
        <v>14</v>
      </c>
      <c r="E1541" s="5" t="s">
        <v>163</v>
      </c>
      <c r="F1541" s="5" t="s">
        <v>168</v>
      </c>
      <c r="G1541" s="2" t="n">
        <v>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</row>
    <row r="1542" customFormat="false" ht="15" hidden="false" customHeight="false" outlineLevel="0" collapsed="false">
      <c r="A1542" s="5" t="s">
        <v>4</v>
      </c>
      <c r="B1542" s="5" t="s">
        <v>83</v>
      </c>
      <c r="C1542" s="5" t="s">
        <v>58</v>
      </c>
      <c r="D1542" s="2" t="n">
        <v>15</v>
      </c>
      <c r="E1542" s="5" t="s">
        <v>163</v>
      </c>
      <c r="F1542" s="5" t="s">
        <v>164</v>
      </c>
      <c r="G1542" s="2" t="n">
        <v>1</v>
      </c>
      <c r="H1542" s="7" t="n">
        <v>-0.7179431706</v>
      </c>
      <c r="I1542" s="7" t="n">
        <v>-0.696070284</v>
      </c>
      <c r="J1542" s="7" t="n">
        <v>0.006615408439</v>
      </c>
      <c r="K1542" s="7" t="n">
        <v>0.6960462788</v>
      </c>
      <c r="L1542" s="7" t="n">
        <v>-0.7179735122</v>
      </c>
      <c r="M1542" s="7" t="n">
        <v>-0.005797718956</v>
      </c>
      <c r="N1542" s="7" t="n">
        <v>0.008785307911</v>
      </c>
      <c r="O1542" s="7" t="n">
        <v>0.0004421976975</v>
      </c>
      <c r="P1542" s="7" t="n">
        <v>0.9999613107</v>
      </c>
      <c r="Q1542" s="7" t="n">
        <v>-11.07719772</v>
      </c>
      <c r="R1542" s="7" t="n">
        <v>-0.8648648914</v>
      </c>
      <c r="S1542" s="7" t="n">
        <v>0.6048812721</v>
      </c>
    </row>
    <row r="1543" customFormat="false" ht="15" hidden="false" customHeight="false" outlineLevel="0" collapsed="false">
      <c r="A1543" s="5" t="s">
        <v>4</v>
      </c>
      <c r="B1543" s="5" t="s">
        <v>83</v>
      </c>
      <c r="C1543" s="5" t="s">
        <v>62</v>
      </c>
      <c r="D1543" s="2" t="n">
        <v>15</v>
      </c>
      <c r="E1543" s="5" t="s">
        <v>163</v>
      </c>
      <c r="F1543" s="5" t="s">
        <v>164</v>
      </c>
      <c r="G1543" s="2" t="n">
        <v>1</v>
      </c>
      <c r="H1543" s="7" t="n">
        <v>-0.7179431706</v>
      </c>
      <c r="I1543" s="7" t="n">
        <v>-0.696070284</v>
      </c>
      <c r="J1543" s="7" t="n">
        <v>0.006615408439</v>
      </c>
      <c r="K1543" s="7" t="n">
        <v>0.6960462788</v>
      </c>
      <c r="L1543" s="7" t="n">
        <v>-0.7179735122</v>
      </c>
      <c r="M1543" s="7" t="n">
        <v>-0.005797718956</v>
      </c>
      <c r="N1543" s="7" t="n">
        <v>0.008785307911</v>
      </c>
      <c r="O1543" s="7" t="n">
        <v>0.0004421976975</v>
      </c>
      <c r="P1543" s="7" t="n">
        <v>0.9999613107</v>
      </c>
      <c r="Q1543" s="7" t="n">
        <v>-11.07719772</v>
      </c>
      <c r="R1543" s="7" t="n">
        <v>-0.8648648914</v>
      </c>
      <c r="S1543" s="7" t="n">
        <v>0.6048812721</v>
      </c>
    </row>
    <row r="1544" customFormat="false" ht="15" hidden="false" customHeight="false" outlineLevel="0" collapsed="false">
      <c r="A1544" s="5" t="s">
        <v>4</v>
      </c>
      <c r="B1544" s="5" t="s">
        <v>83</v>
      </c>
      <c r="C1544" s="5" t="s">
        <v>58</v>
      </c>
      <c r="D1544" s="2" t="n">
        <v>15</v>
      </c>
      <c r="E1544" s="5" t="s">
        <v>163</v>
      </c>
      <c r="F1544" s="5" t="s">
        <v>165</v>
      </c>
      <c r="G1544" s="2" t="n">
        <v>1</v>
      </c>
      <c r="H1544" s="7" t="n">
        <v>0.9344019509</v>
      </c>
      <c r="I1544" s="7" t="n">
        <v>0.3561804206</v>
      </c>
      <c r="J1544" s="7" t="n">
        <v>-0.005338743531</v>
      </c>
      <c r="K1544" s="7" t="n">
        <v>-0.3561674608</v>
      </c>
      <c r="L1544" s="7" t="n">
        <v>0.9344165234</v>
      </c>
      <c r="M1544" s="7" t="n">
        <v>0.0032404793</v>
      </c>
      <c r="N1544" s="7" t="n">
        <v>0.006142805449</v>
      </c>
      <c r="O1544" s="7" t="n">
        <v>-0.001126423452</v>
      </c>
      <c r="P1544" s="7" t="n">
        <v>0.9999804984</v>
      </c>
      <c r="Q1544" s="7" t="n">
        <v>8.391121914</v>
      </c>
      <c r="R1544" s="7" t="n">
        <v>1.391979513</v>
      </c>
      <c r="S1544" s="7" t="n">
        <v>0.6681529107</v>
      </c>
    </row>
    <row r="1545" customFormat="false" ht="15" hidden="false" customHeight="false" outlineLevel="0" collapsed="false">
      <c r="A1545" s="5" t="s">
        <v>4</v>
      </c>
      <c r="B1545" s="5" t="s">
        <v>83</v>
      </c>
      <c r="C1545" s="5" t="s">
        <v>62</v>
      </c>
      <c r="D1545" s="2" t="n">
        <v>15</v>
      </c>
      <c r="E1545" s="5" t="s">
        <v>163</v>
      </c>
      <c r="F1545" s="5" t="s">
        <v>165</v>
      </c>
      <c r="G1545" s="2" t="n">
        <v>1</v>
      </c>
      <c r="H1545" s="7" t="n">
        <v>0.9344019509</v>
      </c>
      <c r="I1545" s="7" t="n">
        <v>0.3561804206</v>
      </c>
      <c r="J1545" s="7" t="n">
        <v>-0.005338743531</v>
      </c>
      <c r="K1545" s="7" t="n">
        <v>-0.3561674608</v>
      </c>
      <c r="L1545" s="7" t="n">
        <v>0.9344165234</v>
      </c>
      <c r="M1545" s="7" t="n">
        <v>0.0032404793</v>
      </c>
      <c r="N1545" s="7" t="n">
        <v>0.006142805449</v>
      </c>
      <c r="O1545" s="7" t="n">
        <v>-0.001126423452</v>
      </c>
      <c r="P1545" s="7" t="n">
        <v>0.9999804984</v>
      </c>
      <c r="Q1545" s="7" t="n">
        <v>8.391121914</v>
      </c>
      <c r="R1545" s="7" t="n">
        <v>1.391979513</v>
      </c>
      <c r="S1545" s="7" t="n">
        <v>0.6681529107</v>
      </c>
    </row>
    <row r="1546" customFormat="false" ht="15" hidden="false" customHeight="false" outlineLevel="0" collapsed="false">
      <c r="A1546" s="5" t="s">
        <v>4</v>
      </c>
      <c r="B1546" s="5" t="s">
        <v>83</v>
      </c>
      <c r="C1546" s="5" t="s">
        <v>58</v>
      </c>
      <c r="D1546" s="2" t="n">
        <v>15</v>
      </c>
      <c r="E1546" s="5" t="s">
        <v>163</v>
      </c>
      <c r="F1546" s="5" t="s">
        <v>166</v>
      </c>
      <c r="G1546" s="2" t="n">
        <v>1</v>
      </c>
      <c r="H1546" s="7" t="n">
        <v>0.901806305</v>
      </c>
      <c r="I1546" s="7" t="n">
        <v>0.4321152607</v>
      </c>
      <c r="J1546" s="7" t="n">
        <v>-0.004667949011</v>
      </c>
      <c r="K1546" s="7" t="n">
        <v>-0.4321384736</v>
      </c>
      <c r="L1546" s="7" t="n">
        <v>0.9017823771</v>
      </c>
      <c r="M1546" s="7" t="n">
        <v>-0.006699544502</v>
      </c>
      <c r="N1546" s="7" t="n">
        <v>0.001314498736</v>
      </c>
      <c r="O1546" s="7" t="n">
        <v>0.008058891833</v>
      </c>
      <c r="P1546" s="7" t="n">
        <v>0.9999666626</v>
      </c>
      <c r="Q1546" s="7" t="n">
        <v>22.87471012</v>
      </c>
      <c r="R1546" s="7" t="n">
        <v>6.530924241</v>
      </c>
      <c r="S1546" s="7" t="n">
        <v>1.51102733</v>
      </c>
    </row>
    <row r="1547" customFormat="false" ht="15" hidden="false" customHeight="false" outlineLevel="0" collapsed="false">
      <c r="A1547" s="5" t="s">
        <v>4</v>
      </c>
      <c r="B1547" s="5" t="s">
        <v>83</v>
      </c>
      <c r="C1547" s="5" t="s">
        <v>62</v>
      </c>
      <c r="D1547" s="2" t="n">
        <v>15</v>
      </c>
      <c r="E1547" s="5" t="s">
        <v>163</v>
      </c>
      <c r="F1547" s="5" t="s">
        <v>166</v>
      </c>
      <c r="G1547" s="2" t="n">
        <v>1</v>
      </c>
      <c r="H1547" s="7" t="n">
        <v>0.901806305</v>
      </c>
      <c r="I1547" s="7" t="n">
        <v>0.4321152607</v>
      </c>
      <c r="J1547" s="7" t="n">
        <v>-0.004667949011</v>
      </c>
      <c r="K1547" s="7" t="n">
        <v>-0.4321384736</v>
      </c>
      <c r="L1547" s="7" t="n">
        <v>0.9017823771</v>
      </c>
      <c r="M1547" s="7" t="n">
        <v>-0.006699544502</v>
      </c>
      <c r="N1547" s="7" t="n">
        <v>0.001314498736</v>
      </c>
      <c r="O1547" s="7" t="n">
        <v>0.008058891833</v>
      </c>
      <c r="P1547" s="7" t="n">
        <v>0.9999666626</v>
      </c>
      <c r="Q1547" s="7" t="n">
        <v>22.87471012</v>
      </c>
      <c r="R1547" s="7" t="n">
        <v>6.530924241</v>
      </c>
      <c r="S1547" s="7" t="n">
        <v>1.51102733</v>
      </c>
    </row>
    <row r="1548" customFormat="false" ht="15" hidden="false" customHeight="false" outlineLevel="0" collapsed="false">
      <c r="A1548" s="5" t="s">
        <v>4</v>
      </c>
      <c r="B1548" s="5" t="s">
        <v>83</v>
      </c>
      <c r="C1548" s="5" t="s">
        <v>58</v>
      </c>
      <c r="D1548" s="2" t="n">
        <v>15</v>
      </c>
      <c r="E1548" s="5" t="s">
        <v>163</v>
      </c>
      <c r="F1548" s="5" t="s">
        <v>167</v>
      </c>
      <c r="G1548" s="2" t="n">
        <v>1</v>
      </c>
      <c r="H1548" s="7" t="n">
        <v>0.2240688735</v>
      </c>
      <c r="I1548" s="7" t="n">
        <v>-0.9745725955</v>
      </c>
      <c r="J1548" s="7" t="n">
        <v>-0.001181509461</v>
      </c>
      <c r="K1548" s="7" t="n">
        <v>0.9744973333</v>
      </c>
      <c r="L1548" s="7" t="n">
        <v>0.2240663783</v>
      </c>
      <c r="M1548" s="7" t="n">
        <v>-0.01221497354</v>
      </c>
      <c r="N1548" s="7" t="n">
        <v>0.01216911502</v>
      </c>
      <c r="O1548" s="7" t="n">
        <v>0.001585617543</v>
      </c>
      <c r="P1548" s="7" t="n">
        <v>0.9999246964</v>
      </c>
      <c r="Q1548" s="7" t="n">
        <v>-16.5266814</v>
      </c>
      <c r="R1548" s="7" t="n">
        <v>20.49090277</v>
      </c>
      <c r="S1548" s="7" t="n">
        <v>1.054672802</v>
      </c>
    </row>
    <row r="1549" customFormat="false" ht="15" hidden="false" customHeight="false" outlineLevel="0" collapsed="false">
      <c r="A1549" s="5" t="s">
        <v>4</v>
      </c>
      <c r="B1549" s="5" t="s">
        <v>83</v>
      </c>
      <c r="C1549" s="5" t="s">
        <v>62</v>
      </c>
      <c r="D1549" s="2" t="n">
        <v>15</v>
      </c>
      <c r="E1549" s="5" t="s">
        <v>163</v>
      </c>
      <c r="F1549" s="5" t="s">
        <v>167</v>
      </c>
      <c r="G1549" s="2" t="n">
        <v>1</v>
      </c>
      <c r="H1549" s="7" t="n">
        <v>0.2240688735</v>
      </c>
      <c r="I1549" s="7" t="n">
        <v>-0.9745725955</v>
      </c>
      <c r="J1549" s="7" t="n">
        <v>-0.001181509461</v>
      </c>
      <c r="K1549" s="7" t="n">
        <v>0.9744973333</v>
      </c>
      <c r="L1549" s="7" t="n">
        <v>0.2240663783</v>
      </c>
      <c r="M1549" s="7" t="n">
        <v>-0.01221497354</v>
      </c>
      <c r="N1549" s="7" t="n">
        <v>0.01216911502</v>
      </c>
      <c r="O1549" s="7" t="n">
        <v>0.001585617543</v>
      </c>
      <c r="P1549" s="7" t="n">
        <v>0.9999246964</v>
      </c>
      <c r="Q1549" s="7" t="n">
        <v>-16.5266814</v>
      </c>
      <c r="R1549" s="7" t="n">
        <v>20.49090277</v>
      </c>
      <c r="S1549" s="7" t="n">
        <v>1.054672802</v>
      </c>
    </row>
    <row r="1550" customFormat="false" ht="15" hidden="false" customHeight="false" outlineLevel="0" collapsed="false">
      <c r="A1550" s="5" t="s">
        <v>4</v>
      </c>
      <c r="B1550" s="5" t="s">
        <v>83</v>
      </c>
      <c r="C1550" s="5" t="s">
        <v>58</v>
      </c>
      <c r="D1550" s="2" t="n">
        <v>15</v>
      </c>
      <c r="E1550" s="5" t="s">
        <v>163</v>
      </c>
      <c r="F1550" s="5" t="s">
        <v>168</v>
      </c>
      <c r="G1550" s="2" t="n">
        <v>1</v>
      </c>
      <c r="H1550" s="7" t="n">
        <v>0.9890571988</v>
      </c>
      <c r="I1550" s="7" t="n">
        <v>0.1466411296</v>
      </c>
      <c r="J1550" s="7" t="n">
        <v>-0.01619371966</v>
      </c>
      <c r="K1550" s="7" t="n">
        <v>-0.14654736</v>
      </c>
      <c r="L1550" s="7" t="n">
        <v>0.9891800119</v>
      </c>
      <c r="M1550" s="7" t="n">
        <v>0.006839255404</v>
      </c>
      <c r="N1550" s="7" t="n">
        <v>0.01702141994</v>
      </c>
      <c r="O1550" s="7" t="n">
        <v>-0.004391267928</v>
      </c>
      <c r="P1550" s="7" t="n">
        <v>0.9998454821</v>
      </c>
      <c r="Q1550" s="7" t="n">
        <v>25.12765181</v>
      </c>
      <c r="R1550" s="7" t="n">
        <v>19.81129676</v>
      </c>
      <c r="S1550" s="7" t="n">
        <v>2.192723424</v>
      </c>
    </row>
    <row r="1551" customFormat="false" ht="15" hidden="false" customHeight="false" outlineLevel="0" collapsed="false">
      <c r="A1551" s="5" t="s">
        <v>4</v>
      </c>
      <c r="B1551" s="5" t="s">
        <v>83</v>
      </c>
      <c r="C1551" s="5" t="s">
        <v>62</v>
      </c>
      <c r="D1551" s="2" t="n">
        <v>15</v>
      </c>
      <c r="E1551" s="5" t="s">
        <v>163</v>
      </c>
      <c r="F1551" s="5" t="s">
        <v>168</v>
      </c>
      <c r="G1551" s="2" t="n">
        <v>1</v>
      </c>
      <c r="H1551" s="7" t="n">
        <v>0.9890571988</v>
      </c>
      <c r="I1551" s="7" t="n">
        <v>0.1466411296</v>
      </c>
      <c r="J1551" s="7" t="n">
        <v>-0.01619371966</v>
      </c>
      <c r="K1551" s="7" t="n">
        <v>-0.14654736</v>
      </c>
      <c r="L1551" s="7" t="n">
        <v>0.9891800119</v>
      </c>
      <c r="M1551" s="7" t="n">
        <v>0.006839255404</v>
      </c>
      <c r="N1551" s="7" t="n">
        <v>0.01702141994</v>
      </c>
      <c r="O1551" s="7" t="n">
        <v>-0.004391267928</v>
      </c>
      <c r="P1551" s="7" t="n">
        <v>0.9998454821</v>
      </c>
      <c r="Q1551" s="7" t="n">
        <v>25.12765181</v>
      </c>
      <c r="R1551" s="7" t="n">
        <v>19.81129676</v>
      </c>
      <c r="S1551" s="7" t="n">
        <v>2.192723424</v>
      </c>
    </row>
    <row r="1552" customFormat="false" ht="15" hidden="false" customHeight="false" outlineLevel="0" collapsed="false">
      <c r="A1552" s="5" t="s">
        <v>4</v>
      </c>
      <c r="B1552" s="5" t="s">
        <v>83</v>
      </c>
      <c r="C1552" s="5" t="s">
        <v>58</v>
      </c>
      <c r="D1552" s="2" t="n">
        <v>16</v>
      </c>
      <c r="E1552" s="5" t="s">
        <v>163</v>
      </c>
      <c r="F1552" s="5" t="s">
        <v>164</v>
      </c>
      <c r="G1552" s="2" t="n">
        <v>1</v>
      </c>
      <c r="H1552" s="7" t="n">
        <v>-0.7179090722</v>
      </c>
      <c r="I1552" s="7" t="n">
        <v>-0.6961104201</v>
      </c>
      <c r="J1552" s="7" t="n">
        <v>0.006070184299</v>
      </c>
      <c r="K1552" s="7" t="n">
        <v>0.6960876783</v>
      </c>
      <c r="L1552" s="7" t="n">
        <v>-0.7179347111</v>
      </c>
      <c r="M1552" s="7" t="n">
        <v>-0.005629813236</v>
      </c>
      <c r="N1552" s="7" t="n">
        <v>0.008276967668</v>
      </c>
      <c r="O1552" s="7" t="n">
        <v>0.0001836864988</v>
      </c>
      <c r="P1552" s="7" t="n">
        <v>0.9999657284</v>
      </c>
      <c r="Q1552" s="7" t="n">
        <v>-11.07003346</v>
      </c>
      <c r="R1552" s="7" t="n">
        <v>-0.8601570377</v>
      </c>
      <c r="S1552" s="7" t="n">
        <v>0.5994488524</v>
      </c>
    </row>
    <row r="1553" customFormat="false" ht="15" hidden="false" customHeight="false" outlineLevel="0" collapsed="false">
      <c r="A1553" s="5" t="s">
        <v>4</v>
      </c>
      <c r="B1553" s="5" t="s">
        <v>83</v>
      </c>
      <c r="C1553" s="5" t="s">
        <v>62</v>
      </c>
      <c r="D1553" s="2" t="n">
        <v>16</v>
      </c>
      <c r="E1553" s="5" t="s">
        <v>163</v>
      </c>
      <c r="F1553" s="5" t="s">
        <v>164</v>
      </c>
      <c r="G1553" s="2" t="n">
        <v>1</v>
      </c>
      <c r="H1553" s="7" t="n">
        <v>-0.7179090722</v>
      </c>
      <c r="I1553" s="7" t="n">
        <v>-0.6961104201</v>
      </c>
      <c r="J1553" s="7" t="n">
        <v>0.006070184299</v>
      </c>
      <c r="K1553" s="7" t="n">
        <v>0.6960876783</v>
      </c>
      <c r="L1553" s="7" t="n">
        <v>-0.7179347111</v>
      </c>
      <c r="M1553" s="7" t="n">
        <v>-0.005629813236</v>
      </c>
      <c r="N1553" s="7" t="n">
        <v>0.008276967668</v>
      </c>
      <c r="O1553" s="7" t="n">
        <v>0.0001836864988</v>
      </c>
      <c r="P1553" s="7" t="n">
        <v>0.9999657284</v>
      </c>
      <c r="Q1553" s="7" t="n">
        <v>-11.07003346</v>
      </c>
      <c r="R1553" s="7" t="n">
        <v>-0.8601570377</v>
      </c>
      <c r="S1553" s="7" t="n">
        <v>0.5994488524</v>
      </c>
    </row>
    <row r="1554" customFormat="false" ht="15" hidden="false" customHeight="false" outlineLevel="0" collapsed="false">
      <c r="A1554" s="5" t="s">
        <v>4</v>
      </c>
      <c r="B1554" s="5" t="s">
        <v>83</v>
      </c>
      <c r="C1554" s="5" t="s">
        <v>58</v>
      </c>
      <c r="D1554" s="2" t="n">
        <v>16</v>
      </c>
      <c r="E1554" s="5" t="s">
        <v>163</v>
      </c>
      <c r="F1554" s="5" t="s">
        <v>165</v>
      </c>
      <c r="G1554" s="2" t="n">
        <v>1</v>
      </c>
      <c r="H1554" s="7" t="n">
        <v>0.9341903433</v>
      </c>
      <c r="I1554" s="7" t="n">
        <v>0.3567170886</v>
      </c>
      <c r="J1554" s="7" t="n">
        <v>-0.006428151675</v>
      </c>
      <c r="K1554" s="7" t="n">
        <v>-0.3566818313</v>
      </c>
      <c r="L1554" s="7" t="n">
        <v>0.934206516</v>
      </c>
      <c r="M1554" s="7" t="n">
        <v>0.006021349149</v>
      </c>
      <c r="N1554" s="7" t="n">
        <v>0.008153139319</v>
      </c>
      <c r="O1554" s="7" t="n">
        <v>-0.003332281318</v>
      </c>
      <c r="P1554" s="7" t="n">
        <v>0.9999612104</v>
      </c>
      <c r="Q1554" s="7" t="n">
        <v>8.387814896</v>
      </c>
      <c r="R1554" s="7" t="n">
        <v>1.399338277</v>
      </c>
      <c r="S1554" s="7" t="n">
        <v>0.6713863795</v>
      </c>
    </row>
    <row r="1555" customFormat="false" ht="15" hidden="false" customHeight="false" outlineLevel="0" collapsed="false">
      <c r="A1555" s="5" t="s">
        <v>4</v>
      </c>
      <c r="B1555" s="5" t="s">
        <v>83</v>
      </c>
      <c r="C1555" s="5" t="s">
        <v>62</v>
      </c>
      <c r="D1555" s="2" t="n">
        <v>16</v>
      </c>
      <c r="E1555" s="5" t="s">
        <v>163</v>
      </c>
      <c r="F1555" s="5" t="s">
        <v>165</v>
      </c>
      <c r="G1555" s="2" t="n">
        <v>1</v>
      </c>
      <c r="H1555" s="7" t="n">
        <v>0.9341903433</v>
      </c>
      <c r="I1555" s="7" t="n">
        <v>0.3567170886</v>
      </c>
      <c r="J1555" s="7" t="n">
        <v>-0.006428151675</v>
      </c>
      <c r="K1555" s="7" t="n">
        <v>-0.3566818313</v>
      </c>
      <c r="L1555" s="7" t="n">
        <v>0.934206516</v>
      </c>
      <c r="M1555" s="7" t="n">
        <v>0.006021349149</v>
      </c>
      <c r="N1555" s="7" t="n">
        <v>0.008153139319</v>
      </c>
      <c r="O1555" s="7" t="n">
        <v>-0.003332281318</v>
      </c>
      <c r="P1555" s="7" t="n">
        <v>0.9999612104</v>
      </c>
      <c r="Q1555" s="7" t="n">
        <v>8.387814896</v>
      </c>
      <c r="R1555" s="7" t="n">
        <v>1.399338277</v>
      </c>
      <c r="S1555" s="7" t="n">
        <v>0.6713863795</v>
      </c>
    </row>
    <row r="1556" customFormat="false" ht="15" hidden="false" customHeight="false" outlineLevel="0" collapsed="false">
      <c r="A1556" s="5" t="s">
        <v>4</v>
      </c>
      <c r="B1556" s="5" t="s">
        <v>83</v>
      </c>
      <c r="C1556" s="5" t="s">
        <v>58</v>
      </c>
      <c r="D1556" s="2" t="n">
        <v>16</v>
      </c>
      <c r="E1556" s="5" t="s">
        <v>163</v>
      </c>
      <c r="F1556" s="5" t="s">
        <v>166</v>
      </c>
      <c r="G1556" s="2" t="n">
        <v>1</v>
      </c>
      <c r="H1556" s="7" t="n">
        <v>0.9017070262</v>
      </c>
      <c r="I1556" s="7" t="n">
        <v>0.4320922793</v>
      </c>
      <c r="J1556" s="7" t="n">
        <v>-0.01485600833</v>
      </c>
      <c r="K1556" s="7" t="n">
        <v>-0.4322131661</v>
      </c>
      <c r="L1556" s="7" t="n">
        <v>0.9017511439</v>
      </c>
      <c r="M1556" s="7" t="n">
        <v>-0.006054218508</v>
      </c>
      <c r="N1556" s="7" t="n">
        <v>0.01078044143</v>
      </c>
      <c r="O1556" s="7" t="n">
        <v>0.01188009376</v>
      </c>
      <c r="P1556" s="7" t="n">
        <v>0.9998713144</v>
      </c>
      <c r="Q1556" s="7" t="n">
        <v>22.85938663</v>
      </c>
      <c r="R1556" s="7" t="n">
        <v>6.504119738</v>
      </c>
      <c r="S1556" s="7" t="n">
        <v>1.573219994</v>
      </c>
    </row>
    <row r="1557" customFormat="false" ht="15" hidden="false" customHeight="false" outlineLevel="0" collapsed="false">
      <c r="A1557" s="5" t="s">
        <v>4</v>
      </c>
      <c r="B1557" s="5" t="s">
        <v>83</v>
      </c>
      <c r="C1557" s="5" t="s">
        <v>62</v>
      </c>
      <c r="D1557" s="2" t="n">
        <v>16</v>
      </c>
      <c r="E1557" s="5" t="s">
        <v>163</v>
      </c>
      <c r="F1557" s="5" t="s">
        <v>166</v>
      </c>
      <c r="G1557" s="2" t="n">
        <v>1</v>
      </c>
      <c r="H1557" s="7" t="n">
        <v>0.9017070262</v>
      </c>
      <c r="I1557" s="7" t="n">
        <v>0.4320922793</v>
      </c>
      <c r="J1557" s="7" t="n">
        <v>-0.01485600833</v>
      </c>
      <c r="K1557" s="7" t="n">
        <v>-0.4322131661</v>
      </c>
      <c r="L1557" s="7" t="n">
        <v>0.9017511439</v>
      </c>
      <c r="M1557" s="7" t="n">
        <v>-0.006054218508</v>
      </c>
      <c r="N1557" s="7" t="n">
        <v>0.01078044143</v>
      </c>
      <c r="O1557" s="7" t="n">
        <v>0.01188009376</v>
      </c>
      <c r="P1557" s="7" t="n">
        <v>0.9998713144</v>
      </c>
      <c r="Q1557" s="7" t="n">
        <v>22.85938663</v>
      </c>
      <c r="R1557" s="7" t="n">
        <v>6.504119738</v>
      </c>
      <c r="S1557" s="7" t="n">
        <v>1.573219994</v>
      </c>
    </row>
    <row r="1558" customFormat="false" ht="15" hidden="false" customHeight="false" outlineLevel="0" collapsed="false">
      <c r="A1558" s="5" t="s">
        <v>4</v>
      </c>
      <c r="B1558" s="5" t="s">
        <v>83</v>
      </c>
      <c r="C1558" s="5" t="s">
        <v>58</v>
      </c>
      <c r="D1558" s="2" t="n">
        <v>16</v>
      </c>
      <c r="E1558" s="5" t="s">
        <v>163</v>
      </c>
      <c r="F1558" s="5" t="s">
        <v>167</v>
      </c>
      <c r="G1558" s="2" t="n">
        <v>1</v>
      </c>
      <c r="H1558" s="7" t="n">
        <v>0.2236670249</v>
      </c>
      <c r="I1558" s="7" t="n">
        <v>-0.9745952486</v>
      </c>
      <c r="J1558" s="7" t="n">
        <v>-0.01171167965</v>
      </c>
      <c r="K1558" s="7" t="n">
        <v>0.9746502317</v>
      </c>
      <c r="L1558" s="7" t="n">
        <v>0.2237148589</v>
      </c>
      <c r="M1558" s="7" t="n">
        <v>-0.002930483941</v>
      </c>
      <c r="N1558" s="7" t="n">
        <v>0.005476112486</v>
      </c>
      <c r="O1558" s="7" t="n">
        <v>-0.01075933866</v>
      </c>
      <c r="P1558" s="7" t="n">
        <v>0.9999271218</v>
      </c>
      <c r="Q1558" s="7" t="n">
        <v>-16.50146048</v>
      </c>
      <c r="R1558" s="7" t="n">
        <v>20.4762674</v>
      </c>
      <c r="S1558" s="7" t="n">
        <v>0.8014647108</v>
      </c>
    </row>
    <row r="1559" customFormat="false" ht="15" hidden="false" customHeight="false" outlineLevel="0" collapsed="false">
      <c r="A1559" s="5" t="s">
        <v>4</v>
      </c>
      <c r="B1559" s="5" t="s">
        <v>83</v>
      </c>
      <c r="C1559" s="5" t="s">
        <v>62</v>
      </c>
      <c r="D1559" s="2" t="n">
        <v>16</v>
      </c>
      <c r="E1559" s="5" t="s">
        <v>163</v>
      </c>
      <c r="F1559" s="5" t="s">
        <v>167</v>
      </c>
      <c r="G1559" s="2" t="n">
        <v>1</v>
      </c>
      <c r="H1559" s="7" t="n">
        <v>0.2236670249</v>
      </c>
      <c r="I1559" s="7" t="n">
        <v>-0.9745952486</v>
      </c>
      <c r="J1559" s="7" t="n">
        <v>-0.01171167965</v>
      </c>
      <c r="K1559" s="7" t="n">
        <v>0.9746502317</v>
      </c>
      <c r="L1559" s="7" t="n">
        <v>0.2237148589</v>
      </c>
      <c r="M1559" s="7" t="n">
        <v>-0.002930483941</v>
      </c>
      <c r="N1559" s="7" t="n">
        <v>0.005476112486</v>
      </c>
      <c r="O1559" s="7" t="n">
        <v>-0.01075933866</v>
      </c>
      <c r="P1559" s="7" t="n">
        <v>0.9999271218</v>
      </c>
      <c r="Q1559" s="7" t="n">
        <v>-16.50146048</v>
      </c>
      <c r="R1559" s="7" t="n">
        <v>20.4762674</v>
      </c>
      <c r="S1559" s="7" t="n">
        <v>0.8014647108</v>
      </c>
    </row>
    <row r="1560" customFormat="false" ht="15" hidden="false" customHeight="false" outlineLevel="0" collapsed="false">
      <c r="A1560" s="5" t="s">
        <v>4</v>
      </c>
      <c r="B1560" s="5" t="s">
        <v>83</v>
      </c>
      <c r="C1560" s="5" t="s">
        <v>58</v>
      </c>
      <c r="D1560" s="2" t="n">
        <v>16</v>
      </c>
      <c r="E1560" s="5" t="s">
        <v>163</v>
      </c>
      <c r="F1560" s="5" t="s">
        <v>168</v>
      </c>
      <c r="G1560" s="2" t="n">
        <v>1</v>
      </c>
      <c r="H1560" s="7" t="n">
        <v>0.9896172349</v>
      </c>
      <c r="I1560" s="7" t="n">
        <v>0.143529424</v>
      </c>
      <c r="J1560" s="7" t="n">
        <v>0.007552009653</v>
      </c>
      <c r="K1560" s="7" t="n">
        <v>-0.1435350361</v>
      </c>
      <c r="L1560" s="7" t="n">
        <v>0.9896452152</v>
      </c>
      <c r="M1560" s="7" t="n">
        <v>0.000203637773</v>
      </c>
      <c r="N1560" s="7" t="n">
        <v>-0.007444582206</v>
      </c>
      <c r="O1560" s="7" t="n">
        <v>-0.001285501428</v>
      </c>
      <c r="P1560" s="7" t="n">
        <v>0.9999714624</v>
      </c>
      <c r="Q1560" s="7" t="n">
        <v>25.18493247</v>
      </c>
      <c r="R1560" s="7" t="n">
        <v>19.83246277</v>
      </c>
      <c r="S1560" s="7" t="n">
        <v>2.089529688</v>
      </c>
    </row>
    <row r="1561" customFormat="false" ht="15" hidden="false" customHeight="false" outlineLevel="0" collapsed="false">
      <c r="A1561" s="5" t="s">
        <v>4</v>
      </c>
      <c r="B1561" s="5" t="s">
        <v>83</v>
      </c>
      <c r="C1561" s="5" t="s">
        <v>62</v>
      </c>
      <c r="D1561" s="2" t="n">
        <v>16</v>
      </c>
      <c r="E1561" s="5" t="s">
        <v>163</v>
      </c>
      <c r="F1561" s="5" t="s">
        <v>168</v>
      </c>
      <c r="G1561" s="2" t="n">
        <v>1</v>
      </c>
      <c r="H1561" s="7" t="n">
        <v>0.9896172349</v>
      </c>
      <c r="I1561" s="7" t="n">
        <v>0.143529424</v>
      </c>
      <c r="J1561" s="7" t="n">
        <v>0.007552009653</v>
      </c>
      <c r="K1561" s="7" t="n">
        <v>-0.1435350361</v>
      </c>
      <c r="L1561" s="7" t="n">
        <v>0.9896452152</v>
      </c>
      <c r="M1561" s="7" t="n">
        <v>0.000203637773</v>
      </c>
      <c r="N1561" s="7" t="n">
        <v>-0.007444582206</v>
      </c>
      <c r="O1561" s="7" t="n">
        <v>-0.001285501428</v>
      </c>
      <c r="P1561" s="7" t="n">
        <v>0.9999714624</v>
      </c>
      <c r="Q1561" s="7" t="n">
        <v>25.18493247</v>
      </c>
      <c r="R1561" s="7" t="n">
        <v>19.83246277</v>
      </c>
      <c r="S1561" s="7" t="n">
        <v>2.089529688</v>
      </c>
    </row>
    <row r="1562" customFormat="false" ht="15" hidden="false" customHeight="false" outlineLevel="0" collapsed="false">
      <c r="A1562" s="5" t="s">
        <v>4</v>
      </c>
      <c r="B1562" s="5" t="s">
        <v>83</v>
      </c>
      <c r="C1562" s="5" t="s">
        <v>58</v>
      </c>
      <c r="D1562" s="2" t="n">
        <v>17</v>
      </c>
      <c r="E1562" s="5" t="s">
        <v>163</v>
      </c>
      <c r="F1562" s="5" t="s">
        <v>164</v>
      </c>
      <c r="G1562" s="2" t="n">
        <v>1</v>
      </c>
      <c r="H1562" s="7" t="n">
        <v>-0.7181885698</v>
      </c>
      <c r="I1562" s="7" t="n">
        <v>-0.6958319003</v>
      </c>
      <c r="J1562" s="7" t="n">
        <v>0.004810890767</v>
      </c>
      <c r="K1562" s="7" t="n">
        <v>0.695816928</v>
      </c>
      <c r="L1562" s="7" t="n">
        <v>-0.7182046796</v>
      </c>
      <c r="M1562" s="7" t="n">
        <v>-0.004565196931</v>
      </c>
      <c r="N1562" s="7" t="n">
        <v>0.006631813917</v>
      </c>
      <c r="O1562" s="7" t="n">
        <v>6.882697967E-005</v>
      </c>
      <c r="P1562" s="7" t="n">
        <v>0.9999780069</v>
      </c>
      <c r="Q1562" s="7" t="n">
        <v>-11.07878813</v>
      </c>
      <c r="R1562" s="7" t="n">
        <v>-0.8612216921</v>
      </c>
      <c r="S1562" s="7" t="n">
        <v>0.5898552302</v>
      </c>
    </row>
    <row r="1563" customFormat="false" ht="15" hidden="false" customHeight="false" outlineLevel="0" collapsed="false">
      <c r="A1563" s="5" t="s">
        <v>4</v>
      </c>
      <c r="B1563" s="5" t="s">
        <v>83</v>
      </c>
      <c r="C1563" s="5" t="s">
        <v>62</v>
      </c>
      <c r="D1563" s="2" t="n">
        <v>17</v>
      </c>
      <c r="E1563" s="5" t="s">
        <v>163</v>
      </c>
      <c r="F1563" s="5" t="s">
        <v>164</v>
      </c>
      <c r="G1563" s="2" t="n">
        <v>1</v>
      </c>
      <c r="H1563" s="7" t="n">
        <v>-0.7181885698</v>
      </c>
      <c r="I1563" s="7" t="n">
        <v>-0.6958319003</v>
      </c>
      <c r="J1563" s="7" t="n">
        <v>0.004810890767</v>
      </c>
      <c r="K1563" s="7" t="n">
        <v>0.695816928</v>
      </c>
      <c r="L1563" s="7" t="n">
        <v>-0.7182046796</v>
      </c>
      <c r="M1563" s="7" t="n">
        <v>-0.004565196931</v>
      </c>
      <c r="N1563" s="7" t="n">
        <v>0.006631813917</v>
      </c>
      <c r="O1563" s="7" t="n">
        <v>6.882697967E-005</v>
      </c>
      <c r="P1563" s="7" t="n">
        <v>0.9999780069</v>
      </c>
      <c r="Q1563" s="7" t="n">
        <v>-11.07878813</v>
      </c>
      <c r="R1563" s="7" t="n">
        <v>-0.8612216921</v>
      </c>
      <c r="S1563" s="7" t="n">
        <v>0.5898552302</v>
      </c>
    </row>
    <row r="1564" customFormat="false" ht="15" hidden="false" customHeight="false" outlineLevel="0" collapsed="false">
      <c r="A1564" s="5" t="s">
        <v>4</v>
      </c>
      <c r="B1564" s="5" t="s">
        <v>83</v>
      </c>
      <c r="C1564" s="5" t="s">
        <v>58</v>
      </c>
      <c r="D1564" s="2" t="n">
        <v>17</v>
      </c>
      <c r="E1564" s="5" t="s">
        <v>163</v>
      </c>
      <c r="F1564" s="5" t="s">
        <v>165</v>
      </c>
      <c r="G1564" s="2" t="n">
        <v>1</v>
      </c>
      <c r="H1564" s="7" t="n">
        <v>0.9340283708</v>
      </c>
      <c r="I1564" s="7" t="n">
        <v>0.3571566073</v>
      </c>
      <c r="J1564" s="7" t="n">
        <v>-0.00549185448</v>
      </c>
      <c r="K1564" s="7" t="n">
        <v>-0.357126651</v>
      </c>
      <c r="L1564" s="7" t="n">
        <v>0.9340383212</v>
      </c>
      <c r="M1564" s="7" t="n">
        <v>0.005741926933</v>
      </c>
      <c r="N1564" s="7" t="n">
        <v>0.007180369681</v>
      </c>
      <c r="O1564" s="7" t="n">
        <v>-0.00340183506</v>
      </c>
      <c r="P1564" s="7" t="n">
        <v>0.9999684344</v>
      </c>
      <c r="Q1564" s="7" t="n">
        <v>8.398428191</v>
      </c>
      <c r="R1564" s="7" t="n">
        <v>1.383739563</v>
      </c>
      <c r="S1564" s="7" t="n">
        <v>0.6656617055</v>
      </c>
    </row>
    <row r="1565" customFormat="false" ht="15" hidden="false" customHeight="false" outlineLevel="0" collapsed="false">
      <c r="A1565" s="5" t="s">
        <v>4</v>
      </c>
      <c r="B1565" s="5" t="s">
        <v>83</v>
      </c>
      <c r="C1565" s="5" t="s">
        <v>62</v>
      </c>
      <c r="D1565" s="2" t="n">
        <v>17</v>
      </c>
      <c r="E1565" s="5" t="s">
        <v>163</v>
      </c>
      <c r="F1565" s="5" t="s">
        <v>165</v>
      </c>
      <c r="G1565" s="2" t="n">
        <v>1</v>
      </c>
      <c r="H1565" s="7" t="n">
        <v>0.9340283708</v>
      </c>
      <c r="I1565" s="7" t="n">
        <v>0.3571566073</v>
      </c>
      <c r="J1565" s="7" t="n">
        <v>-0.00549185448</v>
      </c>
      <c r="K1565" s="7" t="n">
        <v>-0.357126651</v>
      </c>
      <c r="L1565" s="7" t="n">
        <v>0.9340383212</v>
      </c>
      <c r="M1565" s="7" t="n">
        <v>0.005741926933</v>
      </c>
      <c r="N1565" s="7" t="n">
        <v>0.007180369681</v>
      </c>
      <c r="O1565" s="7" t="n">
        <v>-0.00340183506</v>
      </c>
      <c r="P1565" s="7" t="n">
        <v>0.9999684344</v>
      </c>
      <c r="Q1565" s="7" t="n">
        <v>8.398428191</v>
      </c>
      <c r="R1565" s="7" t="n">
        <v>1.383739563</v>
      </c>
      <c r="S1565" s="7" t="n">
        <v>0.6656617055</v>
      </c>
    </row>
    <row r="1566" customFormat="false" ht="15" hidden="false" customHeight="false" outlineLevel="0" collapsed="false">
      <c r="A1566" s="5" t="s">
        <v>4</v>
      </c>
      <c r="B1566" s="5" t="s">
        <v>83</v>
      </c>
      <c r="C1566" s="5" t="s">
        <v>58</v>
      </c>
      <c r="D1566" s="2" t="n">
        <v>17</v>
      </c>
      <c r="E1566" s="5" t="s">
        <v>163</v>
      </c>
      <c r="F1566" s="5" t="s">
        <v>166</v>
      </c>
      <c r="G1566" s="2" t="n">
        <v>1</v>
      </c>
      <c r="H1566" s="7" t="n">
        <v>0.9019274302</v>
      </c>
      <c r="I1566" s="7" t="n">
        <v>0.4316335437</v>
      </c>
      <c r="J1566" s="7" t="n">
        <v>-0.01481197448</v>
      </c>
      <c r="K1566" s="7" t="n">
        <v>-0.4317731055</v>
      </c>
      <c r="L1566" s="7" t="n">
        <v>0.9019475536</v>
      </c>
      <c r="M1566" s="7" t="n">
        <v>-0.007911756556</v>
      </c>
      <c r="N1566" s="7" t="n">
        <v>0.009944644626</v>
      </c>
      <c r="O1566" s="7" t="n">
        <v>0.01353124248</v>
      </c>
      <c r="P1566" s="7" t="n">
        <v>0.9998589948</v>
      </c>
      <c r="Q1566" s="7" t="n">
        <v>22.85300568</v>
      </c>
      <c r="R1566" s="7" t="n">
        <v>6.502119648</v>
      </c>
      <c r="S1566" s="7" t="n">
        <v>1.611851361</v>
      </c>
    </row>
    <row r="1567" customFormat="false" ht="15" hidden="false" customHeight="false" outlineLevel="0" collapsed="false">
      <c r="A1567" s="5" t="s">
        <v>4</v>
      </c>
      <c r="B1567" s="5" t="s">
        <v>83</v>
      </c>
      <c r="C1567" s="5" t="s">
        <v>62</v>
      </c>
      <c r="D1567" s="2" t="n">
        <v>17</v>
      </c>
      <c r="E1567" s="5" t="s">
        <v>163</v>
      </c>
      <c r="F1567" s="5" t="s">
        <v>166</v>
      </c>
      <c r="G1567" s="2" t="n">
        <v>1</v>
      </c>
      <c r="H1567" s="7" t="n">
        <v>0.9019274302</v>
      </c>
      <c r="I1567" s="7" t="n">
        <v>0.4316335437</v>
      </c>
      <c r="J1567" s="7" t="n">
        <v>-0.01481197448</v>
      </c>
      <c r="K1567" s="7" t="n">
        <v>-0.4317731055</v>
      </c>
      <c r="L1567" s="7" t="n">
        <v>0.9019475536</v>
      </c>
      <c r="M1567" s="7" t="n">
        <v>-0.007911756556</v>
      </c>
      <c r="N1567" s="7" t="n">
        <v>0.009944644626</v>
      </c>
      <c r="O1567" s="7" t="n">
        <v>0.01353124248</v>
      </c>
      <c r="P1567" s="7" t="n">
        <v>0.9998589948</v>
      </c>
      <c r="Q1567" s="7" t="n">
        <v>22.85300568</v>
      </c>
      <c r="R1567" s="7" t="n">
        <v>6.502119648</v>
      </c>
      <c r="S1567" s="7" t="n">
        <v>1.611851361</v>
      </c>
    </row>
    <row r="1568" customFormat="false" ht="15" hidden="false" customHeight="false" outlineLevel="0" collapsed="false">
      <c r="A1568" s="5" t="s">
        <v>4</v>
      </c>
      <c r="B1568" s="5" t="s">
        <v>83</v>
      </c>
      <c r="C1568" s="5" t="s">
        <v>58</v>
      </c>
      <c r="D1568" s="2" t="n">
        <v>17</v>
      </c>
      <c r="E1568" s="5" t="s">
        <v>163</v>
      </c>
      <c r="F1568" s="5" t="s">
        <v>167</v>
      </c>
      <c r="G1568" s="2" t="n">
        <v>1</v>
      </c>
      <c r="H1568" s="7" t="n">
        <v>0.2277277746</v>
      </c>
      <c r="I1568" s="7" t="n">
        <v>-0.9736707931</v>
      </c>
      <c r="J1568" s="7" t="n">
        <v>-0.01025901669</v>
      </c>
      <c r="K1568" s="7" t="n">
        <v>0.9737247211</v>
      </c>
      <c r="L1568" s="7" t="n">
        <v>0.2277202752</v>
      </c>
      <c r="M1568" s="7" t="n">
        <v>0.001908845624</v>
      </c>
      <c r="N1568" s="7" t="n">
        <v>0.0004775988723</v>
      </c>
      <c r="O1568" s="7" t="n">
        <v>-0.01042415533</v>
      </c>
      <c r="P1568" s="7" t="n">
        <v>0.999945553</v>
      </c>
      <c r="Q1568" s="7" t="n">
        <v>-16.49092947</v>
      </c>
      <c r="R1568" s="7" t="n">
        <v>20.55381266</v>
      </c>
      <c r="S1568" s="7" t="n">
        <v>0.8059444296</v>
      </c>
    </row>
    <row r="1569" customFormat="false" ht="15" hidden="false" customHeight="false" outlineLevel="0" collapsed="false">
      <c r="A1569" s="5" t="s">
        <v>4</v>
      </c>
      <c r="B1569" s="5" t="s">
        <v>83</v>
      </c>
      <c r="C1569" s="5" t="s">
        <v>62</v>
      </c>
      <c r="D1569" s="2" t="n">
        <v>17</v>
      </c>
      <c r="E1569" s="5" t="s">
        <v>163</v>
      </c>
      <c r="F1569" s="5" t="s">
        <v>167</v>
      </c>
      <c r="G1569" s="2" t="n">
        <v>1</v>
      </c>
      <c r="H1569" s="7" t="n">
        <v>0.2277277746</v>
      </c>
      <c r="I1569" s="7" t="n">
        <v>-0.9736707931</v>
      </c>
      <c r="J1569" s="7" t="n">
        <v>-0.01025901669</v>
      </c>
      <c r="K1569" s="7" t="n">
        <v>0.9737247211</v>
      </c>
      <c r="L1569" s="7" t="n">
        <v>0.2277202752</v>
      </c>
      <c r="M1569" s="7" t="n">
        <v>0.001908845624</v>
      </c>
      <c r="N1569" s="7" t="n">
        <v>0.0004775988723</v>
      </c>
      <c r="O1569" s="7" t="n">
        <v>-0.01042415533</v>
      </c>
      <c r="P1569" s="7" t="n">
        <v>0.999945553</v>
      </c>
      <c r="Q1569" s="7" t="n">
        <v>-16.49092947</v>
      </c>
      <c r="R1569" s="7" t="n">
        <v>20.55381266</v>
      </c>
      <c r="S1569" s="7" t="n">
        <v>0.8059444296</v>
      </c>
    </row>
    <row r="1570" customFormat="false" ht="15" hidden="false" customHeight="false" outlineLevel="0" collapsed="false">
      <c r="A1570" s="5" t="s">
        <v>4</v>
      </c>
      <c r="B1570" s="5" t="s">
        <v>83</v>
      </c>
      <c r="C1570" s="5" t="s">
        <v>58</v>
      </c>
      <c r="D1570" s="2" t="n">
        <v>17</v>
      </c>
      <c r="E1570" s="5" t="s">
        <v>163</v>
      </c>
      <c r="F1570" s="5" t="s">
        <v>168</v>
      </c>
      <c r="G1570" s="2" t="n">
        <v>1</v>
      </c>
      <c r="H1570" s="7" t="n">
        <v>0.9891757462</v>
      </c>
      <c r="I1570" s="7" t="n">
        <v>0.1461469509</v>
      </c>
      <c r="J1570" s="7" t="n">
        <v>-0.01313056867</v>
      </c>
      <c r="K1570" s="7" t="n">
        <v>-0.1461296288</v>
      </c>
      <c r="L1570" s="7" t="n">
        <v>0.9892628363</v>
      </c>
      <c r="M1570" s="7" t="n">
        <v>0.002274273175</v>
      </c>
      <c r="N1570" s="7" t="n">
        <v>0.01332196169</v>
      </c>
      <c r="O1570" s="7" t="n">
        <v>-0.0003308907392</v>
      </c>
      <c r="P1570" s="7" t="n">
        <v>0.999911204</v>
      </c>
      <c r="Q1570" s="7" t="n">
        <v>25.10987961</v>
      </c>
      <c r="R1570" s="7" t="n">
        <v>19.84826903</v>
      </c>
      <c r="S1570" s="7" t="n">
        <v>2.205486</v>
      </c>
    </row>
    <row r="1571" customFormat="false" ht="15" hidden="false" customHeight="false" outlineLevel="0" collapsed="false">
      <c r="A1571" s="5" t="s">
        <v>4</v>
      </c>
      <c r="B1571" s="5" t="s">
        <v>83</v>
      </c>
      <c r="C1571" s="5" t="s">
        <v>62</v>
      </c>
      <c r="D1571" s="2" t="n">
        <v>17</v>
      </c>
      <c r="E1571" s="5" t="s">
        <v>163</v>
      </c>
      <c r="F1571" s="5" t="s">
        <v>168</v>
      </c>
      <c r="G1571" s="2" t="n">
        <v>1</v>
      </c>
      <c r="H1571" s="7" t="n">
        <v>0.9891757462</v>
      </c>
      <c r="I1571" s="7" t="n">
        <v>0.1461469509</v>
      </c>
      <c r="J1571" s="7" t="n">
        <v>-0.01313056867</v>
      </c>
      <c r="K1571" s="7" t="n">
        <v>-0.1461296288</v>
      </c>
      <c r="L1571" s="7" t="n">
        <v>0.9892628363</v>
      </c>
      <c r="M1571" s="7" t="n">
        <v>0.002274273175</v>
      </c>
      <c r="N1571" s="7" t="n">
        <v>0.01332196169</v>
      </c>
      <c r="O1571" s="7" t="n">
        <v>-0.0003308907392</v>
      </c>
      <c r="P1571" s="7" t="n">
        <v>0.999911204</v>
      </c>
      <c r="Q1571" s="7" t="n">
        <v>25.10987961</v>
      </c>
      <c r="R1571" s="7" t="n">
        <v>19.84826903</v>
      </c>
      <c r="S1571" s="7" t="n">
        <v>2.205486</v>
      </c>
    </row>
    <row r="1572" customFormat="false" ht="15" hidden="false" customHeight="false" outlineLevel="0" collapsed="false">
      <c r="A1572" s="5" t="s">
        <v>4</v>
      </c>
      <c r="B1572" s="5" t="s">
        <v>83</v>
      </c>
      <c r="C1572" s="5" t="s">
        <v>58</v>
      </c>
      <c r="D1572" s="2" t="n">
        <v>18</v>
      </c>
      <c r="E1572" s="5" t="s">
        <v>163</v>
      </c>
      <c r="F1572" s="5" t="s">
        <v>164</v>
      </c>
      <c r="G1572" s="2" t="n">
        <v>1</v>
      </c>
      <c r="H1572" s="7" t="n">
        <v>-0.7184829999</v>
      </c>
      <c r="I1572" s="7" t="n">
        <v>-0.6955341178</v>
      </c>
      <c r="J1572" s="7" t="n">
        <v>0.003803927663</v>
      </c>
      <c r="K1572" s="7" t="n">
        <v>0.6955307867</v>
      </c>
      <c r="L1572" s="7" t="n">
        <v>-0.7184924361</v>
      </c>
      <c r="M1572" s="7" t="n">
        <v>-0.002354557933</v>
      </c>
      <c r="N1572" s="7" t="n">
        <v>0.004370768628</v>
      </c>
      <c r="O1572" s="7" t="n">
        <v>0.000954038953</v>
      </c>
      <c r="P1572" s="7" t="n">
        <v>0.999989993</v>
      </c>
      <c r="Q1572" s="7" t="n">
        <v>-11.07950854</v>
      </c>
      <c r="R1572" s="7" t="n">
        <v>-0.8862979996</v>
      </c>
      <c r="S1572" s="7" t="n">
        <v>0.6016751395</v>
      </c>
    </row>
    <row r="1573" customFormat="false" ht="15" hidden="false" customHeight="false" outlineLevel="0" collapsed="false">
      <c r="A1573" s="5" t="s">
        <v>4</v>
      </c>
      <c r="B1573" s="5" t="s">
        <v>83</v>
      </c>
      <c r="C1573" s="5" t="s">
        <v>62</v>
      </c>
      <c r="D1573" s="2" t="n">
        <v>18</v>
      </c>
      <c r="E1573" s="5" t="s">
        <v>163</v>
      </c>
      <c r="F1573" s="5" t="s">
        <v>164</v>
      </c>
      <c r="G1573" s="2" t="n">
        <v>1</v>
      </c>
      <c r="H1573" s="7" t="n">
        <v>-0.7184829999</v>
      </c>
      <c r="I1573" s="7" t="n">
        <v>-0.6955341178</v>
      </c>
      <c r="J1573" s="7" t="n">
        <v>0.003803927663</v>
      </c>
      <c r="K1573" s="7" t="n">
        <v>0.6955307867</v>
      </c>
      <c r="L1573" s="7" t="n">
        <v>-0.7184924361</v>
      </c>
      <c r="M1573" s="7" t="n">
        <v>-0.002354557933</v>
      </c>
      <c r="N1573" s="7" t="n">
        <v>0.004370768628</v>
      </c>
      <c r="O1573" s="7" t="n">
        <v>0.000954038953</v>
      </c>
      <c r="P1573" s="7" t="n">
        <v>0.999989993</v>
      </c>
      <c r="Q1573" s="7" t="n">
        <v>-11.07950854</v>
      </c>
      <c r="R1573" s="7" t="n">
        <v>-0.8862979996</v>
      </c>
      <c r="S1573" s="7" t="n">
        <v>0.6016751395</v>
      </c>
    </row>
    <row r="1574" customFormat="false" ht="15" hidden="false" customHeight="false" outlineLevel="0" collapsed="false">
      <c r="A1574" s="5" t="s">
        <v>4</v>
      </c>
      <c r="B1574" s="5" t="s">
        <v>83</v>
      </c>
      <c r="C1574" s="5" t="s">
        <v>58</v>
      </c>
      <c r="D1574" s="2" t="n">
        <v>18</v>
      </c>
      <c r="E1574" s="5" t="s">
        <v>163</v>
      </c>
      <c r="F1574" s="5" t="s">
        <v>165</v>
      </c>
      <c r="G1574" s="2" t="n">
        <v>1</v>
      </c>
      <c r="H1574" s="7" t="n">
        <v>0.9337782522</v>
      </c>
      <c r="I1574" s="7" t="n">
        <v>0.3578339711</v>
      </c>
      <c r="J1574" s="7" t="n">
        <v>-0.003609000499</v>
      </c>
      <c r="K1574" s="7" t="n">
        <v>-0.3578165763</v>
      </c>
      <c r="L1574" s="7" t="n">
        <v>0.93378013</v>
      </c>
      <c r="M1574" s="7" t="n">
        <v>0.00468683711</v>
      </c>
      <c r="N1574" s="7" t="n">
        <v>0.00504712249</v>
      </c>
      <c r="O1574" s="7" t="n">
        <v>-0.003085106362</v>
      </c>
      <c r="P1574" s="7" t="n">
        <v>0.9999825042</v>
      </c>
      <c r="Q1574" s="7" t="n">
        <v>8.403310191</v>
      </c>
      <c r="R1574" s="7" t="n">
        <v>1.373068949</v>
      </c>
      <c r="S1574" s="7" t="n">
        <v>0.6398150558</v>
      </c>
    </row>
    <row r="1575" customFormat="false" ht="15" hidden="false" customHeight="false" outlineLevel="0" collapsed="false">
      <c r="A1575" s="5" t="s">
        <v>4</v>
      </c>
      <c r="B1575" s="5" t="s">
        <v>83</v>
      </c>
      <c r="C1575" s="5" t="s">
        <v>62</v>
      </c>
      <c r="D1575" s="2" t="n">
        <v>18</v>
      </c>
      <c r="E1575" s="5" t="s">
        <v>163</v>
      </c>
      <c r="F1575" s="5" t="s">
        <v>165</v>
      </c>
      <c r="G1575" s="2" t="n">
        <v>1</v>
      </c>
      <c r="H1575" s="7" t="n">
        <v>0.9337782522</v>
      </c>
      <c r="I1575" s="7" t="n">
        <v>0.3578339711</v>
      </c>
      <c r="J1575" s="7" t="n">
        <v>-0.003609000499</v>
      </c>
      <c r="K1575" s="7" t="n">
        <v>-0.3578165763</v>
      </c>
      <c r="L1575" s="7" t="n">
        <v>0.93378013</v>
      </c>
      <c r="M1575" s="7" t="n">
        <v>0.00468683711</v>
      </c>
      <c r="N1575" s="7" t="n">
        <v>0.00504712249</v>
      </c>
      <c r="O1575" s="7" t="n">
        <v>-0.003085106362</v>
      </c>
      <c r="P1575" s="7" t="n">
        <v>0.9999825042</v>
      </c>
      <c r="Q1575" s="7" t="n">
        <v>8.403310191</v>
      </c>
      <c r="R1575" s="7" t="n">
        <v>1.373068949</v>
      </c>
      <c r="S1575" s="7" t="n">
        <v>0.6398150558</v>
      </c>
    </row>
    <row r="1576" customFormat="false" ht="15" hidden="false" customHeight="false" outlineLevel="0" collapsed="false">
      <c r="A1576" s="5" t="s">
        <v>4</v>
      </c>
      <c r="B1576" s="5" t="s">
        <v>83</v>
      </c>
      <c r="C1576" s="5" t="s">
        <v>58</v>
      </c>
      <c r="D1576" s="2" t="n">
        <v>18</v>
      </c>
      <c r="E1576" s="5" t="s">
        <v>163</v>
      </c>
      <c r="F1576" s="5" t="s">
        <v>166</v>
      </c>
      <c r="G1576" s="2" t="n">
        <v>1</v>
      </c>
      <c r="H1576" s="7" t="n">
        <v>0.9016859922</v>
      </c>
      <c r="I1576" s="7" t="n">
        <v>0.4320592701</v>
      </c>
      <c r="J1576" s="7" t="n">
        <v>-0.01694575623</v>
      </c>
      <c r="K1576" s="7" t="n">
        <v>-0.4322252126</v>
      </c>
      <c r="L1576" s="7" t="n">
        <v>0.9017335131</v>
      </c>
      <c r="M1576" s="7" t="n">
        <v>-0.007618201195</v>
      </c>
      <c r="N1576" s="7" t="n">
        <v>0.01198904185</v>
      </c>
      <c r="O1576" s="7" t="n">
        <v>0.01419360839</v>
      </c>
      <c r="P1576" s="7" t="n">
        <v>0.9998273873</v>
      </c>
      <c r="Q1576" s="7" t="n">
        <v>22.83109789</v>
      </c>
      <c r="R1576" s="7" t="n">
        <v>6.510779934</v>
      </c>
      <c r="S1576" s="7" t="n">
        <v>1.62498122</v>
      </c>
    </row>
    <row r="1577" customFormat="false" ht="15" hidden="false" customHeight="false" outlineLevel="0" collapsed="false">
      <c r="A1577" s="5" t="s">
        <v>4</v>
      </c>
      <c r="B1577" s="5" t="s">
        <v>83</v>
      </c>
      <c r="C1577" s="5" t="s">
        <v>62</v>
      </c>
      <c r="D1577" s="2" t="n">
        <v>18</v>
      </c>
      <c r="E1577" s="5" t="s">
        <v>163</v>
      </c>
      <c r="F1577" s="5" t="s">
        <v>166</v>
      </c>
      <c r="G1577" s="2" t="n">
        <v>1</v>
      </c>
      <c r="H1577" s="7" t="n">
        <v>0.9016859922</v>
      </c>
      <c r="I1577" s="7" t="n">
        <v>0.4320592701</v>
      </c>
      <c r="J1577" s="7" t="n">
        <v>-0.01694575623</v>
      </c>
      <c r="K1577" s="7" t="n">
        <v>-0.4322252126</v>
      </c>
      <c r="L1577" s="7" t="n">
        <v>0.9017335131</v>
      </c>
      <c r="M1577" s="7" t="n">
        <v>-0.007618201195</v>
      </c>
      <c r="N1577" s="7" t="n">
        <v>0.01198904185</v>
      </c>
      <c r="O1577" s="7" t="n">
        <v>0.01419360839</v>
      </c>
      <c r="P1577" s="7" t="n">
        <v>0.9998273873</v>
      </c>
      <c r="Q1577" s="7" t="n">
        <v>22.83109789</v>
      </c>
      <c r="R1577" s="7" t="n">
        <v>6.510779934</v>
      </c>
      <c r="S1577" s="7" t="n">
        <v>1.62498122</v>
      </c>
    </row>
    <row r="1578" customFormat="false" ht="15" hidden="false" customHeight="false" outlineLevel="0" collapsed="false">
      <c r="A1578" s="5" t="s">
        <v>4</v>
      </c>
      <c r="B1578" s="5" t="s">
        <v>83</v>
      </c>
      <c r="C1578" s="5" t="s">
        <v>58</v>
      </c>
      <c r="D1578" s="2" t="n">
        <v>18</v>
      </c>
      <c r="E1578" s="5" t="s">
        <v>163</v>
      </c>
      <c r="F1578" s="5" t="s">
        <v>167</v>
      </c>
      <c r="G1578" s="2" t="n">
        <v>1</v>
      </c>
      <c r="H1578" s="7" t="n">
        <v>0.2233707914</v>
      </c>
      <c r="I1578" s="7" t="n">
        <v>-0.9747303563</v>
      </c>
      <c r="J1578" s="7" t="n">
        <v>0.002494414501</v>
      </c>
      <c r="K1578" s="7" t="n">
        <v>0.9746693146</v>
      </c>
      <c r="L1578" s="7" t="n">
        <v>0.2233259619</v>
      </c>
      <c r="M1578" s="7" t="n">
        <v>-0.01205163511</v>
      </c>
      <c r="N1578" s="7" t="n">
        <v>0.01119002707</v>
      </c>
      <c r="O1578" s="7" t="n">
        <v>0.005123212546</v>
      </c>
      <c r="P1578" s="7" t="n">
        <v>0.9999242651</v>
      </c>
      <c r="Q1578" s="7" t="n">
        <v>-16.5756593</v>
      </c>
      <c r="R1578" s="7" t="n">
        <v>20.47046695</v>
      </c>
      <c r="S1578" s="7" t="n">
        <v>1.163207436</v>
      </c>
    </row>
    <row r="1579" customFormat="false" ht="15" hidden="false" customHeight="false" outlineLevel="0" collapsed="false">
      <c r="A1579" s="5" t="s">
        <v>4</v>
      </c>
      <c r="B1579" s="5" t="s">
        <v>83</v>
      </c>
      <c r="C1579" s="5" t="s">
        <v>62</v>
      </c>
      <c r="D1579" s="2" t="n">
        <v>18</v>
      </c>
      <c r="E1579" s="5" t="s">
        <v>163</v>
      </c>
      <c r="F1579" s="5" t="s">
        <v>167</v>
      </c>
      <c r="G1579" s="2" t="n">
        <v>1</v>
      </c>
      <c r="H1579" s="7" t="n">
        <v>0.2233707914</v>
      </c>
      <c r="I1579" s="7" t="n">
        <v>-0.9747303563</v>
      </c>
      <c r="J1579" s="7" t="n">
        <v>0.002494414501</v>
      </c>
      <c r="K1579" s="7" t="n">
        <v>0.9746693146</v>
      </c>
      <c r="L1579" s="7" t="n">
        <v>0.2233259619</v>
      </c>
      <c r="M1579" s="7" t="n">
        <v>-0.01205163511</v>
      </c>
      <c r="N1579" s="7" t="n">
        <v>0.01119002707</v>
      </c>
      <c r="O1579" s="7" t="n">
        <v>0.005123212546</v>
      </c>
      <c r="P1579" s="7" t="n">
        <v>0.9999242651</v>
      </c>
      <c r="Q1579" s="7" t="n">
        <v>-16.5756593</v>
      </c>
      <c r="R1579" s="7" t="n">
        <v>20.47046695</v>
      </c>
      <c r="S1579" s="7" t="n">
        <v>1.163207436</v>
      </c>
    </row>
    <row r="1580" customFormat="false" ht="15" hidden="false" customHeight="false" outlineLevel="0" collapsed="false">
      <c r="A1580" s="5" t="s">
        <v>4</v>
      </c>
      <c r="B1580" s="5" t="s">
        <v>83</v>
      </c>
      <c r="C1580" s="5" t="s">
        <v>58</v>
      </c>
      <c r="D1580" s="2" t="n">
        <v>18</v>
      </c>
      <c r="E1580" s="5" t="s">
        <v>163</v>
      </c>
      <c r="F1580" s="5" t="s">
        <v>168</v>
      </c>
      <c r="G1580" s="2" t="n">
        <v>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</row>
    <row r="1581" customFormat="false" ht="15" hidden="false" customHeight="false" outlineLevel="0" collapsed="false">
      <c r="A1581" s="5" t="s">
        <v>4</v>
      </c>
      <c r="B1581" s="5" t="s">
        <v>83</v>
      </c>
      <c r="C1581" s="5" t="s">
        <v>62</v>
      </c>
      <c r="D1581" s="2" t="n">
        <v>18</v>
      </c>
      <c r="E1581" s="5" t="s">
        <v>163</v>
      </c>
      <c r="F1581" s="5" t="s">
        <v>168</v>
      </c>
      <c r="G1581" s="2" t="n">
        <v>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</row>
    <row r="1582" customFormat="false" ht="15" hidden="false" customHeight="false" outlineLevel="0" collapsed="false">
      <c r="A1582" s="5" t="s">
        <v>4</v>
      </c>
      <c r="B1582" s="5" t="s">
        <v>83</v>
      </c>
      <c r="C1582" s="5" t="s">
        <v>58</v>
      </c>
      <c r="D1582" s="2" t="n">
        <v>19</v>
      </c>
      <c r="E1582" s="5" t="s">
        <v>163</v>
      </c>
      <c r="F1582" s="5" t="s">
        <v>164</v>
      </c>
      <c r="G1582" s="2" t="n">
        <v>1</v>
      </c>
      <c r="H1582" s="7" t="n">
        <v>-0.7181681713</v>
      </c>
      <c r="I1582" s="7" t="n">
        <v>-0.6958402449</v>
      </c>
      <c r="J1582" s="7" t="n">
        <v>0.006389939949</v>
      </c>
      <c r="K1582" s="7" t="n">
        <v>0.6958057966</v>
      </c>
      <c r="L1582" s="7" t="n">
        <v>-0.718196394</v>
      </c>
      <c r="M1582" s="7" t="n">
        <v>-0.006945006991</v>
      </c>
      <c r="N1582" s="7" t="n">
        <v>0.009421847194</v>
      </c>
      <c r="O1582" s="7" t="n">
        <v>-0.0005415257143</v>
      </c>
      <c r="P1582" s="7" t="n">
        <v>0.9999554668</v>
      </c>
      <c r="Q1582" s="7" t="n">
        <v>-11.07395873</v>
      </c>
      <c r="R1582" s="7" t="n">
        <v>-0.8527194809</v>
      </c>
      <c r="S1582" s="7" t="n">
        <v>0.6021378401</v>
      </c>
    </row>
    <row r="1583" customFormat="false" ht="15" hidden="false" customHeight="false" outlineLevel="0" collapsed="false">
      <c r="A1583" s="5" t="s">
        <v>4</v>
      </c>
      <c r="B1583" s="5" t="s">
        <v>83</v>
      </c>
      <c r="C1583" s="5" t="s">
        <v>62</v>
      </c>
      <c r="D1583" s="2" t="n">
        <v>19</v>
      </c>
      <c r="E1583" s="5" t="s">
        <v>163</v>
      </c>
      <c r="F1583" s="5" t="s">
        <v>164</v>
      </c>
      <c r="G1583" s="2" t="n">
        <v>1</v>
      </c>
      <c r="H1583" s="7" t="n">
        <v>-0.7181681713</v>
      </c>
      <c r="I1583" s="7" t="n">
        <v>-0.6958402449</v>
      </c>
      <c r="J1583" s="7" t="n">
        <v>0.006389939949</v>
      </c>
      <c r="K1583" s="7" t="n">
        <v>0.6958057966</v>
      </c>
      <c r="L1583" s="7" t="n">
        <v>-0.718196394</v>
      </c>
      <c r="M1583" s="7" t="n">
        <v>-0.006945006991</v>
      </c>
      <c r="N1583" s="7" t="n">
        <v>0.009421847194</v>
      </c>
      <c r="O1583" s="7" t="n">
        <v>-0.0005415257143</v>
      </c>
      <c r="P1583" s="7" t="n">
        <v>0.9999554668</v>
      </c>
      <c r="Q1583" s="7" t="n">
        <v>-11.07395873</v>
      </c>
      <c r="R1583" s="7" t="n">
        <v>-0.8527194809</v>
      </c>
      <c r="S1583" s="7" t="n">
        <v>0.6021378401</v>
      </c>
    </row>
    <row r="1584" customFormat="false" ht="15" hidden="false" customHeight="false" outlineLevel="0" collapsed="false">
      <c r="A1584" s="5" t="s">
        <v>4</v>
      </c>
      <c r="B1584" s="5" t="s">
        <v>83</v>
      </c>
      <c r="C1584" s="5" t="s">
        <v>58</v>
      </c>
      <c r="D1584" s="2" t="n">
        <v>19</v>
      </c>
      <c r="E1584" s="5" t="s">
        <v>163</v>
      </c>
      <c r="F1584" s="5" t="s">
        <v>165</v>
      </c>
      <c r="G1584" s="2" t="n">
        <v>1</v>
      </c>
      <c r="H1584" s="7" t="n">
        <v>0.9340467253</v>
      </c>
      <c r="I1584" s="7" t="n">
        <v>0.3571189223</v>
      </c>
      <c r="J1584" s="7" t="n">
        <v>-0.004773922917</v>
      </c>
      <c r="K1584" s="7" t="n">
        <v>-0.3570919744</v>
      </c>
      <c r="L1584" s="7" t="n">
        <v>0.9340520247</v>
      </c>
      <c r="M1584" s="7" t="n">
        <v>0.005668941536</v>
      </c>
      <c r="N1584" s="7" t="n">
        <v>0.006483578658</v>
      </c>
      <c r="O1584" s="7" t="n">
        <v>-0.003590326717</v>
      </c>
      <c r="P1584" s="7" t="n">
        <v>0.999972536</v>
      </c>
      <c r="Q1584" s="7" t="n">
        <v>8.406297454</v>
      </c>
      <c r="R1584" s="7" t="n">
        <v>1.379900944</v>
      </c>
      <c r="S1584" s="7" t="n">
        <v>0.633195361</v>
      </c>
    </row>
    <row r="1585" customFormat="false" ht="15" hidden="false" customHeight="false" outlineLevel="0" collapsed="false">
      <c r="A1585" s="5" t="s">
        <v>4</v>
      </c>
      <c r="B1585" s="5" t="s">
        <v>83</v>
      </c>
      <c r="C1585" s="5" t="s">
        <v>62</v>
      </c>
      <c r="D1585" s="2" t="n">
        <v>19</v>
      </c>
      <c r="E1585" s="5" t="s">
        <v>163</v>
      </c>
      <c r="F1585" s="5" t="s">
        <v>165</v>
      </c>
      <c r="G1585" s="2" t="n">
        <v>1</v>
      </c>
      <c r="H1585" s="7" t="n">
        <v>0.9340467253</v>
      </c>
      <c r="I1585" s="7" t="n">
        <v>0.3571189223</v>
      </c>
      <c r="J1585" s="7" t="n">
        <v>-0.004773922917</v>
      </c>
      <c r="K1585" s="7" t="n">
        <v>-0.3570919744</v>
      </c>
      <c r="L1585" s="7" t="n">
        <v>0.9340520247</v>
      </c>
      <c r="M1585" s="7" t="n">
        <v>0.005668941536</v>
      </c>
      <c r="N1585" s="7" t="n">
        <v>0.006483578658</v>
      </c>
      <c r="O1585" s="7" t="n">
        <v>-0.003590326717</v>
      </c>
      <c r="P1585" s="7" t="n">
        <v>0.999972536</v>
      </c>
      <c r="Q1585" s="7" t="n">
        <v>8.406297454</v>
      </c>
      <c r="R1585" s="7" t="n">
        <v>1.379900944</v>
      </c>
      <c r="S1585" s="7" t="n">
        <v>0.633195361</v>
      </c>
    </row>
    <row r="1586" customFormat="false" ht="15" hidden="false" customHeight="false" outlineLevel="0" collapsed="false">
      <c r="A1586" s="5" t="s">
        <v>4</v>
      </c>
      <c r="B1586" s="5" t="s">
        <v>83</v>
      </c>
      <c r="C1586" s="5" t="s">
        <v>58</v>
      </c>
      <c r="D1586" s="2" t="n">
        <v>19</v>
      </c>
      <c r="E1586" s="5" t="s">
        <v>163</v>
      </c>
      <c r="F1586" s="5" t="s">
        <v>166</v>
      </c>
      <c r="G1586" s="2" t="n">
        <v>1</v>
      </c>
      <c r="H1586" s="7" t="n">
        <v>0.9021122236</v>
      </c>
      <c r="I1586" s="7" t="n">
        <v>0.4312251328</v>
      </c>
      <c r="J1586" s="7" t="n">
        <v>-0.01544088626</v>
      </c>
      <c r="K1586" s="7" t="n">
        <v>-0.4313698483</v>
      </c>
      <c r="L1586" s="7" t="n">
        <v>0.9021432702</v>
      </c>
      <c r="M1586" s="7" t="n">
        <v>-0.00758775001</v>
      </c>
      <c r="N1586" s="7" t="n">
        <v>0.01065786312</v>
      </c>
      <c r="O1586" s="7" t="n">
        <v>0.0135057348</v>
      </c>
      <c r="P1586" s="7" t="n">
        <v>0.9998519916</v>
      </c>
      <c r="Q1586" s="7" t="n">
        <v>22.84315529</v>
      </c>
      <c r="R1586" s="7" t="n">
        <v>6.506131539</v>
      </c>
      <c r="S1586" s="7" t="n">
        <v>1.616678077</v>
      </c>
    </row>
    <row r="1587" customFormat="false" ht="15" hidden="false" customHeight="false" outlineLevel="0" collapsed="false">
      <c r="A1587" s="5" t="s">
        <v>4</v>
      </c>
      <c r="B1587" s="5" t="s">
        <v>83</v>
      </c>
      <c r="C1587" s="5" t="s">
        <v>62</v>
      </c>
      <c r="D1587" s="2" t="n">
        <v>19</v>
      </c>
      <c r="E1587" s="5" t="s">
        <v>163</v>
      </c>
      <c r="F1587" s="5" t="s">
        <v>166</v>
      </c>
      <c r="G1587" s="2" t="n">
        <v>1</v>
      </c>
      <c r="H1587" s="7" t="n">
        <v>0.9021122236</v>
      </c>
      <c r="I1587" s="7" t="n">
        <v>0.4312251328</v>
      </c>
      <c r="J1587" s="7" t="n">
        <v>-0.01544088626</v>
      </c>
      <c r="K1587" s="7" t="n">
        <v>-0.4313698483</v>
      </c>
      <c r="L1587" s="7" t="n">
        <v>0.9021432702</v>
      </c>
      <c r="M1587" s="7" t="n">
        <v>-0.00758775001</v>
      </c>
      <c r="N1587" s="7" t="n">
        <v>0.01065786312</v>
      </c>
      <c r="O1587" s="7" t="n">
        <v>0.0135057348</v>
      </c>
      <c r="P1587" s="7" t="n">
        <v>0.9998519916</v>
      </c>
      <c r="Q1587" s="7" t="n">
        <v>22.84315529</v>
      </c>
      <c r="R1587" s="7" t="n">
        <v>6.506131539</v>
      </c>
      <c r="S1587" s="7" t="n">
        <v>1.616678077</v>
      </c>
    </row>
    <row r="1588" customFormat="false" ht="15" hidden="false" customHeight="false" outlineLevel="0" collapsed="false">
      <c r="A1588" s="5" t="s">
        <v>4</v>
      </c>
      <c r="B1588" s="5" t="s">
        <v>83</v>
      </c>
      <c r="C1588" s="5" t="s">
        <v>58</v>
      </c>
      <c r="D1588" s="2" t="n">
        <v>19</v>
      </c>
      <c r="E1588" s="5" t="s">
        <v>163</v>
      </c>
      <c r="F1588" s="5" t="s">
        <v>167</v>
      </c>
      <c r="G1588" s="2" t="n">
        <v>1</v>
      </c>
      <c r="H1588" s="7" t="n">
        <v>0.2294568344</v>
      </c>
      <c r="I1588" s="7" t="n">
        <v>-0.9733181955</v>
      </c>
      <c r="J1588" s="7" t="n">
        <v>0.001118702321</v>
      </c>
      <c r="K1588" s="7" t="n">
        <v>0.9732964577</v>
      </c>
      <c r="L1588" s="7" t="n">
        <v>0.2294436123</v>
      </c>
      <c r="M1588" s="7" t="n">
        <v>-0.007045159243</v>
      </c>
      <c r="N1588" s="7" t="n">
        <v>0.006600502579</v>
      </c>
      <c r="O1588" s="7" t="n">
        <v>0.002705388944</v>
      </c>
      <c r="P1588" s="7" t="n">
        <v>0.9999745568</v>
      </c>
      <c r="Q1588" s="7" t="n">
        <v>-16.45481698</v>
      </c>
      <c r="R1588" s="7" t="n">
        <v>20.57674676</v>
      </c>
      <c r="S1588" s="7" t="n">
        <v>1.050790084</v>
      </c>
    </row>
    <row r="1589" customFormat="false" ht="15" hidden="false" customHeight="false" outlineLevel="0" collapsed="false">
      <c r="A1589" s="5" t="s">
        <v>4</v>
      </c>
      <c r="B1589" s="5" t="s">
        <v>83</v>
      </c>
      <c r="C1589" s="5" t="s">
        <v>62</v>
      </c>
      <c r="D1589" s="2" t="n">
        <v>19</v>
      </c>
      <c r="E1589" s="5" t="s">
        <v>163</v>
      </c>
      <c r="F1589" s="5" t="s">
        <v>167</v>
      </c>
      <c r="G1589" s="2" t="n">
        <v>1</v>
      </c>
      <c r="H1589" s="7" t="n">
        <v>0.2294568344</v>
      </c>
      <c r="I1589" s="7" t="n">
        <v>-0.9733181955</v>
      </c>
      <c r="J1589" s="7" t="n">
        <v>0.001118702321</v>
      </c>
      <c r="K1589" s="7" t="n">
        <v>0.9732964577</v>
      </c>
      <c r="L1589" s="7" t="n">
        <v>0.2294436123</v>
      </c>
      <c r="M1589" s="7" t="n">
        <v>-0.007045159243</v>
      </c>
      <c r="N1589" s="7" t="n">
        <v>0.006600502579</v>
      </c>
      <c r="O1589" s="7" t="n">
        <v>0.002705388944</v>
      </c>
      <c r="P1589" s="7" t="n">
        <v>0.9999745568</v>
      </c>
      <c r="Q1589" s="7" t="n">
        <v>-16.45481698</v>
      </c>
      <c r="R1589" s="7" t="n">
        <v>20.57674676</v>
      </c>
      <c r="S1589" s="7" t="n">
        <v>1.050790084</v>
      </c>
    </row>
    <row r="1590" customFormat="false" ht="15" hidden="false" customHeight="false" outlineLevel="0" collapsed="false">
      <c r="A1590" s="5" t="s">
        <v>4</v>
      </c>
      <c r="B1590" s="5" t="s">
        <v>83</v>
      </c>
      <c r="C1590" s="5" t="s">
        <v>58</v>
      </c>
      <c r="D1590" s="2" t="n">
        <v>19</v>
      </c>
      <c r="E1590" s="5" t="s">
        <v>163</v>
      </c>
      <c r="F1590" s="5" t="s">
        <v>168</v>
      </c>
      <c r="G1590" s="2" t="n">
        <v>1</v>
      </c>
      <c r="H1590" s="7" t="n">
        <v>0.9889969147</v>
      </c>
      <c r="I1590" s="7" t="n">
        <v>0.1466742358</v>
      </c>
      <c r="J1590" s="7" t="n">
        <v>-0.01928136973</v>
      </c>
      <c r="K1590" s="7" t="n">
        <v>-0.1468548622</v>
      </c>
      <c r="L1590" s="7" t="n">
        <v>0.9891231919</v>
      </c>
      <c r="M1590" s="7" t="n">
        <v>-0.008304251772</v>
      </c>
      <c r="N1590" s="7" t="n">
        <v>0.01785363019</v>
      </c>
      <c r="O1590" s="7" t="n">
        <v>0.01104444228</v>
      </c>
      <c r="P1590" s="7" t="n">
        <v>0.9997796098</v>
      </c>
      <c r="Q1590" s="7" t="n">
        <v>25.10385057</v>
      </c>
      <c r="R1590" s="7" t="n">
        <v>19.76641768</v>
      </c>
      <c r="S1590" s="7" t="n">
        <v>2.503754895</v>
      </c>
    </row>
    <row r="1591" customFormat="false" ht="15" hidden="false" customHeight="false" outlineLevel="0" collapsed="false">
      <c r="A1591" s="5" t="s">
        <v>4</v>
      </c>
      <c r="B1591" s="5" t="s">
        <v>83</v>
      </c>
      <c r="C1591" s="5" t="s">
        <v>62</v>
      </c>
      <c r="D1591" s="2" t="n">
        <v>19</v>
      </c>
      <c r="E1591" s="5" t="s">
        <v>163</v>
      </c>
      <c r="F1591" s="5" t="s">
        <v>168</v>
      </c>
      <c r="G1591" s="2" t="n">
        <v>1</v>
      </c>
      <c r="H1591" s="7" t="n">
        <v>0.9889969147</v>
      </c>
      <c r="I1591" s="7" t="n">
        <v>0.1466742358</v>
      </c>
      <c r="J1591" s="7" t="n">
        <v>-0.01928136973</v>
      </c>
      <c r="K1591" s="7" t="n">
        <v>-0.1468548622</v>
      </c>
      <c r="L1591" s="7" t="n">
        <v>0.9891231919</v>
      </c>
      <c r="M1591" s="7" t="n">
        <v>-0.008304251772</v>
      </c>
      <c r="N1591" s="7" t="n">
        <v>0.01785363019</v>
      </c>
      <c r="O1591" s="7" t="n">
        <v>0.01104444228</v>
      </c>
      <c r="P1591" s="7" t="n">
        <v>0.9997796098</v>
      </c>
      <c r="Q1591" s="7" t="n">
        <v>25.10385057</v>
      </c>
      <c r="R1591" s="7" t="n">
        <v>19.76641768</v>
      </c>
      <c r="S1591" s="7" t="n">
        <v>2.503754895</v>
      </c>
    </row>
    <row r="1592" customFormat="false" ht="15" hidden="false" customHeight="false" outlineLevel="0" collapsed="false">
      <c r="A1592" s="5" t="s">
        <v>4</v>
      </c>
      <c r="B1592" s="5" t="s">
        <v>83</v>
      </c>
      <c r="C1592" s="5" t="s">
        <v>58</v>
      </c>
      <c r="D1592" s="2" t="n">
        <v>20</v>
      </c>
      <c r="E1592" s="5" t="s">
        <v>163</v>
      </c>
      <c r="F1592" s="5" t="s">
        <v>164</v>
      </c>
      <c r="G1592" s="2" t="n">
        <v>1</v>
      </c>
      <c r="H1592" s="7" t="n">
        <v>-0.7187186486</v>
      </c>
      <c r="I1592" s="7" t="n">
        <v>-0.6952696831</v>
      </c>
      <c r="J1592" s="7" t="n">
        <v>0.00660090044</v>
      </c>
      <c r="K1592" s="7" t="n">
        <v>0.6952321494</v>
      </c>
      <c r="L1592" s="7" t="n">
        <v>-0.7187486908</v>
      </c>
      <c r="M1592" s="7" t="n">
        <v>-0.007251060787</v>
      </c>
      <c r="N1592" s="7" t="n">
        <v>0.009785831284</v>
      </c>
      <c r="O1592" s="7" t="n">
        <v>-0.0006223144087</v>
      </c>
      <c r="P1592" s="7" t="n">
        <v>0.999951924</v>
      </c>
      <c r="Q1592" s="7" t="n">
        <v>-11.07874842</v>
      </c>
      <c r="R1592" s="7" t="n">
        <v>-0.8794806511</v>
      </c>
      <c r="S1592" s="7" t="n">
        <v>0.6020934867</v>
      </c>
    </row>
    <row r="1593" customFormat="false" ht="15" hidden="false" customHeight="false" outlineLevel="0" collapsed="false">
      <c r="A1593" s="5" t="s">
        <v>4</v>
      </c>
      <c r="B1593" s="5" t="s">
        <v>83</v>
      </c>
      <c r="C1593" s="5" t="s">
        <v>62</v>
      </c>
      <c r="D1593" s="2" t="n">
        <v>20</v>
      </c>
      <c r="E1593" s="5" t="s">
        <v>163</v>
      </c>
      <c r="F1593" s="5" t="s">
        <v>164</v>
      </c>
      <c r="G1593" s="2" t="n">
        <v>1</v>
      </c>
      <c r="H1593" s="7" t="n">
        <v>-0.7187186486</v>
      </c>
      <c r="I1593" s="7" t="n">
        <v>-0.6952696831</v>
      </c>
      <c r="J1593" s="7" t="n">
        <v>0.00660090044</v>
      </c>
      <c r="K1593" s="7" t="n">
        <v>0.6952321494</v>
      </c>
      <c r="L1593" s="7" t="n">
        <v>-0.7187486908</v>
      </c>
      <c r="M1593" s="7" t="n">
        <v>-0.007251060787</v>
      </c>
      <c r="N1593" s="7" t="n">
        <v>0.009785831284</v>
      </c>
      <c r="O1593" s="7" t="n">
        <v>-0.0006223144087</v>
      </c>
      <c r="P1593" s="7" t="n">
        <v>0.999951924</v>
      </c>
      <c r="Q1593" s="7" t="n">
        <v>-11.07874842</v>
      </c>
      <c r="R1593" s="7" t="n">
        <v>-0.8794806511</v>
      </c>
      <c r="S1593" s="7" t="n">
        <v>0.6020934867</v>
      </c>
    </row>
    <row r="1594" customFormat="false" ht="15" hidden="false" customHeight="false" outlineLevel="0" collapsed="false">
      <c r="A1594" s="5" t="s">
        <v>4</v>
      </c>
      <c r="B1594" s="5" t="s">
        <v>83</v>
      </c>
      <c r="C1594" s="5" t="s">
        <v>58</v>
      </c>
      <c r="D1594" s="2" t="n">
        <v>20</v>
      </c>
      <c r="E1594" s="5" t="s">
        <v>163</v>
      </c>
      <c r="F1594" s="5" t="s">
        <v>165</v>
      </c>
      <c r="G1594" s="2" t="n">
        <v>1</v>
      </c>
      <c r="H1594" s="7" t="n">
        <v>0.9339863988</v>
      </c>
      <c r="I1594" s="7" t="n">
        <v>0.3573082534</v>
      </c>
      <c r="J1594" s="7" t="n">
        <v>0.0004679331483</v>
      </c>
      <c r="K1594" s="7" t="n">
        <v>-0.357308085</v>
      </c>
      <c r="L1594" s="7" t="n">
        <v>0.9339822217</v>
      </c>
      <c r="M1594" s="7" t="n">
        <v>0.002853404671</v>
      </c>
      <c r="N1594" s="7" t="n">
        <v>0.0005825037978</v>
      </c>
      <c r="O1594" s="7" t="n">
        <v>-0.00283223745</v>
      </c>
      <c r="P1594" s="7" t="n">
        <v>0.9999958196</v>
      </c>
      <c r="Q1594" s="7" t="n">
        <v>8.419570031</v>
      </c>
      <c r="R1594" s="7" t="n">
        <v>1.371178442</v>
      </c>
      <c r="S1594" s="7" t="n">
        <v>0.5499858865</v>
      </c>
    </row>
    <row r="1595" customFormat="false" ht="15" hidden="false" customHeight="false" outlineLevel="0" collapsed="false">
      <c r="A1595" s="5" t="s">
        <v>4</v>
      </c>
      <c r="B1595" s="5" t="s">
        <v>83</v>
      </c>
      <c r="C1595" s="5" t="s">
        <v>62</v>
      </c>
      <c r="D1595" s="2" t="n">
        <v>20</v>
      </c>
      <c r="E1595" s="5" t="s">
        <v>163</v>
      </c>
      <c r="F1595" s="5" t="s">
        <v>165</v>
      </c>
      <c r="G1595" s="2" t="n">
        <v>1</v>
      </c>
      <c r="H1595" s="7" t="n">
        <v>0.9339863988</v>
      </c>
      <c r="I1595" s="7" t="n">
        <v>0.3573082534</v>
      </c>
      <c r="J1595" s="7" t="n">
        <v>0.0004679331483</v>
      </c>
      <c r="K1595" s="7" t="n">
        <v>-0.357308085</v>
      </c>
      <c r="L1595" s="7" t="n">
        <v>0.9339822217</v>
      </c>
      <c r="M1595" s="7" t="n">
        <v>0.002853404671</v>
      </c>
      <c r="N1595" s="7" t="n">
        <v>0.0005825037978</v>
      </c>
      <c r="O1595" s="7" t="n">
        <v>-0.00283223745</v>
      </c>
      <c r="P1595" s="7" t="n">
        <v>0.9999958196</v>
      </c>
      <c r="Q1595" s="7" t="n">
        <v>8.419570031</v>
      </c>
      <c r="R1595" s="7" t="n">
        <v>1.371178442</v>
      </c>
      <c r="S1595" s="7" t="n">
        <v>0.5499858865</v>
      </c>
    </row>
    <row r="1596" customFormat="false" ht="15" hidden="false" customHeight="false" outlineLevel="0" collapsed="false">
      <c r="A1596" s="5" t="s">
        <v>4</v>
      </c>
      <c r="B1596" s="5" t="s">
        <v>83</v>
      </c>
      <c r="C1596" s="5" t="s">
        <v>58</v>
      </c>
      <c r="D1596" s="2" t="n">
        <v>20</v>
      </c>
      <c r="E1596" s="5" t="s">
        <v>163</v>
      </c>
      <c r="F1596" s="5" t="s">
        <v>166</v>
      </c>
      <c r="G1596" s="2" t="n">
        <v>1</v>
      </c>
      <c r="H1596" s="7" t="n">
        <v>0.9020484506</v>
      </c>
      <c r="I1596" s="7" t="n">
        <v>0.4313286455</v>
      </c>
      <c r="J1596" s="7" t="n">
        <v>-0.01625399312</v>
      </c>
      <c r="K1596" s="7" t="n">
        <v>-0.4314730391</v>
      </c>
      <c r="L1596" s="7" t="n">
        <v>0.9021016827</v>
      </c>
      <c r="M1596" s="7" t="n">
        <v>-0.006600808982</v>
      </c>
      <c r="N1596" s="7" t="n">
        <v>0.01181563654</v>
      </c>
      <c r="O1596" s="7" t="n">
        <v>0.01296740932</v>
      </c>
      <c r="P1596" s="7" t="n">
        <v>0.9998461067</v>
      </c>
      <c r="Q1596" s="7" t="n">
        <v>22.85456436</v>
      </c>
      <c r="R1596" s="7" t="n">
        <v>6.515589578</v>
      </c>
      <c r="S1596" s="7" t="n">
        <v>1.565783197</v>
      </c>
    </row>
    <row r="1597" customFormat="false" ht="15" hidden="false" customHeight="false" outlineLevel="0" collapsed="false">
      <c r="A1597" s="5" t="s">
        <v>4</v>
      </c>
      <c r="B1597" s="5" t="s">
        <v>83</v>
      </c>
      <c r="C1597" s="5" t="s">
        <v>62</v>
      </c>
      <c r="D1597" s="2" t="n">
        <v>20</v>
      </c>
      <c r="E1597" s="5" t="s">
        <v>163</v>
      </c>
      <c r="F1597" s="5" t="s">
        <v>166</v>
      </c>
      <c r="G1597" s="2" t="n">
        <v>1</v>
      </c>
      <c r="H1597" s="7" t="n">
        <v>0.9020484506</v>
      </c>
      <c r="I1597" s="7" t="n">
        <v>0.4313286455</v>
      </c>
      <c r="J1597" s="7" t="n">
        <v>-0.01625399312</v>
      </c>
      <c r="K1597" s="7" t="n">
        <v>-0.4314730391</v>
      </c>
      <c r="L1597" s="7" t="n">
        <v>0.9021016827</v>
      </c>
      <c r="M1597" s="7" t="n">
        <v>-0.006600808982</v>
      </c>
      <c r="N1597" s="7" t="n">
        <v>0.01181563654</v>
      </c>
      <c r="O1597" s="7" t="n">
        <v>0.01296740932</v>
      </c>
      <c r="P1597" s="7" t="n">
        <v>0.9998461067</v>
      </c>
      <c r="Q1597" s="7" t="n">
        <v>22.85456436</v>
      </c>
      <c r="R1597" s="7" t="n">
        <v>6.515589578</v>
      </c>
      <c r="S1597" s="7" t="n">
        <v>1.565783197</v>
      </c>
    </row>
    <row r="1598" customFormat="false" ht="15" hidden="false" customHeight="false" outlineLevel="0" collapsed="false">
      <c r="A1598" s="5" t="s">
        <v>4</v>
      </c>
      <c r="B1598" s="5" t="s">
        <v>83</v>
      </c>
      <c r="C1598" s="5" t="s">
        <v>58</v>
      </c>
      <c r="D1598" s="2" t="n">
        <v>20</v>
      </c>
      <c r="E1598" s="5" t="s">
        <v>163</v>
      </c>
      <c r="F1598" s="5" t="s">
        <v>167</v>
      </c>
      <c r="G1598" s="2" t="n">
        <v>1</v>
      </c>
      <c r="H1598" s="7" t="n">
        <v>0.2236346592</v>
      </c>
      <c r="I1598" s="7" t="n">
        <v>-0.9746318655</v>
      </c>
      <c r="J1598" s="7" t="n">
        <v>-0.008959130814</v>
      </c>
      <c r="K1598" s="7" t="n">
        <v>0.9746465382</v>
      </c>
      <c r="L1598" s="7" t="n">
        <v>0.2236869171</v>
      </c>
      <c r="M1598" s="7" t="n">
        <v>-0.005318700904</v>
      </c>
      <c r="N1598" s="7" t="n">
        <v>0.007187815736</v>
      </c>
      <c r="O1598" s="7" t="n">
        <v>-0.00754253997</v>
      </c>
      <c r="P1598" s="7" t="n">
        <v>0.9999457212</v>
      </c>
      <c r="Q1598" s="7" t="n">
        <v>-16.50137891</v>
      </c>
      <c r="R1598" s="7" t="n">
        <v>20.48403374</v>
      </c>
      <c r="S1598" s="7" t="n">
        <v>0.8658636708</v>
      </c>
    </row>
    <row r="1599" customFormat="false" ht="15" hidden="false" customHeight="false" outlineLevel="0" collapsed="false">
      <c r="A1599" s="5" t="s">
        <v>4</v>
      </c>
      <c r="B1599" s="5" t="s">
        <v>83</v>
      </c>
      <c r="C1599" s="5" t="s">
        <v>62</v>
      </c>
      <c r="D1599" s="2" t="n">
        <v>20</v>
      </c>
      <c r="E1599" s="5" t="s">
        <v>163</v>
      </c>
      <c r="F1599" s="5" t="s">
        <v>167</v>
      </c>
      <c r="G1599" s="2" t="n">
        <v>1</v>
      </c>
      <c r="H1599" s="7" t="n">
        <v>0.2236346592</v>
      </c>
      <c r="I1599" s="7" t="n">
        <v>-0.9746318655</v>
      </c>
      <c r="J1599" s="7" t="n">
        <v>-0.008959130814</v>
      </c>
      <c r="K1599" s="7" t="n">
        <v>0.9746465382</v>
      </c>
      <c r="L1599" s="7" t="n">
        <v>0.2236869171</v>
      </c>
      <c r="M1599" s="7" t="n">
        <v>-0.005318700904</v>
      </c>
      <c r="N1599" s="7" t="n">
        <v>0.007187815736</v>
      </c>
      <c r="O1599" s="7" t="n">
        <v>-0.00754253997</v>
      </c>
      <c r="P1599" s="7" t="n">
        <v>0.9999457212</v>
      </c>
      <c r="Q1599" s="7" t="n">
        <v>-16.50137891</v>
      </c>
      <c r="R1599" s="7" t="n">
        <v>20.48403374</v>
      </c>
      <c r="S1599" s="7" t="n">
        <v>0.8658636708</v>
      </c>
    </row>
    <row r="1600" customFormat="false" ht="15" hidden="false" customHeight="false" outlineLevel="0" collapsed="false">
      <c r="A1600" s="5" t="s">
        <v>4</v>
      </c>
      <c r="B1600" s="5" t="s">
        <v>83</v>
      </c>
      <c r="C1600" s="5" t="s">
        <v>58</v>
      </c>
      <c r="D1600" s="2" t="n">
        <v>20</v>
      </c>
      <c r="E1600" s="5" t="s">
        <v>163</v>
      </c>
      <c r="F1600" s="5" t="s">
        <v>168</v>
      </c>
      <c r="G1600" s="2" t="n">
        <v>1</v>
      </c>
      <c r="H1600" s="7" t="n">
        <v>0.9887156845</v>
      </c>
      <c r="I1600" s="7" t="n">
        <v>0.1360538697</v>
      </c>
      <c r="J1600" s="7" t="n">
        <v>-0.06269481493</v>
      </c>
      <c r="K1600" s="7" t="n">
        <v>-0.1347910088</v>
      </c>
      <c r="L1600" s="7" t="n">
        <v>0.9905840751</v>
      </c>
      <c r="M1600" s="7" t="n">
        <v>0.02397027721</v>
      </c>
      <c r="N1600" s="7" t="n">
        <v>0.06536573423</v>
      </c>
      <c r="O1600" s="7" t="n">
        <v>-0.01524909168</v>
      </c>
      <c r="P1600" s="7" t="n">
        <v>0.9977448501</v>
      </c>
      <c r="Q1600" s="7" t="n">
        <v>24.81949991</v>
      </c>
      <c r="R1600" s="7" t="n">
        <v>20.12832352</v>
      </c>
      <c r="S1600" s="7" t="n">
        <v>2.785900609</v>
      </c>
    </row>
    <row r="1601" customFormat="false" ht="15" hidden="false" customHeight="false" outlineLevel="0" collapsed="false">
      <c r="A1601" s="5" t="s">
        <v>4</v>
      </c>
      <c r="B1601" s="5" t="s">
        <v>83</v>
      </c>
      <c r="C1601" s="5" t="s">
        <v>62</v>
      </c>
      <c r="D1601" s="2" t="n">
        <v>20</v>
      </c>
      <c r="E1601" s="5" t="s">
        <v>163</v>
      </c>
      <c r="F1601" s="5" t="s">
        <v>168</v>
      </c>
      <c r="G1601" s="2" t="n">
        <v>1</v>
      </c>
      <c r="H1601" s="7" t="n">
        <v>0.9887156845</v>
      </c>
      <c r="I1601" s="7" t="n">
        <v>0.1360538697</v>
      </c>
      <c r="J1601" s="7" t="n">
        <v>-0.06269481493</v>
      </c>
      <c r="K1601" s="7" t="n">
        <v>-0.1347910088</v>
      </c>
      <c r="L1601" s="7" t="n">
        <v>0.9905840751</v>
      </c>
      <c r="M1601" s="7" t="n">
        <v>0.02397027721</v>
      </c>
      <c r="N1601" s="7" t="n">
        <v>0.06536573423</v>
      </c>
      <c r="O1601" s="7" t="n">
        <v>-0.01524909168</v>
      </c>
      <c r="P1601" s="7" t="n">
        <v>0.9977448501</v>
      </c>
      <c r="Q1601" s="7" t="n">
        <v>24.81949991</v>
      </c>
      <c r="R1601" s="7" t="n">
        <v>20.12832352</v>
      </c>
      <c r="S1601" s="7" t="n">
        <v>2.785900609</v>
      </c>
    </row>
    <row r="1602" customFormat="false" ht="15" hidden="false" customHeight="false" outlineLevel="0" collapsed="false">
      <c r="A1602" s="5" t="s">
        <v>4</v>
      </c>
      <c r="B1602" s="5" t="s">
        <v>83</v>
      </c>
      <c r="C1602" s="5" t="s">
        <v>58</v>
      </c>
      <c r="D1602" s="2" t="n">
        <v>11</v>
      </c>
      <c r="E1602" s="5" t="s">
        <v>164</v>
      </c>
      <c r="F1602" s="5" t="s">
        <v>165</v>
      </c>
      <c r="G1602" s="2" t="n">
        <v>1</v>
      </c>
      <c r="H1602" s="7" t="n">
        <v>-0.9188093185</v>
      </c>
      <c r="I1602" s="7" t="n">
        <v>0.3942471622</v>
      </c>
      <c r="J1602" s="7" t="n">
        <v>-0.01893703845</v>
      </c>
      <c r="K1602" s="7" t="n">
        <v>-0.3944897897</v>
      </c>
      <c r="L1602" s="7" t="n">
        <v>-0.9188304444</v>
      </c>
      <c r="M1602" s="7" t="n">
        <v>0.01133226629</v>
      </c>
      <c r="N1602" s="7" t="n">
        <v>-0.01293221363</v>
      </c>
      <c r="O1602" s="7" t="n">
        <v>0.01788266018</v>
      </c>
      <c r="P1602" s="7" t="n">
        <v>0.9997564545</v>
      </c>
      <c r="Q1602" s="7" t="n">
        <v>-1.494543286</v>
      </c>
      <c r="R1602" s="7" t="n">
        <v>-3.748629724</v>
      </c>
      <c r="S1602" s="7" t="n">
        <v>0.1737866</v>
      </c>
    </row>
    <row r="1603" customFormat="false" ht="15" hidden="false" customHeight="false" outlineLevel="0" collapsed="false">
      <c r="A1603" s="5" t="s">
        <v>4</v>
      </c>
      <c r="B1603" s="5" t="s">
        <v>83</v>
      </c>
      <c r="C1603" s="5" t="s">
        <v>62</v>
      </c>
      <c r="D1603" s="2" t="n">
        <v>11</v>
      </c>
      <c r="E1603" s="5" t="s">
        <v>164</v>
      </c>
      <c r="F1603" s="5" t="s">
        <v>165</v>
      </c>
      <c r="G1603" s="2" t="n">
        <v>1</v>
      </c>
      <c r="H1603" s="7" t="n">
        <v>-0.9190526072</v>
      </c>
      <c r="I1603" s="7" t="n">
        <v>0.394133925</v>
      </c>
      <c r="J1603" s="7" t="n">
        <v>0.0008685212262</v>
      </c>
      <c r="K1603" s="7" t="n">
        <v>-0.3941348795</v>
      </c>
      <c r="L1603" s="7" t="n">
        <v>-0.9190501259</v>
      </c>
      <c r="M1603" s="7" t="n">
        <v>-0.002136092304</v>
      </c>
      <c r="N1603" s="7" t="n">
        <v>-4.369190167E-005</v>
      </c>
      <c r="O1603" s="7" t="n">
        <v>-0.00230549571</v>
      </c>
      <c r="P1603" s="7" t="n">
        <v>0.9999973414</v>
      </c>
      <c r="Q1603" s="7" t="n">
        <v>-1.446182254</v>
      </c>
      <c r="R1603" s="7" t="n">
        <v>-3.782109013</v>
      </c>
      <c r="S1603" s="7" t="n">
        <v>0.1516049108</v>
      </c>
    </row>
    <row r="1604" customFormat="false" ht="15" hidden="false" customHeight="false" outlineLevel="0" collapsed="false">
      <c r="A1604" s="5" t="s">
        <v>4</v>
      </c>
      <c r="B1604" s="5" t="s">
        <v>83</v>
      </c>
      <c r="C1604" s="5" t="s">
        <v>58</v>
      </c>
      <c r="D1604" s="2" t="n">
        <v>11</v>
      </c>
      <c r="E1604" s="5" t="s">
        <v>164</v>
      </c>
      <c r="F1604" s="5" t="s">
        <v>166</v>
      </c>
      <c r="G1604" s="2" t="n">
        <v>1</v>
      </c>
      <c r="H1604" s="7" t="n">
        <v>-0.9477023002</v>
      </c>
      <c r="I1604" s="7" t="n">
        <v>0.3190775448</v>
      </c>
      <c r="J1604" s="7" t="n">
        <v>-0.007061911955</v>
      </c>
      <c r="K1604" s="7" t="n">
        <v>-0.3190617992</v>
      </c>
      <c r="L1604" s="7" t="n">
        <v>-0.9477282216</v>
      </c>
      <c r="M1604" s="7" t="n">
        <v>-0.003284241184</v>
      </c>
      <c r="N1604" s="7" t="n">
        <v>-0.007740700871</v>
      </c>
      <c r="O1604" s="7" t="n">
        <v>-0.0008592965897</v>
      </c>
      <c r="P1604" s="7" t="n">
        <v>0.9999696711</v>
      </c>
      <c r="Q1604" s="7" t="n">
        <v>12.61832053</v>
      </c>
      <c r="R1604" s="7" t="n">
        <v>2.171899384</v>
      </c>
      <c r="S1604" s="7" t="n">
        <v>0.883041852</v>
      </c>
    </row>
    <row r="1605" customFormat="false" ht="15" hidden="false" customHeight="false" outlineLevel="0" collapsed="false">
      <c r="A1605" s="5" t="s">
        <v>4</v>
      </c>
      <c r="B1605" s="5" t="s">
        <v>83</v>
      </c>
      <c r="C1605" s="5" t="s">
        <v>62</v>
      </c>
      <c r="D1605" s="2" t="n">
        <v>11</v>
      </c>
      <c r="E1605" s="5" t="s">
        <v>164</v>
      </c>
      <c r="F1605" s="5" t="s">
        <v>166</v>
      </c>
      <c r="G1605" s="2" t="n">
        <v>1</v>
      </c>
      <c r="H1605" s="7" t="n">
        <v>-0.9477023002</v>
      </c>
      <c r="I1605" s="7" t="n">
        <v>0.3190775448</v>
      </c>
      <c r="J1605" s="7" t="n">
        <v>-0.007061911955</v>
      </c>
      <c r="K1605" s="7" t="n">
        <v>-0.3190617992</v>
      </c>
      <c r="L1605" s="7" t="n">
        <v>-0.9477282216</v>
      </c>
      <c r="M1605" s="7" t="n">
        <v>-0.003284241184</v>
      </c>
      <c r="N1605" s="7" t="n">
        <v>-0.007740700871</v>
      </c>
      <c r="O1605" s="7" t="n">
        <v>-0.0008592965897</v>
      </c>
      <c r="P1605" s="7" t="n">
        <v>0.9999696711</v>
      </c>
      <c r="Q1605" s="7" t="n">
        <v>12.61832053</v>
      </c>
      <c r="R1605" s="7" t="n">
        <v>2.171899384</v>
      </c>
      <c r="S1605" s="7" t="n">
        <v>0.883041852</v>
      </c>
    </row>
    <row r="1606" customFormat="false" ht="15" hidden="false" customHeight="false" outlineLevel="0" collapsed="false">
      <c r="A1606" s="5" t="s">
        <v>4</v>
      </c>
      <c r="B1606" s="5" t="s">
        <v>83</v>
      </c>
      <c r="C1606" s="5" t="s">
        <v>58</v>
      </c>
      <c r="D1606" s="2" t="n">
        <v>11</v>
      </c>
      <c r="E1606" s="5" t="s">
        <v>164</v>
      </c>
      <c r="F1606" s="5" t="s">
        <v>167</v>
      </c>
      <c r="G1606" s="2" t="n">
        <v>1</v>
      </c>
      <c r="H1606" s="7" t="n">
        <v>0.5140042859</v>
      </c>
      <c r="I1606" s="7" t="n">
        <v>0.8577818413</v>
      </c>
      <c r="J1606" s="7" t="n">
        <v>0.003147506135</v>
      </c>
      <c r="K1606" s="7" t="n">
        <v>-0.8576937085</v>
      </c>
      <c r="L1606" s="7" t="n">
        <v>0.5139988485</v>
      </c>
      <c r="M1606" s="7" t="n">
        <v>-0.01291069699</v>
      </c>
      <c r="N1606" s="7" t="n">
        <v>-0.01269237597</v>
      </c>
      <c r="O1606" s="7" t="n">
        <v>0.003936557378</v>
      </c>
      <c r="P1606" s="7" t="n">
        <v>0.9999116997</v>
      </c>
      <c r="Q1606" s="7" t="n">
        <v>-10.03868822</v>
      </c>
      <c r="R1606" s="7" t="n">
        <v>11.45511272</v>
      </c>
      <c r="S1606" s="7" t="n">
        <v>0.4731096116</v>
      </c>
    </row>
    <row r="1607" customFormat="false" ht="15" hidden="false" customHeight="false" outlineLevel="0" collapsed="false">
      <c r="A1607" s="5" t="s">
        <v>4</v>
      </c>
      <c r="B1607" s="5" t="s">
        <v>83</v>
      </c>
      <c r="C1607" s="5" t="s">
        <v>62</v>
      </c>
      <c r="D1607" s="2" t="n">
        <v>11</v>
      </c>
      <c r="E1607" s="5" t="s">
        <v>164</v>
      </c>
      <c r="F1607" s="5" t="s">
        <v>167</v>
      </c>
      <c r="G1607" s="2" t="n">
        <v>1</v>
      </c>
      <c r="H1607" s="7" t="n">
        <v>0.5140042859</v>
      </c>
      <c r="I1607" s="7" t="n">
        <v>0.8577818413</v>
      </c>
      <c r="J1607" s="7" t="n">
        <v>0.003147506135</v>
      </c>
      <c r="K1607" s="7" t="n">
        <v>-0.8576937085</v>
      </c>
      <c r="L1607" s="7" t="n">
        <v>0.5139988485</v>
      </c>
      <c r="M1607" s="7" t="n">
        <v>-0.01291069699</v>
      </c>
      <c r="N1607" s="7" t="n">
        <v>-0.01269237597</v>
      </c>
      <c r="O1607" s="7" t="n">
        <v>0.003936557378</v>
      </c>
      <c r="P1607" s="7" t="n">
        <v>0.9999116997</v>
      </c>
      <c r="Q1607" s="7" t="n">
        <v>-10.03868822</v>
      </c>
      <c r="R1607" s="7" t="n">
        <v>11.45511272</v>
      </c>
      <c r="S1607" s="7" t="n">
        <v>0.4731096116</v>
      </c>
    </row>
    <row r="1608" customFormat="false" ht="15" hidden="false" customHeight="false" outlineLevel="0" collapsed="false">
      <c r="A1608" s="5" t="s">
        <v>4</v>
      </c>
      <c r="B1608" s="5" t="s">
        <v>83</v>
      </c>
      <c r="C1608" s="5" t="s">
        <v>58</v>
      </c>
      <c r="D1608" s="2" t="n">
        <v>11</v>
      </c>
      <c r="E1608" s="5" t="s">
        <v>164</v>
      </c>
      <c r="F1608" s="5" t="s">
        <v>168</v>
      </c>
      <c r="G1608" s="2" t="n">
        <v>1</v>
      </c>
      <c r="H1608" s="7" t="n">
        <v>-0.8129453016</v>
      </c>
      <c r="I1608" s="7" t="n">
        <v>0.5821847643</v>
      </c>
      <c r="J1608" s="7" t="n">
        <v>-0.01344755415</v>
      </c>
      <c r="K1608" s="7" t="n">
        <v>-0.5822652765</v>
      </c>
      <c r="L1608" s="7" t="n">
        <v>-0.8129942106</v>
      </c>
      <c r="M1608" s="7" t="n">
        <v>0.002749784282</v>
      </c>
      <c r="N1608" s="7" t="n">
        <v>-0.009331901158</v>
      </c>
      <c r="O1608" s="7" t="n">
        <v>0.01006546805</v>
      </c>
      <c r="P1608" s="7" t="n">
        <v>0.9999057965</v>
      </c>
      <c r="Q1608" s="7" t="n">
        <v>16.6302616</v>
      </c>
      <c r="R1608" s="7" t="n">
        <v>12.66390487</v>
      </c>
      <c r="S1608" s="7" t="n">
        <v>1.506055339</v>
      </c>
    </row>
    <row r="1609" customFormat="false" ht="15" hidden="false" customHeight="false" outlineLevel="0" collapsed="false">
      <c r="A1609" s="5" t="s">
        <v>4</v>
      </c>
      <c r="B1609" s="5" t="s">
        <v>83</v>
      </c>
      <c r="C1609" s="5" t="s">
        <v>62</v>
      </c>
      <c r="D1609" s="2" t="n">
        <v>11</v>
      </c>
      <c r="E1609" s="5" t="s">
        <v>164</v>
      </c>
      <c r="F1609" s="5" t="s">
        <v>168</v>
      </c>
      <c r="G1609" s="2" t="n">
        <v>1</v>
      </c>
      <c r="H1609" s="7" t="n">
        <v>-0.8129453016</v>
      </c>
      <c r="I1609" s="7" t="n">
        <v>0.5821847643</v>
      </c>
      <c r="J1609" s="7" t="n">
        <v>-0.01344755415</v>
      </c>
      <c r="K1609" s="7" t="n">
        <v>-0.5822652765</v>
      </c>
      <c r="L1609" s="7" t="n">
        <v>-0.8129942106</v>
      </c>
      <c r="M1609" s="7" t="n">
        <v>0.002749784282</v>
      </c>
      <c r="N1609" s="7" t="n">
        <v>-0.009331901158</v>
      </c>
      <c r="O1609" s="7" t="n">
        <v>0.01006546805</v>
      </c>
      <c r="P1609" s="7" t="n">
        <v>0.9999057965</v>
      </c>
      <c r="Q1609" s="7" t="n">
        <v>16.6302616</v>
      </c>
      <c r="R1609" s="7" t="n">
        <v>12.66390487</v>
      </c>
      <c r="S1609" s="7" t="n">
        <v>1.506055339</v>
      </c>
    </row>
    <row r="1610" customFormat="false" ht="15" hidden="false" customHeight="false" outlineLevel="0" collapsed="false">
      <c r="A1610" s="5" t="s">
        <v>4</v>
      </c>
      <c r="B1610" s="5" t="s">
        <v>83</v>
      </c>
      <c r="C1610" s="5" t="s">
        <v>58</v>
      </c>
      <c r="D1610" s="2" t="n">
        <v>12</v>
      </c>
      <c r="E1610" s="5" t="s">
        <v>164</v>
      </c>
      <c r="F1610" s="5" t="s">
        <v>165</v>
      </c>
      <c r="G1610" s="2" t="n">
        <v>1</v>
      </c>
      <c r="H1610" s="7" t="n">
        <v>-0.9192565425</v>
      </c>
      <c r="I1610" s="7" t="n">
        <v>0.3933193278</v>
      </c>
      <c r="J1610" s="7" t="n">
        <v>-0.01634978305</v>
      </c>
      <c r="K1610" s="7" t="n">
        <v>-0.3935011498</v>
      </c>
      <c r="L1610" s="7" t="n">
        <v>-0.9192711154</v>
      </c>
      <c r="M1610" s="7" t="n">
        <v>0.009872257345</v>
      </c>
      <c r="N1610" s="7" t="n">
        <v>-0.01114693368</v>
      </c>
      <c r="O1610" s="7" t="n">
        <v>0.01550879559</v>
      </c>
      <c r="P1610" s="7" t="n">
        <v>0.9998175949</v>
      </c>
      <c r="Q1610" s="7" t="n">
        <v>-1.479121622</v>
      </c>
      <c r="R1610" s="7" t="n">
        <v>-3.775563418</v>
      </c>
      <c r="S1610" s="7" t="n">
        <v>0.01559834136</v>
      </c>
    </row>
    <row r="1611" customFormat="false" ht="15" hidden="false" customHeight="false" outlineLevel="0" collapsed="false">
      <c r="A1611" s="5" t="s">
        <v>4</v>
      </c>
      <c r="B1611" s="5" t="s">
        <v>83</v>
      </c>
      <c r="C1611" s="5" t="s">
        <v>62</v>
      </c>
      <c r="D1611" s="2" t="n">
        <v>12</v>
      </c>
      <c r="E1611" s="5" t="s">
        <v>164</v>
      </c>
      <c r="F1611" s="5" t="s">
        <v>165</v>
      </c>
      <c r="G1611" s="2" t="n">
        <v>1</v>
      </c>
      <c r="H1611" s="7" t="n">
        <v>-0.9195357149</v>
      </c>
      <c r="I1611" s="7" t="n">
        <v>0.3930064292</v>
      </c>
      <c r="J1611" s="7" t="n">
        <v>0.0001251064106</v>
      </c>
      <c r="K1611" s="7" t="n">
        <v>-0.3930057087</v>
      </c>
      <c r="L1611" s="7" t="n">
        <v>-0.9195345537</v>
      </c>
      <c r="M1611" s="7" t="n">
        <v>0.001648455503</v>
      </c>
      <c r="N1611" s="7" t="n">
        <v>0.0007628932785</v>
      </c>
      <c r="O1611" s="7" t="n">
        <v>0.001466646176</v>
      </c>
      <c r="P1611" s="7" t="n">
        <v>0.9999986335</v>
      </c>
      <c r="Q1611" s="7" t="n">
        <v>-1.449811468</v>
      </c>
      <c r="R1611" s="7" t="n">
        <v>-3.790662733</v>
      </c>
      <c r="S1611" s="7" t="n">
        <v>0.08253124191</v>
      </c>
    </row>
    <row r="1612" customFormat="false" ht="15" hidden="false" customHeight="false" outlineLevel="0" collapsed="false">
      <c r="A1612" s="5" t="s">
        <v>4</v>
      </c>
      <c r="B1612" s="5" t="s">
        <v>83</v>
      </c>
      <c r="C1612" s="5" t="s">
        <v>58</v>
      </c>
      <c r="D1612" s="2" t="n">
        <v>12</v>
      </c>
      <c r="E1612" s="5" t="s">
        <v>164</v>
      </c>
      <c r="F1612" s="5" t="s">
        <v>166</v>
      </c>
      <c r="G1612" s="2" t="n">
        <v>1</v>
      </c>
      <c r="H1612" s="7" t="n">
        <v>-0.9476885405</v>
      </c>
      <c r="I1612" s="7" t="n">
        <v>0.3191853405</v>
      </c>
      <c r="J1612" s="7" t="n">
        <v>-0.002673682777</v>
      </c>
      <c r="K1612" s="7" t="n">
        <v>-0.3190884322</v>
      </c>
      <c r="L1612" s="7" t="n">
        <v>-0.9475523245</v>
      </c>
      <c r="M1612" s="7" t="n">
        <v>-0.01808769581</v>
      </c>
      <c r="N1612" s="7" t="n">
        <v>-0.008306781677</v>
      </c>
      <c r="O1612" s="7" t="n">
        <v>-0.0162883608</v>
      </c>
      <c r="P1612" s="7" t="n">
        <v>0.9998328294</v>
      </c>
      <c r="Q1612" s="7" t="n">
        <v>12.64322108</v>
      </c>
      <c r="R1612" s="7" t="n">
        <v>2.14909293</v>
      </c>
      <c r="S1612" s="7" t="n">
        <v>0.7994878062</v>
      </c>
    </row>
    <row r="1613" customFormat="false" ht="15" hidden="false" customHeight="false" outlineLevel="0" collapsed="false">
      <c r="A1613" s="5" t="s">
        <v>4</v>
      </c>
      <c r="B1613" s="5" t="s">
        <v>83</v>
      </c>
      <c r="C1613" s="5" t="s">
        <v>62</v>
      </c>
      <c r="D1613" s="2" t="n">
        <v>12</v>
      </c>
      <c r="E1613" s="5" t="s">
        <v>164</v>
      </c>
      <c r="F1613" s="5" t="s">
        <v>166</v>
      </c>
      <c r="G1613" s="2" t="n">
        <v>1</v>
      </c>
      <c r="H1613" s="7" t="n">
        <v>-0.9476885405</v>
      </c>
      <c r="I1613" s="7" t="n">
        <v>0.3191853405</v>
      </c>
      <c r="J1613" s="7" t="n">
        <v>-0.002673682777</v>
      </c>
      <c r="K1613" s="7" t="n">
        <v>-0.3190884322</v>
      </c>
      <c r="L1613" s="7" t="n">
        <v>-0.9475523245</v>
      </c>
      <c r="M1613" s="7" t="n">
        <v>-0.01808769581</v>
      </c>
      <c r="N1613" s="7" t="n">
        <v>-0.008306781677</v>
      </c>
      <c r="O1613" s="7" t="n">
        <v>-0.0162883608</v>
      </c>
      <c r="P1613" s="7" t="n">
        <v>0.9998328294</v>
      </c>
      <c r="Q1613" s="7" t="n">
        <v>12.64322108</v>
      </c>
      <c r="R1613" s="7" t="n">
        <v>2.14909293</v>
      </c>
      <c r="S1613" s="7" t="n">
        <v>0.7994878062</v>
      </c>
    </row>
    <row r="1614" customFormat="false" ht="15" hidden="false" customHeight="false" outlineLevel="0" collapsed="false">
      <c r="A1614" s="5" t="s">
        <v>4</v>
      </c>
      <c r="B1614" s="5" t="s">
        <v>83</v>
      </c>
      <c r="C1614" s="5" t="s">
        <v>58</v>
      </c>
      <c r="D1614" s="2" t="n">
        <v>12</v>
      </c>
      <c r="E1614" s="5" t="s">
        <v>164</v>
      </c>
      <c r="F1614" s="5" t="s">
        <v>167</v>
      </c>
      <c r="G1614" s="2" t="n">
        <v>1</v>
      </c>
      <c r="H1614" s="7" t="n">
        <v>0.5130754336</v>
      </c>
      <c r="I1614" s="7" t="n">
        <v>0.8583234223</v>
      </c>
      <c r="J1614" s="7" t="n">
        <v>-0.005873861197</v>
      </c>
      <c r="K1614" s="7" t="n">
        <v>-0.8577850692</v>
      </c>
      <c r="L1614" s="7" t="n">
        <v>0.5129764264</v>
      </c>
      <c r="M1614" s="7" t="n">
        <v>0.03255704203</v>
      </c>
      <c r="N1614" s="7" t="n">
        <v>0.03095762406</v>
      </c>
      <c r="O1614" s="7" t="n">
        <v>-0.01166570802</v>
      </c>
      <c r="P1614" s="7" t="n">
        <v>0.9994526186</v>
      </c>
      <c r="Q1614" s="7" t="n">
        <v>-10.00799</v>
      </c>
      <c r="R1614" s="7" t="n">
        <v>11.58739818</v>
      </c>
      <c r="S1614" s="7" t="n">
        <v>-0.2347135476</v>
      </c>
    </row>
    <row r="1615" customFormat="false" ht="15" hidden="false" customHeight="false" outlineLevel="0" collapsed="false">
      <c r="A1615" s="5" t="s">
        <v>4</v>
      </c>
      <c r="B1615" s="5" t="s">
        <v>83</v>
      </c>
      <c r="C1615" s="5" t="s">
        <v>62</v>
      </c>
      <c r="D1615" s="2" t="n">
        <v>12</v>
      </c>
      <c r="E1615" s="5" t="s">
        <v>164</v>
      </c>
      <c r="F1615" s="5" t="s">
        <v>167</v>
      </c>
      <c r="G1615" s="2" t="n">
        <v>1</v>
      </c>
      <c r="H1615" s="7" t="n">
        <v>0.5130754336</v>
      </c>
      <c r="I1615" s="7" t="n">
        <v>0.8583234223</v>
      </c>
      <c r="J1615" s="7" t="n">
        <v>-0.005873861197</v>
      </c>
      <c r="K1615" s="7" t="n">
        <v>-0.8577850692</v>
      </c>
      <c r="L1615" s="7" t="n">
        <v>0.5129764264</v>
      </c>
      <c r="M1615" s="7" t="n">
        <v>0.03255704203</v>
      </c>
      <c r="N1615" s="7" t="n">
        <v>0.03095762406</v>
      </c>
      <c r="O1615" s="7" t="n">
        <v>-0.01166570802</v>
      </c>
      <c r="P1615" s="7" t="n">
        <v>0.9994526186</v>
      </c>
      <c r="Q1615" s="7" t="n">
        <v>-10.00799</v>
      </c>
      <c r="R1615" s="7" t="n">
        <v>11.58739818</v>
      </c>
      <c r="S1615" s="7" t="n">
        <v>-0.2347135476</v>
      </c>
    </row>
    <row r="1616" customFormat="false" ht="15" hidden="false" customHeight="false" outlineLevel="0" collapsed="false">
      <c r="A1616" s="5" t="s">
        <v>4</v>
      </c>
      <c r="B1616" s="5" t="s">
        <v>83</v>
      </c>
      <c r="C1616" s="5" t="s">
        <v>58</v>
      </c>
      <c r="D1616" s="2" t="n">
        <v>12</v>
      </c>
      <c r="E1616" s="5" t="s">
        <v>164</v>
      </c>
      <c r="F1616" s="5" t="s">
        <v>168</v>
      </c>
      <c r="G1616" s="2" t="n">
        <v>1</v>
      </c>
      <c r="H1616" s="7" t="n">
        <v>-0.8118119438</v>
      </c>
      <c r="I1616" s="7" t="n">
        <v>0.5834297159</v>
      </c>
      <c r="J1616" s="7" t="n">
        <v>-0.02389842031</v>
      </c>
      <c r="K1616" s="7" t="n">
        <v>-0.5835603858</v>
      </c>
      <c r="L1616" s="7" t="n">
        <v>-0.8120677401</v>
      </c>
      <c r="M1616" s="7" t="n">
        <v>-0.001805968345</v>
      </c>
      <c r="N1616" s="7" t="n">
        <v>-0.02046079177</v>
      </c>
      <c r="O1616" s="7" t="n">
        <v>0.0124800647</v>
      </c>
      <c r="P1616" s="7" t="n">
        <v>0.9997127607</v>
      </c>
      <c r="Q1616" s="7" t="n">
        <v>16.58958627</v>
      </c>
      <c r="R1616" s="7" t="n">
        <v>12.67491877</v>
      </c>
      <c r="S1616" s="7" t="n">
        <v>1.44996679</v>
      </c>
    </row>
    <row r="1617" customFormat="false" ht="15" hidden="false" customHeight="false" outlineLevel="0" collapsed="false">
      <c r="A1617" s="5" t="s">
        <v>4</v>
      </c>
      <c r="B1617" s="5" t="s">
        <v>83</v>
      </c>
      <c r="C1617" s="5" t="s">
        <v>62</v>
      </c>
      <c r="D1617" s="2" t="n">
        <v>12</v>
      </c>
      <c r="E1617" s="5" t="s">
        <v>164</v>
      </c>
      <c r="F1617" s="5" t="s">
        <v>168</v>
      </c>
      <c r="G1617" s="2" t="n">
        <v>1</v>
      </c>
      <c r="H1617" s="7" t="n">
        <v>-0.8126421032</v>
      </c>
      <c r="I1617" s="7" t="n">
        <v>0.5825524649</v>
      </c>
      <c r="J1617" s="7" t="n">
        <v>-0.01566645235</v>
      </c>
      <c r="K1617" s="7" t="n">
        <v>-0.582633931</v>
      </c>
      <c r="L1617" s="7" t="n">
        <v>-0.8127343154</v>
      </c>
      <c r="M1617" s="7" t="n">
        <v>0.0007968904809</v>
      </c>
      <c r="N1617" s="7" t="n">
        <v>-0.01226843291</v>
      </c>
      <c r="O1617" s="7" t="n">
        <v>0.009775393476</v>
      </c>
      <c r="P1617" s="7" t="n">
        <v>0.999876956</v>
      </c>
      <c r="Q1617" s="7" t="n">
        <v>16.63797274</v>
      </c>
      <c r="R1617" s="7" t="n">
        <v>12.66967263</v>
      </c>
      <c r="S1617" s="7" t="n">
        <v>1.464963868</v>
      </c>
    </row>
    <row r="1618" customFormat="false" ht="15" hidden="false" customHeight="false" outlineLevel="0" collapsed="false">
      <c r="A1618" s="5" t="s">
        <v>4</v>
      </c>
      <c r="B1618" s="5" t="s">
        <v>83</v>
      </c>
      <c r="C1618" s="5" t="s">
        <v>58</v>
      </c>
      <c r="D1618" s="2" t="n">
        <v>13</v>
      </c>
      <c r="E1618" s="5" t="s">
        <v>164</v>
      </c>
      <c r="F1618" s="5" t="s">
        <v>165</v>
      </c>
      <c r="G1618" s="2" t="n">
        <v>1</v>
      </c>
      <c r="H1618" s="7" t="n">
        <v>-0.9198669359</v>
      </c>
      <c r="I1618" s="7" t="n">
        <v>0.3922287622</v>
      </c>
      <c r="J1618" s="7" t="n">
        <v>-0.001190896358</v>
      </c>
      <c r="K1618" s="7" t="n">
        <v>-0.3922302137</v>
      </c>
      <c r="L1618" s="7" t="n">
        <v>-0.9198577671</v>
      </c>
      <c r="M1618" s="7" t="n">
        <v>0.004140988208</v>
      </c>
      <c r="N1618" s="7" t="n">
        <v>0.0005287594148</v>
      </c>
      <c r="O1618" s="7" t="n">
        <v>0.004276263668</v>
      </c>
      <c r="P1618" s="7" t="n">
        <v>0.9999907169</v>
      </c>
      <c r="Q1618" s="7" t="n">
        <v>-1.434873539</v>
      </c>
      <c r="R1618" s="7" t="n">
        <v>-3.786679365</v>
      </c>
      <c r="S1618" s="7" t="n">
        <v>0.09434379082</v>
      </c>
    </row>
    <row r="1619" customFormat="false" ht="15" hidden="false" customHeight="false" outlineLevel="0" collapsed="false">
      <c r="A1619" s="5" t="s">
        <v>4</v>
      </c>
      <c r="B1619" s="5" t="s">
        <v>83</v>
      </c>
      <c r="C1619" s="5" t="s">
        <v>62</v>
      </c>
      <c r="D1619" s="2" t="n">
        <v>13</v>
      </c>
      <c r="E1619" s="5" t="s">
        <v>164</v>
      </c>
      <c r="F1619" s="5" t="s">
        <v>165</v>
      </c>
      <c r="G1619" s="2" t="n">
        <v>1</v>
      </c>
      <c r="H1619" s="7" t="n">
        <v>-0.9195832494</v>
      </c>
      <c r="I1619" s="7" t="n">
        <v>0.3928946733</v>
      </c>
      <c r="J1619" s="7" t="n">
        <v>0.000650480724</v>
      </c>
      <c r="K1619" s="7" t="n">
        <v>-0.3928933141</v>
      </c>
      <c r="L1619" s="7" t="n">
        <v>-0.9195724019</v>
      </c>
      <c r="M1619" s="7" t="n">
        <v>-0.004630496321</v>
      </c>
      <c r="N1619" s="7" t="n">
        <v>-0.001221133217</v>
      </c>
      <c r="O1619" s="7" t="n">
        <v>-0.004513696381</v>
      </c>
      <c r="P1619" s="7" t="n">
        <v>0.9999890676</v>
      </c>
      <c r="Q1619" s="7" t="n">
        <v>-1.43159331</v>
      </c>
      <c r="R1619" s="7" t="n">
        <v>-3.802564976</v>
      </c>
      <c r="S1619" s="7" t="n">
        <v>0.1095784123</v>
      </c>
    </row>
    <row r="1620" customFormat="false" ht="15" hidden="false" customHeight="false" outlineLevel="0" collapsed="false">
      <c r="A1620" s="5" t="s">
        <v>4</v>
      </c>
      <c r="B1620" s="5" t="s">
        <v>83</v>
      </c>
      <c r="C1620" s="5" t="s">
        <v>58</v>
      </c>
      <c r="D1620" s="2" t="n">
        <v>13</v>
      </c>
      <c r="E1620" s="5" t="s">
        <v>164</v>
      </c>
      <c r="F1620" s="5" t="s">
        <v>166</v>
      </c>
      <c r="G1620" s="2" t="n">
        <v>1</v>
      </c>
      <c r="H1620" s="7" t="n">
        <v>-0.948423047</v>
      </c>
      <c r="I1620" s="7" t="n">
        <v>0.3168461341</v>
      </c>
      <c r="J1620" s="7" t="n">
        <v>-0.0101119336</v>
      </c>
      <c r="K1620" s="7" t="n">
        <v>-0.3168221617</v>
      </c>
      <c r="L1620" s="7" t="n">
        <v>-0.9484768053</v>
      </c>
      <c r="M1620" s="7" t="n">
        <v>-0.003932889059</v>
      </c>
      <c r="N1620" s="7" t="n">
        <v>-0.01083705518</v>
      </c>
      <c r="O1620" s="7" t="n">
        <v>-0.000526357962</v>
      </c>
      <c r="P1620" s="7" t="n">
        <v>0.9999411389</v>
      </c>
      <c r="Q1620" s="7" t="n">
        <v>12.61440529</v>
      </c>
      <c r="R1620" s="7" t="n">
        <v>2.166914748</v>
      </c>
      <c r="S1620" s="7" t="n">
        <v>0.8458780969</v>
      </c>
    </row>
    <row r="1621" customFormat="false" ht="15" hidden="false" customHeight="false" outlineLevel="0" collapsed="false">
      <c r="A1621" s="5" t="s">
        <v>4</v>
      </c>
      <c r="B1621" s="5" t="s">
        <v>83</v>
      </c>
      <c r="C1621" s="5" t="s">
        <v>62</v>
      </c>
      <c r="D1621" s="2" t="n">
        <v>13</v>
      </c>
      <c r="E1621" s="5" t="s">
        <v>164</v>
      </c>
      <c r="F1621" s="5" t="s">
        <v>166</v>
      </c>
      <c r="G1621" s="2" t="n">
        <v>1</v>
      </c>
      <c r="H1621" s="7" t="n">
        <v>-0.948423047</v>
      </c>
      <c r="I1621" s="7" t="n">
        <v>0.3168461341</v>
      </c>
      <c r="J1621" s="7" t="n">
        <v>-0.0101119336</v>
      </c>
      <c r="K1621" s="7" t="n">
        <v>-0.3168221617</v>
      </c>
      <c r="L1621" s="7" t="n">
        <v>-0.9484768053</v>
      </c>
      <c r="M1621" s="7" t="n">
        <v>-0.003932889059</v>
      </c>
      <c r="N1621" s="7" t="n">
        <v>-0.01083705518</v>
      </c>
      <c r="O1621" s="7" t="n">
        <v>-0.000526357962</v>
      </c>
      <c r="P1621" s="7" t="n">
        <v>0.9999411389</v>
      </c>
      <c r="Q1621" s="7" t="n">
        <v>12.61440529</v>
      </c>
      <c r="R1621" s="7" t="n">
        <v>2.166914748</v>
      </c>
      <c r="S1621" s="7" t="n">
        <v>0.8458780969</v>
      </c>
    </row>
    <row r="1622" customFormat="false" ht="15" hidden="false" customHeight="false" outlineLevel="0" collapsed="false">
      <c r="A1622" s="5" t="s">
        <v>4</v>
      </c>
      <c r="B1622" s="5" t="s">
        <v>83</v>
      </c>
      <c r="C1622" s="5" t="s">
        <v>58</v>
      </c>
      <c r="D1622" s="2" t="n">
        <v>13</v>
      </c>
      <c r="E1622" s="5" t="s">
        <v>164</v>
      </c>
      <c r="F1622" s="5" t="s">
        <v>167</v>
      </c>
      <c r="G1622" s="2" t="n">
        <v>1</v>
      </c>
      <c r="H1622" s="7" t="n">
        <v>0.5147626995</v>
      </c>
      <c r="I1622" s="7" t="n">
        <v>0.8573136858</v>
      </c>
      <c r="J1622" s="7" t="n">
        <v>0.005710280128</v>
      </c>
      <c r="K1622" s="7" t="n">
        <v>-0.8572577629</v>
      </c>
      <c r="L1622" s="7" t="n">
        <v>0.51479435</v>
      </c>
      <c r="M1622" s="7" t="n">
        <v>-0.009793114558</v>
      </c>
      <c r="N1622" s="7" t="n">
        <v>-0.01133539108</v>
      </c>
      <c r="O1622" s="7" t="n">
        <v>0.0001459481181</v>
      </c>
      <c r="P1622" s="7" t="n">
        <v>0.9999357417</v>
      </c>
      <c r="Q1622" s="7" t="n">
        <v>-10.03938697</v>
      </c>
      <c r="R1622" s="7" t="n">
        <v>11.46319745</v>
      </c>
      <c r="S1622" s="7" t="n">
        <v>0.4891099381</v>
      </c>
    </row>
    <row r="1623" customFormat="false" ht="15" hidden="false" customHeight="false" outlineLevel="0" collapsed="false">
      <c r="A1623" s="5" t="s">
        <v>4</v>
      </c>
      <c r="B1623" s="5" t="s">
        <v>83</v>
      </c>
      <c r="C1623" s="5" t="s">
        <v>62</v>
      </c>
      <c r="D1623" s="2" t="n">
        <v>13</v>
      </c>
      <c r="E1623" s="5" t="s">
        <v>164</v>
      </c>
      <c r="F1623" s="5" t="s">
        <v>167</v>
      </c>
      <c r="G1623" s="2" t="n">
        <v>1</v>
      </c>
      <c r="H1623" s="7" t="n">
        <v>0.5147626995</v>
      </c>
      <c r="I1623" s="7" t="n">
        <v>0.8573136858</v>
      </c>
      <c r="J1623" s="7" t="n">
        <v>0.005710280128</v>
      </c>
      <c r="K1623" s="7" t="n">
        <v>-0.8572577629</v>
      </c>
      <c r="L1623" s="7" t="n">
        <v>0.51479435</v>
      </c>
      <c r="M1623" s="7" t="n">
        <v>-0.009793114558</v>
      </c>
      <c r="N1623" s="7" t="n">
        <v>-0.01133539108</v>
      </c>
      <c r="O1623" s="7" t="n">
        <v>0.0001459481181</v>
      </c>
      <c r="P1623" s="7" t="n">
        <v>0.9999357417</v>
      </c>
      <c r="Q1623" s="7" t="n">
        <v>-10.03938697</v>
      </c>
      <c r="R1623" s="7" t="n">
        <v>11.46319745</v>
      </c>
      <c r="S1623" s="7" t="n">
        <v>0.4891099381</v>
      </c>
    </row>
    <row r="1624" customFormat="false" ht="15" hidden="false" customHeight="false" outlineLevel="0" collapsed="false">
      <c r="A1624" s="5" t="s">
        <v>4</v>
      </c>
      <c r="B1624" s="5" t="s">
        <v>83</v>
      </c>
      <c r="C1624" s="5" t="s">
        <v>58</v>
      </c>
      <c r="D1624" s="2" t="n">
        <v>13</v>
      </c>
      <c r="E1624" s="5" t="s">
        <v>164</v>
      </c>
      <c r="F1624" s="5" t="s">
        <v>168</v>
      </c>
      <c r="G1624" s="2" t="n">
        <v>1</v>
      </c>
      <c r="H1624" s="7" t="n">
        <v>-0.8133199313</v>
      </c>
      <c r="I1624" s="7" t="n">
        <v>0.5816870186</v>
      </c>
      <c r="J1624" s="7" t="n">
        <v>-0.01228420824</v>
      </c>
      <c r="K1624" s="7" t="n">
        <v>-0.581709452</v>
      </c>
      <c r="L1624" s="7" t="n">
        <v>-0.8133941241</v>
      </c>
      <c r="M1624" s="7" t="n">
        <v>-0.002027922108</v>
      </c>
      <c r="N1624" s="7" t="n">
        <v>-0.01117151877</v>
      </c>
      <c r="O1624" s="7" t="n">
        <v>0.005496490573</v>
      </c>
      <c r="P1624" s="7" t="n">
        <v>0.9999224899</v>
      </c>
      <c r="Q1624" s="7" t="n">
        <v>16.63647444</v>
      </c>
      <c r="R1624" s="7" t="n">
        <v>12.64682598</v>
      </c>
      <c r="S1624" s="7" t="n">
        <v>1.537110772</v>
      </c>
    </row>
    <row r="1625" customFormat="false" ht="15" hidden="false" customHeight="false" outlineLevel="0" collapsed="false">
      <c r="A1625" s="5" t="s">
        <v>4</v>
      </c>
      <c r="B1625" s="5" t="s">
        <v>83</v>
      </c>
      <c r="C1625" s="5" t="s">
        <v>62</v>
      </c>
      <c r="D1625" s="2" t="n">
        <v>13</v>
      </c>
      <c r="E1625" s="5" t="s">
        <v>164</v>
      </c>
      <c r="F1625" s="5" t="s">
        <v>168</v>
      </c>
      <c r="G1625" s="2" t="n">
        <v>1</v>
      </c>
      <c r="H1625" s="7" t="n">
        <v>-0.8133199313</v>
      </c>
      <c r="I1625" s="7" t="n">
        <v>0.5816870186</v>
      </c>
      <c r="J1625" s="7" t="n">
        <v>-0.01228420824</v>
      </c>
      <c r="K1625" s="7" t="n">
        <v>-0.581709452</v>
      </c>
      <c r="L1625" s="7" t="n">
        <v>-0.8133941241</v>
      </c>
      <c r="M1625" s="7" t="n">
        <v>-0.002027922108</v>
      </c>
      <c r="N1625" s="7" t="n">
        <v>-0.01117151877</v>
      </c>
      <c r="O1625" s="7" t="n">
        <v>0.005496490573</v>
      </c>
      <c r="P1625" s="7" t="n">
        <v>0.9999224899</v>
      </c>
      <c r="Q1625" s="7" t="n">
        <v>16.63647444</v>
      </c>
      <c r="R1625" s="7" t="n">
        <v>12.64682598</v>
      </c>
      <c r="S1625" s="7" t="n">
        <v>1.537110772</v>
      </c>
    </row>
    <row r="1626" customFormat="false" ht="15" hidden="false" customHeight="false" outlineLevel="0" collapsed="false">
      <c r="A1626" s="5" t="s">
        <v>4</v>
      </c>
      <c r="B1626" s="5" t="s">
        <v>83</v>
      </c>
      <c r="C1626" s="5" t="s">
        <v>58</v>
      </c>
      <c r="D1626" s="2" t="n">
        <v>14</v>
      </c>
      <c r="E1626" s="5" t="s">
        <v>164</v>
      </c>
      <c r="F1626" s="5" t="s">
        <v>165</v>
      </c>
      <c r="G1626" s="2" t="n">
        <v>1</v>
      </c>
      <c r="H1626" s="7" t="n">
        <v>-0.9187632496</v>
      </c>
      <c r="I1626" s="7" t="n">
        <v>0.3941506557</v>
      </c>
      <c r="J1626" s="7" t="n">
        <v>-0.02278929085</v>
      </c>
      <c r="K1626" s="7" t="n">
        <v>-0.3944482404</v>
      </c>
      <c r="L1626" s="7" t="n">
        <v>-0.918860204</v>
      </c>
      <c r="M1626" s="7" t="n">
        <v>0.01032042947</v>
      </c>
      <c r="N1626" s="7" t="n">
        <v>-0.01687236839</v>
      </c>
      <c r="O1626" s="7" t="n">
        <v>0.01847122699</v>
      </c>
      <c r="P1626" s="7" t="n">
        <v>0.9996870195</v>
      </c>
      <c r="Q1626" s="7" t="n">
        <v>-1.478159769</v>
      </c>
      <c r="R1626" s="7" t="n">
        <v>-3.764578043</v>
      </c>
      <c r="S1626" s="7" t="n">
        <v>0.008598616948</v>
      </c>
    </row>
    <row r="1627" customFormat="false" ht="15" hidden="false" customHeight="false" outlineLevel="0" collapsed="false">
      <c r="A1627" s="5" t="s">
        <v>4</v>
      </c>
      <c r="B1627" s="5" t="s">
        <v>83</v>
      </c>
      <c r="C1627" s="5" t="s">
        <v>62</v>
      </c>
      <c r="D1627" s="2" t="n">
        <v>14</v>
      </c>
      <c r="E1627" s="5" t="s">
        <v>164</v>
      </c>
      <c r="F1627" s="5" t="s">
        <v>165</v>
      </c>
      <c r="G1627" s="2" t="n">
        <v>1</v>
      </c>
      <c r="H1627" s="7" t="n">
        <v>-0.9192411438</v>
      </c>
      <c r="I1627" s="7" t="n">
        <v>0.3936913931</v>
      </c>
      <c r="J1627" s="7" t="n">
        <v>0.001675278624</v>
      </c>
      <c r="K1627" s="7" t="n">
        <v>-0.393693735</v>
      </c>
      <c r="L1627" s="7" t="n">
        <v>-0.9192405711</v>
      </c>
      <c r="M1627" s="7" t="n">
        <v>-0.001419641875</v>
      </c>
      <c r="N1627" s="7" t="n">
        <v>0.0009810832922</v>
      </c>
      <c r="O1627" s="7" t="n">
        <v>-0.00196453992</v>
      </c>
      <c r="P1627" s="7" t="n">
        <v>0.999997589</v>
      </c>
      <c r="Q1627" s="7" t="n">
        <v>-1.444115943</v>
      </c>
      <c r="R1627" s="7" t="n">
        <v>-3.783341798</v>
      </c>
      <c r="S1627" s="7" t="n">
        <v>0.1190636128</v>
      </c>
    </row>
    <row r="1628" customFormat="false" ht="15" hidden="false" customHeight="false" outlineLevel="0" collapsed="false">
      <c r="A1628" s="5" t="s">
        <v>4</v>
      </c>
      <c r="B1628" s="5" t="s">
        <v>83</v>
      </c>
      <c r="C1628" s="5" t="s">
        <v>58</v>
      </c>
      <c r="D1628" s="2" t="n">
        <v>14</v>
      </c>
      <c r="E1628" s="5" t="s">
        <v>164</v>
      </c>
      <c r="F1628" s="5" t="s">
        <v>166</v>
      </c>
      <c r="G1628" s="2" t="n">
        <v>1</v>
      </c>
      <c r="H1628" s="7" t="n">
        <v>-0.9477011744</v>
      </c>
      <c r="I1628" s="7" t="n">
        <v>0.3191337797</v>
      </c>
      <c r="J1628" s="7" t="n">
        <v>-0.004014313366</v>
      </c>
      <c r="K1628" s="7" t="n">
        <v>-0.3190409534</v>
      </c>
      <c r="L1628" s="7" t="n">
        <v>-0.9476177316</v>
      </c>
      <c r="M1628" s="7" t="n">
        <v>-0.01528086735</v>
      </c>
      <c r="N1628" s="7" t="n">
        <v>-0.008680675481</v>
      </c>
      <c r="O1628" s="7" t="n">
        <v>-0.01320096557</v>
      </c>
      <c r="P1628" s="7" t="n">
        <v>0.9998751824</v>
      </c>
      <c r="Q1628" s="7" t="n">
        <v>12.6397028</v>
      </c>
      <c r="R1628" s="7" t="n">
        <v>2.157421164</v>
      </c>
      <c r="S1628" s="7" t="n">
        <v>0.8145956209</v>
      </c>
    </row>
    <row r="1629" customFormat="false" ht="15" hidden="false" customHeight="false" outlineLevel="0" collapsed="false">
      <c r="A1629" s="5" t="s">
        <v>4</v>
      </c>
      <c r="B1629" s="5" t="s">
        <v>83</v>
      </c>
      <c r="C1629" s="5" t="s">
        <v>62</v>
      </c>
      <c r="D1629" s="2" t="n">
        <v>14</v>
      </c>
      <c r="E1629" s="5" t="s">
        <v>164</v>
      </c>
      <c r="F1629" s="5" t="s">
        <v>166</v>
      </c>
      <c r="G1629" s="2" t="n">
        <v>1</v>
      </c>
      <c r="H1629" s="7" t="n">
        <v>-0.9477011744</v>
      </c>
      <c r="I1629" s="7" t="n">
        <v>0.3191337797</v>
      </c>
      <c r="J1629" s="7" t="n">
        <v>-0.004014313366</v>
      </c>
      <c r="K1629" s="7" t="n">
        <v>-0.3190409534</v>
      </c>
      <c r="L1629" s="7" t="n">
        <v>-0.9476177316</v>
      </c>
      <c r="M1629" s="7" t="n">
        <v>-0.01528086735</v>
      </c>
      <c r="N1629" s="7" t="n">
        <v>-0.008680675481</v>
      </c>
      <c r="O1629" s="7" t="n">
        <v>-0.01320096557</v>
      </c>
      <c r="P1629" s="7" t="n">
        <v>0.9998751824</v>
      </c>
      <c r="Q1629" s="7" t="n">
        <v>12.6397028</v>
      </c>
      <c r="R1629" s="7" t="n">
        <v>2.157421164</v>
      </c>
      <c r="S1629" s="7" t="n">
        <v>0.8145956209</v>
      </c>
    </row>
    <row r="1630" customFormat="false" ht="15" hidden="false" customHeight="false" outlineLevel="0" collapsed="false">
      <c r="A1630" s="5" t="s">
        <v>4</v>
      </c>
      <c r="B1630" s="5" t="s">
        <v>83</v>
      </c>
      <c r="C1630" s="5" t="s">
        <v>58</v>
      </c>
      <c r="D1630" s="2" t="n">
        <v>14</v>
      </c>
      <c r="E1630" s="5" t="s">
        <v>164</v>
      </c>
      <c r="F1630" s="5" t="s">
        <v>167</v>
      </c>
      <c r="G1630" s="2" t="n">
        <v>1</v>
      </c>
      <c r="H1630" s="7" t="n">
        <v>0.5193939413</v>
      </c>
      <c r="I1630" s="7" t="n">
        <v>0.8544880744</v>
      </c>
      <c r="J1630" s="7" t="n">
        <v>0.008947876934</v>
      </c>
      <c r="K1630" s="7" t="n">
        <v>-0.8544888962</v>
      </c>
      <c r="L1630" s="7" t="n">
        <v>0.5194461699</v>
      </c>
      <c r="M1630" s="7" t="n">
        <v>-0.004939920633</v>
      </c>
      <c r="N1630" s="7" t="n">
        <v>-0.008869043671</v>
      </c>
      <c r="O1630" s="7" t="n">
        <v>-0.005080096637</v>
      </c>
      <c r="P1630" s="7" t="n">
        <v>0.999947765</v>
      </c>
      <c r="Q1630" s="7" t="n">
        <v>-10.01135894</v>
      </c>
      <c r="R1630" s="7" t="n">
        <v>11.41495932</v>
      </c>
      <c r="S1630" s="7" t="n">
        <v>0.4972379073</v>
      </c>
    </row>
    <row r="1631" customFormat="false" ht="15" hidden="false" customHeight="false" outlineLevel="0" collapsed="false">
      <c r="A1631" s="5" t="s">
        <v>4</v>
      </c>
      <c r="B1631" s="5" t="s">
        <v>83</v>
      </c>
      <c r="C1631" s="5" t="s">
        <v>62</v>
      </c>
      <c r="D1631" s="2" t="n">
        <v>14</v>
      </c>
      <c r="E1631" s="5" t="s">
        <v>164</v>
      </c>
      <c r="F1631" s="5" t="s">
        <v>167</v>
      </c>
      <c r="G1631" s="2" t="n">
        <v>1</v>
      </c>
      <c r="H1631" s="7" t="n">
        <v>0.5193939413</v>
      </c>
      <c r="I1631" s="7" t="n">
        <v>0.8544880744</v>
      </c>
      <c r="J1631" s="7" t="n">
        <v>0.008947876934</v>
      </c>
      <c r="K1631" s="7" t="n">
        <v>-0.8544888962</v>
      </c>
      <c r="L1631" s="7" t="n">
        <v>0.5194461699</v>
      </c>
      <c r="M1631" s="7" t="n">
        <v>-0.004939920633</v>
      </c>
      <c r="N1631" s="7" t="n">
        <v>-0.008869043671</v>
      </c>
      <c r="O1631" s="7" t="n">
        <v>-0.005080096637</v>
      </c>
      <c r="P1631" s="7" t="n">
        <v>0.999947765</v>
      </c>
      <c r="Q1631" s="7" t="n">
        <v>-10.01135894</v>
      </c>
      <c r="R1631" s="7" t="n">
        <v>11.41495932</v>
      </c>
      <c r="S1631" s="7" t="n">
        <v>0.4972379073</v>
      </c>
    </row>
    <row r="1632" customFormat="false" ht="15" hidden="false" customHeight="false" outlineLevel="0" collapsed="false">
      <c r="A1632" s="5" t="s">
        <v>4</v>
      </c>
      <c r="B1632" s="5" t="s">
        <v>83</v>
      </c>
      <c r="C1632" s="5" t="s">
        <v>58</v>
      </c>
      <c r="D1632" s="2" t="n">
        <v>14</v>
      </c>
      <c r="E1632" s="5" t="s">
        <v>164</v>
      </c>
      <c r="F1632" s="5" t="s">
        <v>168</v>
      </c>
      <c r="G1632" s="2" t="n">
        <v>1</v>
      </c>
      <c r="H1632" s="7" t="n">
        <v>-0.8112397069</v>
      </c>
      <c r="I1632" s="7" t="n">
        <v>0.5837585661</v>
      </c>
      <c r="J1632" s="7" t="n">
        <v>-0.03340769965</v>
      </c>
      <c r="K1632" s="7" t="n">
        <v>-0.5842030602</v>
      </c>
      <c r="L1632" s="7" t="n">
        <v>-0.8115945317</v>
      </c>
      <c r="M1632" s="7" t="n">
        <v>0.004593529522</v>
      </c>
      <c r="N1632" s="7" t="n">
        <v>-0.02443199414</v>
      </c>
      <c r="O1632" s="7" t="n">
        <v>0.02324333391</v>
      </c>
      <c r="P1632" s="7" t="n">
        <v>0.9994312508</v>
      </c>
      <c r="Q1632" s="7" t="n">
        <v>16.57231793</v>
      </c>
      <c r="R1632" s="7" t="n">
        <v>12.65957305</v>
      </c>
      <c r="S1632" s="7" t="n">
        <v>1.452782916</v>
      </c>
    </row>
    <row r="1633" customFormat="false" ht="15" hidden="false" customHeight="false" outlineLevel="0" collapsed="false">
      <c r="A1633" s="5" t="s">
        <v>4</v>
      </c>
      <c r="B1633" s="5" t="s">
        <v>83</v>
      </c>
      <c r="C1633" s="5" t="s">
        <v>62</v>
      </c>
      <c r="D1633" s="2" t="n">
        <v>14</v>
      </c>
      <c r="E1633" s="5" t="s">
        <v>164</v>
      </c>
      <c r="F1633" s="5" t="s">
        <v>168</v>
      </c>
      <c r="G1633" s="2" t="n">
        <v>1</v>
      </c>
      <c r="H1633" s="7" t="n">
        <v>-0.8121028376</v>
      </c>
      <c r="I1633" s="7" t="n">
        <v>0.5833950567</v>
      </c>
      <c r="J1633" s="7" t="n">
        <v>-0.01179783567</v>
      </c>
      <c r="K1633" s="7" t="n">
        <v>-0.5834323981</v>
      </c>
      <c r="L1633" s="7" t="n">
        <v>-0.8121616361</v>
      </c>
      <c r="M1633" s="7" t="n">
        <v>-0.0003371524407</v>
      </c>
      <c r="N1633" s="7" t="n">
        <v>-0.009778442584</v>
      </c>
      <c r="O1633" s="7" t="n">
        <v>0.006609437102</v>
      </c>
      <c r="P1633" s="7" t="n">
        <v>0.9999303463</v>
      </c>
      <c r="Q1633" s="7" t="n">
        <v>16.63047056</v>
      </c>
      <c r="R1633" s="7" t="n">
        <v>12.63737208</v>
      </c>
      <c r="S1633" s="7" t="n">
        <v>1.472891237</v>
      </c>
    </row>
    <row r="1634" customFormat="false" ht="15" hidden="false" customHeight="false" outlineLevel="0" collapsed="false">
      <c r="A1634" s="5" t="s">
        <v>4</v>
      </c>
      <c r="B1634" s="5" t="s">
        <v>83</v>
      </c>
      <c r="C1634" s="5" t="s">
        <v>58</v>
      </c>
      <c r="D1634" s="2" t="n">
        <v>15</v>
      </c>
      <c r="E1634" s="5" t="s">
        <v>164</v>
      </c>
      <c r="F1634" s="5" t="s">
        <v>165</v>
      </c>
      <c r="G1634" s="2" t="n">
        <v>1</v>
      </c>
      <c r="H1634" s="7" t="n">
        <v>-0.9192790845</v>
      </c>
      <c r="I1634" s="7" t="n">
        <v>0.3934451894</v>
      </c>
      <c r="J1634" s="7" t="n">
        <v>-0.0112626723</v>
      </c>
      <c r="K1634" s="7" t="n">
        <v>-0.3935500051</v>
      </c>
      <c r="L1634" s="7" t="n">
        <v>-0.9192552896</v>
      </c>
      <c r="M1634" s="7" t="n">
        <v>0.009386481114</v>
      </c>
      <c r="N1634" s="7" t="n">
        <v>-0.006660205242</v>
      </c>
      <c r="O1634" s="7" t="n">
        <v>0.0130612205</v>
      </c>
      <c r="P1634" s="7" t="n">
        <v>0.9998925173</v>
      </c>
      <c r="Q1634" s="7" t="n">
        <v>-1.473195985</v>
      </c>
      <c r="R1634" s="7" t="n">
        <v>-3.776476885</v>
      </c>
      <c r="S1634" s="7" t="n">
        <v>0.04910538676</v>
      </c>
    </row>
    <row r="1635" customFormat="false" ht="15" hidden="false" customHeight="false" outlineLevel="0" collapsed="false">
      <c r="A1635" s="5" t="s">
        <v>4</v>
      </c>
      <c r="B1635" s="5" t="s">
        <v>83</v>
      </c>
      <c r="C1635" s="5" t="s">
        <v>62</v>
      </c>
      <c r="D1635" s="2" t="n">
        <v>15</v>
      </c>
      <c r="E1635" s="5" t="s">
        <v>164</v>
      </c>
      <c r="F1635" s="5" t="s">
        <v>165</v>
      </c>
      <c r="G1635" s="2" t="n">
        <v>1</v>
      </c>
      <c r="H1635" s="7" t="n">
        <v>-0.9193542254</v>
      </c>
      <c r="I1635" s="7" t="n">
        <v>0.3934198521</v>
      </c>
      <c r="J1635" s="7" t="n">
        <v>0.002937400775</v>
      </c>
      <c r="K1635" s="7" t="n">
        <v>-0.3934239304</v>
      </c>
      <c r="L1635" s="7" t="n">
        <v>-0.919356685</v>
      </c>
      <c r="M1635" s="7" t="n">
        <v>-0.0009470178856</v>
      </c>
      <c r="N1635" s="7" t="n">
        <v>0.002327943402</v>
      </c>
      <c r="O1635" s="7" t="n">
        <v>-0.002026288652</v>
      </c>
      <c r="P1635" s="7" t="n">
        <v>0.9999952374</v>
      </c>
      <c r="Q1635" s="7" t="n">
        <v>-1.445368051</v>
      </c>
      <c r="R1635" s="7" t="n">
        <v>-3.795434568</v>
      </c>
      <c r="S1635" s="7" t="n">
        <v>0.110184528</v>
      </c>
    </row>
    <row r="1636" customFormat="false" ht="15" hidden="false" customHeight="false" outlineLevel="0" collapsed="false">
      <c r="A1636" s="5" t="s">
        <v>4</v>
      </c>
      <c r="B1636" s="5" t="s">
        <v>83</v>
      </c>
      <c r="C1636" s="5" t="s">
        <v>58</v>
      </c>
      <c r="D1636" s="2" t="n">
        <v>15</v>
      </c>
      <c r="E1636" s="5" t="s">
        <v>164</v>
      </c>
      <c r="F1636" s="5" t="s">
        <v>166</v>
      </c>
      <c r="G1636" s="2" t="n">
        <v>1</v>
      </c>
      <c r="H1636" s="7" t="n">
        <v>-0.9484887854</v>
      </c>
      <c r="I1636" s="7" t="n">
        <v>0.3167888288</v>
      </c>
      <c r="J1636" s="7" t="n">
        <v>-0.003723163041</v>
      </c>
      <c r="K1636" s="7" t="n">
        <v>-0.3167703217</v>
      </c>
      <c r="L1636" s="7" t="n">
        <v>-0.9484900254</v>
      </c>
      <c r="M1636" s="7" t="n">
        <v>-0.004820266365</v>
      </c>
      <c r="N1636" s="7" t="n">
        <v>-0.005058389544</v>
      </c>
      <c r="O1636" s="7" t="n">
        <v>-0.003392581036</v>
      </c>
      <c r="P1636" s="7" t="n">
        <v>0.9999814514</v>
      </c>
      <c r="Q1636" s="7" t="n">
        <v>12.62613287</v>
      </c>
      <c r="R1636" s="7" t="n">
        <v>2.173828208</v>
      </c>
      <c r="S1636" s="7" t="n">
        <v>0.8802140024</v>
      </c>
    </row>
    <row r="1637" customFormat="false" ht="15" hidden="false" customHeight="false" outlineLevel="0" collapsed="false">
      <c r="A1637" s="5" t="s">
        <v>4</v>
      </c>
      <c r="B1637" s="5" t="s">
        <v>83</v>
      </c>
      <c r="C1637" s="5" t="s">
        <v>62</v>
      </c>
      <c r="D1637" s="2" t="n">
        <v>15</v>
      </c>
      <c r="E1637" s="5" t="s">
        <v>164</v>
      </c>
      <c r="F1637" s="5" t="s">
        <v>166</v>
      </c>
      <c r="G1637" s="2" t="n">
        <v>1</v>
      </c>
      <c r="H1637" s="7" t="n">
        <v>-0.9484887854</v>
      </c>
      <c r="I1637" s="7" t="n">
        <v>0.3167888288</v>
      </c>
      <c r="J1637" s="7" t="n">
        <v>-0.003723163041</v>
      </c>
      <c r="K1637" s="7" t="n">
        <v>-0.3167703217</v>
      </c>
      <c r="L1637" s="7" t="n">
        <v>-0.9484900254</v>
      </c>
      <c r="M1637" s="7" t="n">
        <v>-0.004820266365</v>
      </c>
      <c r="N1637" s="7" t="n">
        <v>-0.005058389544</v>
      </c>
      <c r="O1637" s="7" t="n">
        <v>-0.003392581036</v>
      </c>
      <c r="P1637" s="7" t="n">
        <v>0.9999814514</v>
      </c>
      <c r="Q1637" s="7" t="n">
        <v>12.62613287</v>
      </c>
      <c r="R1637" s="7" t="n">
        <v>2.173828208</v>
      </c>
      <c r="S1637" s="7" t="n">
        <v>0.8802140024</v>
      </c>
    </row>
    <row r="1638" customFormat="false" ht="15" hidden="false" customHeight="false" outlineLevel="0" collapsed="false">
      <c r="A1638" s="5" t="s">
        <v>4</v>
      </c>
      <c r="B1638" s="5" t="s">
        <v>83</v>
      </c>
      <c r="C1638" s="5" t="s">
        <v>58</v>
      </c>
      <c r="D1638" s="2" t="n">
        <v>15</v>
      </c>
      <c r="E1638" s="5" t="s">
        <v>164</v>
      </c>
      <c r="F1638" s="5" t="s">
        <v>167</v>
      </c>
      <c r="G1638" s="2" t="n">
        <v>1</v>
      </c>
      <c r="H1638" s="7" t="n">
        <v>0.5133098171</v>
      </c>
      <c r="I1638" s="7" t="n">
        <v>0.8580682704</v>
      </c>
      <c r="J1638" s="7" t="n">
        <v>0.01522743985</v>
      </c>
      <c r="K1638" s="7" t="n">
        <v>-0.8581684499</v>
      </c>
      <c r="L1638" s="7" t="n">
        <v>0.5133681954</v>
      </c>
      <c r="M1638" s="7" t="n">
        <v>8.73757186E-005</v>
      </c>
      <c r="N1638" s="7" t="n">
        <v>-0.007742308987</v>
      </c>
      <c r="O1638" s="7" t="n">
        <v>-0.01311255927</v>
      </c>
      <c r="P1638" s="7" t="n">
        <v>0.999884052</v>
      </c>
      <c r="Q1638" s="7" t="n">
        <v>-10.04211904</v>
      </c>
      <c r="R1638" s="7" t="n">
        <v>11.47304326</v>
      </c>
      <c r="S1638" s="7" t="n">
        <v>0.4606665974</v>
      </c>
    </row>
    <row r="1639" customFormat="false" ht="15" hidden="false" customHeight="false" outlineLevel="0" collapsed="false">
      <c r="A1639" s="5" t="s">
        <v>4</v>
      </c>
      <c r="B1639" s="5" t="s">
        <v>83</v>
      </c>
      <c r="C1639" s="5" t="s">
        <v>62</v>
      </c>
      <c r="D1639" s="2" t="n">
        <v>15</v>
      </c>
      <c r="E1639" s="5" t="s">
        <v>164</v>
      </c>
      <c r="F1639" s="5" t="s">
        <v>167</v>
      </c>
      <c r="G1639" s="2" t="n">
        <v>1</v>
      </c>
      <c r="H1639" s="7" t="n">
        <v>0.5133098171</v>
      </c>
      <c r="I1639" s="7" t="n">
        <v>0.8580682704</v>
      </c>
      <c r="J1639" s="7" t="n">
        <v>0.01522743985</v>
      </c>
      <c r="K1639" s="7" t="n">
        <v>-0.8581684499</v>
      </c>
      <c r="L1639" s="7" t="n">
        <v>0.5133681954</v>
      </c>
      <c r="M1639" s="7" t="n">
        <v>8.73757186E-005</v>
      </c>
      <c r="N1639" s="7" t="n">
        <v>-0.007742308987</v>
      </c>
      <c r="O1639" s="7" t="n">
        <v>-0.01311255927</v>
      </c>
      <c r="P1639" s="7" t="n">
        <v>0.999884052</v>
      </c>
      <c r="Q1639" s="7" t="n">
        <v>-10.04211904</v>
      </c>
      <c r="R1639" s="7" t="n">
        <v>11.47304326</v>
      </c>
      <c r="S1639" s="7" t="n">
        <v>0.4606665974</v>
      </c>
    </row>
    <row r="1640" customFormat="false" ht="15" hidden="false" customHeight="false" outlineLevel="0" collapsed="false">
      <c r="A1640" s="5" t="s">
        <v>4</v>
      </c>
      <c r="B1640" s="5" t="s">
        <v>83</v>
      </c>
      <c r="C1640" s="5" t="s">
        <v>58</v>
      </c>
      <c r="D1640" s="2" t="n">
        <v>15</v>
      </c>
      <c r="E1640" s="5" t="s">
        <v>164</v>
      </c>
      <c r="F1640" s="5" t="s">
        <v>168</v>
      </c>
      <c r="G1640" s="2" t="n">
        <v>1</v>
      </c>
      <c r="H1640" s="7" t="n">
        <v>-0.8133699445</v>
      </c>
      <c r="I1640" s="7" t="n">
        <v>0.5817434283</v>
      </c>
      <c r="J1640" s="7" t="n">
        <v>-0.001979142066</v>
      </c>
      <c r="K1640" s="7" t="n">
        <v>-0.5817360226</v>
      </c>
      <c r="L1640" s="7" t="n">
        <v>-0.8133708798</v>
      </c>
      <c r="M1640" s="7" t="n">
        <v>-0.003318408926</v>
      </c>
      <c r="N1640" s="7" t="n">
        <v>-0.003540239108</v>
      </c>
      <c r="O1640" s="7" t="n">
        <v>-0.00154775585</v>
      </c>
      <c r="P1640" s="7" t="n">
        <v>0.9999925356</v>
      </c>
      <c r="Q1640" s="7" t="n">
        <v>16.63386145</v>
      </c>
      <c r="R1640" s="7" t="n">
        <v>12.63651548</v>
      </c>
      <c r="S1640" s="7" t="n">
        <v>1.562110084</v>
      </c>
    </row>
    <row r="1641" customFormat="false" ht="15" hidden="false" customHeight="false" outlineLevel="0" collapsed="false">
      <c r="A1641" s="5" t="s">
        <v>4</v>
      </c>
      <c r="B1641" s="5" t="s">
        <v>83</v>
      </c>
      <c r="C1641" s="5" t="s">
        <v>62</v>
      </c>
      <c r="D1641" s="2" t="n">
        <v>15</v>
      </c>
      <c r="E1641" s="5" t="s">
        <v>164</v>
      </c>
      <c r="F1641" s="5" t="s">
        <v>168</v>
      </c>
      <c r="G1641" s="2" t="n">
        <v>1</v>
      </c>
      <c r="H1641" s="7" t="n">
        <v>-0.813105116</v>
      </c>
      <c r="I1641" s="7" t="n">
        <v>0.5820024638</v>
      </c>
      <c r="J1641" s="7" t="n">
        <v>-0.01154133811</v>
      </c>
      <c r="K1641" s="7" t="n">
        <v>-0.5820505224</v>
      </c>
      <c r="L1641" s="7" t="n">
        <v>-0.8131519808</v>
      </c>
      <c r="M1641" s="7" t="n">
        <v>0.001022523582</v>
      </c>
      <c r="N1641" s="7" t="n">
        <v>-0.008789750704</v>
      </c>
      <c r="O1641" s="7" t="n">
        <v>0.007549061035</v>
      </c>
      <c r="P1641" s="7" t="n">
        <v>0.9999328737</v>
      </c>
      <c r="Q1641" s="7" t="n">
        <v>16.62262713</v>
      </c>
      <c r="R1641" s="7" t="n">
        <v>12.63929964</v>
      </c>
      <c r="S1641" s="7" t="n">
        <v>1.518340231</v>
      </c>
    </row>
    <row r="1642" customFormat="false" ht="15" hidden="false" customHeight="false" outlineLevel="0" collapsed="false">
      <c r="A1642" s="5" t="s">
        <v>4</v>
      </c>
      <c r="B1642" s="5" t="s">
        <v>83</v>
      </c>
      <c r="C1642" s="5" t="s">
        <v>58</v>
      </c>
      <c r="D1642" s="2" t="n">
        <v>16</v>
      </c>
      <c r="E1642" s="5" t="s">
        <v>164</v>
      </c>
      <c r="F1642" s="5" t="s">
        <v>165</v>
      </c>
      <c r="G1642" s="2" t="n">
        <v>1</v>
      </c>
      <c r="H1642" s="7" t="n">
        <v>-0.9197378386</v>
      </c>
      <c r="I1642" s="7" t="n">
        <v>0.3923043581</v>
      </c>
      <c r="J1642" s="7" t="n">
        <v>-0.0134014483</v>
      </c>
      <c r="K1642" s="7" t="n">
        <v>-0.3924940382</v>
      </c>
      <c r="L1642" s="7" t="n">
        <v>-0.9195921788</v>
      </c>
      <c r="M1642" s="7" t="n">
        <v>0.01728163055</v>
      </c>
      <c r="N1642" s="7" t="n">
        <v>-0.005544208055</v>
      </c>
      <c r="O1642" s="7" t="n">
        <v>0.02115455809</v>
      </c>
      <c r="P1642" s="7" t="n">
        <v>0.9997608446</v>
      </c>
      <c r="Q1642" s="7" t="n">
        <v>-1.473966476</v>
      </c>
      <c r="R1642" s="7" t="n">
        <v>-3.749996071</v>
      </c>
      <c r="S1642" s="7" t="n">
        <v>0.03244217874</v>
      </c>
    </row>
    <row r="1643" customFormat="false" ht="15" hidden="false" customHeight="false" outlineLevel="0" collapsed="false">
      <c r="A1643" s="5" t="s">
        <v>4</v>
      </c>
      <c r="B1643" s="5" t="s">
        <v>83</v>
      </c>
      <c r="C1643" s="5" t="s">
        <v>62</v>
      </c>
      <c r="D1643" s="2" t="n">
        <v>16</v>
      </c>
      <c r="E1643" s="5" t="s">
        <v>164</v>
      </c>
      <c r="F1643" s="5" t="s">
        <v>165</v>
      </c>
      <c r="G1643" s="2" t="n">
        <v>1</v>
      </c>
      <c r="H1643" s="7" t="n">
        <v>-0.9196440232</v>
      </c>
      <c r="I1643" s="7" t="n">
        <v>0.392745654</v>
      </c>
      <c r="J1643" s="7" t="n">
        <v>-0.002392049419</v>
      </c>
      <c r="K1643" s="7" t="n">
        <v>-0.3927527498</v>
      </c>
      <c r="L1643" s="7" t="n">
        <v>-0.9196205556</v>
      </c>
      <c r="M1643" s="7" t="n">
        <v>0.006581132406</v>
      </c>
      <c r="N1643" s="7" t="n">
        <v>0.0003849333348</v>
      </c>
      <c r="O1643" s="7" t="n">
        <v>0.00699178307</v>
      </c>
      <c r="P1643" s="7" t="n">
        <v>0.9999754831</v>
      </c>
      <c r="Q1643" s="7" t="n">
        <v>-1.451623728</v>
      </c>
      <c r="R1643" s="7" t="n">
        <v>-3.768929953</v>
      </c>
      <c r="S1643" s="7" t="n">
        <v>0.09463686121</v>
      </c>
    </row>
    <row r="1644" customFormat="false" ht="15" hidden="false" customHeight="false" outlineLevel="0" collapsed="false">
      <c r="A1644" s="5" t="s">
        <v>4</v>
      </c>
      <c r="B1644" s="5" t="s">
        <v>83</v>
      </c>
      <c r="C1644" s="5" t="s">
        <v>58</v>
      </c>
      <c r="D1644" s="2" t="n">
        <v>16</v>
      </c>
      <c r="E1644" s="5" t="s">
        <v>164</v>
      </c>
      <c r="F1644" s="5" t="s">
        <v>166</v>
      </c>
      <c r="G1644" s="2" t="n">
        <v>1</v>
      </c>
      <c r="H1644" s="7" t="n">
        <v>-0.9480304545</v>
      </c>
      <c r="I1644" s="7" t="n">
        <v>0.3181594671</v>
      </c>
      <c r="J1644" s="7" t="n">
        <v>-0.003579226415</v>
      </c>
      <c r="K1644" s="7" t="n">
        <v>-0.3180864783</v>
      </c>
      <c r="L1644" s="7" t="n">
        <v>-0.9479651663</v>
      </c>
      <c r="M1644" s="7" t="n">
        <v>-0.01352907194</v>
      </c>
      <c r="N1644" s="7" t="n">
        <v>-0.007697384284</v>
      </c>
      <c r="O1644" s="7" t="n">
        <v>-0.0116874687</v>
      </c>
      <c r="P1644" s="7" t="n">
        <v>0.9999020719</v>
      </c>
      <c r="Q1644" s="7" t="n">
        <v>12.62735888</v>
      </c>
      <c r="R1644" s="7" t="n">
        <v>2.132043562</v>
      </c>
      <c r="S1644" s="7" t="n">
        <v>0.8440037674</v>
      </c>
    </row>
    <row r="1645" customFormat="false" ht="15" hidden="false" customHeight="false" outlineLevel="0" collapsed="false">
      <c r="A1645" s="5" t="s">
        <v>4</v>
      </c>
      <c r="B1645" s="5" t="s">
        <v>83</v>
      </c>
      <c r="C1645" s="5" t="s">
        <v>62</v>
      </c>
      <c r="D1645" s="2" t="n">
        <v>16</v>
      </c>
      <c r="E1645" s="5" t="s">
        <v>164</v>
      </c>
      <c r="F1645" s="5" t="s">
        <v>166</v>
      </c>
      <c r="G1645" s="2" t="n">
        <v>1</v>
      </c>
      <c r="H1645" s="7" t="n">
        <v>-0.9480304545</v>
      </c>
      <c r="I1645" s="7" t="n">
        <v>0.3181594671</v>
      </c>
      <c r="J1645" s="7" t="n">
        <v>-0.003579226415</v>
      </c>
      <c r="K1645" s="7" t="n">
        <v>-0.3180864783</v>
      </c>
      <c r="L1645" s="7" t="n">
        <v>-0.9479651663</v>
      </c>
      <c r="M1645" s="7" t="n">
        <v>-0.01352907194</v>
      </c>
      <c r="N1645" s="7" t="n">
        <v>-0.007697384284</v>
      </c>
      <c r="O1645" s="7" t="n">
        <v>-0.0116874687</v>
      </c>
      <c r="P1645" s="7" t="n">
        <v>0.9999020719</v>
      </c>
      <c r="Q1645" s="7" t="n">
        <v>12.62735888</v>
      </c>
      <c r="R1645" s="7" t="n">
        <v>2.132043562</v>
      </c>
      <c r="S1645" s="7" t="n">
        <v>0.8440037674</v>
      </c>
    </row>
    <row r="1646" customFormat="false" ht="15" hidden="false" customHeight="false" outlineLevel="0" collapsed="false">
      <c r="A1646" s="5" t="s">
        <v>4</v>
      </c>
      <c r="B1646" s="5" t="s">
        <v>83</v>
      </c>
      <c r="C1646" s="5" t="s">
        <v>58</v>
      </c>
      <c r="D1646" s="2" t="n">
        <v>16</v>
      </c>
      <c r="E1646" s="5" t="s">
        <v>164</v>
      </c>
      <c r="F1646" s="5" t="s">
        <v>167</v>
      </c>
      <c r="G1646" s="2" t="n">
        <v>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</row>
    <row r="1647" customFormat="false" ht="15" hidden="false" customHeight="false" outlineLevel="0" collapsed="false">
      <c r="A1647" s="5" t="s">
        <v>4</v>
      </c>
      <c r="B1647" s="5" t="s">
        <v>83</v>
      </c>
      <c r="C1647" s="5" t="s">
        <v>62</v>
      </c>
      <c r="D1647" s="2" t="n">
        <v>16</v>
      </c>
      <c r="E1647" s="5" t="s">
        <v>164</v>
      </c>
      <c r="F1647" s="5" t="s">
        <v>167</v>
      </c>
      <c r="G1647" s="2" t="n">
        <v>0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</row>
    <row r="1648" customFormat="false" ht="15" hidden="false" customHeight="false" outlineLevel="0" collapsed="false">
      <c r="A1648" s="5" t="s">
        <v>4</v>
      </c>
      <c r="B1648" s="5" t="s">
        <v>83</v>
      </c>
      <c r="C1648" s="5" t="s">
        <v>58</v>
      </c>
      <c r="D1648" s="2" t="n">
        <v>16</v>
      </c>
      <c r="E1648" s="5" t="s">
        <v>164</v>
      </c>
      <c r="F1648" s="5" t="s">
        <v>168</v>
      </c>
      <c r="G1648" s="2" t="n">
        <v>1</v>
      </c>
      <c r="H1648" s="7" t="n">
        <v>-0.8136406006</v>
      </c>
      <c r="I1648" s="7" t="n">
        <v>0.5813602083</v>
      </c>
      <c r="J1648" s="7" t="n">
        <v>0.003046496421</v>
      </c>
      <c r="K1648" s="7" t="n">
        <v>-0.5813620359</v>
      </c>
      <c r="L1648" s="7" t="n">
        <v>-0.8135967034</v>
      </c>
      <c r="M1648" s="7" t="n">
        <v>-0.008864956958</v>
      </c>
      <c r="N1648" s="7" t="n">
        <v>-0.002675113778</v>
      </c>
      <c r="O1648" s="7" t="n">
        <v>-0.008984006265</v>
      </c>
      <c r="P1648" s="7" t="n">
        <v>0.9999560647</v>
      </c>
      <c r="Q1648" s="7" t="n">
        <v>16.63924372</v>
      </c>
      <c r="R1648" s="7" t="n">
        <v>12.6451388</v>
      </c>
      <c r="S1648" s="7" t="n">
        <v>1.592734439</v>
      </c>
    </row>
    <row r="1649" customFormat="false" ht="15" hidden="false" customHeight="false" outlineLevel="0" collapsed="false">
      <c r="A1649" s="5" t="s">
        <v>4</v>
      </c>
      <c r="B1649" s="5" t="s">
        <v>83</v>
      </c>
      <c r="C1649" s="5" t="s">
        <v>62</v>
      </c>
      <c r="D1649" s="2" t="n">
        <v>16</v>
      </c>
      <c r="E1649" s="5" t="s">
        <v>164</v>
      </c>
      <c r="F1649" s="5" t="s">
        <v>168</v>
      </c>
      <c r="G1649" s="2" t="n">
        <v>1</v>
      </c>
      <c r="H1649" s="7" t="n">
        <v>-0.8134594164</v>
      </c>
      <c r="I1649" s="7" t="n">
        <v>0.5813811765</v>
      </c>
      <c r="J1649" s="7" t="n">
        <v>-0.01672439865</v>
      </c>
      <c r="K1649" s="7" t="n">
        <v>-0.5814882744</v>
      </c>
      <c r="L1649" s="7" t="n">
        <v>-0.8135523808</v>
      </c>
      <c r="M1649" s="7" t="n">
        <v>0.00197747112</v>
      </c>
      <c r="N1649" s="7" t="n">
        <v>-0.01245650985</v>
      </c>
      <c r="O1649" s="7" t="n">
        <v>0.01133363421</v>
      </c>
      <c r="P1649" s="7" t="n">
        <v>0.999858182</v>
      </c>
      <c r="Q1649" s="7" t="n">
        <v>16.62984987</v>
      </c>
      <c r="R1649" s="7" t="n">
        <v>12.64944606</v>
      </c>
      <c r="S1649" s="7" t="n">
        <v>1.457510445</v>
      </c>
    </row>
    <row r="1650" customFormat="false" ht="15" hidden="false" customHeight="false" outlineLevel="0" collapsed="false">
      <c r="A1650" s="5" t="s">
        <v>4</v>
      </c>
      <c r="B1650" s="5" t="s">
        <v>83</v>
      </c>
      <c r="C1650" s="5" t="s">
        <v>58</v>
      </c>
      <c r="D1650" s="2" t="n">
        <v>17</v>
      </c>
      <c r="E1650" s="5" t="s">
        <v>164</v>
      </c>
      <c r="F1650" s="5" t="s">
        <v>165</v>
      </c>
      <c r="G1650" s="2" t="n">
        <v>1</v>
      </c>
      <c r="H1650" s="7" t="n">
        <v>-0.9188506235</v>
      </c>
      <c r="I1650" s="7" t="n">
        <v>0.3946050406</v>
      </c>
      <c r="J1650" s="7" t="n">
        <v>-0.0006273424578</v>
      </c>
      <c r="K1650" s="7" t="n">
        <v>-0.3946054554</v>
      </c>
      <c r="L1650" s="7" t="n">
        <v>-0.9188482305</v>
      </c>
      <c r="M1650" s="7" t="n">
        <v>0.002112781617</v>
      </c>
      <c r="N1650" s="7" t="n">
        <v>0.0002572817687</v>
      </c>
      <c r="O1650" s="7" t="n">
        <v>0.002188883463</v>
      </c>
      <c r="P1650" s="7" t="n">
        <v>0.9999975713</v>
      </c>
      <c r="Q1650" s="7" t="n">
        <v>-1.43431789</v>
      </c>
      <c r="R1650" s="7" t="n">
        <v>-3.761778048</v>
      </c>
      <c r="S1650" s="7" t="n">
        <v>0.1153971569</v>
      </c>
    </row>
    <row r="1651" customFormat="false" ht="15" hidden="false" customHeight="false" outlineLevel="0" collapsed="false">
      <c r="A1651" s="5" t="s">
        <v>4</v>
      </c>
      <c r="B1651" s="5" t="s">
        <v>83</v>
      </c>
      <c r="C1651" s="5" t="s">
        <v>62</v>
      </c>
      <c r="D1651" s="2" t="n">
        <v>17</v>
      </c>
      <c r="E1651" s="5" t="s">
        <v>164</v>
      </c>
      <c r="F1651" s="5" t="s">
        <v>165</v>
      </c>
      <c r="G1651" s="2" t="n">
        <v>1</v>
      </c>
      <c r="H1651" s="7" t="n">
        <v>-0.9188506235</v>
      </c>
      <c r="I1651" s="7" t="n">
        <v>0.3946050406</v>
      </c>
      <c r="J1651" s="7" t="n">
        <v>-0.0006273424578</v>
      </c>
      <c r="K1651" s="7" t="n">
        <v>-0.3946054554</v>
      </c>
      <c r="L1651" s="7" t="n">
        <v>-0.9188482305</v>
      </c>
      <c r="M1651" s="7" t="n">
        <v>0.002112781617</v>
      </c>
      <c r="N1651" s="7" t="n">
        <v>0.0002572817687</v>
      </c>
      <c r="O1651" s="7" t="n">
        <v>0.002188883463</v>
      </c>
      <c r="P1651" s="7" t="n">
        <v>0.9999975713</v>
      </c>
      <c r="Q1651" s="7" t="n">
        <v>-1.43431789</v>
      </c>
      <c r="R1651" s="7" t="n">
        <v>-3.761778048</v>
      </c>
      <c r="S1651" s="7" t="n">
        <v>0.1153971569</v>
      </c>
    </row>
    <row r="1652" customFormat="false" ht="15" hidden="false" customHeight="false" outlineLevel="0" collapsed="false">
      <c r="A1652" s="5" t="s">
        <v>4</v>
      </c>
      <c r="B1652" s="5" t="s">
        <v>83</v>
      </c>
      <c r="C1652" s="5" t="s">
        <v>58</v>
      </c>
      <c r="D1652" s="2" t="n">
        <v>17</v>
      </c>
      <c r="E1652" s="5" t="s">
        <v>164</v>
      </c>
      <c r="F1652" s="5" t="s">
        <v>166</v>
      </c>
      <c r="G1652" s="2" t="n">
        <v>1</v>
      </c>
      <c r="H1652" s="7" t="n">
        <v>-0.9481500919</v>
      </c>
      <c r="I1652" s="7" t="n">
        <v>0.3175204023</v>
      </c>
      <c r="J1652" s="7" t="n">
        <v>-0.01386352321</v>
      </c>
      <c r="K1652" s="7" t="n">
        <v>-0.3175248032</v>
      </c>
      <c r="L1652" s="7" t="n">
        <v>-0.9482479802</v>
      </c>
      <c r="M1652" s="7" t="n">
        <v>-0.001940979798</v>
      </c>
      <c r="N1652" s="7" t="n">
        <v>-0.01376235857</v>
      </c>
      <c r="O1652" s="7" t="n">
        <v>0.002561672305</v>
      </c>
      <c r="P1652" s="7" t="n">
        <v>0.9999020129</v>
      </c>
      <c r="Q1652" s="7" t="n">
        <v>12.59908022</v>
      </c>
      <c r="R1652" s="7" t="n">
        <v>2.171270736</v>
      </c>
      <c r="S1652" s="7" t="n">
        <v>0.9193807706</v>
      </c>
    </row>
    <row r="1653" customFormat="false" ht="15" hidden="false" customHeight="false" outlineLevel="0" collapsed="false">
      <c r="A1653" s="5" t="s">
        <v>4</v>
      </c>
      <c r="B1653" s="5" t="s">
        <v>83</v>
      </c>
      <c r="C1653" s="5" t="s">
        <v>62</v>
      </c>
      <c r="D1653" s="2" t="n">
        <v>17</v>
      </c>
      <c r="E1653" s="5" t="s">
        <v>164</v>
      </c>
      <c r="F1653" s="5" t="s">
        <v>166</v>
      </c>
      <c r="G1653" s="2" t="n">
        <v>1</v>
      </c>
      <c r="H1653" s="7" t="n">
        <v>-0.9481500919</v>
      </c>
      <c r="I1653" s="7" t="n">
        <v>0.3175204023</v>
      </c>
      <c r="J1653" s="7" t="n">
        <v>-0.01386352321</v>
      </c>
      <c r="K1653" s="7" t="n">
        <v>-0.3175248032</v>
      </c>
      <c r="L1653" s="7" t="n">
        <v>-0.9482479802</v>
      </c>
      <c r="M1653" s="7" t="n">
        <v>-0.001940979798</v>
      </c>
      <c r="N1653" s="7" t="n">
        <v>-0.01376235857</v>
      </c>
      <c r="O1653" s="7" t="n">
        <v>0.002561672305</v>
      </c>
      <c r="P1653" s="7" t="n">
        <v>0.9999020129</v>
      </c>
      <c r="Q1653" s="7" t="n">
        <v>12.59908022</v>
      </c>
      <c r="R1653" s="7" t="n">
        <v>2.171270736</v>
      </c>
      <c r="S1653" s="7" t="n">
        <v>0.9193807706</v>
      </c>
    </row>
    <row r="1654" customFormat="false" ht="15" hidden="false" customHeight="false" outlineLevel="0" collapsed="false">
      <c r="A1654" s="5" t="s">
        <v>4</v>
      </c>
      <c r="B1654" s="5" t="s">
        <v>83</v>
      </c>
      <c r="C1654" s="5" t="s">
        <v>58</v>
      </c>
      <c r="D1654" s="2" t="n">
        <v>17</v>
      </c>
      <c r="E1654" s="5" t="s">
        <v>164</v>
      </c>
      <c r="F1654" s="5" t="s">
        <v>167</v>
      </c>
      <c r="G1654" s="2" t="n">
        <v>1</v>
      </c>
      <c r="H1654" s="7" t="n">
        <v>0.5154277563</v>
      </c>
      <c r="I1654" s="7" t="n">
        <v>0.8568579347</v>
      </c>
      <c r="J1654" s="7" t="n">
        <v>0.01134494528</v>
      </c>
      <c r="K1654" s="7" t="n">
        <v>-0.8568111127</v>
      </c>
      <c r="L1654" s="7" t="n">
        <v>0.5155325751</v>
      </c>
      <c r="M1654" s="7" t="n">
        <v>-0.01004396265</v>
      </c>
      <c r="N1654" s="7" t="n">
        <v>-0.01445493795</v>
      </c>
      <c r="O1654" s="7" t="n">
        <v>-0.004543538051</v>
      </c>
      <c r="P1654" s="7" t="n">
        <v>0.9998851989</v>
      </c>
      <c r="Q1654" s="7" t="n">
        <v>-10.00327008</v>
      </c>
      <c r="R1654" s="7" t="n">
        <v>11.43710078</v>
      </c>
      <c r="S1654" s="7" t="n">
        <v>0.5412137758</v>
      </c>
    </row>
    <row r="1655" customFormat="false" ht="15" hidden="false" customHeight="false" outlineLevel="0" collapsed="false">
      <c r="A1655" s="5" t="s">
        <v>4</v>
      </c>
      <c r="B1655" s="5" t="s">
        <v>83</v>
      </c>
      <c r="C1655" s="5" t="s">
        <v>62</v>
      </c>
      <c r="D1655" s="2" t="n">
        <v>17</v>
      </c>
      <c r="E1655" s="5" t="s">
        <v>164</v>
      </c>
      <c r="F1655" s="5" t="s">
        <v>167</v>
      </c>
      <c r="G1655" s="2" t="n">
        <v>1</v>
      </c>
      <c r="H1655" s="7" t="n">
        <v>0.5154277563</v>
      </c>
      <c r="I1655" s="7" t="n">
        <v>0.8568579347</v>
      </c>
      <c r="J1655" s="7" t="n">
        <v>0.01134494528</v>
      </c>
      <c r="K1655" s="7" t="n">
        <v>-0.8568111127</v>
      </c>
      <c r="L1655" s="7" t="n">
        <v>0.5155325751</v>
      </c>
      <c r="M1655" s="7" t="n">
        <v>-0.01004396265</v>
      </c>
      <c r="N1655" s="7" t="n">
        <v>-0.01445493795</v>
      </c>
      <c r="O1655" s="7" t="n">
        <v>-0.004543538051</v>
      </c>
      <c r="P1655" s="7" t="n">
        <v>0.9998851989</v>
      </c>
      <c r="Q1655" s="7" t="n">
        <v>-10.00327008</v>
      </c>
      <c r="R1655" s="7" t="n">
        <v>11.43710078</v>
      </c>
      <c r="S1655" s="7" t="n">
        <v>0.5412137758</v>
      </c>
    </row>
    <row r="1656" customFormat="false" ht="15" hidden="false" customHeight="false" outlineLevel="0" collapsed="false">
      <c r="A1656" s="5" t="s">
        <v>4</v>
      </c>
      <c r="B1656" s="5" t="s">
        <v>83</v>
      </c>
      <c r="C1656" s="5" t="s">
        <v>58</v>
      </c>
      <c r="D1656" s="2" t="n">
        <v>17</v>
      </c>
      <c r="E1656" s="5" t="s">
        <v>164</v>
      </c>
      <c r="F1656" s="5" t="s">
        <v>168</v>
      </c>
      <c r="G1656" s="2" t="n">
        <v>1</v>
      </c>
      <c r="H1656" s="7" t="n">
        <v>-0.813123783</v>
      </c>
      <c r="I1656" s="7" t="n">
        <v>0.5820859788</v>
      </c>
      <c r="J1656" s="7" t="n">
        <v>0.002372071908</v>
      </c>
      <c r="K1656" s="7" t="n">
        <v>-0.5820849701</v>
      </c>
      <c r="L1656" s="7" t="n">
        <v>-0.8130906137</v>
      </c>
      <c r="M1656" s="7" t="n">
        <v>-0.007793682513</v>
      </c>
      <c r="N1656" s="7" t="n">
        <v>-0.00260788391</v>
      </c>
      <c r="O1656" s="7" t="n">
        <v>-0.007717976014</v>
      </c>
      <c r="P1656" s="7" t="n">
        <v>0.9999668153</v>
      </c>
      <c r="Q1656" s="7" t="n">
        <v>16.63364826</v>
      </c>
      <c r="R1656" s="7" t="n">
        <v>12.65179437</v>
      </c>
      <c r="S1656" s="7" t="n">
        <v>1.574391657</v>
      </c>
    </row>
    <row r="1657" customFormat="false" ht="15" hidden="false" customHeight="false" outlineLevel="0" collapsed="false">
      <c r="A1657" s="5" t="s">
        <v>4</v>
      </c>
      <c r="B1657" s="5" t="s">
        <v>83</v>
      </c>
      <c r="C1657" s="5" t="s">
        <v>62</v>
      </c>
      <c r="D1657" s="2" t="n">
        <v>17</v>
      </c>
      <c r="E1657" s="5" t="s">
        <v>164</v>
      </c>
      <c r="F1657" s="5" t="s">
        <v>168</v>
      </c>
      <c r="G1657" s="2" t="n">
        <v>1</v>
      </c>
      <c r="H1657" s="7" t="n">
        <v>-0.8132489096</v>
      </c>
      <c r="I1657" s="7" t="n">
        <v>0.581915864</v>
      </c>
      <c r="J1657" s="7" t="n">
        <v>0.0003717865532</v>
      </c>
      <c r="K1657" s="7" t="n">
        <v>-0.5819097169</v>
      </c>
      <c r="L1657" s="7" t="n">
        <v>-0.8132370219</v>
      </c>
      <c r="M1657" s="7" t="n">
        <v>-0.005160191109</v>
      </c>
      <c r="N1657" s="7" t="n">
        <v>-0.002700446478</v>
      </c>
      <c r="O1657" s="7" t="n">
        <v>-0.004412866001</v>
      </c>
      <c r="P1657" s="7" t="n">
        <v>0.999986617</v>
      </c>
      <c r="Q1657" s="7" t="n">
        <v>16.62945341</v>
      </c>
      <c r="R1657" s="7" t="n">
        <v>12.66190423</v>
      </c>
      <c r="S1657" s="7" t="n">
        <v>1.541080028</v>
      </c>
    </row>
    <row r="1658" customFormat="false" ht="15" hidden="false" customHeight="false" outlineLevel="0" collapsed="false">
      <c r="A1658" s="5" t="s">
        <v>4</v>
      </c>
      <c r="B1658" s="5" t="s">
        <v>83</v>
      </c>
      <c r="C1658" s="5" t="s">
        <v>58</v>
      </c>
      <c r="D1658" s="2" t="n">
        <v>18</v>
      </c>
      <c r="E1658" s="5" t="s">
        <v>164</v>
      </c>
      <c r="F1658" s="5" t="s">
        <v>165</v>
      </c>
      <c r="G1658" s="2" t="n">
        <v>1</v>
      </c>
      <c r="H1658" s="7" t="n">
        <v>-0.9201913832</v>
      </c>
      <c r="I1658" s="7" t="n">
        <v>0.3914526693</v>
      </c>
      <c r="J1658" s="7" t="n">
        <v>-0.003553306817</v>
      </c>
      <c r="K1658" s="7" t="n">
        <v>-0.3914681757</v>
      </c>
      <c r="L1658" s="7" t="n">
        <v>-0.920135858</v>
      </c>
      <c r="M1658" s="7" t="n">
        <v>0.01013263064</v>
      </c>
      <c r="N1658" s="7" t="n">
        <v>0.0006969202963</v>
      </c>
      <c r="O1658" s="7" t="n">
        <v>0.01071496595</v>
      </c>
      <c r="P1658" s="7" t="n">
        <v>0.9999423502</v>
      </c>
      <c r="Q1658" s="7" t="n">
        <v>-1.469427495</v>
      </c>
      <c r="R1658" s="7" t="n">
        <v>-3.793707953</v>
      </c>
      <c r="S1658" s="7" t="n">
        <v>0.112535781</v>
      </c>
    </row>
    <row r="1659" customFormat="false" ht="15" hidden="false" customHeight="false" outlineLevel="0" collapsed="false">
      <c r="A1659" s="5" t="s">
        <v>4</v>
      </c>
      <c r="B1659" s="5" t="s">
        <v>83</v>
      </c>
      <c r="C1659" s="5" t="s">
        <v>62</v>
      </c>
      <c r="D1659" s="2" t="n">
        <v>18</v>
      </c>
      <c r="E1659" s="5" t="s">
        <v>164</v>
      </c>
      <c r="F1659" s="5" t="s">
        <v>165</v>
      </c>
      <c r="G1659" s="2" t="n">
        <v>1</v>
      </c>
      <c r="H1659" s="7" t="n">
        <v>-0.9201913832</v>
      </c>
      <c r="I1659" s="7" t="n">
        <v>0.3914526693</v>
      </c>
      <c r="J1659" s="7" t="n">
        <v>-0.003553306817</v>
      </c>
      <c r="K1659" s="7" t="n">
        <v>-0.3914681757</v>
      </c>
      <c r="L1659" s="7" t="n">
        <v>-0.920135858</v>
      </c>
      <c r="M1659" s="7" t="n">
        <v>0.01013263064</v>
      </c>
      <c r="N1659" s="7" t="n">
        <v>0.0006969202963</v>
      </c>
      <c r="O1659" s="7" t="n">
        <v>0.01071496595</v>
      </c>
      <c r="P1659" s="7" t="n">
        <v>0.9999423502</v>
      </c>
      <c r="Q1659" s="7" t="n">
        <v>-1.469427495</v>
      </c>
      <c r="R1659" s="7" t="n">
        <v>-3.793707953</v>
      </c>
      <c r="S1659" s="7" t="n">
        <v>0.112535781</v>
      </c>
    </row>
    <row r="1660" customFormat="false" ht="15" hidden="false" customHeight="false" outlineLevel="0" collapsed="false">
      <c r="A1660" s="5" t="s">
        <v>4</v>
      </c>
      <c r="B1660" s="5" t="s">
        <v>83</v>
      </c>
      <c r="C1660" s="5" t="s">
        <v>58</v>
      </c>
      <c r="D1660" s="2" t="n">
        <v>18</v>
      </c>
      <c r="E1660" s="5" t="s">
        <v>164</v>
      </c>
      <c r="F1660" s="5" t="s">
        <v>166</v>
      </c>
      <c r="G1660" s="2" t="n">
        <v>1</v>
      </c>
      <c r="H1660" s="7" t="n">
        <v>-0.9482668306</v>
      </c>
      <c r="I1660" s="7" t="n">
        <v>0.3174506689</v>
      </c>
      <c r="J1660" s="7" t="n">
        <v>-0.003884693901</v>
      </c>
      <c r="K1660" s="7" t="n">
        <v>-0.3174152326</v>
      </c>
      <c r="L1660" s="7" t="n">
        <v>-0.9482553143</v>
      </c>
      <c r="M1660" s="7" t="n">
        <v>-0.007709021665</v>
      </c>
      <c r="N1660" s="7" t="n">
        <v>-0.00613091572</v>
      </c>
      <c r="O1660" s="7" t="n">
        <v>-0.006077148523</v>
      </c>
      <c r="P1660" s="7" t="n">
        <v>0.9999627394</v>
      </c>
      <c r="Q1660" s="7" t="n">
        <v>12.63507126</v>
      </c>
      <c r="R1660" s="7" t="n">
        <v>2.165869836</v>
      </c>
      <c r="S1660" s="7" t="n">
        <v>0.8547198308</v>
      </c>
    </row>
    <row r="1661" customFormat="false" ht="15" hidden="false" customHeight="false" outlineLevel="0" collapsed="false">
      <c r="A1661" s="5" t="s">
        <v>4</v>
      </c>
      <c r="B1661" s="5" t="s">
        <v>83</v>
      </c>
      <c r="C1661" s="5" t="s">
        <v>62</v>
      </c>
      <c r="D1661" s="2" t="n">
        <v>18</v>
      </c>
      <c r="E1661" s="5" t="s">
        <v>164</v>
      </c>
      <c r="F1661" s="5" t="s">
        <v>166</v>
      </c>
      <c r="G1661" s="2" t="n">
        <v>1</v>
      </c>
      <c r="H1661" s="7" t="n">
        <v>-0.9482668306</v>
      </c>
      <c r="I1661" s="7" t="n">
        <v>0.3174506689</v>
      </c>
      <c r="J1661" s="7" t="n">
        <v>-0.003884693901</v>
      </c>
      <c r="K1661" s="7" t="n">
        <v>-0.3174152326</v>
      </c>
      <c r="L1661" s="7" t="n">
        <v>-0.9482553143</v>
      </c>
      <c r="M1661" s="7" t="n">
        <v>-0.007709021665</v>
      </c>
      <c r="N1661" s="7" t="n">
        <v>-0.00613091572</v>
      </c>
      <c r="O1661" s="7" t="n">
        <v>-0.006077148523</v>
      </c>
      <c r="P1661" s="7" t="n">
        <v>0.9999627394</v>
      </c>
      <c r="Q1661" s="7" t="n">
        <v>12.63507126</v>
      </c>
      <c r="R1661" s="7" t="n">
        <v>2.165869836</v>
      </c>
      <c r="S1661" s="7" t="n">
        <v>0.8547198308</v>
      </c>
    </row>
    <row r="1662" customFormat="false" ht="15" hidden="false" customHeight="false" outlineLevel="0" collapsed="false">
      <c r="A1662" s="5" t="s">
        <v>4</v>
      </c>
      <c r="B1662" s="5" t="s">
        <v>83</v>
      </c>
      <c r="C1662" s="5" t="s">
        <v>58</v>
      </c>
      <c r="D1662" s="2" t="n">
        <v>18</v>
      </c>
      <c r="E1662" s="5" t="s">
        <v>164</v>
      </c>
      <c r="F1662" s="5" t="s">
        <v>167</v>
      </c>
      <c r="G1662" s="2" t="n">
        <v>1</v>
      </c>
      <c r="H1662" s="7" t="n">
        <v>0.5136920167</v>
      </c>
      <c r="I1662" s="7" t="n">
        <v>0.857949527</v>
      </c>
      <c r="J1662" s="7" t="n">
        <v>0.006566664302</v>
      </c>
      <c r="K1662" s="7" t="n">
        <v>-0.857950139</v>
      </c>
      <c r="L1662" s="7" t="n">
        <v>0.5137201528</v>
      </c>
      <c r="M1662" s="7" t="n">
        <v>-0.003628162201</v>
      </c>
      <c r="N1662" s="7" t="n">
        <v>-0.006486207833</v>
      </c>
      <c r="O1662" s="7" t="n">
        <v>-0.003770112593</v>
      </c>
      <c r="P1662" s="7" t="n">
        <v>0.9999718573</v>
      </c>
      <c r="Q1662" s="7" t="n">
        <v>-10.04343697</v>
      </c>
      <c r="R1662" s="7" t="n">
        <v>11.47112665</v>
      </c>
      <c r="S1662" s="7" t="n">
        <v>0.5036199241</v>
      </c>
    </row>
    <row r="1663" customFormat="false" ht="15" hidden="false" customHeight="false" outlineLevel="0" collapsed="false">
      <c r="A1663" s="5" t="s">
        <v>4</v>
      </c>
      <c r="B1663" s="5" t="s">
        <v>83</v>
      </c>
      <c r="C1663" s="5" t="s">
        <v>62</v>
      </c>
      <c r="D1663" s="2" t="n">
        <v>18</v>
      </c>
      <c r="E1663" s="5" t="s">
        <v>164</v>
      </c>
      <c r="F1663" s="5" t="s">
        <v>167</v>
      </c>
      <c r="G1663" s="2" t="n">
        <v>1</v>
      </c>
      <c r="H1663" s="7" t="n">
        <v>0.5136920167</v>
      </c>
      <c r="I1663" s="7" t="n">
        <v>0.857949527</v>
      </c>
      <c r="J1663" s="7" t="n">
        <v>0.006566664302</v>
      </c>
      <c r="K1663" s="7" t="n">
        <v>-0.857950139</v>
      </c>
      <c r="L1663" s="7" t="n">
        <v>0.5137201528</v>
      </c>
      <c r="M1663" s="7" t="n">
        <v>-0.003628162201</v>
      </c>
      <c r="N1663" s="7" t="n">
        <v>-0.006486207833</v>
      </c>
      <c r="O1663" s="7" t="n">
        <v>-0.003770112593</v>
      </c>
      <c r="P1663" s="7" t="n">
        <v>0.9999718573</v>
      </c>
      <c r="Q1663" s="7" t="n">
        <v>-10.04343697</v>
      </c>
      <c r="R1663" s="7" t="n">
        <v>11.47112665</v>
      </c>
      <c r="S1663" s="7" t="n">
        <v>0.5036199241</v>
      </c>
    </row>
    <row r="1664" customFormat="false" ht="15" hidden="false" customHeight="false" outlineLevel="0" collapsed="false">
      <c r="A1664" s="5" t="s">
        <v>4</v>
      </c>
      <c r="B1664" s="5" t="s">
        <v>83</v>
      </c>
      <c r="C1664" s="5" t="s">
        <v>58</v>
      </c>
      <c r="D1664" s="2" t="n">
        <v>18</v>
      </c>
      <c r="E1664" s="5" t="s">
        <v>164</v>
      </c>
      <c r="F1664" s="5" t="s">
        <v>168</v>
      </c>
      <c r="G1664" s="2" t="n">
        <v>1</v>
      </c>
      <c r="H1664" s="7" t="n">
        <v>-0.8130265443</v>
      </c>
      <c r="I1664" s="7" t="n">
        <v>0.5822211751</v>
      </c>
      <c r="J1664" s="7" t="n">
        <v>-0.002518244146</v>
      </c>
      <c r="K1664" s="7" t="n">
        <v>-0.5822081024</v>
      </c>
      <c r="L1664" s="7" t="n">
        <v>-0.8130275767</v>
      </c>
      <c r="M1664" s="7" t="n">
        <v>-0.004459269228</v>
      </c>
      <c r="N1664" s="7" t="n">
        <v>-0.004643682906</v>
      </c>
      <c r="O1664" s="7" t="n">
        <v>-0.002159362105</v>
      </c>
      <c r="P1664" s="7" t="n">
        <v>0.9999868866</v>
      </c>
      <c r="Q1664" s="7" t="n">
        <v>16.6356515</v>
      </c>
      <c r="R1664" s="7" t="n">
        <v>12.62635286</v>
      </c>
      <c r="S1664" s="7" t="n">
        <v>1.53207081</v>
      </c>
    </row>
    <row r="1665" customFormat="false" ht="15" hidden="false" customHeight="false" outlineLevel="0" collapsed="false">
      <c r="A1665" s="5" t="s">
        <v>4</v>
      </c>
      <c r="B1665" s="5" t="s">
        <v>83</v>
      </c>
      <c r="C1665" s="5" t="s">
        <v>62</v>
      </c>
      <c r="D1665" s="2" t="n">
        <v>18</v>
      </c>
      <c r="E1665" s="5" t="s">
        <v>164</v>
      </c>
      <c r="F1665" s="5" t="s">
        <v>168</v>
      </c>
      <c r="G1665" s="2" t="n">
        <v>1</v>
      </c>
      <c r="H1665" s="7" t="n">
        <v>-0.8132015645</v>
      </c>
      <c r="I1665" s="7" t="n">
        <v>0.581905988</v>
      </c>
      <c r="J1665" s="7" t="n">
        <v>-0.009414702719</v>
      </c>
      <c r="K1665" s="7" t="n">
        <v>-0.5819378729</v>
      </c>
      <c r="L1665" s="7" t="n">
        <v>-0.8132328308</v>
      </c>
      <c r="M1665" s="7" t="n">
        <v>0.0008215715389</v>
      </c>
      <c r="N1665" s="7" t="n">
        <v>-0.007178267945</v>
      </c>
      <c r="O1665" s="7" t="n">
        <v>0.006146875335</v>
      </c>
      <c r="P1665" s="7" t="n">
        <v>0.9999553432</v>
      </c>
      <c r="Q1665" s="7" t="n">
        <v>16.6306652</v>
      </c>
      <c r="R1665" s="7" t="n">
        <v>12.63488592</v>
      </c>
      <c r="S1665" s="7" t="n">
        <v>1.501007581</v>
      </c>
    </row>
    <row r="1666" customFormat="false" ht="15" hidden="false" customHeight="false" outlineLevel="0" collapsed="false">
      <c r="A1666" s="5" t="s">
        <v>4</v>
      </c>
      <c r="B1666" s="5" t="s">
        <v>83</v>
      </c>
      <c r="C1666" s="5" t="s">
        <v>58</v>
      </c>
      <c r="D1666" s="2" t="n">
        <v>19</v>
      </c>
      <c r="E1666" s="5" t="s">
        <v>164</v>
      </c>
      <c r="F1666" s="5" t="s">
        <v>165</v>
      </c>
      <c r="G1666" s="2" t="n">
        <v>1</v>
      </c>
      <c r="H1666" s="7" t="n">
        <v>-0.9189499199</v>
      </c>
      <c r="I1666" s="7" t="n">
        <v>0.3939638951</v>
      </c>
      <c r="J1666" s="7" t="n">
        <v>-0.01798593934</v>
      </c>
      <c r="K1666" s="7" t="n">
        <v>-0.3942239472</v>
      </c>
      <c r="L1666" s="7" t="n">
        <v>-0.9189028771</v>
      </c>
      <c r="M1666" s="7" t="n">
        <v>0.01431718888</v>
      </c>
      <c r="N1666" s="7" t="n">
        <v>-0.0108868759</v>
      </c>
      <c r="O1666" s="7" t="n">
        <v>0.02024726758</v>
      </c>
      <c r="P1666" s="7" t="n">
        <v>0.9997357271</v>
      </c>
      <c r="Q1666" s="7" t="n">
        <v>-1.48165825</v>
      </c>
      <c r="R1666" s="7" t="n">
        <v>-3.743057101</v>
      </c>
      <c r="S1666" s="7" t="n">
        <v>0.04187918715</v>
      </c>
    </row>
    <row r="1667" customFormat="false" ht="15" hidden="false" customHeight="false" outlineLevel="0" collapsed="false">
      <c r="A1667" s="5" t="s">
        <v>4</v>
      </c>
      <c r="B1667" s="5" t="s">
        <v>83</v>
      </c>
      <c r="C1667" s="5" t="s">
        <v>62</v>
      </c>
      <c r="D1667" s="2" t="n">
        <v>19</v>
      </c>
      <c r="E1667" s="5" t="s">
        <v>164</v>
      </c>
      <c r="F1667" s="5" t="s">
        <v>165</v>
      </c>
      <c r="G1667" s="2" t="n">
        <v>1</v>
      </c>
      <c r="H1667" s="7" t="n">
        <v>-0.919323636</v>
      </c>
      <c r="I1667" s="7" t="n">
        <v>0.3935022076</v>
      </c>
      <c r="J1667" s="7" t="n">
        <v>-0.0002546182939</v>
      </c>
      <c r="K1667" s="7" t="n">
        <v>-0.3935001434</v>
      </c>
      <c r="L1667" s="7" t="n">
        <v>-0.9193162912</v>
      </c>
      <c r="M1667" s="7" t="n">
        <v>0.003897944082</v>
      </c>
      <c r="N1667" s="7" t="n">
        <v>0.001299774856</v>
      </c>
      <c r="O1667" s="7" t="n">
        <v>0.003683664462</v>
      </c>
      <c r="P1667" s="7" t="n">
        <v>0.9999923706</v>
      </c>
      <c r="Q1667" s="7" t="n">
        <v>-1.444553823</v>
      </c>
      <c r="R1667" s="7" t="n">
        <v>-3.766298246</v>
      </c>
      <c r="S1667" s="7" t="n">
        <v>0.07861990497</v>
      </c>
    </row>
    <row r="1668" customFormat="false" ht="15" hidden="false" customHeight="false" outlineLevel="0" collapsed="false">
      <c r="A1668" s="5" t="s">
        <v>4</v>
      </c>
      <c r="B1668" s="5" t="s">
        <v>83</v>
      </c>
      <c r="C1668" s="5" t="s">
        <v>58</v>
      </c>
      <c r="D1668" s="2" t="n">
        <v>19</v>
      </c>
      <c r="E1668" s="5" t="s">
        <v>164</v>
      </c>
      <c r="F1668" s="5" t="s">
        <v>166</v>
      </c>
      <c r="G1668" s="2" t="n">
        <v>1</v>
      </c>
      <c r="H1668" s="7" t="n">
        <v>-0.9483473622</v>
      </c>
      <c r="I1668" s="7" t="n">
        <v>0.3171869634</v>
      </c>
      <c r="J1668" s="7" t="n">
        <v>-0.005450767108</v>
      </c>
      <c r="K1668" s="7" t="n">
        <v>-0.3171778909</v>
      </c>
      <c r="L1668" s="7" t="n">
        <v>-0.9483628231</v>
      </c>
      <c r="M1668" s="7" t="n">
        <v>-0.002478160891</v>
      </c>
      <c r="N1668" s="7" t="n">
        <v>-0.00595534521</v>
      </c>
      <c r="O1668" s="7" t="n">
        <v>-0.0006212945295</v>
      </c>
      <c r="P1668" s="7" t="n">
        <v>0.9999820738</v>
      </c>
      <c r="Q1668" s="7" t="n">
        <v>12.62212919</v>
      </c>
      <c r="R1668" s="7" t="n">
        <v>2.167207397</v>
      </c>
      <c r="S1668" s="7" t="n">
        <v>0.8755655375</v>
      </c>
    </row>
    <row r="1669" customFormat="false" ht="15" hidden="false" customHeight="false" outlineLevel="0" collapsed="false">
      <c r="A1669" s="5" t="s">
        <v>4</v>
      </c>
      <c r="B1669" s="5" t="s">
        <v>83</v>
      </c>
      <c r="C1669" s="5" t="s">
        <v>62</v>
      </c>
      <c r="D1669" s="2" t="n">
        <v>19</v>
      </c>
      <c r="E1669" s="5" t="s">
        <v>164</v>
      </c>
      <c r="F1669" s="5" t="s">
        <v>166</v>
      </c>
      <c r="G1669" s="2" t="n">
        <v>1</v>
      </c>
      <c r="H1669" s="7" t="n">
        <v>-0.9483473622</v>
      </c>
      <c r="I1669" s="7" t="n">
        <v>0.3171869634</v>
      </c>
      <c r="J1669" s="7" t="n">
        <v>-0.005450767108</v>
      </c>
      <c r="K1669" s="7" t="n">
        <v>-0.3171778909</v>
      </c>
      <c r="L1669" s="7" t="n">
        <v>-0.9483628231</v>
      </c>
      <c r="M1669" s="7" t="n">
        <v>-0.002478160891</v>
      </c>
      <c r="N1669" s="7" t="n">
        <v>-0.00595534521</v>
      </c>
      <c r="O1669" s="7" t="n">
        <v>-0.0006212945295</v>
      </c>
      <c r="P1669" s="7" t="n">
        <v>0.9999820738</v>
      </c>
      <c r="Q1669" s="7" t="n">
        <v>12.62212919</v>
      </c>
      <c r="R1669" s="7" t="n">
        <v>2.167207397</v>
      </c>
      <c r="S1669" s="7" t="n">
        <v>0.8755655375</v>
      </c>
    </row>
    <row r="1670" customFormat="false" ht="15" hidden="false" customHeight="false" outlineLevel="0" collapsed="false">
      <c r="A1670" s="5" t="s">
        <v>4</v>
      </c>
      <c r="B1670" s="5" t="s">
        <v>83</v>
      </c>
      <c r="C1670" s="5" t="s">
        <v>58</v>
      </c>
      <c r="D1670" s="2" t="n">
        <v>19</v>
      </c>
      <c r="E1670" s="5" t="s">
        <v>164</v>
      </c>
      <c r="F1670" s="5" t="s">
        <v>167</v>
      </c>
      <c r="G1670" s="2" t="n">
        <v>1</v>
      </c>
      <c r="H1670" s="7" t="n">
        <v>0.5155522653</v>
      </c>
      <c r="I1670" s="7" t="n">
        <v>0.8568153444</v>
      </c>
      <c r="J1670" s="7" t="n">
        <v>0.00856313876</v>
      </c>
      <c r="K1670" s="7" t="n">
        <v>-0.8567986174</v>
      </c>
      <c r="L1670" s="7" t="n">
        <v>0.5156084984</v>
      </c>
      <c r="M1670" s="7" t="n">
        <v>-0.006633673482</v>
      </c>
      <c r="N1670" s="7" t="n">
        <v>-0.01009906035</v>
      </c>
      <c r="O1670" s="7" t="n">
        <v>-0.003916880059</v>
      </c>
      <c r="P1670" s="7" t="n">
        <v>0.9999413318</v>
      </c>
      <c r="Q1670" s="7" t="n">
        <v>-10.01605739</v>
      </c>
      <c r="R1670" s="7" t="n">
        <v>11.43420814</v>
      </c>
      <c r="S1670" s="7" t="n">
        <v>0.4845501144</v>
      </c>
    </row>
    <row r="1671" customFormat="false" ht="15" hidden="false" customHeight="false" outlineLevel="0" collapsed="false">
      <c r="A1671" s="5" t="s">
        <v>4</v>
      </c>
      <c r="B1671" s="5" t="s">
        <v>83</v>
      </c>
      <c r="C1671" s="5" t="s">
        <v>62</v>
      </c>
      <c r="D1671" s="2" t="n">
        <v>19</v>
      </c>
      <c r="E1671" s="5" t="s">
        <v>164</v>
      </c>
      <c r="F1671" s="5" t="s">
        <v>167</v>
      </c>
      <c r="G1671" s="2" t="n">
        <v>1</v>
      </c>
      <c r="H1671" s="7" t="n">
        <v>0.5155522653</v>
      </c>
      <c r="I1671" s="7" t="n">
        <v>0.8568153444</v>
      </c>
      <c r="J1671" s="7" t="n">
        <v>0.00856313876</v>
      </c>
      <c r="K1671" s="7" t="n">
        <v>-0.8567986174</v>
      </c>
      <c r="L1671" s="7" t="n">
        <v>0.5156084984</v>
      </c>
      <c r="M1671" s="7" t="n">
        <v>-0.006633673482</v>
      </c>
      <c r="N1671" s="7" t="n">
        <v>-0.01009906035</v>
      </c>
      <c r="O1671" s="7" t="n">
        <v>-0.003916880059</v>
      </c>
      <c r="P1671" s="7" t="n">
        <v>0.9999413318</v>
      </c>
      <c r="Q1671" s="7" t="n">
        <v>-10.01605739</v>
      </c>
      <c r="R1671" s="7" t="n">
        <v>11.43420814</v>
      </c>
      <c r="S1671" s="7" t="n">
        <v>0.4845501144</v>
      </c>
    </row>
    <row r="1672" customFormat="false" ht="15" hidden="false" customHeight="false" outlineLevel="0" collapsed="false">
      <c r="A1672" s="5" t="s">
        <v>4</v>
      </c>
      <c r="B1672" s="5" t="s">
        <v>83</v>
      </c>
      <c r="C1672" s="5" t="s">
        <v>58</v>
      </c>
      <c r="D1672" s="2" t="n">
        <v>19</v>
      </c>
      <c r="E1672" s="5" t="s">
        <v>164</v>
      </c>
      <c r="F1672" s="5" t="s">
        <v>168</v>
      </c>
      <c r="G1672" s="2" t="n">
        <v>1</v>
      </c>
      <c r="H1672" s="7" t="n">
        <v>-0.8125813376</v>
      </c>
      <c r="I1672" s="7" t="n">
        <v>0.5808373397</v>
      </c>
      <c r="J1672" s="7" t="n">
        <v>-0.04836894303</v>
      </c>
      <c r="K1672" s="7" t="n">
        <v>-0.5821774855</v>
      </c>
      <c r="L1672" s="7" t="n">
        <v>-0.812826044</v>
      </c>
      <c r="M1672" s="7" t="n">
        <v>0.01957543057</v>
      </c>
      <c r="N1672" s="7" t="n">
        <v>-0.0279453956</v>
      </c>
      <c r="O1672" s="7" t="n">
        <v>0.04406593919</v>
      </c>
      <c r="P1672" s="7" t="n">
        <v>0.998637696</v>
      </c>
      <c r="Q1672" s="7" t="n">
        <v>16.59476648</v>
      </c>
      <c r="R1672" s="7" t="n">
        <v>12.65280272</v>
      </c>
      <c r="S1672" s="7" t="n">
        <v>1.267147</v>
      </c>
    </row>
    <row r="1673" customFormat="false" ht="15" hidden="false" customHeight="false" outlineLevel="0" collapsed="false">
      <c r="A1673" s="5" t="s">
        <v>4</v>
      </c>
      <c r="B1673" s="5" t="s">
        <v>83</v>
      </c>
      <c r="C1673" s="5" t="s">
        <v>62</v>
      </c>
      <c r="D1673" s="2" t="n">
        <v>19</v>
      </c>
      <c r="E1673" s="5" t="s">
        <v>164</v>
      </c>
      <c r="F1673" s="5" t="s">
        <v>168</v>
      </c>
      <c r="G1673" s="2" t="n">
        <v>1</v>
      </c>
      <c r="H1673" s="7" t="n">
        <v>-0.8133831534</v>
      </c>
      <c r="I1673" s="7" t="n">
        <v>0.5814676386</v>
      </c>
      <c r="J1673" s="7" t="n">
        <v>-0.01741353083</v>
      </c>
      <c r="K1673" s="7" t="n">
        <v>-0.5816030891</v>
      </c>
      <c r="L1673" s="7" t="n">
        <v>-0.8134647293</v>
      </c>
      <c r="M1673" s="7" t="n">
        <v>0.003602911627</v>
      </c>
      <c r="N1673" s="7" t="n">
        <v>-0.01207031663</v>
      </c>
      <c r="O1673" s="7" t="n">
        <v>0.01305831094</v>
      </c>
      <c r="P1673" s="7" t="n">
        <v>0.9998418815</v>
      </c>
      <c r="Q1673" s="7" t="n">
        <v>16.64311786</v>
      </c>
      <c r="R1673" s="7" t="n">
        <v>12.63865752</v>
      </c>
      <c r="S1673" s="7" t="n">
        <v>1.4703397</v>
      </c>
    </row>
    <row r="1674" customFormat="false" ht="15" hidden="false" customHeight="false" outlineLevel="0" collapsed="false">
      <c r="A1674" s="5" t="s">
        <v>4</v>
      </c>
      <c r="B1674" s="5" t="s">
        <v>83</v>
      </c>
      <c r="C1674" s="5" t="s">
        <v>58</v>
      </c>
      <c r="D1674" s="2" t="n">
        <v>20</v>
      </c>
      <c r="E1674" s="5" t="s">
        <v>164</v>
      </c>
      <c r="F1674" s="5" t="s">
        <v>165</v>
      </c>
      <c r="G1674" s="2" t="n">
        <v>1</v>
      </c>
      <c r="H1674" s="7" t="n">
        <v>-0.9185122309</v>
      </c>
      <c r="I1674" s="7" t="n">
        <v>0.3939768555</v>
      </c>
      <c r="J1674" s="7" t="n">
        <v>-0.03342931347</v>
      </c>
      <c r="K1674" s="7" t="n">
        <v>-0.3946847628</v>
      </c>
      <c r="L1674" s="7" t="n">
        <v>-0.9186417471</v>
      </c>
      <c r="M1674" s="7" t="n">
        <v>0.01792424345</v>
      </c>
      <c r="N1674" s="7" t="n">
        <v>-0.02364782586</v>
      </c>
      <c r="O1674" s="7" t="n">
        <v>0.02965767749</v>
      </c>
      <c r="P1674" s="7" t="n">
        <v>0.9992803423</v>
      </c>
      <c r="Q1674" s="7" t="n">
        <v>-1.524589666</v>
      </c>
      <c r="R1674" s="7" t="n">
        <v>-3.735706183</v>
      </c>
      <c r="S1674" s="7" t="n">
        <v>0.1899868452</v>
      </c>
    </row>
    <row r="1675" customFormat="false" ht="15" hidden="false" customHeight="false" outlineLevel="0" collapsed="false">
      <c r="A1675" s="5" t="s">
        <v>4</v>
      </c>
      <c r="B1675" s="5" t="s">
        <v>83</v>
      </c>
      <c r="C1675" s="5" t="s">
        <v>62</v>
      </c>
      <c r="D1675" s="2" t="n">
        <v>20</v>
      </c>
      <c r="E1675" s="5" t="s">
        <v>164</v>
      </c>
      <c r="F1675" s="5" t="s">
        <v>165</v>
      </c>
      <c r="G1675" s="2" t="n">
        <v>1</v>
      </c>
      <c r="H1675" s="7" t="n">
        <v>-0.9197545863</v>
      </c>
      <c r="I1675" s="7" t="n">
        <v>0.3924904109</v>
      </c>
      <c r="J1675" s="7" t="n">
        <v>-0.00166684403</v>
      </c>
      <c r="K1675" s="7" t="n">
        <v>-0.3924933702</v>
      </c>
      <c r="L1675" s="7" t="n">
        <v>-0.9197376314</v>
      </c>
      <c r="M1675" s="7" t="n">
        <v>0.005625282329</v>
      </c>
      <c r="N1675" s="7" t="n">
        <v>0.0006748101922</v>
      </c>
      <c r="O1675" s="7" t="n">
        <v>0.005828104452</v>
      </c>
      <c r="P1675" s="7" t="n">
        <v>0.9999827888</v>
      </c>
      <c r="Q1675" s="7" t="n">
        <v>-1.45042584</v>
      </c>
      <c r="R1675" s="7" t="n">
        <v>-3.777178615</v>
      </c>
      <c r="S1675" s="7" t="n">
        <v>0.09962307258</v>
      </c>
    </row>
    <row r="1676" customFormat="false" ht="15" hidden="false" customHeight="false" outlineLevel="0" collapsed="false">
      <c r="A1676" s="5" t="s">
        <v>4</v>
      </c>
      <c r="B1676" s="5" t="s">
        <v>83</v>
      </c>
      <c r="C1676" s="5" t="s">
        <v>58</v>
      </c>
      <c r="D1676" s="2" t="n">
        <v>20</v>
      </c>
      <c r="E1676" s="5" t="s">
        <v>164</v>
      </c>
      <c r="F1676" s="5" t="s">
        <v>166</v>
      </c>
      <c r="G1676" s="2" t="n">
        <v>1</v>
      </c>
      <c r="H1676" s="7" t="n">
        <v>-0.9484149699</v>
      </c>
      <c r="I1676" s="7" t="n">
        <v>0.3170053264</v>
      </c>
      <c r="J1676" s="7" t="n">
        <v>-0.004082636707</v>
      </c>
      <c r="K1676" s="7" t="n">
        <v>-0.3169792543</v>
      </c>
      <c r="L1676" s="7" t="n">
        <v>-0.9484137382</v>
      </c>
      <c r="M1676" s="7" t="n">
        <v>-0.005961007026</v>
      </c>
      <c r="N1676" s="7" t="n">
        <v>-0.005761699719</v>
      </c>
      <c r="O1676" s="7" t="n">
        <v>-0.00435939716</v>
      </c>
      <c r="P1676" s="7" t="n">
        <v>0.9999738989</v>
      </c>
      <c r="Q1676" s="7" t="n">
        <v>12.61048143</v>
      </c>
      <c r="R1676" s="7" t="n">
        <v>2.162552266</v>
      </c>
      <c r="S1676" s="7" t="n">
        <v>0.8711460422</v>
      </c>
    </row>
    <row r="1677" customFormat="false" ht="15" hidden="false" customHeight="false" outlineLevel="0" collapsed="false">
      <c r="A1677" s="5" t="s">
        <v>4</v>
      </c>
      <c r="B1677" s="5" t="s">
        <v>83</v>
      </c>
      <c r="C1677" s="5" t="s">
        <v>62</v>
      </c>
      <c r="D1677" s="2" t="n">
        <v>20</v>
      </c>
      <c r="E1677" s="5" t="s">
        <v>164</v>
      </c>
      <c r="F1677" s="5" t="s">
        <v>166</v>
      </c>
      <c r="G1677" s="2" t="n">
        <v>1</v>
      </c>
      <c r="H1677" s="7" t="n">
        <v>-0.9484149699</v>
      </c>
      <c r="I1677" s="7" t="n">
        <v>0.3170053264</v>
      </c>
      <c r="J1677" s="7" t="n">
        <v>-0.004082636707</v>
      </c>
      <c r="K1677" s="7" t="n">
        <v>-0.3169792543</v>
      </c>
      <c r="L1677" s="7" t="n">
        <v>-0.9484137382</v>
      </c>
      <c r="M1677" s="7" t="n">
        <v>-0.005961007026</v>
      </c>
      <c r="N1677" s="7" t="n">
        <v>-0.005761699719</v>
      </c>
      <c r="O1677" s="7" t="n">
        <v>-0.00435939716</v>
      </c>
      <c r="P1677" s="7" t="n">
        <v>0.9999738989</v>
      </c>
      <c r="Q1677" s="7" t="n">
        <v>12.61048143</v>
      </c>
      <c r="R1677" s="7" t="n">
        <v>2.162552266</v>
      </c>
      <c r="S1677" s="7" t="n">
        <v>0.8711460422</v>
      </c>
    </row>
    <row r="1678" customFormat="false" ht="15" hidden="false" customHeight="false" outlineLevel="0" collapsed="false">
      <c r="A1678" s="5" t="s">
        <v>4</v>
      </c>
      <c r="B1678" s="5" t="s">
        <v>83</v>
      </c>
      <c r="C1678" s="5" t="s">
        <v>58</v>
      </c>
      <c r="D1678" s="2" t="n">
        <v>20</v>
      </c>
      <c r="E1678" s="5" t="s">
        <v>164</v>
      </c>
      <c r="F1678" s="5" t="s">
        <v>167</v>
      </c>
      <c r="G1678" s="2" t="n">
        <v>1</v>
      </c>
      <c r="H1678" s="7" t="n">
        <v>0.5163682349</v>
      </c>
      <c r="I1678" s="7" t="n">
        <v>0.8563093699</v>
      </c>
      <c r="J1678" s="7" t="n">
        <v>0.009904998392</v>
      </c>
      <c r="K1678" s="7" t="n">
        <v>-0.8562902793</v>
      </c>
      <c r="L1678" s="7" t="n">
        <v>0.5164421153</v>
      </c>
      <c r="M1678" s="7" t="n">
        <v>-0.007382356651</v>
      </c>
      <c r="N1678" s="7" t="n">
        <v>-0.01143693949</v>
      </c>
      <c r="O1678" s="7" t="n">
        <v>-0.004669539366</v>
      </c>
      <c r="P1678" s="7" t="n">
        <v>0.999923693</v>
      </c>
      <c r="Q1678" s="7" t="n">
        <v>-10.02506309</v>
      </c>
      <c r="R1678" s="7" t="n">
        <v>11.44753332</v>
      </c>
      <c r="S1678" s="7" t="n">
        <v>0.5046716395</v>
      </c>
    </row>
    <row r="1679" customFormat="false" ht="15" hidden="false" customHeight="false" outlineLevel="0" collapsed="false">
      <c r="A1679" s="5" t="s">
        <v>4</v>
      </c>
      <c r="B1679" s="5" t="s">
        <v>83</v>
      </c>
      <c r="C1679" s="5" t="s">
        <v>62</v>
      </c>
      <c r="D1679" s="2" t="n">
        <v>20</v>
      </c>
      <c r="E1679" s="5" t="s">
        <v>164</v>
      </c>
      <c r="F1679" s="5" t="s">
        <v>167</v>
      </c>
      <c r="G1679" s="2" t="n">
        <v>1</v>
      </c>
      <c r="H1679" s="7" t="n">
        <v>0.5163682349</v>
      </c>
      <c r="I1679" s="7" t="n">
        <v>0.8563093699</v>
      </c>
      <c r="J1679" s="7" t="n">
        <v>0.009904998392</v>
      </c>
      <c r="K1679" s="7" t="n">
        <v>-0.8562902793</v>
      </c>
      <c r="L1679" s="7" t="n">
        <v>0.5164421153</v>
      </c>
      <c r="M1679" s="7" t="n">
        <v>-0.007382356651</v>
      </c>
      <c r="N1679" s="7" t="n">
        <v>-0.01143693949</v>
      </c>
      <c r="O1679" s="7" t="n">
        <v>-0.004669539366</v>
      </c>
      <c r="P1679" s="7" t="n">
        <v>0.999923693</v>
      </c>
      <c r="Q1679" s="7" t="n">
        <v>-10.02506309</v>
      </c>
      <c r="R1679" s="7" t="n">
        <v>11.44753332</v>
      </c>
      <c r="S1679" s="7" t="n">
        <v>0.5046716395</v>
      </c>
    </row>
    <row r="1680" customFormat="false" ht="15" hidden="false" customHeight="false" outlineLevel="0" collapsed="false">
      <c r="A1680" s="5" t="s">
        <v>4</v>
      </c>
      <c r="B1680" s="5" t="s">
        <v>83</v>
      </c>
      <c r="C1680" s="5" t="s">
        <v>58</v>
      </c>
      <c r="D1680" s="2" t="n">
        <v>20</v>
      </c>
      <c r="E1680" s="5" t="s">
        <v>164</v>
      </c>
      <c r="F1680" s="5" t="s">
        <v>168</v>
      </c>
      <c r="G1680" s="2" t="n">
        <v>1</v>
      </c>
      <c r="H1680" s="7" t="n">
        <v>-0.8122646354</v>
      </c>
      <c r="I1680" s="7" t="n">
        <v>0.5829264501</v>
      </c>
      <c r="J1680" s="7" t="n">
        <v>-0.020564918</v>
      </c>
      <c r="K1680" s="7" t="n">
        <v>-0.5830269868</v>
      </c>
      <c r="L1680" s="7" t="n">
        <v>-0.812451697</v>
      </c>
      <c r="M1680" s="7" t="n">
        <v>-0.001331433624</v>
      </c>
      <c r="N1680" s="7" t="n">
        <v>-0.0174841304</v>
      </c>
      <c r="O1680" s="7" t="n">
        <v>0.01090842573</v>
      </c>
      <c r="P1680" s="7" t="n">
        <v>0.9997876332</v>
      </c>
      <c r="Q1680" s="7" t="n">
        <v>16.57544904</v>
      </c>
      <c r="R1680" s="7" t="n">
        <v>12.63379531</v>
      </c>
      <c r="S1680" s="7" t="n">
        <v>1.571875537</v>
      </c>
    </row>
    <row r="1681" customFormat="false" ht="15" hidden="false" customHeight="false" outlineLevel="0" collapsed="false">
      <c r="A1681" s="5" t="s">
        <v>4</v>
      </c>
      <c r="B1681" s="5" t="s">
        <v>83</v>
      </c>
      <c r="C1681" s="5" t="s">
        <v>62</v>
      </c>
      <c r="D1681" s="2" t="n">
        <v>20</v>
      </c>
      <c r="E1681" s="5" t="s">
        <v>164</v>
      </c>
      <c r="F1681" s="5" t="s">
        <v>168</v>
      </c>
      <c r="G1681" s="2" t="n">
        <v>1</v>
      </c>
      <c r="H1681" s="7" t="n">
        <v>-0.8131716049</v>
      </c>
      <c r="I1681" s="7" t="n">
        <v>0.5819569263</v>
      </c>
      <c r="J1681" s="7" t="n">
        <v>-0.008836119487</v>
      </c>
      <c r="K1681" s="7" t="n">
        <v>-0.5819746992</v>
      </c>
      <c r="L1681" s="7" t="n">
        <v>-0.8132066159</v>
      </c>
      <c r="M1681" s="7" t="n">
        <v>-0.0006702596309</v>
      </c>
      <c r="N1681" s="7" t="n">
        <v>-0.007575653061</v>
      </c>
      <c r="O1681" s="7" t="n">
        <v>0.004597361881</v>
      </c>
      <c r="P1681" s="7" t="n">
        <v>0.9999607361</v>
      </c>
      <c r="Q1681" s="7" t="n">
        <v>16.61567118</v>
      </c>
      <c r="R1681" s="7" t="n">
        <v>12.62567825</v>
      </c>
      <c r="S1681" s="7" t="n">
        <v>1.558766871</v>
      </c>
    </row>
    <row r="1682" customFormat="false" ht="15" hidden="false" customHeight="false" outlineLevel="0" collapsed="false">
      <c r="A1682" s="5" t="s">
        <v>4</v>
      </c>
      <c r="B1682" s="5" t="s">
        <v>83</v>
      </c>
      <c r="C1682" s="5" t="s">
        <v>58</v>
      </c>
      <c r="D1682" s="2" t="n">
        <v>11</v>
      </c>
      <c r="E1682" s="5" t="s">
        <v>165</v>
      </c>
      <c r="F1682" s="5" t="s">
        <v>166</v>
      </c>
      <c r="G1682" s="2" t="n">
        <v>1</v>
      </c>
      <c r="H1682" s="7" t="n">
        <v>0.9966138442</v>
      </c>
      <c r="I1682" s="7" t="n">
        <v>0.08183236718</v>
      </c>
      <c r="J1682" s="7" t="n">
        <v>-0.008019307572</v>
      </c>
      <c r="K1682" s="7" t="n">
        <v>-0.08183596717</v>
      </c>
      <c r="L1682" s="7" t="n">
        <v>0.9966458046</v>
      </c>
      <c r="M1682" s="7" t="n">
        <v>-0.000121258211</v>
      </c>
      <c r="N1682" s="7" t="n">
        <v>0.007982486401</v>
      </c>
      <c r="O1682" s="7" t="n">
        <v>0.000777115403</v>
      </c>
      <c r="P1682" s="7" t="n">
        <v>0.9999678375</v>
      </c>
      <c r="Q1682" s="7" t="n">
        <v>14.37247853</v>
      </c>
      <c r="R1682" s="7" t="n">
        <v>5.820106234</v>
      </c>
      <c r="S1682" s="7" t="n">
        <v>0.7869982844</v>
      </c>
    </row>
    <row r="1683" customFormat="false" ht="15" hidden="false" customHeight="false" outlineLevel="0" collapsed="false">
      <c r="A1683" s="5" t="s">
        <v>4</v>
      </c>
      <c r="B1683" s="5" t="s">
        <v>83</v>
      </c>
      <c r="C1683" s="5" t="s">
        <v>62</v>
      </c>
      <c r="D1683" s="2" t="n">
        <v>11</v>
      </c>
      <c r="E1683" s="5" t="s">
        <v>165</v>
      </c>
      <c r="F1683" s="5" t="s">
        <v>166</v>
      </c>
      <c r="G1683" s="2" t="n">
        <v>1</v>
      </c>
      <c r="H1683" s="7" t="n">
        <v>0.9966138442</v>
      </c>
      <c r="I1683" s="7" t="n">
        <v>0.08183236718</v>
      </c>
      <c r="J1683" s="7" t="n">
        <v>-0.008019307572</v>
      </c>
      <c r="K1683" s="7" t="n">
        <v>-0.08183596717</v>
      </c>
      <c r="L1683" s="7" t="n">
        <v>0.9966458046</v>
      </c>
      <c r="M1683" s="7" t="n">
        <v>-0.000121258211</v>
      </c>
      <c r="N1683" s="7" t="n">
        <v>0.007982486401</v>
      </c>
      <c r="O1683" s="7" t="n">
        <v>0.000777115403</v>
      </c>
      <c r="P1683" s="7" t="n">
        <v>0.9999678375</v>
      </c>
      <c r="Q1683" s="7" t="n">
        <v>14.37247853</v>
      </c>
      <c r="R1683" s="7" t="n">
        <v>5.820106234</v>
      </c>
      <c r="S1683" s="7" t="n">
        <v>0.7869982844</v>
      </c>
    </row>
    <row r="1684" customFormat="false" ht="15" hidden="false" customHeight="false" outlineLevel="0" collapsed="false">
      <c r="A1684" s="5" t="s">
        <v>4</v>
      </c>
      <c r="B1684" s="5" t="s">
        <v>83</v>
      </c>
      <c r="C1684" s="5" t="s">
        <v>58</v>
      </c>
      <c r="D1684" s="2" t="n">
        <v>11</v>
      </c>
      <c r="E1684" s="5" t="s">
        <v>165</v>
      </c>
      <c r="F1684" s="5" t="s">
        <v>167</v>
      </c>
      <c r="G1684" s="2" t="n">
        <v>1</v>
      </c>
      <c r="H1684" s="7" t="n">
        <v>-0.1360968148</v>
      </c>
      <c r="I1684" s="7" t="n">
        <v>-0.9906953972</v>
      </c>
      <c r="J1684" s="7" t="n">
        <v>0.000535754585</v>
      </c>
      <c r="K1684" s="7" t="n">
        <v>0.9906667741</v>
      </c>
      <c r="L1684" s="7" t="n">
        <v>-0.136096964</v>
      </c>
      <c r="M1684" s="7" t="n">
        <v>-0.00754711807</v>
      </c>
      <c r="N1684" s="7" t="n">
        <v>0.007549809706</v>
      </c>
      <c r="O1684" s="7" t="n">
        <v>-0.0004963844634</v>
      </c>
      <c r="P1684" s="7" t="n">
        <v>0.9999713766</v>
      </c>
      <c r="Q1684" s="7" t="n">
        <v>-13.97295846</v>
      </c>
      <c r="R1684" s="7" t="n">
        <v>12.38347516</v>
      </c>
      <c r="S1684" s="7" t="n">
        <v>0.3400456656</v>
      </c>
    </row>
    <row r="1685" customFormat="false" ht="15" hidden="false" customHeight="false" outlineLevel="0" collapsed="false">
      <c r="A1685" s="5" t="s">
        <v>4</v>
      </c>
      <c r="B1685" s="5" t="s">
        <v>83</v>
      </c>
      <c r="C1685" s="5" t="s">
        <v>62</v>
      </c>
      <c r="D1685" s="2" t="n">
        <v>11</v>
      </c>
      <c r="E1685" s="5" t="s">
        <v>165</v>
      </c>
      <c r="F1685" s="5" t="s">
        <v>167</v>
      </c>
      <c r="G1685" s="2" t="n">
        <v>1</v>
      </c>
      <c r="H1685" s="7" t="n">
        <v>-0.1360968148</v>
      </c>
      <c r="I1685" s="7" t="n">
        <v>-0.9906953972</v>
      </c>
      <c r="J1685" s="7" t="n">
        <v>0.000535754585</v>
      </c>
      <c r="K1685" s="7" t="n">
        <v>0.9906667741</v>
      </c>
      <c r="L1685" s="7" t="n">
        <v>-0.136096964</v>
      </c>
      <c r="M1685" s="7" t="n">
        <v>-0.00754711807</v>
      </c>
      <c r="N1685" s="7" t="n">
        <v>0.007549809706</v>
      </c>
      <c r="O1685" s="7" t="n">
        <v>-0.0004963844634</v>
      </c>
      <c r="P1685" s="7" t="n">
        <v>0.9999713766</v>
      </c>
      <c r="Q1685" s="7" t="n">
        <v>-13.97295846</v>
      </c>
      <c r="R1685" s="7" t="n">
        <v>12.38347516</v>
      </c>
      <c r="S1685" s="7" t="n">
        <v>0.3400456656</v>
      </c>
    </row>
    <row r="1686" customFormat="false" ht="15" hidden="false" customHeight="false" outlineLevel="0" collapsed="false">
      <c r="A1686" s="5" t="s">
        <v>4</v>
      </c>
      <c r="B1686" s="5" t="s">
        <v>83</v>
      </c>
      <c r="C1686" s="5" t="s">
        <v>58</v>
      </c>
      <c r="D1686" s="2" t="n">
        <v>11</v>
      </c>
      <c r="E1686" s="5" t="s">
        <v>165</v>
      </c>
      <c r="F1686" s="5" t="s">
        <v>168</v>
      </c>
      <c r="G1686" s="2" t="n">
        <v>1</v>
      </c>
      <c r="H1686" s="7" t="n">
        <v>0.9767079591</v>
      </c>
      <c r="I1686" s="7" t="n">
        <v>-0.2145127302</v>
      </c>
      <c r="J1686" s="7" t="n">
        <v>-0.005084401374</v>
      </c>
      <c r="K1686" s="7" t="n">
        <v>0.214502965</v>
      </c>
      <c r="L1686" s="7" t="n">
        <v>0.9767203882</v>
      </c>
      <c r="M1686" s="7" t="n">
        <v>-0.002400254003</v>
      </c>
      <c r="N1686" s="7" t="n">
        <v>0.005480923523</v>
      </c>
      <c r="O1686" s="7" t="n">
        <v>0.001253728018</v>
      </c>
      <c r="P1686" s="7" t="n">
        <v>0.9999841937</v>
      </c>
      <c r="Q1686" s="7" t="n">
        <v>17.2478954</v>
      </c>
      <c r="R1686" s="7" t="n">
        <v>16.6245882</v>
      </c>
      <c r="S1686" s="7" t="n">
        <v>1.497067879</v>
      </c>
    </row>
    <row r="1687" customFormat="false" ht="15" hidden="false" customHeight="false" outlineLevel="0" collapsed="false">
      <c r="A1687" s="5" t="s">
        <v>4</v>
      </c>
      <c r="B1687" s="5" t="s">
        <v>83</v>
      </c>
      <c r="C1687" s="5" t="s">
        <v>62</v>
      </c>
      <c r="D1687" s="2" t="n">
        <v>11</v>
      </c>
      <c r="E1687" s="5" t="s">
        <v>165</v>
      </c>
      <c r="F1687" s="5" t="s">
        <v>168</v>
      </c>
      <c r="G1687" s="2" t="n">
        <v>1</v>
      </c>
      <c r="H1687" s="7" t="n">
        <v>0.9767079591</v>
      </c>
      <c r="I1687" s="7" t="n">
        <v>-0.2145127302</v>
      </c>
      <c r="J1687" s="7" t="n">
        <v>-0.005084401374</v>
      </c>
      <c r="K1687" s="7" t="n">
        <v>0.214502965</v>
      </c>
      <c r="L1687" s="7" t="n">
        <v>0.9767203882</v>
      </c>
      <c r="M1687" s="7" t="n">
        <v>-0.002400254003</v>
      </c>
      <c r="N1687" s="7" t="n">
        <v>0.005480923523</v>
      </c>
      <c r="O1687" s="7" t="n">
        <v>0.001253728018</v>
      </c>
      <c r="P1687" s="7" t="n">
        <v>0.9999841937</v>
      </c>
      <c r="Q1687" s="7" t="n">
        <v>17.2478954</v>
      </c>
      <c r="R1687" s="7" t="n">
        <v>16.6245882</v>
      </c>
      <c r="S1687" s="7" t="n">
        <v>1.497067879</v>
      </c>
    </row>
    <row r="1688" customFormat="false" ht="15" hidden="false" customHeight="false" outlineLevel="0" collapsed="false">
      <c r="A1688" s="5" t="s">
        <v>4</v>
      </c>
      <c r="B1688" s="5" t="s">
        <v>83</v>
      </c>
      <c r="C1688" s="5" t="s">
        <v>58</v>
      </c>
      <c r="D1688" s="2" t="n">
        <v>12</v>
      </c>
      <c r="E1688" s="5" t="s">
        <v>165</v>
      </c>
      <c r="F1688" s="5" t="s">
        <v>166</v>
      </c>
      <c r="G1688" s="2" t="n">
        <v>1</v>
      </c>
      <c r="H1688" s="7" t="n">
        <v>0.9967187561</v>
      </c>
      <c r="I1688" s="7" t="n">
        <v>0.08080773378</v>
      </c>
      <c r="J1688" s="7" t="n">
        <v>-0.004672411079</v>
      </c>
      <c r="K1688" s="7" t="n">
        <v>-0.08081045128</v>
      </c>
      <c r="L1688" s="7" t="n">
        <v>0.9967294089</v>
      </c>
      <c r="M1688" s="7" t="n">
        <v>-0.0003954605315</v>
      </c>
      <c r="N1688" s="7" t="n">
        <v>0.004625173264</v>
      </c>
      <c r="O1688" s="7" t="n">
        <v>0.0007717425769</v>
      </c>
      <c r="P1688" s="7" t="n">
        <v>0.999989006</v>
      </c>
      <c r="Q1688" s="7" t="n">
        <v>14.37591476</v>
      </c>
      <c r="R1688" s="7" t="n">
        <v>5.836983849</v>
      </c>
      <c r="S1688" s="7" t="n">
        <v>0.7640567691</v>
      </c>
    </row>
    <row r="1689" customFormat="false" ht="15" hidden="false" customHeight="false" outlineLevel="0" collapsed="false">
      <c r="A1689" s="5" t="s">
        <v>4</v>
      </c>
      <c r="B1689" s="5" t="s">
        <v>83</v>
      </c>
      <c r="C1689" s="5" t="s">
        <v>62</v>
      </c>
      <c r="D1689" s="2" t="n">
        <v>12</v>
      </c>
      <c r="E1689" s="5" t="s">
        <v>165</v>
      </c>
      <c r="F1689" s="5" t="s">
        <v>166</v>
      </c>
      <c r="G1689" s="2" t="n">
        <v>1</v>
      </c>
      <c r="H1689" s="7" t="n">
        <v>0.9967187561</v>
      </c>
      <c r="I1689" s="7" t="n">
        <v>0.08080773378</v>
      </c>
      <c r="J1689" s="7" t="n">
        <v>-0.004672411079</v>
      </c>
      <c r="K1689" s="7" t="n">
        <v>-0.08081045128</v>
      </c>
      <c r="L1689" s="7" t="n">
        <v>0.9967294089</v>
      </c>
      <c r="M1689" s="7" t="n">
        <v>-0.0003954605315</v>
      </c>
      <c r="N1689" s="7" t="n">
        <v>0.004625173264</v>
      </c>
      <c r="O1689" s="7" t="n">
        <v>0.0007717425769</v>
      </c>
      <c r="P1689" s="7" t="n">
        <v>0.999989006</v>
      </c>
      <c r="Q1689" s="7" t="n">
        <v>14.37591476</v>
      </c>
      <c r="R1689" s="7" t="n">
        <v>5.836983849</v>
      </c>
      <c r="S1689" s="7" t="n">
        <v>0.7640567691</v>
      </c>
    </row>
    <row r="1690" customFormat="false" ht="15" hidden="false" customHeight="false" outlineLevel="0" collapsed="false">
      <c r="A1690" s="5" t="s">
        <v>4</v>
      </c>
      <c r="B1690" s="5" t="s">
        <v>83</v>
      </c>
      <c r="C1690" s="5" t="s">
        <v>58</v>
      </c>
      <c r="D1690" s="2" t="n">
        <v>12</v>
      </c>
      <c r="E1690" s="5" t="s">
        <v>165</v>
      </c>
      <c r="F1690" s="5" t="s">
        <v>167</v>
      </c>
      <c r="G1690" s="2" t="n">
        <v>1</v>
      </c>
      <c r="H1690" s="7" t="n">
        <v>-0.1378086885</v>
      </c>
      <c r="I1690" s="7" t="n">
        <v>-0.9904473981</v>
      </c>
      <c r="J1690" s="7" t="n">
        <v>0.004766239016</v>
      </c>
      <c r="K1690" s="7" t="n">
        <v>0.9904470927</v>
      </c>
      <c r="L1690" s="7" t="n">
        <v>-0.1378289179</v>
      </c>
      <c r="M1690" s="7" t="n">
        <v>-0.004212594026</v>
      </c>
      <c r="N1690" s="7" t="n">
        <v>0.004829278358</v>
      </c>
      <c r="O1690" s="7" t="n">
        <v>0.004140175519</v>
      </c>
      <c r="P1690" s="7" t="n">
        <v>0.9999797683</v>
      </c>
      <c r="Q1690" s="7" t="n">
        <v>-14.01963034</v>
      </c>
      <c r="R1690" s="7" t="n">
        <v>12.39574176</v>
      </c>
      <c r="S1690" s="7" t="n">
        <v>0.3551611437</v>
      </c>
    </row>
    <row r="1691" customFormat="false" ht="15" hidden="false" customHeight="false" outlineLevel="0" collapsed="false">
      <c r="A1691" s="5" t="s">
        <v>4</v>
      </c>
      <c r="B1691" s="5" t="s">
        <v>83</v>
      </c>
      <c r="C1691" s="5" t="s">
        <v>62</v>
      </c>
      <c r="D1691" s="2" t="n">
        <v>12</v>
      </c>
      <c r="E1691" s="5" t="s">
        <v>165</v>
      </c>
      <c r="F1691" s="5" t="s">
        <v>167</v>
      </c>
      <c r="G1691" s="2" t="n">
        <v>1</v>
      </c>
      <c r="H1691" s="7" t="n">
        <v>-0.1378086885</v>
      </c>
      <c r="I1691" s="7" t="n">
        <v>-0.9904473981</v>
      </c>
      <c r="J1691" s="7" t="n">
        <v>0.004766239016</v>
      </c>
      <c r="K1691" s="7" t="n">
        <v>0.9904470927</v>
      </c>
      <c r="L1691" s="7" t="n">
        <v>-0.1378289179</v>
      </c>
      <c r="M1691" s="7" t="n">
        <v>-0.004212594026</v>
      </c>
      <c r="N1691" s="7" t="n">
        <v>0.004829278358</v>
      </c>
      <c r="O1691" s="7" t="n">
        <v>0.004140175519</v>
      </c>
      <c r="P1691" s="7" t="n">
        <v>0.9999797683</v>
      </c>
      <c r="Q1691" s="7" t="n">
        <v>-14.01963034</v>
      </c>
      <c r="R1691" s="7" t="n">
        <v>12.39574176</v>
      </c>
      <c r="S1691" s="7" t="n">
        <v>0.3551611437</v>
      </c>
    </row>
    <row r="1692" customFormat="false" ht="15" hidden="false" customHeight="false" outlineLevel="0" collapsed="false">
      <c r="A1692" s="5" t="s">
        <v>4</v>
      </c>
      <c r="B1692" s="5" t="s">
        <v>83</v>
      </c>
      <c r="C1692" s="5" t="s">
        <v>58</v>
      </c>
      <c r="D1692" s="2" t="n">
        <v>12</v>
      </c>
      <c r="E1692" s="5" t="s">
        <v>165</v>
      </c>
      <c r="F1692" s="5" t="s">
        <v>168</v>
      </c>
      <c r="G1692" s="2" t="n">
        <v>1</v>
      </c>
      <c r="H1692" s="7" t="n">
        <v>0.9764680784</v>
      </c>
      <c r="I1692" s="7" t="n">
        <v>-0.2156619617</v>
      </c>
      <c r="J1692" s="7" t="n">
        <v>0.0001007852354</v>
      </c>
      <c r="K1692" s="7" t="n">
        <v>0.2156573717</v>
      </c>
      <c r="L1692" s="7" t="n">
        <v>0.9764440263</v>
      </c>
      <c r="M1692" s="7" t="n">
        <v>-0.006997256693</v>
      </c>
      <c r="N1692" s="7" t="n">
        <v>0.001410630964</v>
      </c>
      <c r="O1692" s="7" t="n">
        <v>0.006854332876</v>
      </c>
      <c r="P1692" s="7" t="n">
        <v>0.9999755138</v>
      </c>
      <c r="Q1692" s="7" t="n">
        <v>17.23317737</v>
      </c>
      <c r="R1692" s="7" t="n">
        <v>16.64156428</v>
      </c>
      <c r="S1692" s="7" t="n">
        <v>1.509163698</v>
      </c>
    </row>
    <row r="1693" customFormat="false" ht="15" hidden="false" customHeight="false" outlineLevel="0" collapsed="false">
      <c r="A1693" s="5" t="s">
        <v>4</v>
      </c>
      <c r="B1693" s="5" t="s">
        <v>83</v>
      </c>
      <c r="C1693" s="5" t="s">
        <v>62</v>
      </c>
      <c r="D1693" s="2" t="n">
        <v>12</v>
      </c>
      <c r="E1693" s="5" t="s">
        <v>165</v>
      </c>
      <c r="F1693" s="5" t="s">
        <v>168</v>
      </c>
      <c r="G1693" s="2" t="n">
        <v>1</v>
      </c>
      <c r="H1693" s="7" t="n">
        <v>0.9764680784</v>
      </c>
      <c r="I1693" s="7" t="n">
        <v>-0.2156619617</v>
      </c>
      <c r="J1693" s="7" t="n">
        <v>0.0001007852354</v>
      </c>
      <c r="K1693" s="7" t="n">
        <v>0.2156573717</v>
      </c>
      <c r="L1693" s="7" t="n">
        <v>0.9764440263</v>
      </c>
      <c r="M1693" s="7" t="n">
        <v>-0.006997256693</v>
      </c>
      <c r="N1693" s="7" t="n">
        <v>0.001410630964</v>
      </c>
      <c r="O1693" s="7" t="n">
        <v>0.006854332876</v>
      </c>
      <c r="P1693" s="7" t="n">
        <v>0.9999755138</v>
      </c>
      <c r="Q1693" s="7" t="n">
        <v>17.23317737</v>
      </c>
      <c r="R1693" s="7" t="n">
        <v>16.64156428</v>
      </c>
      <c r="S1693" s="7" t="n">
        <v>1.509163698</v>
      </c>
    </row>
    <row r="1694" customFormat="false" ht="15" hidden="false" customHeight="false" outlineLevel="0" collapsed="false">
      <c r="A1694" s="5" t="s">
        <v>4</v>
      </c>
      <c r="B1694" s="5" t="s">
        <v>83</v>
      </c>
      <c r="C1694" s="5" t="s">
        <v>58</v>
      </c>
      <c r="D1694" s="2" t="n">
        <v>13</v>
      </c>
      <c r="E1694" s="5" t="s">
        <v>165</v>
      </c>
      <c r="F1694" s="5" t="s">
        <v>166</v>
      </c>
      <c r="G1694" s="2" t="n">
        <v>1</v>
      </c>
      <c r="H1694" s="7" t="n">
        <v>0.9967817828</v>
      </c>
      <c r="I1694" s="7" t="n">
        <v>0.07975014839</v>
      </c>
      <c r="J1694" s="7" t="n">
        <v>-0.008123508253</v>
      </c>
      <c r="K1694" s="7" t="n">
        <v>-0.07972128071</v>
      </c>
      <c r="L1694" s="7" t="n">
        <v>0.9968098817</v>
      </c>
      <c r="M1694" s="7" t="n">
        <v>0.003818014885</v>
      </c>
      <c r="N1694" s="7" t="n">
        <v>0.008402080554</v>
      </c>
      <c r="O1694" s="7" t="n">
        <v>-0.003158111202</v>
      </c>
      <c r="P1694" s="7" t="n">
        <v>0.9999597149</v>
      </c>
      <c r="Q1694" s="7" t="n">
        <v>14.34728498</v>
      </c>
      <c r="R1694" s="7" t="n">
        <v>5.825896436</v>
      </c>
      <c r="S1694" s="7" t="n">
        <v>0.73221387</v>
      </c>
    </row>
    <row r="1695" customFormat="false" ht="15" hidden="false" customHeight="false" outlineLevel="0" collapsed="false">
      <c r="A1695" s="5" t="s">
        <v>4</v>
      </c>
      <c r="B1695" s="5" t="s">
        <v>83</v>
      </c>
      <c r="C1695" s="5" t="s">
        <v>62</v>
      </c>
      <c r="D1695" s="2" t="n">
        <v>13</v>
      </c>
      <c r="E1695" s="5" t="s">
        <v>165</v>
      </c>
      <c r="F1695" s="5" t="s">
        <v>166</v>
      </c>
      <c r="G1695" s="2" t="n">
        <v>1</v>
      </c>
      <c r="H1695" s="7" t="n">
        <v>0.9967817828</v>
      </c>
      <c r="I1695" s="7" t="n">
        <v>0.07975014839</v>
      </c>
      <c r="J1695" s="7" t="n">
        <v>-0.008123508253</v>
      </c>
      <c r="K1695" s="7" t="n">
        <v>-0.07972128071</v>
      </c>
      <c r="L1695" s="7" t="n">
        <v>0.9968098817</v>
      </c>
      <c r="M1695" s="7" t="n">
        <v>0.003818014885</v>
      </c>
      <c r="N1695" s="7" t="n">
        <v>0.008402080554</v>
      </c>
      <c r="O1695" s="7" t="n">
        <v>-0.003158111202</v>
      </c>
      <c r="P1695" s="7" t="n">
        <v>0.9999597149</v>
      </c>
      <c r="Q1695" s="7" t="n">
        <v>14.34728498</v>
      </c>
      <c r="R1695" s="7" t="n">
        <v>5.825896436</v>
      </c>
      <c r="S1695" s="7" t="n">
        <v>0.73221387</v>
      </c>
    </row>
    <row r="1696" customFormat="false" ht="15" hidden="false" customHeight="false" outlineLevel="0" collapsed="false">
      <c r="A1696" s="5" t="s">
        <v>4</v>
      </c>
      <c r="B1696" s="5" t="s">
        <v>83</v>
      </c>
      <c r="C1696" s="5" t="s">
        <v>58</v>
      </c>
      <c r="D1696" s="2" t="n">
        <v>13</v>
      </c>
      <c r="E1696" s="5" t="s">
        <v>165</v>
      </c>
      <c r="F1696" s="5" t="s">
        <v>167</v>
      </c>
      <c r="G1696" s="2" t="n">
        <v>1</v>
      </c>
      <c r="H1696" s="7" t="n">
        <v>-0.1338091549</v>
      </c>
      <c r="I1696" s="7" t="n">
        <v>-0.9910068222</v>
      </c>
      <c r="J1696" s="7" t="n">
        <v>0.000767051553</v>
      </c>
      <c r="K1696" s="7" t="n">
        <v>0.9909743471</v>
      </c>
      <c r="L1696" s="7" t="n">
        <v>-0.1338109845</v>
      </c>
      <c r="M1696" s="7" t="n">
        <v>-0.008028937581</v>
      </c>
      <c r="N1696" s="7" t="n">
        <v>0.008059371841</v>
      </c>
      <c r="O1696" s="7" t="n">
        <v>-0.0003142169407</v>
      </c>
      <c r="P1696" s="7" t="n">
        <v>0.9999674734</v>
      </c>
      <c r="Q1696" s="7" t="n">
        <v>-13.94241131</v>
      </c>
      <c r="R1696" s="7" t="n">
        <v>12.41810171</v>
      </c>
      <c r="S1696" s="7" t="n">
        <v>0.3203466909</v>
      </c>
    </row>
    <row r="1697" customFormat="false" ht="15" hidden="false" customHeight="false" outlineLevel="0" collapsed="false">
      <c r="A1697" s="5" t="s">
        <v>4</v>
      </c>
      <c r="B1697" s="5" t="s">
        <v>83</v>
      </c>
      <c r="C1697" s="5" t="s">
        <v>62</v>
      </c>
      <c r="D1697" s="2" t="n">
        <v>13</v>
      </c>
      <c r="E1697" s="5" t="s">
        <v>165</v>
      </c>
      <c r="F1697" s="5" t="s">
        <v>167</v>
      </c>
      <c r="G1697" s="2" t="n">
        <v>1</v>
      </c>
      <c r="H1697" s="7" t="n">
        <v>-0.1338091549</v>
      </c>
      <c r="I1697" s="7" t="n">
        <v>-0.9910068222</v>
      </c>
      <c r="J1697" s="7" t="n">
        <v>0.000767051553</v>
      </c>
      <c r="K1697" s="7" t="n">
        <v>0.9909743471</v>
      </c>
      <c r="L1697" s="7" t="n">
        <v>-0.1338109845</v>
      </c>
      <c r="M1697" s="7" t="n">
        <v>-0.008028937581</v>
      </c>
      <c r="N1697" s="7" t="n">
        <v>0.008059371841</v>
      </c>
      <c r="O1697" s="7" t="n">
        <v>-0.0003142169407</v>
      </c>
      <c r="P1697" s="7" t="n">
        <v>0.9999674734</v>
      </c>
      <c r="Q1697" s="7" t="n">
        <v>-13.94241131</v>
      </c>
      <c r="R1697" s="7" t="n">
        <v>12.41810171</v>
      </c>
      <c r="S1697" s="7" t="n">
        <v>0.3203466909</v>
      </c>
    </row>
    <row r="1698" customFormat="false" ht="15" hidden="false" customHeight="false" outlineLevel="0" collapsed="false">
      <c r="A1698" s="5" t="s">
        <v>4</v>
      </c>
      <c r="B1698" s="5" t="s">
        <v>83</v>
      </c>
      <c r="C1698" s="5" t="s">
        <v>58</v>
      </c>
      <c r="D1698" s="2" t="n">
        <v>13</v>
      </c>
      <c r="E1698" s="5" t="s">
        <v>165</v>
      </c>
      <c r="F1698" s="5" t="s">
        <v>168</v>
      </c>
      <c r="G1698" s="2" t="n">
        <v>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</row>
    <row r="1699" customFormat="false" ht="15" hidden="false" customHeight="false" outlineLevel="0" collapsed="false">
      <c r="A1699" s="5" t="s">
        <v>4</v>
      </c>
      <c r="B1699" s="5" t="s">
        <v>83</v>
      </c>
      <c r="C1699" s="5" t="s">
        <v>62</v>
      </c>
      <c r="D1699" s="2" t="n">
        <v>13</v>
      </c>
      <c r="E1699" s="5" t="s">
        <v>165</v>
      </c>
      <c r="F1699" s="5" t="s">
        <v>168</v>
      </c>
      <c r="G1699" s="2" t="n">
        <v>0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</row>
    <row r="1700" customFormat="false" ht="15" hidden="false" customHeight="false" outlineLevel="0" collapsed="false">
      <c r="A1700" s="5" t="s">
        <v>4</v>
      </c>
      <c r="B1700" s="5" t="s">
        <v>83</v>
      </c>
      <c r="C1700" s="5" t="s">
        <v>58</v>
      </c>
      <c r="D1700" s="2" t="n">
        <v>14</v>
      </c>
      <c r="E1700" s="5" t="s">
        <v>165</v>
      </c>
      <c r="F1700" s="5" t="s">
        <v>166</v>
      </c>
      <c r="G1700" s="2" t="n">
        <v>1</v>
      </c>
      <c r="H1700" s="7" t="n">
        <v>0.9967168543</v>
      </c>
      <c r="I1700" s="7" t="n">
        <v>0.08052759313</v>
      </c>
      <c r="J1700" s="7" t="n">
        <v>-0.008415414156</v>
      </c>
      <c r="K1700" s="7" t="n">
        <v>-0.08052659366</v>
      </c>
      <c r="L1700" s="7" t="n">
        <v>0.9967523553</v>
      </c>
      <c r="M1700" s="7" t="n">
        <v>0.0004580880025</v>
      </c>
      <c r="N1700" s="7" t="n">
        <v>0.008424972606</v>
      </c>
      <c r="O1700" s="7" t="n">
        <v>0.0002210806034</v>
      </c>
      <c r="P1700" s="7" t="n">
        <v>0.9999644848</v>
      </c>
      <c r="Q1700" s="7" t="n">
        <v>14.38188435</v>
      </c>
      <c r="R1700" s="7" t="n">
        <v>5.846777139</v>
      </c>
      <c r="S1700" s="7" t="n">
        <v>0.7491365631</v>
      </c>
    </row>
    <row r="1701" customFormat="false" ht="15" hidden="false" customHeight="false" outlineLevel="0" collapsed="false">
      <c r="A1701" s="5" t="s">
        <v>4</v>
      </c>
      <c r="B1701" s="5" t="s">
        <v>83</v>
      </c>
      <c r="C1701" s="5" t="s">
        <v>62</v>
      </c>
      <c r="D1701" s="2" t="n">
        <v>14</v>
      </c>
      <c r="E1701" s="5" t="s">
        <v>165</v>
      </c>
      <c r="F1701" s="5" t="s">
        <v>166</v>
      </c>
      <c r="G1701" s="2" t="n">
        <v>1</v>
      </c>
      <c r="H1701" s="7" t="n">
        <v>0.9967168543</v>
      </c>
      <c r="I1701" s="7" t="n">
        <v>0.08052759313</v>
      </c>
      <c r="J1701" s="7" t="n">
        <v>-0.008415414156</v>
      </c>
      <c r="K1701" s="7" t="n">
        <v>-0.08052659366</v>
      </c>
      <c r="L1701" s="7" t="n">
        <v>0.9967523553</v>
      </c>
      <c r="M1701" s="7" t="n">
        <v>0.0004580880025</v>
      </c>
      <c r="N1701" s="7" t="n">
        <v>0.008424972606</v>
      </c>
      <c r="O1701" s="7" t="n">
        <v>0.0002210806034</v>
      </c>
      <c r="P1701" s="7" t="n">
        <v>0.9999644848</v>
      </c>
      <c r="Q1701" s="7" t="n">
        <v>14.38188435</v>
      </c>
      <c r="R1701" s="7" t="n">
        <v>5.846777139</v>
      </c>
      <c r="S1701" s="7" t="n">
        <v>0.7491365631</v>
      </c>
    </row>
    <row r="1702" customFormat="false" ht="15" hidden="false" customHeight="false" outlineLevel="0" collapsed="false">
      <c r="A1702" s="5" t="s">
        <v>4</v>
      </c>
      <c r="B1702" s="5" t="s">
        <v>83</v>
      </c>
      <c r="C1702" s="5" t="s">
        <v>58</v>
      </c>
      <c r="D1702" s="2" t="n">
        <v>14</v>
      </c>
      <c r="E1702" s="5" t="s">
        <v>165</v>
      </c>
      <c r="F1702" s="5" t="s">
        <v>167</v>
      </c>
      <c r="G1702" s="2" t="n">
        <v>1</v>
      </c>
      <c r="H1702" s="7" t="n">
        <v>-0.1376807248</v>
      </c>
      <c r="I1702" s="7" t="n">
        <v>-0.9904722191</v>
      </c>
      <c r="J1702" s="7" t="n">
        <v>0.002966688739</v>
      </c>
      <c r="K1702" s="7" t="n">
        <v>0.990460506</v>
      </c>
      <c r="L1702" s="7" t="n">
        <v>-0.1376949689</v>
      </c>
      <c r="M1702" s="7" t="n">
        <v>-0.005299204152</v>
      </c>
      <c r="N1702" s="7" t="n">
        <v>0.005657212609</v>
      </c>
      <c r="O1702" s="7" t="n">
        <v>0.002208789761</v>
      </c>
      <c r="P1702" s="7" t="n">
        <v>0.9999815584</v>
      </c>
      <c r="Q1702" s="7" t="n">
        <v>-13.98653779</v>
      </c>
      <c r="R1702" s="7" t="n">
        <v>12.37724091</v>
      </c>
      <c r="S1702" s="7" t="n">
        <v>0.3673885354</v>
      </c>
    </row>
    <row r="1703" customFormat="false" ht="15" hidden="false" customHeight="false" outlineLevel="0" collapsed="false">
      <c r="A1703" s="5" t="s">
        <v>4</v>
      </c>
      <c r="B1703" s="5" t="s">
        <v>83</v>
      </c>
      <c r="C1703" s="5" t="s">
        <v>62</v>
      </c>
      <c r="D1703" s="2" t="n">
        <v>14</v>
      </c>
      <c r="E1703" s="5" t="s">
        <v>165</v>
      </c>
      <c r="F1703" s="5" t="s">
        <v>167</v>
      </c>
      <c r="G1703" s="2" t="n">
        <v>1</v>
      </c>
      <c r="H1703" s="7" t="n">
        <v>-0.1376807248</v>
      </c>
      <c r="I1703" s="7" t="n">
        <v>-0.9904722191</v>
      </c>
      <c r="J1703" s="7" t="n">
        <v>0.002966688739</v>
      </c>
      <c r="K1703" s="7" t="n">
        <v>0.990460506</v>
      </c>
      <c r="L1703" s="7" t="n">
        <v>-0.1376949689</v>
      </c>
      <c r="M1703" s="7" t="n">
        <v>-0.005299204152</v>
      </c>
      <c r="N1703" s="7" t="n">
        <v>0.005657212609</v>
      </c>
      <c r="O1703" s="7" t="n">
        <v>0.002208789761</v>
      </c>
      <c r="P1703" s="7" t="n">
        <v>0.9999815584</v>
      </c>
      <c r="Q1703" s="7" t="n">
        <v>-13.98653779</v>
      </c>
      <c r="R1703" s="7" t="n">
        <v>12.37724091</v>
      </c>
      <c r="S1703" s="7" t="n">
        <v>0.3673885354</v>
      </c>
    </row>
    <row r="1704" customFormat="false" ht="15" hidden="false" customHeight="false" outlineLevel="0" collapsed="false">
      <c r="A1704" s="5" t="s">
        <v>4</v>
      </c>
      <c r="B1704" s="5" t="s">
        <v>83</v>
      </c>
      <c r="C1704" s="5" t="s">
        <v>58</v>
      </c>
      <c r="D1704" s="2" t="n">
        <v>14</v>
      </c>
      <c r="E1704" s="5" t="s">
        <v>165</v>
      </c>
      <c r="F1704" s="5" t="s">
        <v>168</v>
      </c>
      <c r="G1704" s="2" t="n">
        <v>1</v>
      </c>
      <c r="H1704" s="7" t="n">
        <v>0.976658572</v>
      </c>
      <c r="I1704" s="7" t="n">
        <v>-0.2146170624</v>
      </c>
      <c r="J1704" s="7" t="n">
        <v>0.008806263261</v>
      </c>
      <c r="K1704" s="7" t="n">
        <v>0.2145676756</v>
      </c>
      <c r="L1704" s="7" t="n">
        <v>0.976689282</v>
      </c>
      <c r="M1704" s="7" t="n">
        <v>0.006225676827</v>
      </c>
      <c r="N1704" s="7" t="n">
        <v>-0.009937119414</v>
      </c>
      <c r="O1704" s="7" t="n">
        <v>-0.004190821202</v>
      </c>
      <c r="P1704" s="7" t="n">
        <v>0.9999418436</v>
      </c>
      <c r="Q1704" s="7" t="n">
        <v>17.28826692</v>
      </c>
      <c r="R1704" s="7" t="n">
        <v>16.64858672</v>
      </c>
      <c r="S1704" s="7" t="n">
        <v>1.033701618</v>
      </c>
    </row>
    <row r="1705" customFormat="false" ht="15" hidden="false" customHeight="false" outlineLevel="0" collapsed="false">
      <c r="A1705" s="5" t="s">
        <v>4</v>
      </c>
      <c r="B1705" s="5" t="s">
        <v>83</v>
      </c>
      <c r="C1705" s="5" t="s">
        <v>62</v>
      </c>
      <c r="D1705" s="2" t="n">
        <v>14</v>
      </c>
      <c r="E1705" s="5" t="s">
        <v>165</v>
      </c>
      <c r="F1705" s="5" t="s">
        <v>168</v>
      </c>
      <c r="G1705" s="2" t="n">
        <v>1</v>
      </c>
      <c r="H1705" s="7" t="n">
        <v>0.976658572</v>
      </c>
      <c r="I1705" s="7" t="n">
        <v>-0.2146170624</v>
      </c>
      <c r="J1705" s="7" t="n">
        <v>0.008806263261</v>
      </c>
      <c r="K1705" s="7" t="n">
        <v>0.2145676756</v>
      </c>
      <c r="L1705" s="7" t="n">
        <v>0.976689282</v>
      </c>
      <c r="M1705" s="7" t="n">
        <v>0.006225676827</v>
      </c>
      <c r="N1705" s="7" t="n">
        <v>-0.009937119414</v>
      </c>
      <c r="O1705" s="7" t="n">
        <v>-0.004190821202</v>
      </c>
      <c r="P1705" s="7" t="n">
        <v>0.9999418436</v>
      </c>
      <c r="Q1705" s="7" t="n">
        <v>17.28826692</v>
      </c>
      <c r="R1705" s="7" t="n">
        <v>16.64858672</v>
      </c>
      <c r="S1705" s="7" t="n">
        <v>1.033701618</v>
      </c>
    </row>
    <row r="1706" customFormat="false" ht="15" hidden="false" customHeight="false" outlineLevel="0" collapsed="false">
      <c r="A1706" s="5" t="s">
        <v>4</v>
      </c>
      <c r="B1706" s="5" t="s">
        <v>83</v>
      </c>
      <c r="C1706" s="5" t="s">
        <v>58</v>
      </c>
      <c r="D1706" s="2" t="n">
        <v>15</v>
      </c>
      <c r="E1706" s="5" t="s">
        <v>165</v>
      </c>
      <c r="F1706" s="5" t="s">
        <v>166</v>
      </c>
      <c r="G1706" s="2" t="n">
        <v>1</v>
      </c>
      <c r="H1706" s="7" t="n">
        <v>0.9967269448</v>
      </c>
      <c r="I1706" s="7" t="n">
        <v>0.08050911011</v>
      </c>
      <c r="J1706" s="7" t="n">
        <v>-0.007326709361</v>
      </c>
      <c r="K1706" s="7" t="n">
        <v>-0.0805142478</v>
      </c>
      <c r="L1706" s="7" t="n">
        <v>0.9967533742</v>
      </c>
      <c r="M1706" s="7" t="n">
        <v>-0.0004085147861</v>
      </c>
      <c r="N1706" s="7" t="n">
        <v>0.007270033115</v>
      </c>
      <c r="O1706" s="7" t="n">
        <v>0.0009970821877</v>
      </c>
      <c r="P1706" s="7" t="n">
        <v>0.9999730759</v>
      </c>
      <c r="Q1706" s="7" t="n">
        <v>14.36273164</v>
      </c>
      <c r="R1706" s="7" t="n">
        <v>5.836185544</v>
      </c>
      <c r="S1706" s="7" t="n">
        <v>0.7645129128</v>
      </c>
    </row>
    <row r="1707" customFormat="false" ht="15" hidden="false" customHeight="false" outlineLevel="0" collapsed="false">
      <c r="A1707" s="5" t="s">
        <v>4</v>
      </c>
      <c r="B1707" s="5" t="s">
        <v>83</v>
      </c>
      <c r="C1707" s="5" t="s">
        <v>62</v>
      </c>
      <c r="D1707" s="2" t="n">
        <v>15</v>
      </c>
      <c r="E1707" s="5" t="s">
        <v>165</v>
      </c>
      <c r="F1707" s="5" t="s">
        <v>166</v>
      </c>
      <c r="G1707" s="2" t="n">
        <v>1</v>
      </c>
      <c r="H1707" s="7" t="n">
        <v>0.9967269448</v>
      </c>
      <c r="I1707" s="7" t="n">
        <v>0.08050911011</v>
      </c>
      <c r="J1707" s="7" t="n">
        <v>-0.007326709361</v>
      </c>
      <c r="K1707" s="7" t="n">
        <v>-0.0805142478</v>
      </c>
      <c r="L1707" s="7" t="n">
        <v>0.9967533742</v>
      </c>
      <c r="M1707" s="7" t="n">
        <v>-0.0004085147861</v>
      </c>
      <c r="N1707" s="7" t="n">
        <v>0.007270033115</v>
      </c>
      <c r="O1707" s="7" t="n">
        <v>0.0009970821877</v>
      </c>
      <c r="P1707" s="7" t="n">
        <v>0.9999730759</v>
      </c>
      <c r="Q1707" s="7" t="n">
        <v>14.36273164</v>
      </c>
      <c r="R1707" s="7" t="n">
        <v>5.836185544</v>
      </c>
      <c r="S1707" s="7" t="n">
        <v>0.7645129128</v>
      </c>
    </row>
    <row r="1708" customFormat="false" ht="15" hidden="false" customHeight="false" outlineLevel="0" collapsed="false">
      <c r="A1708" s="5" t="s">
        <v>4</v>
      </c>
      <c r="B1708" s="5" t="s">
        <v>83</v>
      </c>
      <c r="C1708" s="5" t="s">
        <v>58</v>
      </c>
      <c r="D1708" s="2" t="n">
        <v>15</v>
      </c>
      <c r="E1708" s="5" t="s">
        <v>165</v>
      </c>
      <c r="F1708" s="5" t="s">
        <v>167</v>
      </c>
      <c r="G1708" s="2" t="n">
        <v>1</v>
      </c>
      <c r="H1708" s="7" t="n">
        <v>-0.1371449859</v>
      </c>
      <c r="I1708" s="7" t="n">
        <v>-0.9905421937</v>
      </c>
      <c r="J1708" s="7" t="n">
        <v>0.004173160468</v>
      </c>
      <c r="K1708" s="7" t="n">
        <v>0.9905344304</v>
      </c>
      <c r="L1708" s="7" t="n">
        <v>-0.1371658334</v>
      </c>
      <c r="M1708" s="7" t="n">
        <v>-0.005203487213</v>
      </c>
      <c r="N1708" s="7" t="n">
        <v>0.005726688673</v>
      </c>
      <c r="O1708" s="7" t="n">
        <v>0.003420026947</v>
      </c>
      <c r="P1708" s="7" t="n">
        <v>0.999977754</v>
      </c>
      <c r="Q1708" s="7" t="n">
        <v>-13.98733783</v>
      </c>
      <c r="R1708" s="7" t="n">
        <v>12.37034935</v>
      </c>
      <c r="S1708" s="7" t="n">
        <v>0.3772088421</v>
      </c>
    </row>
    <row r="1709" customFormat="false" ht="15" hidden="false" customHeight="false" outlineLevel="0" collapsed="false">
      <c r="A1709" s="5" t="s">
        <v>4</v>
      </c>
      <c r="B1709" s="5" t="s">
        <v>83</v>
      </c>
      <c r="C1709" s="5" t="s">
        <v>62</v>
      </c>
      <c r="D1709" s="2" t="n">
        <v>15</v>
      </c>
      <c r="E1709" s="5" t="s">
        <v>165</v>
      </c>
      <c r="F1709" s="5" t="s">
        <v>167</v>
      </c>
      <c r="G1709" s="2" t="n">
        <v>1</v>
      </c>
      <c r="H1709" s="7" t="n">
        <v>-0.1371449859</v>
      </c>
      <c r="I1709" s="7" t="n">
        <v>-0.9905421937</v>
      </c>
      <c r="J1709" s="7" t="n">
        <v>0.004173160468</v>
      </c>
      <c r="K1709" s="7" t="n">
        <v>0.9905344304</v>
      </c>
      <c r="L1709" s="7" t="n">
        <v>-0.1371658334</v>
      </c>
      <c r="M1709" s="7" t="n">
        <v>-0.005203487213</v>
      </c>
      <c r="N1709" s="7" t="n">
        <v>0.005726688673</v>
      </c>
      <c r="O1709" s="7" t="n">
        <v>0.003420026947</v>
      </c>
      <c r="P1709" s="7" t="n">
        <v>0.999977754</v>
      </c>
      <c r="Q1709" s="7" t="n">
        <v>-13.98733783</v>
      </c>
      <c r="R1709" s="7" t="n">
        <v>12.37034935</v>
      </c>
      <c r="S1709" s="7" t="n">
        <v>0.3772088421</v>
      </c>
    </row>
    <row r="1710" customFormat="false" ht="15" hidden="false" customHeight="false" outlineLevel="0" collapsed="false">
      <c r="A1710" s="5" t="s">
        <v>4</v>
      </c>
      <c r="B1710" s="5" t="s">
        <v>83</v>
      </c>
      <c r="C1710" s="5" t="s">
        <v>58</v>
      </c>
      <c r="D1710" s="2" t="n">
        <v>15</v>
      </c>
      <c r="E1710" s="5" t="s">
        <v>165</v>
      </c>
      <c r="F1710" s="5" t="s">
        <v>168</v>
      </c>
      <c r="G1710" s="2" t="n">
        <v>1</v>
      </c>
      <c r="H1710" s="7" t="n">
        <v>0.976530659</v>
      </c>
      <c r="I1710" s="7" t="n">
        <v>-0.2153608878</v>
      </c>
      <c r="J1710" s="7" t="n">
        <v>-0.002749550635</v>
      </c>
      <c r="K1710" s="7" t="n">
        <v>0.2153394001</v>
      </c>
      <c r="L1710" s="7" t="n">
        <v>0.976517146</v>
      </c>
      <c r="M1710" s="7" t="n">
        <v>-0.006573158654</v>
      </c>
      <c r="N1710" s="7" t="n">
        <v>0.004100584622</v>
      </c>
      <c r="O1710" s="7" t="n">
        <v>0.005826804368</v>
      </c>
      <c r="P1710" s="7" t="n">
        <v>0.9999746165</v>
      </c>
      <c r="Q1710" s="7" t="n">
        <v>17.23654633</v>
      </c>
      <c r="R1710" s="7" t="n">
        <v>16.63084318</v>
      </c>
      <c r="S1710" s="7" t="n">
        <v>1.554287239</v>
      </c>
    </row>
    <row r="1711" customFormat="false" ht="15" hidden="false" customHeight="false" outlineLevel="0" collapsed="false">
      <c r="A1711" s="5" t="s">
        <v>4</v>
      </c>
      <c r="B1711" s="5" t="s">
        <v>83</v>
      </c>
      <c r="C1711" s="5" t="s">
        <v>62</v>
      </c>
      <c r="D1711" s="2" t="n">
        <v>15</v>
      </c>
      <c r="E1711" s="5" t="s">
        <v>165</v>
      </c>
      <c r="F1711" s="5" t="s">
        <v>168</v>
      </c>
      <c r="G1711" s="2" t="n">
        <v>1</v>
      </c>
      <c r="H1711" s="7" t="n">
        <v>0.976530659</v>
      </c>
      <c r="I1711" s="7" t="n">
        <v>-0.2153608878</v>
      </c>
      <c r="J1711" s="7" t="n">
        <v>-0.002749550635</v>
      </c>
      <c r="K1711" s="7" t="n">
        <v>0.2153394001</v>
      </c>
      <c r="L1711" s="7" t="n">
        <v>0.976517146</v>
      </c>
      <c r="M1711" s="7" t="n">
        <v>-0.006573158654</v>
      </c>
      <c r="N1711" s="7" t="n">
        <v>0.004100584622</v>
      </c>
      <c r="O1711" s="7" t="n">
        <v>0.005826804368</v>
      </c>
      <c r="P1711" s="7" t="n">
        <v>0.9999746165</v>
      </c>
      <c r="Q1711" s="7" t="n">
        <v>17.23654633</v>
      </c>
      <c r="R1711" s="7" t="n">
        <v>16.63084318</v>
      </c>
      <c r="S1711" s="7" t="n">
        <v>1.554287239</v>
      </c>
    </row>
    <row r="1712" customFormat="false" ht="15" hidden="false" customHeight="false" outlineLevel="0" collapsed="false">
      <c r="A1712" s="5" t="s">
        <v>4</v>
      </c>
      <c r="B1712" s="5" t="s">
        <v>83</v>
      </c>
      <c r="C1712" s="5" t="s">
        <v>58</v>
      </c>
      <c r="D1712" s="2" t="n">
        <v>16</v>
      </c>
      <c r="E1712" s="5" t="s">
        <v>165</v>
      </c>
      <c r="F1712" s="5" t="s">
        <v>166</v>
      </c>
      <c r="G1712" s="2" t="n">
        <v>1</v>
      </c>
      <c r="H1712" s="7" t="n">
        <v>0.9965881584</v>
      </c>
      <c r="I1712" s="7" t="n">
        <v>0.0820671881</v>
      </c>
      <c r="J1712" s="7" t="n">
        <v>-0.008776052246</v>
      </c>
      <c r="K1712" s="7" t="n">
        <v>-0.08206500995</v>
      </c>
      <c r="L1712" s="7" t="n">
        <v>0.9966267926</v>
      </c>
      <c r="M1712" s="7" t="n">
        <v>0.0006086233711</v>
      </c>
      <c r="N1712" s="7" t="n">
        <v>0.00879639681</v>
      </c>
      <c r="O1712" s="7" t="n">
        <v>0.0001136599703</v>
      </c>
      <c r="P1712" s="7" t="n">
        <v>0.9999613045</v>
      </c>
      <c r="Q1712" s="7" t="n">
        <v>14.35507792</v>
      </c>
      <c r="R1712" s="7" t="n">
        <v>5.787334601</v>
      </c>
      <c r="S1712" s="7" t="n">
        <v>0.787875982</v>
      </c>
    </row>
    <row r="1713" customFormat="false" ht="15" hidden="false" customHeight="false" outlineLevel="0" collapsed="false">
      <c r="A1713" s="5" t="s">
        <v>4</v>
      </c>
      <c r="B1713" s="5" t="s">
        <v>83</v>
      </c>
      <c r="C1713" s="5" t="s">
        <v>62</v>
      </c>
      <c r="D1713" s="2" t="n">
        <v>16</v>
      </c>
      <c r="E1713" s="5" t="s">
        <v>165</v>
      </c>
      <c r="F1713" s="5" t="s">
        <v>166</v>
      </c>
      <c r="G1713" s="2" t="n">
        <v>1</v>
      </c>
      <c r="H1713" s="7" t="n">
        <v>0.9965881584</v>
      </c>
      <c r="I1713" s="7" t="n">
        <v>0.0820671881</v>
      </c>
      <c r="J1713" s="7" t="n">
        <v>-0.008776052246</v>
      </c>
      <c r="K1713" s="7" t="n">
        <v>-0.08206500995</v>
      </c>
      <c r="L1713" s="7" t="n">
        <v>0.9966267926</v>
      </c>
      <c r="M1713" s="7" t="n">
        <v>0.0006086233711</v>
      </c>
      <c r="N1713" s="7" t="n">
        <v>0.00879639681</v>
      </c>
      <c r="O1713" s="7" t="n">
        <v>0.0001136599703</v>
      </c>
      <c r="P1713" s="7" t="n">
        <v>0.9999613045</v>
      </c>
      <c r="Q1713" s="7" t="n">
        <v>14.35507792</v>
      </c>
      <c r="R1713" s="7" t="n">
        <v>5.787334601</v>
      </c>
      <c r="S1713" s="7" t="n">
        <v>0.787875982</v>
      </c>
    </row>
    <row r="1714" customFormat="false" ht="15" hidden="false" customHeight="false" outlineLevel="0" collapsed="false">
      <c r="A1714" s="5" t="s">
        <v>4</v>
      </c>
      <c r="B1714" s="5" t="s">
        <v>83</v>
      </c>
      <c r="C1714" s="5" t="s">
        <v>58</v>
      </c>
      <c r="D1714" s="2" t="n">
        <v>16</v>
      </c>
      <c r="E1714" s="5" t="s">
        <v>165</v>
      </c>
      <c r="F1714" s="5" t="s">
        <v>167</v>
      </c>
      <c r="G1714" s="2" t="n">
        <v>1</v>
      </c>
      <c r="H1714" s="7" t="n">
        <v>-0.1377892472</v>
      </c>
      <c r="I1714" s="7" t="n">
        <v>-0.990451061</v>
      </c>
      <c r="J1714" s="7" t="n">
        <v>0.004562793462</v>
      </c>
      <c r="K1714" s="7" t="n">
        <v>0.9904441733</v>
      </c>
      <c r="L1714" s="7" t="n">
        <v>-0.1378126692</v>
      </c>
      <c r="M1714" s="7" t="n">
        <v>-0.005292231278</v>
      </c>
      <c r="N1714" s="7" t="n">
        <v>0.005870506831</v>
      </c>
      <c r="O1714" s="7" t="n">
        <v>0.003789979635</v>
      </c>
      <c r="P1714" s="7" t="n">
        <v>0.9999755863</v>
      </c>
      <c r="Q1714" s="7" t="n">
        <v>-14.00509958</v>
      </c>
      <c r="R1714" s="7" t="n">
        <v>12.37018537</v>
      </c>
      <c r="S1714" s="7" t="n">
        <v>0.3430701566</v>
      </c>
    </row>
    <row r="1715" customFormat="false" ht="15" hidden="false" customHeight="false" outlineLevel="0" collapsed="false">
      <c r="A1715" s="5" t="s">
        <v>4</v>
      </c>
      <c r="B1715" s="5" t="s">
        <v>83</v>
      </c>
      <c r="C1715" s="5" t="s">
        <v>62</v>
      </c>
      <c r="D1715" s="2" t="n">
        <v>16</v>
      </c>
      <c r="E1715" s="5" t="s">
        <v>165</v>
      </c>
      <c r="F1715" s="5" t="s">
        <v>167</v>
      </c>
      <c r="G1715" s="2" t="n">
        <v>1</v>
      </c>
      <c r="H1715" s="7" t="n">
        <v>-0.1377892472</v>
      </c>
      <c r="I1715" s="7" t="n">
        <v>-0.990451061</v>
      </c>
      <c r="J1715" s="7" t="n">
        <v>0.004562793462</v>
      </c>
      <c r="K1715" s="7" t="n">
        <v>0.9904441733</v>
      </c>
      <c r="L1715" s="7" t="n">
        <v>-0.1378126692</v>
      </c>
      <c r="M1715" s="7" t="n">
        <v>-0.005292231278</v>
      </c>
      <c r="N1715" s="7" t="n">
        <v>0.005870506831</v>
      </c>
      <c r="O1715" s="7" t="n">
        <v>0.003789979635</v>
      </c>
      <c r="P1715" s="7" t="n">
        <v>0.9999755863</v>
      </c>
      <c r="Q1715" s="7" t="n">
        <v>-14.00509958</v>
      </c>
      <c r="R1715" s="7" t="n">
        <v>12.37018537</v>
      </c>
      <c r="S1715" s="7" t="n">
        <v>0.3430701566</v>
      </c>
    </row>
    <row r="1716" customFormat="false" ht="15" hidden="false" customHeight="false" outlineLevel="0" collapsed="false">
      <c r="A1716" s="5" t="s">
        <v>4</v>
      </c>
      <c r="B1716" s="5" t="s">
        <v>83</v>
      </c>
      <c r="C1716" s="5" t="s">
        <v>58</v>
      </c>
      <c r="D1716" s="2" t="n">
        <v>16</v>
      </c>
      <c r="E1716" s="5" t="s">
        <v>165</v>
      </c>
      <c r="F1716" s="5" t="s">
        <v>168</v>
      </c>
      <c r="G1716" s="2" t="n">
        <v>1</v>
      </c>
      <c r="H1716" s="7" t="n">
        <v>0.9765514279</v>
      </c>
      <c r="I1716" s="7" t="n">
        <v>-0.2152496776</v>
      </c>
      <c r="J1716" s="7" t="n">
        <v>-0.00385811417</v>
      </c>
      <c r="K1716" s="7" t="n">
        <v>0.2151868589</v>
      </c>
      <c r="L1716" s="7" t="n">
        <v>0.9764918841</v>
      </c>
      <c r="M1716" s="7" t="n">
        <v>-0.01257839619</v>
      </c>
      <c r="N1716" s="7" t="n">
        <v>0.0064749129</v>
      </c>
      <c r="O1716" s="7" t="n">
        <v>0.01145323529</v>
      </c>
      <c r="P1716" s="7" t="n">
        <v>0.9999134457</v>
      </c>
      <c r="Q1716" s="7" t="n">
        <v>17.20371506</v>
      </c>
      <c r="R1716" s="7" t="n">
        <v>16.62471218</v>
      </c>
      <c r="S1716" s="7" t="n">
        <v>1.692735588</v>
      </c>
    </row>
    <row r="1717" customFormat="false" ht="15" hidden="false" customHeight="false" outlineLevel="0" collapsed="false">
      <c r="A1717" s="5" t="s">
        <v>4</v>
      </c>
      <c r="B1717" s="5" t="s">
        <v>83</v>
      </c>
      <c r="C1717" s="5" t="s">
        <v>62</v>
      </c>
      <c r="D1717" s="2" t="n">
        <v>16</v>
      </c>
      <c r="E1717" s="5" t="s">
        <v>165</v>
      </c>
      <c r="F1717" s="5" t="s">
        <v>168</v>
      </c>
      <c r="G1717" s="2" t="n">
        <v>1</v>
      </c>
      <c r="H1717" s="7" t="n">
        <v>0.9765514279</v>
      </c>
      <c r="I1717" s="7" t="n">
        <v>-0.2152496776</v>
      </c>
      <c r="J1717" s="7" t="n">
        <v>-0.00385811417</v>
      </c>
      <c r="K1717" s="7" t="n">
        <v>0.2151868589</v>
      </c>
      <c r="L1717" s="7" t="n">
        <v>0.9764918841</v>
      </c>
      <c r="M1717" s="7" t="n">
        <v>-0.01257839619</v>
      </c>
      <c r="N1717" s="7" t="n">
        <v>0.0064749129</v>
      </c>
      <c r="O1717" s="7" t="n">
        <v>0.01145323529</v>
      </c>
      <c r="P1717" s="7" t="n">
        <v>0.9999134457</v>
      </c>
      <c r="Q1717" s="7" t="n">
        <v>17.20371506</v>
      </c>
      <c r="R1717" s="7" t="n">
        <v>16.62471218</v>
      </c>
      <c r="S1717" s="7" t="n">
        <v>1.692735588</v>
      </c>
    </row>
    <row r="1718" customFormat="false" ht="15" hidden="false" customHeight="false" outlineLevel="0" collapsed="false">
      <c r="A1718" s="5" t="s">
        <v>4</v>
      </c>
      <c r="B1718" s="5" t="s">
        <v>83</v>
      </c>
      <c r="C1718" s="5" t="s">
        <v>58</v>
      </c>
      <c r="D1718" s="2" t="n">
        <v>17</v>
      </c>
      <c r="E1718" s="5" t="s">
        <v>165</v>
      </c>
      <c r="F1718" s="5" t="s">
        <v>166</v>
      </c>
      <c r="G1718" s="2" t="n">
        <v>1</v>
      </c>
      <c r="H1718" s="7" t="n">
        <v>0.9966502048</v>
      </c>
      <c r="I1718" s="7" t="n">
        <v>0.07978541675</v>
      </c>
      <c r="J1718" s="7" t="n">
        <v>-0.0179626436</v>
      </c>
      <c r="K1718" s="7" t="n">
        <v>-0.07979124567</v>
      </c>
      <c r="L1718" s="7" t="n">
        <v>0.9968115181</v>
      </c>
      <c r="M1718" s="7" t="n">
        <v>0.0003930964364</v>
      </c>
      <c r="N1718" s="7" t="n">
        <v>0.0179367334</v>
      </c>
      <c r="O1718" s="7" t="n">
        <v>0.001041482065</v>
      </c>
      <c r="P1718" s="7" t="n">
        <v>0.9998385814</v>
      </c>
      <c r="Q1718" s="7" t="n">
        <v>14.33147108</v>
      </c>
      <c r="R1718" s="7" t="n">
        <v>5.826490355</v>
      </c>
      <c r="S1718" s="7" t="n">
        <v>0.8550884932</v>
      </c>
    </row>
    <row r="1719" customFormat="false" ht="15" hidden="false" customHeight="false" outlineLevel="0" collapsed="false">
      <c r="A1719" s="5" t="s">
        <v>4</v>
      </c>
      <c r="B1719" s="5" t="s">
        <v>83</v>
      </c>
      <c r="C1719" s="5" t="s">
        <v>62</v>
      </c>
      <c r="D1719" s="2" t="n">
        <v>17</v>
      </c>
      <c r="E1719" s="5" t="s">
        <v>165</v>
      </c>
      <c r="F1719" s="5" t="s">
        <v>166</v>
      </c>
      <c r="G1719" s="2" t="n">
        <v>1</v>
      </c>
      <c r="H1719" s="7" t="n">
        <v>0.9966502048</v>
      </c>
      <c r="I1719" s="7" t="n">
        <v>0.07978541675</v>
      </c>
      <c r="J1719" s="7" t="n">
        <v>-0.0179626436</v>
      </c>
      <c r="K1719" s="7" t="n">
        <v>-0.07979124567</v>
      </c>
      <c r="L1719" s="7" t="n">
        <v>0.9968115181</v>
      </c>
      <c r="M1719" s="7" t="n">
        <v>0.0003930964364</v>
      </c>
      <c r="N1719" s="7" t="n">
        <v>0.0179367334</v>
      </c>
      <c r="O1719" s="7" t="n">
        <v>0.001041482065</v>
      </c>
      <c r="P1719" s="7" t="n">
        <v>0.9998385814</v>
      </c>
      <c r="Q1719" s="7" t="n">
        <v>14.33147108</v>
      </c>
      <c r="R1719" s="7" t="n">
        <v>5.826490355</v>
      </c>
      <c r="S1719" s="7" t="n">
        <v>0.8550884932</v>
      </c>
    </row>
    <row r="1720" customFormat="false" ht="15" hidden="false" customHeight="false" outlineLevel="0" collapsed="false">
      <c r="A1720" s="5" t="s">
        <v>4</v>
      </c>
      <c r="B1720" s="5" t="s">
        <v>83</v>
      </c>
      <c r="C1720" s="5" t="s">
        <v>58</v>
      </c>
      <c r="D1720" s="2" t="n">
        <v>17</v>
      </c>
      <c r="E1720" s="5" t="s">
        <v>165</v>
      </c>
      <c r="F1720" s="5" t="s">
        <v>167</v>
      </c>
      <c r="G1720" s="2" t="n">
        <v>1</v>
      </c>
      <c r="H1720" s="7" t="n">
        <v>-0.1370531474</v>
      </c>
      <c r="I1720" s="7" t="n">
        <v>-0.9905054767</v>
      </c>
      <c r="J1720" s="7" t="n">
        <v>0.01073943437</v>
      </c>
      <c r="K1720" s="7" t="n">
        <v>0.9904959966</v>
      </c>
      <c r="L1720" s="7" t="n">
        <v>-0.1371624785</v>
      </c>
      <c r="M1720" s="7" t="n">
        <v>-0.01020466497</v>
      </c>
      <c r="N1720" s="7" t="n">
        <v>0.01158082398</v>
      </c>
      <c r="O1720" s="7" t="n">
        <v>0.0092387853</v>
      </c>
      <c r="P1720" s="7" t="n">
        <v>0.9998902587</v>
      </c>
      <c r="Q1720" s="7" t="n">
        <v>-13.9694579</v>
      </c>
      <c r="R1720" s="7" t="n">
        <v>12.37416274</v>
      </c>
      <c r="S1720" s="7" t="n">
        <v>0.4623972097</v>
      </c>
    </row>
    <row r="1721" customFormat="false" ht="15" hidden="false" customHeight="false" outlineLevel="0" collapsed="false">
      <c r="A1721" s="5" t="s">
        <v>4</v>
      </c>
      <c r="B1721" s="5" t="s">
        <v>83</v>
      </c>
      <c r="C1721" s="5" t="s">
        <v>62</v>
      </c>
      <c r="D1721" s="2" t="n">
        <v>17</v>
      </c>
      <c r="E1721" s="5" t="s">
        <v>165</v>
      </c>
      <c r="F1721" s="5" t="s">
        <v>167</v>
      </c>
      <c r="G1721" s="2" t="n">
        <v>1</v>
      </c>
      <c r="H1721" s="7" t="n">
        <v>-0.1370531474</v>
      </c>
      <c r="I1721" s="7" t="n">
        <v>-0.9905054767</v>
      </c>
      <c r="J1721" s="7" t="n">
        <v>0.01073943437</v>
      </c>
      <c r="K1721" s="7" t="n">
        <v>0.9904959966</v>
      </c>
      <c r="L1721" s="7" t="n">
        <v>-0.1371624785</v>
      </c>
      <c r="M1721" s="7" t="n">
        <v>-0.01020466497</v>
      </c>
      <c r="N1721" s="7" t="n">
        <v>0.01158082398</v>
      </c>
      <c r="O1721" s="7" t="n">
        <v>0.0092387853</v>
      </c>
      <c r="P1721" s="7" t="n">
        <v>0.9998902587</v>
      </c>
      <c r="Q1721" s="7" t="n">
        <v>-13.9694579</v>
      </c>
      <c r="R1721" s="7" t="n">
        <v>12.37416274</v>
      </c>
      <c r="S1721" s="7" t="n">
        <v>0.4623972097</v>
      </c>
    </row>
    <row r="1722" customFormat="false" ht="15" hidden="false" customHeight="false" outlineLevel="0" collapsed="false">
      <c r="A1722" s="5" t="s">
        <v>4</v>
      </c>
      <c r="B1722" s="5" t="s">
        <v>83</v>
      </c>
      <c r="C1722" s="5" t="s">
        <v>58</v>
      </c>
      <c r="D1722" s="2" t="n">
        <v>17</v>
      </c>
      <c r="E1722" s="5" t="s">
        <v>165</v>
      </c>
      <c r="F1722" s="5" t="s">
        <v>168</v>
      </c>
      <c r="G1722" s="2" t="n">
        <v>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</row>
    <row r="1723" customFormat="false" ht="15" hidden="false" customHeight="false" outlineLevel="0" collapsed="false">
      <c r="A1723" s="5" t="s">
        <v>4</v>
      </c>
      <c r="B1723" s="5" t="s">
        <v>83</v>
      </c>
      <c r="C1723" s="5" t="s">
        <v>62</v>
      </c>
      <c r="D1723" s="2" t="n">
        <v>17</v>
      </c>
      <c r="E1723" s="5" t="s">
        <v>165</v>
      </c>
      <c r="F1723" s="5" t="s">
        <v>168</v>
      </c>
      <c r="G1723" s="2" t="n">
        <v>0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</row>
    <row r="1724" customFormat="false" ht="15" hidden="false" customHeight="false" outlineLevel="0" collapsed="false">
      <c r="A1724" s="5" t="s">
        <v>4</v>
      </c>
      <c r="B1724" s="5" t="s">
        <v>83</v>
      </c>
      <c r="C1724" s="5" t="s">
        <v>58</v>
      </c>
      <c r="D1724" s="2" t="n">
        <v>18</v>
      </c>
      <c r="E1724" s="5" t="s">
        <v>165</v>
      </c>
      <c r="F1724" s="5" t="s">
        <v>166</v>
      </c>
      <c r="G1724" s="2" t="n">
        <v>1</v>
      </c>
      <c r="H1724" s="7" t="n">
        <v>0.9967470886</v>
      </c>
      <c r="I1724" s="7" t="n">
        <v>0.08010680357</v>
      </c>
      <c r="J1724" s="7" t="n">
        <v>-0.008839762823</v>
      </c>
      <c r="K1724" s="7" t="n">
        <v>-0.08007022515</v>
      </c>
      <c r="L1724" s="7" t="n">
        <v>0.9967794358</v>
      </c>
      <c r="M1724" s="7" t="n">
        <v>0.00441761451</v>
      </c>
      <c r="N1724" s="7" t="n">
        <v>0.009165174778</v>
      </c>
      <c r="O1724" s="7" t="n">
        <v>-0.003695442602</v>
      </c>
      <c r="P1724" s="7" t="n">
        <v>0.9999511704</v>
      </c>
      <c r="Q1724" s="7" t="n">
        <v>14.35122916</v>
      </c>
      <c r="R1724" s="7" t="n">
        <v>5.832729738</v>
      </c>
      <c r="S1724" s="7" t="n">
        <v>0.7236029135</v>
      </c>
    </row>
    <row r="1725" customFormat="false" ht="15" hidden="false" customHeight="false" outlineLevel="0" collapsed="false">
      <c r="A1725" s="5" t="s">
        <v>4</v>
      </c>
      <c r="B1725" s="5" t="s">
        <v>83</v>
      </c>
      <c r="C1725" s="5" t="s">
        <v>62</v>
      </c>
      <c r="D1725" s="2" t="n">
        <v>18</v>
      </c>
      <c r="E1725" s="5" t="s">
        <v>165</v>
      </c>
      <c r="F1725" s="5" t="s">
        <v>166</v>
      </c>
      <c r="G1725" s="2" t="n">
        <v>1</v>
      </c>
      <c r="H1725" s="7" t="n">
        <v>0.9967470886</v>
      </c>
      <c r="I1725" s="7" t="n">
        <v>0.08010680357</v>
      </c>
      <c r="J1725" s="7" t="n">
        <v>-0.008839762823</v>
      </c>
      <c r="K1725" s="7" t="n">
        <v>-0.08007022515</v>
      </c>
      <c r="L1725" s="7" t="n">
        <v>0.9967794358</v>
      </c>
      <c r="M1725" s="7" t="n">
        <v>0.00441761451</v>
      </c>
      <c r="N1725" s="7" t="n">
        <v>0.009165174778</v>
      </c>
      <c r="O1725" s="7" t="n">
        <v>-0.003695442602</v>
      </c>
      <c r="P1725" s="7" t="n">
        <v>0.9999511704</v>
      </c>
      <c r="Q1725" s="7" t="n">
        <v>14.35122916</v>
      </c>
      <c r="R1725" s="7" t="n">
        <v>5.832729738</v>
      </c>
      <c r="S1725" s="7" t="n">
        <v>0.7236029135</v>
      </c>
    </row>
    <row r="1726" customFormat="false" ht="15" hidden="false" customHeight="false" outlineLevel="0" collapsed="false">
      <c r="A1726" s="5" t="s">
        <v>4</v>
      </c>
      <c r="B1726" s="5" t="s">
        <v>83</v>
      </c>
      <c r="C1726" s="5" t="s">
        <v>58</v>
      </c>
      <c r="D1726" s="2" t="n">
        <v>18</v>
      </c>
      <c r="E1726" s="5" t="s">
        <v>165</v>
      </c>
      <c r="F1726" s="5" t="s">
        <v>167</v>
      </c>
      <c r="G1726" s="2" t="n">
        <v>1</v>
      </c>
      <c r="H1726" s="7" t="n">
        <v>-0.1369151825</v>
      </c>
      <c r="I1726" s="7" t="n">
        <v>-0.9905825351</v>
      </c>
      <c r="J1726" s="7" t="n">
        <v>0.0006884463824</v>
      </c>
      <c r="K1726" s="7" t="n">
        <v>0.9905719431</v>
      </c>
      <c r="L1726" s="7" t="n">
        <v>-0.1369169024</v>
      </c>
      <c r="M1726" s="7" t="n">
        <v>-0.004581201082</v>
      </c>
      <c r="N1726" s="7" t="n">
        <v>0.004632317728</v>
      </c>
      <c r="O1726" s="7" t="n">
        <v>5.471968868E-005</v>
      </c>
      <c r="P1726" s="7" t="n">
        <v>0.9999892693</v>
      </c>
      <c r="Q1726" s="7" t="n">
        <v>-13.99553419</v>
      </c>
      <c r="R1726" s="7" t="n">
        <v>12.38292594</v>
      </c>
      <c r="S1726" s="7" t="n">
        <v>0.3023053928</v>
      </c>
    </row>
    <row r="1727" customFormat="false" ht="15" hidden="false" customHeight="false" outlineLevel="0" collapsed="false">
      <c r="A1727" s="5" t="s">
        <v>4</v>
      </c>
      <c r="B1727" s="5" t="s">
        <v>83</v>
      </c>
      <c r="C1727" s="5" t="s">
        <v>62</v>
      </c>
      <c r="D1727" s="2" t="n">
        <v>18</v>
      </c>
      <c r="E1727" s="5" t="s">
        <v>165</v>
      </c>
      <c r="F1727" s="5" t="s">
        <v>167</v>
      </c>
      <c r="G1727" s="2" t="n">
        <v>1</v>
      </c>
      <c r="H1727" s="7" t="n">
        <v>-0.1369151825</v>
      </c>
      <c r="I1727" s="7" t="n">
        <v>-0.9905825351</v>
      </c>
      <c r="J1727" s="7" t="n">
        <v>0.0006884463824</v>
      </c>
      <c r="K1727" s="7" t="n">
        <v>0.9905719431</v>
      </c>
      <c r="L1727" s="7" t="n">
        <v>-0.1369169024</v>
      </c>
      <c r="M1727" s="7" t="n">
        <v>-0.004581201082</v>
      </c>
      <c r="N1727" s="7" t="n">
        <v>0.004632317728</v>
      </c>
      <c r="O1727" s="7" t="n">
        <v>5.471968868E-005</v>
      </c>
      <c r="P1727" s="7" t="n">
        <v>0.9999892693</v>
      </c>
      <c r="Q1727" s="7" t="n">
        <v>-13.99553419</v>
      </c>
      <c r="R1727" s="7" t="n">
        <v>12.38292594</v>
      </c>
      <c r="S1727" s="7" t="n">
        <v>0.3023053928</v>
      </c>
    </row>
    <row r="1728" customFormat="false" ht="15" hidden="false" customHeight="false" outlineLevel="0" collapsed="false">
      <c r="A1728" s="5" t="s">
        <v>4</v>
      </c>
      <c r="B1728" s="5" t="s">
        <v>83</v>
      </c>
      <c r="C1728" s="5" t="s">
        <v>58</v>
      </c>
      <c r="D1728" s="2" t="n">
        <v>18</v>
      </c>
      <c r="E1728" s="5" t="s">
        <v>165</v>
      </c>
      <c r="F1728" s="5" t="s">
        <v>168</v>
      </c>
      <c r="G1728" s="2" t="n">
        <v>1</v>
      </c>
      <c r="H1728" s="7" t="n">
        <v>0.9766477339</v>
      </c>
      <c r="I1728" s="7" t="n">
        <v>-0.2147532737</v>
      </c>
      <c r="J1728" s="7" t="n">
        <v>-0.006343128912</v>
      </c>
      <c r="K1728" s="7" t="n">
        <v>0.2147220235</v>
      </c>
      <c r="L1728" s="7" t="n">
        <v>0.9766610297</v>
      </c>
      <c r="M1728" s="7" t="n">
        <v>-0.00526172217</v>
      </c>
      <c r="N1728" s="7" t="n">
        <v>0.007325058876</v>
      </c>
      <c r="O1728" s="7" t="n">
        <v>0.003776839558</v>
      </c>
      <c r="P1728" s="7" t="n">
        <v>0.9999660389</v>
      </c>
      <c r="Q1728" s="7" t="n">
        <v>17.2595464</v>
      </c>
      <c r="R1728" s="7" t="n">
        <v>16.63729442</v>
      </c>
      <c r="S1728" s="7" t="n">
        <v>1.500427765</v>
      </c>
    </row>
    <row r="1729" customFormat="false" ht="15" hidden="false" customHeight="false" outlineLevel="0" collapsed="false">
      <c r="A1729" s="5" t="s">
        <v>4</v>
      </c>
      <c r="B1729" s="5" t="s">
        <v>83</v>
      </c>
      <c r="C1729" s="5" t="s">
        <v>62</v>
      </c>
      <c r="D1729" s="2" t="n">
        <v>18</v>
      </c>
      <c r="E1729" s="5" t="s">
        <v>165</v>
      </c>
      <c r="F1729" s="5" t="s">
        <v>168</v>
      </c>
      <c r="G1729" s="2" t="n">
        <v>1</v>
      </c>
      <c r="H1729" s="7" t="n">
        <v>0.9766477339</v>
      </c>
      <c r="I1729" s="7" t="n">
        <v>-0.2147532737</v>
      </c>
      <c r="J1729" s="7" t="n">
        <v>-0.006343128912</v>
      </c>
      <c r="K1729" s="7" t="n">
        <v>0.2147220235</v>
      </c>
      <c r="L1729" s="7" t="n">
        <v>0.9766610297</v>
      </c>
      <c r="M1729" s="7" t="n">
        <v>-0.00526172217</v>
      </c>
      <c r="N1729" s="7" t="n">
        <v>0.007325058876</v>
      </c>
      <c r="O1729" s="7" t="n">
        <v>0.003776839558</v>
      </c>
      <c r="P1729" s="7" t="n">
        <v>0.9999660389</v>
      </c>
      <c r="Q1729" s="7" t="n">
        <v>17.2595464</v>
      </c>
      <c r="R1729" s="7" t="n">
        <v>16.63729442</v>
      </c>
      <c r="S1729" s="7" t="n">
        <v>1.500427765</v>
      </c>
    </row>
    <row r="1730" customFormat="false" ht="15" hidden="false" customHeight="false" outlineLevel="0" collapsed="false">
      <c r="A1730" s="5" t="s">
        <v>4</v>
      </c>
      <c r="B1730" s="5" t="s">
        <v>83</v>
      </c>
      <c r="C1730" s="5" t="s">
        <v>58</v>
      </c>
      <c r="D1730" s="2" t="n">
        <v>19</v>
      </c>
      <c r="E1730" s="5" t="s">
        <v>165</v>
      </c>
      <c r="F1730" s="5" t="s">
        <v>166</v>
      </c>
      <c r="G1730" s="2" t="n">
        <v>1</v>
      </c>
      <c r="H1730" s="7" t="n">
        <v>0.9966488351</v>
      </c>
      <c r="I1730" s="7" t="n">
        <v>0.08093280929</v>
      </c>
      <c r="J1730" s="7" t="n">
        <v>-0.01187349845</v>
      </c>
      <c r="K1730" s="7" t="n">
        <v>-0.08090883366</v>
      </c>
      <c r="L1730" s="7" t="n">
        <v>0.9967184041</v>
      </c>
      <c r="M1730" s="7" t="n">
        <v>0.002486689116</v>
      </c>
      <c r="N1730" s="7" t="n">
        <v>0.01203578916</v>
      </c>
      <c r="O1730" s="7" t="n">
        <v>-0.0015176849</v>
      </c>
      <c r="P1730" s="7" t="n">
        <v>0.9999264155</v>
      </c>
      <c r="Q1730" s="7" t="n">
        <v>14.37055221</v>
      </c>
      <c r="R1730" s="7" t="n">
        <v>5.829889498</v>
      </c>
      <c r="S1730" s="7" t="n">
        <v>0.7518101967</v>
      </c>
    </row>
    <row r="1731" customFormat="false" ht="15" hidden="false" customHeight="false" outlineLevel="0" collapsed="false">
      <c r="A1731" s="5" t="s">
        <v>4</v>
      </c>
      <c r="B1731" s="5" t="s">
        <v>83</v>
      </c>
      <c r="C1731" s="5" t="s">
        <v>62</v>
      </c>
      <c r="D1731" s="2" t="n">
        <v>19</v>
      </c>
      <c r="E1731" s="5" t="s">
        <v>165</v>
      </c>
      <c r="F1731" s="5" t="s">
        <v>166</v>
      </c>
      <c r="G1731" s="2" t="n">
        <v>1</v>
      </c>
      <c r="H1731" s="7" t="n">
        <v>0.9966488351</v>
      </c>
      <c r="I1731" s="7" t="n">
        <v>0.08093280929</v>
      </c>
      <c r="J1731" s="7" t="n">
        <v>-0.01187349845</v>
      </c>
      <c r="K1731" s="7" t="n">
        <v>-0.08090883366</v>
      </c>
      <c r="L1731" s="7" t="n">
        <v>0.9967184041</v>
      </c>
      <c r="M1731" s="7" t="n">
        <v>0.002486689116</v>
      </c>
      <c r="N1731" s="7" t="n">
        <v>0.01203578916</v>
      </c>
      <c r="O1731" s="7" t="n">
        <v>-0.0015176849</v>
      </c>
      <c r="P1731" s="7" t="n">
        <v>0.9999264155</v>
      </c>
      <c r="Q1731" s="7" t="n">
        <v>14.37055221</v>
      </c>
      <c r="R1731" s="7" t="n">
        <v>5.829889498</v>
      </c>
      <c r="S1731" s="7" t="n">
        <v>0.7518101967</v>
      </c>
    </row>
    <row r="1732" customFormat="false" ht="15" hidden="false" customHeight="false" outlineLevel="0" collapsed="false">
      <c r="A1732" s="5" t="s">
        <v>4</v>
      </c>
      <c r="B1732" s="5" t="s">
        <v>83</v>
      </c>
      <c r="C1732" s="5" t="s">
        <v>58</v>
      </c>
      <c r="D1732" s="2" t="n">
        <v>19</v>
      </c>
      <c r="E1732" s="5" t="s">
        <v>165</v>
      </c>
      <c r="F1732" s="5" t="s">
        <v>167</v>
      </c>
      <c r="G1732" s="2" t="n">
        <v>1</v>
      </c>
      <c r="H1732" s="7" t="n">
        <v>-0.1354894741</v>
      </c>
      <c r="I1732" s="7" t="n">
        <v>-0.9907170878</v>
      </c>
      <c r="J1732" s="7" t="n">
        <v>-0.01105686587</v>
      </c>
      <c r="K1732" s="7" t="n">
        <v>0.9906172162</v>
      </c>
      <c r="L1732" s="7" t="n">
        <v>-0.1352574115</v>
      </c>
      <c r="M1732" s="7" t="n">
        <v>-0.01956945574</v>
      </c>
      <c r="N1732" s="7" t="n">
        <v>0.01789227115</v>
      </c>
      <c r="O1732" s="7" t="n">
        <v>-0.01360457696</v>
      </c>
      <c r="P1732" s="7" t="n">
        <v>0.9997473591</v>
      </c>
      <c r="Q1732" s="7" t="n">
        <v>-13.99856623</v>
      </c>
      <c r="R1732" s="7" t="n">
        <v>12.38673521</v>
      </c>
      <c r="S1732" s="7" t="n">
        <v>0.3774799847</v>
      </c>
    </row>
    <row r="1733" customFormat="false" ht="15" hidden="false" customHeight="false" outlineLevel="0" collapsed="false">
      <c r="A1733" s="5" t="s">
        <v>4</v>
      </c>
      <c r="B1733" s="5" t="s">
        <v>83</v>
      </c>
      <c r="C1733" s="5" t="s">
        <v>62</v>
      </c>
      <c r="D1733" s="2" t="n">
        <v>19</v>
      </c>
      <c r="E1733" s="5" t="s">
        <v>165</v>
      </c>
      <c r="F1733" s="5" t="s">
        <v>167</v>
      </c>
      <c r="G1733" s="2" t="n">
        <v>1</v>
      </c>
      <c r="H1733" s="7" t="n">
        <v>-0.1354894741</v>
      </c>
      <c r="I1733" s="7" t="n">
        <v>-0.9907170878</v>
      </c>
      <c r="J1733" s="7" t="n">
        <v>-0.01105686587</v>
      </c>
      <c r="K1733" s="7" t="n">
        <v>0.9906172162</v>
      </c>
      <c r="L1733" s="7" t="n">
        <v>-0.1352574115</v>
      </c>
      <c r="M1733" s="7" t="n">
        <v>-0.01956945574</v>
      </c>
      <c r="N1733" s="7" t="n">
        <v>0.01789227115</v>
      </c>
      <c r="O1733" s="7" t="n">
        <v>-0.01360457696</v>
      </c>
      <c r="P1733" s="7" t="n">
        <v>0.9997473591</v>
      </c>
      <c r="Q1733" s="7" t="n">
        <v>-13.99856623</v>
      </c>
      <c r="R1733" s="7" t="n">
        <v>12.38673521</v>
      </c>
      <c r="S1733" s="7" t="n">
        <v>0.3774799847</v>
      </c>
    </row>
    <row r="1734" customFormat="false" ht="15" hidden="false" customHeight="false" outlineLevel="0" collapsed="false">
      <c r="A1734" s="5" t="s">
        <v>4</v>
      </c>
      <c r="B1734" s="5" t="s">
        <v>83</v>
      </c>
      <c r="C1734" s="5" t="s">
        <v>58</v>
      </c>
      <c r="D1734" s="2" t="n">
        <v>19</v>
      </c>
      <c r="E1734" s="5" t="s">
        <v>165</v>
      </c>
      <c r="F1734" s="5" t="s">
        <v>168</v>
      </c>
      <c r="G1734" s="2" t="n">
        <v>1</v>
      </c>
      <c r="H1734" s="7" t="n">
        <v>0.9765850869</v>
      </c>
      <c r="I1734" s="7" t="n">
        <v>-0.2150690771</v>
      </c>
      <c r="J1734" s="7" t="n">
        <v>-0.005182681329</v>
      </c>
      <c r="K1734" s="7" t="n">
        <v>0.2150612379</v>
      </c>
      <c r="L1734" s="7" t="n">
        <v>0.9765984517</v>
      </c>
      <c r="M1734" s="7" t="n">
        <v>-0.002031762429</v>
      </c>
      <c r="N1734" s="7" t="n">
        <v>0.005498367832</v>
      </c>
      <c r="O1734" s="7" t="n">
        <v>0.0008695950259</v>
      </c>
      <c r="P1734" s="7" t="n">
        <v>0.9999845058</v>
      </c>
      <c r="Q1734" s="7" t="n">
        <v>17.2458452</v>
      </c>
      <c r="R1734" s="7" t="n">
        <v>16.66161055</v>
      </c>
      <c r="S1734" s="7" t="n">
        <v>1.490130877</v>
      </c>
    </row>
    <row r="1735" customFormat="false" ht="15" hidden="false" customHeight="false" outlineLevel="0" collapsed="false">
      <c r="A1735" s="5" t="s">
        <v>4</v>
      </c>
      <c r="B1735" s="5" t="s">
        <v>83</v>
      </c>
      <c r="C1735" s="5" t="s">
        <v>62</v>
      </c>
      <c r="D1735" s="2" t="n">
        <v>19</v>
      </c>
      <c r="E1735" s="5" t="s">
        <v>165</v>
      </c>
      <c r="F1735" s="5" t="s">
        <v>168</v>
      </c>
      <c r="G1735" s="2" t="n">
        <v>1</v>
      </c>
      <c r="H1735" s="7" t="n">
        <v>0.9765850869</v>
      </c>
      <c r="I1735" s="7" t="n">
        <v>-0.2150690771</v>
      </c>
      <c r="J1735" s="7" t="n">
        <v>-0.005182681329</v>
      </c>
      <c r="K1735" s="7" t="n">
        <v>0.2150612379</v>
      </c>
      <c r="L1735" s="7" t="n">
        <v>0.9765984517</v>
      </c>
      <c r="M1735" s="7" t="n">
        <v>-0.002031762429</v>
      </c>
      <c r="N1735" s="7" t="n">
        <v>0.005498367832</v>
      </c>
      <c r="O1735" s="7" t="n">
        <v>0.0008695950259</v>
      </c>
      <c r="P1735" s="7" t="n">
        <v>0.9999845058</v>
      </c>
      <c r="Q1735" s="7" t="n">
        <v>17.2458452</v>
      </c>
      <c r="R1735" s="7" t="n">
        <v>16.66161055</v>
      </c>
      <c r="S1735" s="7" t="n">
        <v>1.490130877</v>
      </c>
    </row>
    <row r="1736" customFormat="false" ht="15" hidden="false" customHeight="false" outlineLevel="0" collapsed="false">
      <c r="A1736" s="5" t="s">
        <v>4</v>
      </c>
      <c r="B1736" s="5" t="s">
        <v>83</v>
      </c>
      <c r="C1736" s="5" t="s">
        <v>58</v>
      </c>
      <c r="D1736" s="2" t="n">
        <v>20</v>
      </c>
      <c r="E1736" s="5" t="s">
        <v>165</v>
      </c>
      <c r="F1736" s="5" t="s">
        <v>166</v>
      </c>
      <c r="G1736" s="2" t="n">
        <v>1</v>
      </c>
      <c r="H1736" s="7" t="n">
        <v>0.996622304</v>
      </c>
      <c r="I1736" s="7" t="n">
        <v>0.08170610516</v>
      </c>
      <c r="J1736" s="7" t="n">
        <v>-0.008252008686</v>
      </c>
      <c r="K1736" s="7" t="n">
        <v>-0.08171476058</v>
      </c>
      <c r="L1736" s="7" t="n">
        <v>0.9966554993</v>
      </c>
      <c r="M1736" s="7" t="n">
        <v>-0.0007166648948</v>
      </c>
      <c r="N1736" s="7" t="n">
        <v>0.00816585394</v>
      </c>
      <c r="O1736" s="7" t="n">
        <v>0.001388555133</v>
      </c>
      <c r="P1736" s="7" t="n">
        <v>0.9999656948</v>
      </c>
      <c r="Q1736" s="7" t="n">
        <v>14.37716756</v>
      </c>
      <c r="R1736" s="7" t="n">
        <v>5.833376023</v>
      </c>
      <c r="S1736" s="7" t="n">
        <v>0.7683543095</v>
      </c>
    </row>
    <row r="1737" customFormat="false" ht="15" hidden="false" customHeight="false" outlineLevel="0" collapsed="false">
      <c r="A1737" s="5" t="s">
        <v>4</v>
      </c>
      <c r="B1737" s="5" t="s">
        <v>83</v>
      </c>
      <c r="C1737" s="5" t="s">
        <v>62</v>
      </c>
      <c r="D1737" s="2" t="n">
        <v>20</v>
      </c>
      <c r="E1737" s="5" t="s">
        <v>165</v>
      </c>
      <c r="F1737" s="5" t="s">
        <v>166</v>
      </c>
      <c r="G1737" s="2" t="n">
        <v>1</v>
      </c>
      <c r="H1737" s="7" t="n">
        <v>0.996622304</v>
      </c>
      <c r="I1737" s="7" t="n">
        <v>0.08170610516</v>
      </c>
      <c r="J1737" s="7" t="n">
        <v>-0.008252008686</v>
      </c>
      <c r="K1737" s="7" t="n">
        <v>-0.08171476058</v>
      </c>
      <c r="L1737" s="7" t="n">
        <v>0.9966554993</v>
      </c>
      <c r="M1737" s="7" t="n">
        <v>-0.0007166648948</v>
      </c>
      <c r="N1737" s="7" t="n">
        <v>0.00816585394</v>
      </c>
      <c r="O1737" s="7" t="n">
        <v>0.001388555133</v>
      </c>
      <c r="P1737" s="7" t="n">
        <v>0.9999656948</v>
      </c>
      <c r="Q1737" s="7" t="n">
        <v>14.37716756</v>
      </c>
      <c r="R1737" s="7" t="n">
        <v>5.833376023</v>
      </c>
      <c r="S1737" s="7" t="n">
        <v>0.7683543095</v>
      </c>
    </row>
    <row r="1738" customFormat="false" ht="15" hidden="false" customHeight="false" outlineLevel="0" collapsed="false">
      <c r="A1738" s="5" t="s">
        <v>4</v>
      </c>
      <c r="B1738" s="5" t="s">
        <v>83</v>
      </c>
      <c r="C1738" s="5" t="s">
        <v>58</v>
      </c>
      <c r="D1738" s="2" t="n">
        <v>20</v>
      </c>
      <c r="E1738" s="5" t="s">
        <v>165</v>
      </c>
      <c r="F1738" s="5" t="s">
        <v>167</v>
      </c>
      <c r="G1738" s="2" t="n">
        <v>1</v>
      </c>
      <c r="H1738" s="7" t="n">
        <v>-0.1347021564</v>
      </c>
      <c r="I1738" s="7" t="n">
        <v>-0.9908764092</v>
      </c>
      <c r="J1738" s="7" t="n">
        <v>-0.004389848337</v>
      </c>
      <c r="K1738" s="7" t="n">
        <v>0.9908785021</v>
      </c>
      <c r="L1738" s="7" t="n">
        <v>-0.1346824101</v>
      </c>
      <c r="M1738" s="7" t="n">
        <v>-0.004521341551</v>
      </c>
      <c r="N1738" s="7" t="n">
        <v>0.003888855326</v>
      </c>
      <c r="O1738" s="7" t="n">
        <v>-0.004958840801</v>
      </c>
      <c r="P1738" s="7" t="n">
        <v>0.9999801432</v>
      </c>
      <c r="Q1738" s="7" t="n">
        <v>-13.98934262</v>
      </c>
      <c r="R1738" s="7" t="n">
        <v>12.44254543</v>
      </c>
      <c r="S1738" s="7" t="n">
        <v>0.2119920606</v>
      </c>
    </row>
    <row r="1739" customFormat="false" ht="15" hidden="false" customHeight="false" outlineLevel="0" collapsed="false">
      <c r="A1739" s="5" t="s">
        <v>4</v>
      </c>
      <c r="B1739" s="5" t="s">
        <v>83</v>
      </c>
      <c r="C1739" s="5" t="s">
        <v>62</v>
      </c>
      <c r="D1739" s="2" t="n">
        <v>20</v>
      </c>
      <c r="E1739" s="5" t="s">
        <v>165</v>
      </c>
      <c r="F1739" s="5" t="s">
        <v>167</v>
      </c>
      <c r="G1739" s="2" t="n">
        <v>1</v>
      </c>
      <c r="H1739" s="7" t="n">
        <v>-0.1342807173</v>
      </c>
      <c r="I1739" s="7" t="n">
        <v>-0.9909431354</v>
      </c>
      <c r="J1739" s="7" t="n">
        <v>0.0006256057733</v>
      </c>
      <c r="K1739" s="7" t="n">
        <v>0.9909392948</v>
      </c>
      <c r="L1739" s="7" t="n">
        <v>-0.1342819456</v>
      </c>
      <c r="M1739" s="7" t="n">
        <v>-0.002770050649</v>
      </c>
      <c r="N1739" s="7" t="n">
        <v>0.002828970236</v>
      </c>
      <c r="O1739" s="7" t="n">
        <v>0.0002479729558</v>
      </c>
      <c r="P1739" s="7" t="n">
        <v>0.9999959677</v>
      </c>
      <c r="Q1739" s="7" t="n">
        <v>-13.97252592</v>
      </c>
      <c r="R1739" s="7" t="n">
        <v>12.45510917</v>
      </c>
      <c r="S1739" s="7" t="n">
        <v>0.2813340404</v>
      </c>
    </row>
    <row r="1740" customFormat="false" ht="15" hidden="false" customHeight="false" outlineLevel="0" collapsed="false">
      <c r="A1740" s="5" t="s">
        <v>4</v>
      </c>
      <c r="B1740" s="5" t="s">
        <v>83</v>
      </c>
      <c r="C1740" s="5" t="s">
        <v>58</v>
      </c>
      <c r="D1740" s="2" t="n">
        <v>20</v>
      </c>
      <c r="E1740" s="5" t="s">
        <v>165</v>
      </c>
      <c r="F1740" s="5" t="s">
        <v>168</v>
      </c>
      <c r="G1740" s="2" t="n">
        <v>1</v>
      </c>
      <c r="H1740" s="7" t="n">
        <v>0.9760316339</v>
      </c>
      <c r="I1740" s="7" t="n">
        <v>-0.2175845111</v>
      </c>
      <c r="J1740" s="7" t="n">
        <v>-0.004385225605</v>
      </c>
      <c r="K1740" s="7" t="n">
        <v>0.2175739515</v>
      </c>
      <c r="L1740" s="7" t="n">
        <v>0.9760399311</v>
      </c>
      <c r="M1740" s="7" t="n">
        <v>-0.002761973321</v>
      </c>
      <c r="N1740" s="7" t="n">
        <v>0.004881117912</v>
      </c>
      <c r="O1740" s="7" t="n">
        <v>0.00174166247</v>
      </c>
      <c r="P1740" s="7" t="n">
        <v>0.9999865706</v>
      </c>
      <c r="Q1740" s="7" t="n">
        <v>17.19742016</v>
      </c>
      <c r="R1740" s="7" t="n">
        <v>16.65350696</v>
      </c>
      <c r="S1740" s="7" t="n">
        <v>1.474549741</v>
      </c>
    </row>
    <row r="1741" customFormat="false" ht="15" hidden="false" customHeight="false" outlineLevel="0" collapsed="false">
      <c r="A1741" s="5" t="s">
        <v>4</v>
      </c>
      <c r="B1741" s="5" t="s">
        <v>83</v>
      </c>
      <c r="C1741" s="5" t="s">
        <v>62</v>
      </c>
      <c r="D1741" s="2" t="n">
        <v>20</v>
      </c>
      <c r="E1741" s="5" t="s">
        <v>165</v>
      </c>
      <c r="F1741" s="5" t="s">
        <v>168</v>
      </c>
      <c r="G1741" s="2" t="n">
        <v>1</v>
      </c>
      <c r="H1741" s="7" t="n">
        <v>0.9761609216</v>
      </c>
      <c r="I1741" s="7" t="n">
        <v>-0.2165917315</v>
      </c>
      <c r="J1741" s="7" t="n">
        <v>-0.01406687453</v>
      </c>
      <c r="K1741" s="7" t="n">
        <v>0.2167734907</v>
      </c>
      <c r="L1741" s="7" t="n">
        <v>0.9761352571</v>
      </c>
      <c r="M1741" s="7" t="n">
        <v>0.01300821523</v>
      </c>
      <c r="N1741" s="7" t="n">
        <v>0.01091370033</v>
      </c>
      <c r="O1741" s="7" t="n">
        <v>-0.01574743686</v>
      </c>
      <c r="P1741" s="7" t="n">
        <v>0.9998164378</v>
      </c>
      <c r="Q1741" s="7" t="n">
        <v>17.19488781</v>
      </c>
      <c r="R1741" s="7" t="n">
        <v>16.67002715</v>
      </c>
      <c r="S1741" s="7" t="n">
        <v>1.330702329</v>
      </c>
    </row>
    <row r="1742" customFormat="false" ht="15" hidden="false" customHeight="false" outlineLevel="0" collapsed="false">
      <c r="A1742" s="5" t="s">
        <v>4</v>
      </c>
      <c r="B1742" s="5" t="s">
        <v>83</v>
      </c>
      <c r="C1742" s="5" t="s">
        <v>58</v>
      </c>
      <c r="D1742" s="2" t="n">
        <v>11</v>
      </c>
      <c r="E1742" s="5" t="s">
        <v>166</v>
      </c>
      <c r="F1742" s="5" t="s">
        <v>167</v>
      </c>
      <c r="G1742" s="2" t="n">
        <v>1</v>
      </c>
      <c r="H1742" s="7" t="n">
        <v>-0.2174035939</v>
      </c>
      <c r="I1742" s="7" t="n">
        <v>-0.9760771232</v>
      </c>
      <c r="J1742" s="7" t="n">
        <v>0.003021090605</v>
      </c>
      <c r="K1742" s="7" t="n">
        <v>0.9760797685</v>
      </c>
      <c r="L1742" s="7" t="n">
        <v>-0.2174084129</v>
      </c>
      <c r="M1742" s="7" t="n">
        <v>-0.001366589504</v>
      </c>
      <c r="N1742" s="7" t="n">
        <v>0.001990707265</v>
      </c>
      <c r="O1742" s="7" t="n">
        <v>0.002651723948</v>
      </c>
      <c r="P1742" s="7" t="n">
        <v>0.9999945027</v>
      </c>
      <c r="Q1742" s="7" t="n">
        <v>-5.204556782</v>
      </c>
      <c r="R1742" s="7" t="n">
        <v>-0.3806696242</v>
      </c>
      <c r="S1742" s="7" t="n">
        <v>-0.3913585934</v>
      </c>
    </row>
    <row r="1743" customFormat="false" ht="15" hidden="false" customHeight="false" outlineLevel="0" collapsed="false">
      <c r="A1743" s="5" t="s">
        <v>4</v>
      </c>
      <c r="B1743" s="5" t="s">
        <v>83</v>
      </c>
      <c r="C1743" s="5" t="s">
        <v>62</v>
      </c>
      <c r="D1743" s="2" t="n">
        <v>11</v>
      </c>
      <c r="E1743" s="5" t="s">
        <v>166</v>
      </c>
      <c r="F1743" s="5" t="s">
        <v>167</v>
      </c>
      <c r="G1743" s="2" t="n">
        <v>1</v>
      </c>
      <c r="H1743" s="7" t="n">
        <v>-0.2174035939</v>
      </c>
      <c r="I1743" s="7" t="n">
        <v>-0.9760771232</v>
      </c>
      <c r="J1743" s="7" t="n">
        <v>0.003021090605</v>
      </c>
      <c r="K1743" s="7" t="n">
        <v>0.9760797685</v>
      </c>
      <c r="L1743" s="7" t="n">
        <v>-0.2174084129</v>
      </c>
      <c r="M1743" s="7" t="n">
        <v>-0.001366589504</v>
      </c>
      <c r="N1743" s="7" t="n">
        <v>0.001990707265</v>
      </c>
      <c r="O1743" s="7" t="n">
        <v>0.002651723948</v>
      </c>
      <c r="P1743" s="7" t="n">
        <v>0.9999945027</v>
      </c>
      <c r="Q1743" s="7" t="n">
        <v>-5.204556782</v>
      </c>
      <c r="R1743" s="7" t="n">
        <v>-0.3806696242</v>
      </c>
      <c r="S1743" s="7" t="n">
        <v>-0.3913585934</v>
      </c>
    </row>
    <row r="1744" customFormat="false" ht="15" hidden="false" customHeight="false" outlineLevel="0" collapsed="false">
      <c r="A1744" s="5" t="s">
        <v>4</v>
      </c>
      <c r="B1744" s="5" t="s">
        <v>83</v>
      </c>
      <c r="C1744" s="5" t="s">
        <v>58</v>
      </c>
      <c r="D1744" s="2" t="n">
        <v>11</v>
      </c>
      <c r="E1744" s="5" t="s">
        <v>166</v>
      </c>
      <c r="F1744" s="5" t="s">
        <v>168</v>
      </c>
      <c r="G1744" s="2" t="n">
        <v>1</v>
      </c>
      <c r="H1744" s="7" t="n">
        <v>0.9559335135</v>
      </c>
      <c r="I1744" s="7" t="n">
        <v>-0.2935752612</v>
      </c>
      <c r="J1744" s="7" t="n">
        <v>-0.002164202152</v>
      </c>
      <c r="K1744" s="7" t="n">
        <v>0.2935803228</v>
      </c>
      <c r="L1744" s="7" t="n">
        <v>0.9559308993</v>
      </c>
      <c r="M1744" s="7" t="n">
        <v>0.002590332897</v>
      </c>
      <c r="N1744" s="7" t="n">
        <v>0.001308370053</v>
      </c>
      <c r="O1744" s="7" t="n">
        <v>-0.003111553194</v>
      </c>
      <c r="P1744" s="7" t="n">
        <v>0.9999943032</v>
      </c>
      <c r="Q1744" s="7" t="n">
        <v>5.209964517</v>
      </c>
      <c r="R1744" s="7" t="n">
        <v>6.854176807</v>
      </c>
      <c r="S1744" s="7" t="n">
        <v>0.7484346764</v>
      </c>
    </row>
    <row r="1745" customFormat="false" ht="15" hidden="false" customHeight="false" outlineLevel="0" collapsed="false">
      <c r="A1745" s="5" t="s">
        <v>4</v>
      </c>
      <c r="B1745" s="5" t="s">
        <v>83</v>
      </c>
      <c r="C1745" s="5" t="s">
        <v>62</v>
      </c>
      <c r="D1745" s="2" t="n">
        <v>11</v>
      </c>
      <c r="E1745" s="5" t="s">
        <v>166</v>
      </c>
      <c r="F1745" s="5" t="s">
        <v>168</v>
      </c>
      <c r="G1745" s="2" t="n">
        <v>1</v>
      </c>
      <c r="H1745" s="7" t="n">
        <v>0.9558091013</v>
      </c>
      <c r="I1745" s="7" t="n">
        <v>-0.2939671236</v>
      </c>
      <c r="J1745" s="7" t="n">
        <v>-0.00350600025</v>
      </c>
      <c r="K1745" s="7" t="n">
        <v>0.2939691784</v>
      </c>
      <c r="L1745" s="7" t="n">
        <v>0.9558148966</v>
      </c>
      <c r="M1745" s="7" t="n">
        <v>7.426794963E-005</v>
      </c>
      <c r="N1745" s="7" t="n">
        <v>0.003329254931</v>
      </c>
      <c r="O1745" s="7" t="n">
        <v>-0.001101641995</v>
      </c>
      <c r="P1745" s="7" t="n">
        <v>0.9999938512</v>
      </c>
      <c r="Q1745" s="7" t="n">
        <v>5.21108669</v>
      </c>
      <c r="R1745" s="7" t="n">
        <v>6.846026795</v>
      </c>
      <c r="S1745" s="7" t="n">
        <v>0.7067456515</v>
      </c>
    </row>
    <row r="1746" customFormat="false" ht="15" hidden="false" customHeight="false" outlineLevel="0" collapsed="false">
      <c r="A1746" s="5" t="s">
        <v>4</v>
      </c>
      <c r="B1746" s="5" t="s">
        <v>83</v>
      </c>
      <c r="C1746" s="5" t="s">
        <v>58</v>
      </c>
      <c r="D1746" s="2" t="n">
        <v>12</v>
      </c>
      <c r="E1746" s="5" t="s">
        <v>166</v>
      </c>
      <c r="F1746" s="5" t="s">
        <v>167</v>
      </c>
      <c r="G1746" s="2" t="n">
        <v>1</v>
      </c>
      <c r="H1746" s="7" t="n">
        <v>-0.2166659082</v>
      </c>
      <c r="I1746" s="7" t="n">
        <v>-0.9762367591</v>
      </c>
      <c r="J1746" s="7" t="n">
        <v>0.004204098458</v>
      </c>
      <c r="K1746" s="7" t="n">
        <v>0.9762431532</v>
      </c>
      <c r="L1746" s="7" t="n">
        <v>-0.2166733586</v>
      </c>
      <c r="M1746" s="7" t="n">
        <v>-0.001400515763</v>
      </c>
      <c r="N1746" s="7" t="n">
        <v>0.002278151103</v>
      </c>
      <c r="O1746" s="7" t="n">
        <v>0.003800778316</v>
      </c>
      <c r="P1746" s="7" t="n">
        <v>0.999990182</v>
      </c>
      <c r="Q1746" s="7" t="n">
        <v>-5.200481312</v>
      </c>
      <c r="R1746" s="7" t="n">
        <v>-0.3935156042</v>
      </c>
      <c r="S1746" s="7" t="n">
        <v>-0.4100702843</v>
      </c>
    </row>
    <row r="1747" customFormat="false" ht="15" hidden="false" customHeight="false" outlineLevel="0" collapsed="false">
      <c r="A1747" s="5" t="s">
        <v>4</v>
      </c>
      <c r="B1747" s="5" t="s">
        <v>83</v>
      </c>
      <c r="C1747" s="5" t="s">
        <v>62</v>
      </c>
      <c r="D1747" s="2" t="n">
        <v>12</v>
      </c>
      <c r="E1747" s="5" t="s">
        <v>166</v>
      </c>
      <c r="F1747" s="5" t="s">
        <v>167</v>
      </c>
      <c r="G1747" s="2" t="n">
        <v>1</v>
      </c>
      <c r="H1747" s="7" t="n">
        <v>-0.2166659082</v>
      </c>
      <c r="I1747" s="7" t="n">
        <v>-0.9762367591</v>
      </c>
      <c r="J1747" s="7" t="n">
        <v>0.004204098458</v>
      </c>
      <c r="K1747" s="7" t="n">
        <v>0.9762431532</v>
      </c>
      <c r="L1747" s="7" t="n">
        <v>-0.2166733586</v>
      </c>
      <c r="M1747" s="7" t="n">
        <v>-0.001400515763</v>
      </c>
      <c r="N1747" s="7" t="n">
        <v>0.002278151103</v>
      </c>
      <c r="O1747" s="7" t="n">
        <v>0.003800778316</v>
      </c>
      <c r="P1747" s="7" t="n">
        <v>0.999990182</v>
      </c>
      <c r="Q1747" s="7" t="n">
        <v>-5.200481312</v>
      </c>
      <c r="R1747" s="7" t="n">
        <v>-0.3935156042</v>
      </c>
      <c r="S1747" s="7" t="n">
        <v>-0.4100702843</v>
      </c>
    </row>
    <row r="1748" customFormat="false" ht="15" hidden="false" customHeight="false" outlineLevel="0" collapsed="false">
      <c r="A1748" s="5" t="s">
        <v>4</v>
      </c>
      <c r="B1748" s="5" t="s">
        <v>83</v>
      </c>
      <c r="C1748" s="5" t="s">
        <v>58</v>
      </c>
      <c r="D1748" s="2" t="n">
        <v>12</v>
      </c>
      <c r="E1748" s="5" t="s">
        <v>166</v>
      </c>
      <c r="F1748" s="5" t="s">
        <v>168</v>
      </c>
      <c r="G1748" s="2" t="n">
        <v>1</v>
      </c>
      <c r="H1748" s="7" t="n">
        <v>0.955913159</v>
      </c>
      <c r="I1748" s="7" t="n">
        <v>-0.2936408749</v>
      </c>
      <c r="J1748" s="7" t="n">
        <v>-0.002251460953</v>
      </c>
      <c r="K1748" s="7" t="n">
        <v>0.2936454504</v>
      </c>
      <c r="L1748" s="7" t="n">
        <v>0.9558315625</v>
      </c>
      <c r="M1748" s="7" t="n">
        <v>0.01258465433</v>
      </c>
      <c r="N1748" s="7" t="n">
        <v>-0.001543351468</v>
      </c>
      <c r="O1748" s="7" t="n">
        <v>-0.01269096794</v>
      </c>
      <c r="P1748" s="7" t="n">
        <v>0.9999182754</v>
      </c>
      <c r="Q1748" s="7" t="n">
        <v>5.207059997</v>
      </c>
      <c r="R1748" s="7" t="n">
        <v>6.865004776</v>
      </c>
      <c r="S1748" s="7" t="n">
        <v>0.8023208935</v>
      </c>
    </row>
    <row r="1749" customFormat="false" ht="15" hidden="false" customHeight="false" outlineLevel="0" collapsed="false">
      <c r="A1749" s="5" t="s">
        <v>4</v>
      </c>
      <c r="B1749" s="5" t="s">
        <v>83</v>
      </c>
      <c r="C1749" s="5" t="s">
        <v>62</v>
      </c>
      <c r="D1749" s="2" t="n">
        <v>12</v>
      </c>
      <c r="E1749" s="5" t="s">
        <v>166</v>
      </c>
      <c r="F1749" s="5" t="s">
        <v>168</v>
      </c>
      <c r="G1749" s="2" t="n">
        <v>1</v>
      </c>
      <c r="H1749" s="7" t="n">
        <v>0.9558083515</v>
      </c>
      <c r="I1749" s="7" t="n">
        <v>-0.2939903319</v>
      </c>
      <c r="J1749" s="7" t="n">
        <v>0.0002827199409</v>
      </c>
      <c r="K1749" s="7" t="n">
        <v>0.2939887804</v>
      </c>
      <c r="L1749" s="7" t="n">
        <v>0.9558056816</v>
      </c>
      <c r="M1749" s="7" t="n">
        <v>0.00246899355</v>
      </c>
      <c r="N1749" s="7" t="n">
        <v>-0.0009960855591</v>
      </c>
      <c r="O1749" s="7" t="n">
        <v>-0.002276768164</v>
      </c>
      <c r="P1749" s="7" t="n">
        <v>0.9999969121</v>
      </c>
      <c r="Q1749" s="7" t="n">
        <v>5.209025606</v>
      </c>
      <c r="R1749" s="7" t="n">
        <v>6.855834652</v>
      </c>
      <c r="S1749" s="7" t="n">
        <v>0.7555673408</v>
      </c>
    </row>
    <row r="1750" customFormat="false" ht="15" hidden="false" customHeight="false" outlineLevel="0" collapsed="false">
      <c r="A1750" s="5" t="s">
        <v>4</v>
      </c>
      <c r="B1750" s="5" t="s">
        <v>83</v>
      </c>
      <c r="C1750" s="5" t="s">
        <v>58</v>
      </c>
      <c r="D1750" s="2" t="n">
        <v>13</v>
      </c>
      <c r="E1750" s="5" t="s">
        <v>166</v>
      </c>
      <c r="F1750" s="5" t="s">
        <v>167</v>
      </c>
      <c r="G1750" s="2" t="n">
        <v>1</v>
      </c>
      <c r="H1750" s="7" t="n">
        <v>-0.2164037624</v>
      </c>
      <c r="I1750" s="7" t="n">
        <v>-0.9762869476</v>
      </c>
      <c r="J1750" s="7" t="n">
        <v>0.005762600651</v>
      </c>
      <c r="K1750" s="7" t="n">
        <v>0.9762961583</v>
      </c>
      <c r="L1750" s="7" t="n">
        <v>-0.216421853</v>
      </c>
      <c r="M1750" s="7" t="n">
        <v>-0.002718988629</v>
      </c>
      <c r="N1750" s="7" t="n">
        <v>0.00390166582</v>
      </c>
      <c r="O1750" s="7" t="n">
        <v>0.005037605508</v>
      </c>
      <c r="P1750" s="7" t="n">
        <v>0.9999796996</v>
      </c>
      <c r="Q1750" s="7" t="n">
        <v>-5.179755046</v>
      </c>
      <c r="R1750" s="7" t="n">
        <v>-0.3720204684</v>
      </c>
      <c r="S1750" s="7" t="n">
        <v>-0.4099103354</v>
      </c>
    </row>
    <row r="1751" customFormat="false" ht="15" hidden="false" customHeight="false" outlineLevel="0" collapsed="false">
      <c r="A1751" s="5" t="s">
        <v>4</v>
      </c>
      <c r="B1751" s="5" t="s">
        <v>83</v>
      </c>
      <c r="C1751" s="5" t="s">
        <v>62</v>
      </c>
      <c r="D1751" s="2" t="n">
        <v>13</v>
      </c>
      <c r="E1751" s="5" t="s">
        <v>166</v>
      </c>
      <c r="F1751" s="5" t="s">
        <v>167</v>
      </c>
      <c r="G1751" s="2" t="n">
        <v>1</v>
      </c>
      <c r="H1751" s="7" t="n">
        <v>-0.2164037624</v>
      </c>
      <c r="I1751" s="7" t="n">
        <v>-0.9762869476</v>
      </c>
      <c r="J1751" s="7" t="n">
        <v>0.005762600651</v>
      </c>
      <c r="K1751" s="7" t="n">
        <v>0.9762961583</v>
      </c>
      <c r="L1751" s="7" t="n">
        <v>-0.216421853</v>
      </c>
      <c r="M1751" s="7" t="n">
        <v>-0.002718988629</v>
      </c>
      <c r="N1751" s="7" t="n">
        <v>0.00390166582</v>
      </c>
      <c r="O1751" s="7" t="n">
        <v>0.005037605508</v>
      </c>
      <c r="P1751" s="7" t="n">
        <v>0.9999796996</v>
      </c>
      <c r="Q1751" s="7" t="n">
        <v>-5.179755046</v>
      </c>
      <c r="R1751" s="7" t="n">
        <v>-0.3720204684</v>
      </c>
      <c r="S1751" s="7" t="n">
        <v>-0.4099103354</v>
      </c>
    </row>
    <row r="1752" customFormat="false" ht="15" hidden="false" customHeight="false" outlineLevel="0" collapsed="false">
      <c r="A1752" s="5" t="s">
        <v>4</v>
      </c>
      <c r="B1752" s="5" t="s">
        <v>83</v>
      </c>
      <c r="C1752" s="5" t="s">
        <v>58</v>
      </c>
      <c r="D1752" s="2" t="n">
        <v>13</v>
      </c>
      <c r="E1752" s="5" t="s">
        <v>166</v>
      </c>
      <c r="F1752" s="5" t="s">
        <v>168</v>
      </c>
      <c r="G1752" s="2" t="n">
        <v>1</v>
      </c>
      <c r="H1752" s="7" t="n">
        <v>0.9555477166</v>
      </c>
      <c r="I1752" s="7" t="n">
        <v>-0.2948356545</v>
      </c>
      <c r="J1752" s="7" t="n">
        <v>0.000705765337</v>
      </c>
      <c r="K1752" s="7" t="n">
        <v>0.2948363482</v>
      </c>
      <c r="L1752" s="7" t="n">
        <v>0.9555469122</v>
      </c>
      <c r="M1752" s="7" t="n">
        <v>-0.001275269613</v>
      </c>
      <c r="N1752" s="7" t="n">
        <v>-0.0002983969376</v>
      </c>
      <c r="O1752" s="7" t="n">
        <v>0.001426666241</v>
      </c>
      <c r="P1752" s="7" t="n">
        <v>0.9999989378</v>
      </c>
      <c r="Q1752" s="7" t="n">
        <v>5.219293449</v>
      </c>
      <c r="R1752" s="7" t="n">
        <v>6.851454962</v>
      </c>
      <c r="S1752" s="7" t="n">
        <v>0.7410864868</v>
      </c>
    </row>
    <row r="1753" customFormat="false" ht="15" hidden="false" customHeight="false" outlineLevel="0" collapsed="false">
      <c r="A1753" s="5" t="s">
        <v>4</v>
      </c>
      <c r="B1753" s="5" t="s">
        <v>83</v>
      </c>
      <c r="C1753" s="5" t="s">
        <v>62</v>
      </c>
      <c r="D1753" s="2" t="n">
        <v>13</v>
      </c>
      <c r="E1753" s="5" t="s">
        <v>166</v>
      </c>
      <c r="F1753" s="5" t="s">
        <v>168</v>
      </c>
      <c r="G1753" s="2" t="n">
        <v>1</v>
      </c>
      <c r="H1753" s="7" t="n">
        <v>0.9555477166</v>
      </c>
      <c r="I1753" s="7" t="n">
        <v>-0.2948356545</v>
      </c>
      <c r="J1753" s="7" t="n">
        <v>0.000705765337</v>
      </c>
      <c r="K1753" s="7" t="n">
        <v>0.2948363482</v>
      </c>
      <c r="L1753" s="7" t="n">
        <v>0.9555469122</v>
      </c>
      <c r="M1753" s="7" t="n">
        <v>-0.001275269613</v>
      </c>
      <c r="N1753" s="7" t="n">
        <v>-0.0002983969376</v>
      </c>
      <c r="O1753" s="7" t="n">
        <v>0.001426666241</v>
      </c>
      <c r="P1753" s="7" t="n">
        <v>0.9999989378</v>
      </c>
      <c r="Q1753" s="7" t="n">
        <v>5.219293449</v>
      </c>
      <c r="R1753" s="7" t="n">
        <v>6.851454962</v>
      </c>
      <c r="S1753" s="7" t="n">
        <v>0.7410864868</v>
      </c>
    </row>
    <row r="1754" customFormat="false" ht="15" hidden="false" customHeight="false" outlineLevel="0" collapsed="false">
      <c r="A1754" s="5" t="s">
        <v>4</v>
      </c>
      <c r="B1754" s="5" t="s">
        <v>83</v>
      </c>
      <c r="C1754" s="5" t="s">
        <v>58</v>
      </c>
      <c r="D1754" s="2" t="n">
        <v>14</v>
      </c>
      <c r="E1754" s="5" t="s">
        <v>166</v>
      </c>
      <c r="F1754" s="5" t="s">
        <v>167</v>
      </c>
      <c r="G1754" s="2" t="n">
        <v>1</v>
      </c>
      <c r="H1754" s="7" t="n">
        <v>-0.2169335975</v>
      </c>
      <c r="I1754" s="7" t="n">
        <v>-0.9761052913</v>
      </c>
      <c r="J1754" s="7" t="n">
        <v>0.01258072286</v>
      </c>
      <c r="K1754" s="7" t="n">
        <v>0.976178221</v>
      </c>
      <c r="L1754" s="7" t="n">
        <v>-0.2169664071</v>
      </c>
      <c r="M1754" s="7" t="n">
        <v>-0.001288060954</v>
      </c>
      <c r="N1754" s="7" t="n">
        <v>0.003986877352</v>
      </c>
      <c r="O1754" s="7" t="n">
        <v>0.01200160397</v>
      </c>
      <c r="P1754" s="7" t="n">
        <v>0.99992003</v>
      </c>
      <c r="Q1754" s="7" t="n">
        <v>-5.182557166</v>
      </c>
      <c r="R1754" s="7" t="n">
        <v>-0.384255566</v>
      </c>
      <c r="S1754" s="7" t="n">
        <v>-0.3630407483</v>
      </c>
    </row>
    <row r="1755" customFormat="false" ht="15" hidden="false" customHeight="false" outlineLevel="0" collapsed="false">
      <c r="A1755" s="5" t="s">
        <v>4</v>
      </c>
      <c r="B1755" s="5" t="s">
        <v>83</v>
      </c>
      <c r="C1755" s="5" t="s">
        <v>62</v>
      </c>
      <c r="D1755" s="2" t="n">
        <v>14</v>
      </c>
      <c r="E1755" s="5" t="s">
        <v>166</v>
      </c>
      <c r="F1755" s="5" t="s">
        <v>167</v>
      </c>
      <c r="G1755" s="2" t="n">
        <v>1</v>
      </c>
      <c r="H1755" s="7" t="n">
        <v>-0.2169335975</v>
      </c>
      <c r="I1755" s="7" t="n">
        <v>-0.9761052913</v>
      </c>
      <c r="J1755" s="7" t="n">
        <v>0.01258072286</v>
      </c>
      <c r="K1755" s="7" t="n">
        <v>0.976178221</v>
      </c>
      <c r="L1755" s="7" t="n">
        <v>-0.2169664071</v>
      </c>
      <c r="M1755" s="7" t="n">
        <v>-0.001288060954</v>
      </c>
      <c r="N1755" s="7" t="n">
        <v>0.003986877352</v>
      </c>
      <c r="O1755" s="7" t="n">
        <v>0.01200160397</v>
      </c>
      <c r="P1755" s="7" t="n">
        <v>0.99992003</v>
      </c>
      <c r="Q1755" s="7" t="n">
        <v>-5.182557166</v>
      </c>
      <c r="R1755" s="7" t="n">
        <v>-0.384255566</v>
      </c>
      <c r="S1755" s="7" t="n">
        <v>-0.3630407483</v>
      </c>
    </row>
    <row r="1756" customFormat="false" ht="15" hidden="false" customHeight="false" outlineLevel="0" collapsed="false">
      <c r="A1756" s="5" t="s">
        <v>4</v>
      </c>
      <c r="B1756" s="5" t="s">
        <v>83</v>
      </c>
      <c r="C1756" s="5" t="s">
        <v>58</v>
      </c>
      <c r="D1756" s="2" t="n">
        <v>14</v>
      </c>
      <c r="E1756" s="5" t="s">
        <v>166</v>
      </c>
      <c r="F1756" s="5" t="s">
        <v>168</v>
      </c>
      <c r="G1756" s="2" t="n">
        <v>1</v>
      </c>
      <c r="H1756" s="7" t="n">
        <v>0.9559806473</v>
      </c>
      <c r="I1756" s="7" t="n">
        <v>-0.2934136634</v>
      </c>
      <c r="J1756" s="7" t="n">
        <v>-0.003069872304</v>
      </c>
      <c r="K1756" s="7" t="n">
        <v>0.2934284788</v>
      </c>
      <c r="L1756" s="7" t="n">
        <v>0.9559547356</v>
      </c>
      <c r="M1756" s="7" t="n">
        <v>0.007090224028</v>
      </c>
      <c r="N1756" s="7" t="n">
        <v>0.00085429036</v>
      </c>
      <c r="O1756" s="7" t="n">
        <v>-0.007678904916</v>
      </c>
      <c r="P1756" s="7" t="n">
        <v>0.9999701519</v>
      </c>
      <c r="Q1756" s="7" t="n">
        <v>5.199965443</v>
      </c>
      <c r="R1756" s="7" t="n">
        <v>6.861845228</v>
      </c>
      <c r="S1756" s="7" t="n">
        <v>0.8040954284</v>
      </c>
    </row>
    <row r="1757" customFormat="false" ht="15" hidden="false" customHeight="false" outlineLevel="0" collapsed="false">
      <c r="A1757" s="5" t="s">
        <v>4</v>
      </c>
      <c r="B1757" s="5" t="s">
        <v>83</v>
      </c>
      <c r="C1757" s="5" t="s">
        <v>62</v>
      </c>
      <c r="D1757" s="2" t="n">
        <v>14</v>
      </c>
      <c r="E1757" s="5" t="s">
        <v>166</v>
      </c>
      <c r="F1757" s="5" t="s">
        <v>168</v>
      </c>
      <c r="G1757" s="2" t="n">
        <v>1</v>
      </c>
      <c r="H1757" s="7" t="n">
        <v>0.9557429912</v>
      </c>
      <c r="I1757" s="7" t="n">
        <v>-0.2941851671</v>
      </c>
      <c r="J1757" s="7" t="n">
        <v>0.00322835849</v>
      </c>
      <c r="K1757" s="7" t="n">
        <v>0.2942018856</v>
      </c>
      <c r="L1757" s="7" t="n">
        <v>0.9557107532</v>
      </c>
      <c r="M1757" s="7" t="n">
        <v>-0.007887131011</v>
      </c>
      <c r="N1757" s="7" t="n">
        <v>-0.0007650999692</v>
      </c>
      <c r="O1757" s="7" t="n">
        <v>0.008487859339</v>
      </c>
      <c r="P1757" s="7" t="n">
        <v>0.9999636848</v>
      </c>
      <c r="Q1757" s="7" t="n">
        <v>5.208912382</v>
      </c>
      <c r="R1757" s="7" t="n">
        <v>6.84111958</v>
      </c>
      <c r="S1757" s="7" t="n">
        <v>0.7472798471</v>
      </c>
    </row>
    <row r="1758" customFormat="false" ht="15" hidden="false" customHeight="false" outlineLevel="0" collapsed="false">
      <c r="A1758" s="5" t="s">
        <v>4</v>
      </c>
      <c r="B1758" s="5" t="s">
        <v>83</v>
      </c>
      <c r="C1758" s="5" t="s">
        <v>58</v>
      </c>
      <c r="D1758" s="2" t="n">
        <v>15</v>
      </c>
      <c r="E1758" s="5" t="s">
        <v>166</v>
      </c>
      <c r="F1758" s="5" t="s">
        <v>167</v>
      </c>
      <c r="G1758" s="2" t="n">
        <v>1</v>
      </c>
      <c r="H1758" s="7" t="n">
        <v>-0.2149475373</v>
      </c>
      <c r="I1758" s="7" t="n">
        <v>-0.9766226997</v>
      </c>
      <c r="J1758" s="7" t="n">
        <v>0.002378782866</v>
      </c>
      <c r="K1758" s="7" t="n">
        <v>0.9766228536</v>
      </c>
      <c r="L1758" s="7" t="n">
        <v>-0.214952069</v>
      </c>
      <c r="M1758" s="7" t="n">
        <v>-0.001846602141</v>
      </c>
      <c r="N1758" s="7" t="n">
        <v>0.002314757867</v>
      </c>
      <c r="O1758" s="7" t="n">
        <v>0.001926251128</v>
      </c>
      <c r="P1758" s="7" t="n">
        <v>0.9999954657</v>
      </c>
      <c r="Q1758" s="7" t="n">
        <v>-5.188193372</v>
      </c>
      <c r="R1758" s="7" t="n">
        <v>-0.3891815641</v>
      </c>
      <c r="S1758" s="7" t="n">
        <v>-0.4310468165</v>
      </c>
    </row>
    <row r="1759" customFormat="false" ht="15" hidden="false" customHeight="false" outlineLevel="0" collapsed="false">
      <c r="A1759" s="5" t="s">
        <v>4</v>
      </c>
      <c r="B1759" s="5" t="s">
        <v>83</v>
      </c>
      <c r="C1759" s="5" t="s">
        <v>62</v>
      </c>
      <c r="D1759" s="2" t="n">
        <v>15</v>
      </c>
      <c r="E1759" s="5" t="s">
        <v>166</v>
      </c>
      <c r="F1759" s="5" t="s">
        <v>167</v>
      </c>
      <c r="G1759" s="2" t="n">
        <v>1</v>
      </c>
      <c r="H1759" s="7" t="n">
        <v>-0.2149475373</v>
      </c>
      <c r="I1759" s="7" t="n">
        <v>-0.9766226997</v>
      </c>
      <c r="J1759" s="7" t="n">
        <v>0.002378782866</v>
      </c>
      <c r="K1759" s="7" t="n">
        <v>0.9766228536</v>
      </c>
      <c r="L1759" s="7" t="n">
        <v>-0.214952069</v>
      </c>
      <c r="M1759" s="7" t="n">
        <v>-0.001846602141</v>
      </c>
      <c r="N1759" s="7" t="n">
        <v>0.002314757867</v>
      </c>
      <c r="O1759" s="7" t="n">
        <v>0.001926251128</v>
      </c>
      <c r="P1759" s="7" t="n">
        <v>0.9999954657</v>
      </c>
      <c r="Q1759" s="7" t="n">
        <v>-5.188193372</v>
      </c>
      <c r="R1759" s="7" t="n">
        <v>-0.3891815641</v>
      </c>
      <c r="S1759" s="7" t="n">
        <v>-0.4310468165</v>
      </c>
    </row>
    <row r="1760" customFormat="false" ht="15" hidden="false" customHeight="false" outlineLevel="0" collapsed="false">
      <c r="A1760" s="5" t="s">
        <v>4</v>
      </c>
      <c r="B1760" s="5" t="s">
        <v>83</v>
      </c>
      <c r="C1760" s="5" t="s">
        <v>58</v>
      </c>
      <c r="D1760" s="2" t="n">
        <v>15</v>
      </c>
      <c r="E1760" s="5" t="s">
        <v>166</v>
      </c>
      <c r="F1760" s="5" t="s">
        <v>168</v>
      </c>
      <c r="G1760" s="2" t="n">
        <v>1</v>
      </c>
      <c r="H1760" s="7" t="n">
        <v>0.9558018478</v>
      </c>
      <c r="I1760" s="7" t="n">
        <v>-0.2939493978</v>
      </c>
      <c r="J1760" s="7" t="n">
        <v>-0.006048084735</v>
      </c>
      <c r="K1760" s="7" t="n">
        <v>0.2940109754</v>
      </c>
      <c r="L1760" s="7" t="n">
        <v>0.9556403248</v>
      </c>
      <c r="M1760" s="7" t="n">
        <v>0.01758169466</v>
      </c>
      <c r="N1760" s="7" t="n">
        <v>0.0006116651021</v>
      </c>
      <c r="O1760" s="7" t="n">
        <v>-0.01858281954</v>
      </c>
      <c r="P1760" s="7" t="n">
        <v>0.9998271374</v>
      </c>
      <c r="Q1760" s="7" t="n">
        <v>5.202683096</v>
      </c>
      <c r="R1760" s="7" t="n">
        <v>6.875618133</v>
      </c>
      <c r="S1760" s="7" t="n">
        <v>0.839492151</v>
      </c>
    </row>
    <row r="1761" customFormat="false" ht="15" hidden="false" customHeight="false" outlineLevel="0" collapsed="false">
      <c r="A1761" s="5" t="s">
        <v>4</v>
      </c>
      <c r="B1761" s="5" t="s">
        <v>83</v>
      </c>
      <c r="C1761" s="5" t="s">
        <v>62</v>
      </c>
      <c r="D1761" s="2" t="n">
        <v>15</v>
      </c>
      <c r="E1761" s="5" t="s">
        <v>166</v>
      </c>
      <c r="F1761" s="5" t="s">
        <v>168</v>
      </c>
      <c r="G1761" s="2" t="n">
        <v>1</v>
      </c>
      <c r="H1761" s="7" t="n">
        <v>0.9556248888</v>
      </c>
      <c r="I1761" s="7" t="n">
        <v>-0.2945860729</v>
      </c>
      <c r="J1761" s="7" t="n">
        <v>-0.0003429386365</v>
      </c>
      <c r="K1761" s="7" t="n">
        <v>0.2945856804</v>
      </c>
      <c r="L1761" s="7" t="n">
        <v>0.9556246545</v>
      </c>
      <c r="M1761" s="7" t="n">
        <v>-0.0008925591813</v>
      </c>
      <c r="N1761" s="7" t="n">
        <v>0.0005906561201</v>
      </c>
      <c r="O1761" s="7" t="n">
        <v>0.0007519269568</v>
      </c>
      <c r="P1761" s="7" t="n">
        <v>0.9999995429</v>
      </c>
      <c r="Q1761" s="7" t="n">
        <v>5.210946734</v>
      </c>
      <c r="R1761" s="7" t="n">
        <v>6.857082667</v>
      </c>
      <c r="S1761" s="7" t="n">
        <v>0.7414059958</v>
      </c>
    </row>
    <row r="1762" customFormat="false" ht="15" hidden="false" customHeight="false" outlineLevel="0" collapsed="false">
      <c r="A1762" s="5" t="s">
        <v>4</v>
      </c>
      <c r="B1762" s="5" t="s">
        <v>83</v>
      </c>
      <c r="C1762" s="5" t="s">
        <v>58</v>
      </c>
      <c r="D1762" s="2" t="n">
        <v>16</v>
      </c>
      <c r="E1762" s="5" t="s">
        <v>166</v>
      </c>
      <c r="F1762" s="5" t="s">
        <v>167</v>
      </c>
      <c r="G1762" s="2" t="n">
        <v>1</v>
      </c>
      <c r="H1762" s="7" t="n">
        <v>-0.2167037356</v>
      </c>
      <c r="I1762" s="7" t="n">
        <v>-0.9762351368</v>
      </c>
      <c r="J1762" s="7" t="n">
        <v>0.002109167764</v>
      </c>
      <c r="K1762" s="7" t="n">
        <v>0.9762373575</v>
      </c>
      <c r="L1762" s="7" t="n">
        <v>-0.2167024735</v>
      </c>
      <c r="M1762" s="7" t="n">
        <v>0.0008123181032</v>
      </c>
      <c r="N1762" s="7" t="n">
        <v>-0.000335951603</v>
      </c>
      <c r="O1762" s="7" t="n">
        <v>0.002235080732</v>
      </c>
      <c r="P1762" s="7" t="n">
        <v>0.9999974458</v>
      </c>
      <c r="Q1762" s="7" t="n">
        <v>-5.194912881</v>
      </c>
      <c r="R1762" s="7" t="n">
        <v>-0.3952008884</v>
      </c>
      <c r="S1762" s="7" t="n">
        <v>-0.3823963845</v>
      </c>
    </row>
    <row r="1763" customFormat="false" ht="15" hidden="false" customHeight="false" outlineLevel="0" collapsed="false">
      <c r="A1763" s="5" t="s">
        <v>4</v>
      </c>
      <c r="B1763" s="5" t="s">
        <v>83</v>
      </c>
      <c r="C1763" s="5" t="s">
        <v>62</v>
      </c>
      <c r="D1763" s="2" t="n">
        <v>16</v>
      </c>
      <c r="E1763" s="5" t="s">
        <v>166</v>
      </c>
      <c r="F1763" s="5" t="s">
        <v>167</v>
      </c>
      <c r="G1763" s="2" t="n">
        <v>1</v>
      </c>
      <c r="H1763" s="7" t="n">
        <v>-0.2167037356</v>
      </c>
      <c r="I1763" s="7" t="n">
        <v>-0.9762351368</v>
      </c>
      <c r="J1763" s="7" t="n">
        <v>0.002109167764</v>
      </c>
      <c r="K1763" s="7" t="n">
        <v>0.9762373575</v>
      </c>
      <c r="L1763" s="7" t="n">
        <v>-0.2167024735</v>
      </c>
      <c r="M1763" s="7" t="n">
        <v>0.0008123181032</v>
      </c>
      <c r="N1763" s="7" t="n">
        <v>-0.000335951603</v>
      </c>
      <c r="O1763" s="7" t="n">
        <v>0.002235080732</v>
      </c>
      <c r="P1763" s="7" t="n">
        <v>0.9999974458</v>
      </c>
      <c r="Q1763" s="7" t="n">
        <v>-5.194912881</v>
      </c>
      <c r="R1763" s="7" t="n">
        <v>-0.3952008884</v>
      </c>
      <c r="S1763" s="7" t="n">
        <v>-0.3823963845</v>
      </c>
    </row>
    <row r="1764" customFormat="false" ht="15" hidden="false" customHeight="false" outlineLevel="0" collapsed="false">
      <c r="A1764" s="5" t="s">
        <v>4</v>
      </c>
      <c r="B1764" s="5" t="s">
        <v>83</v>
      </c>
      <c r="C1764" s="5" t="s">
        <v>58</v>
      </c>
      <c r="D1764" s="2" t="n">
        <v>16</v>
      </c>
      <c r="E1764" s="5" t="s">
        <v>166</v>
      </c>
      <c r="F1764" s="5" t="s">
        <v>168</v>
      </c>
      <c r="G1764" s="2" t="n">
        <v>1</v>
      </c>
      <c r="H1764" s="7" t="n">
        <v>0.9555435227</v>
      </c>
      <c r="I1764" s="7" t="n">
        <v>-0.2948489941</v>
      </c>
      <c r="J1764" s="7" t="n">
        <v>-0.0008043005022</v>
      </c>
      <c r="K1764" s="7" t="n">
        <v>0.2948494514</v>
      </c>
      <c r="L1764" s="7" t="n">
        <v>0.9555435767</v>
      </c>
      <c r="M1764" s="7" t="n">
        <v>0.0005235199571</v>
      </c>
      <c r="N1764" s="7" t="n">
        <v>0.0006141848458</v>
      </c>
      <c r="O1764" s="7" t="n">
        <v>-0.0007373936659</v>
      </c>
      <c r="P1764" s="7" t="n">
        <v>0.9999995395</v>
      </c>
      <c r="Q1764" s="7" t="n">
        <v>5.209848392</v>
      </c>
      <c r="R1764" s="7" t="n">
        <v>6.85415063</v>
      </c>
      <c r="S1764" s="7" t="n">
        <v>0.7185809628</v>
      </c>
    </row>
    <row r="1765" customFormat="false" ht="15" hidden="false" customHeight="false" outlineLevel="0" collapsed="false">
      <c r="A1765" s="5" t="s">
        <v>4</v>
      </c>
      <c r="B1765" s="5" t="s">
        <v>83</v>
      </c>
      <c r="C1765" s="5" t="s">
        <v>62</v>
      </c>
      <c r="D1765" s="2" t="n">
        <v>16</v>
      </c>
      <c r="E1765" s="5" t="s">
        <v>166</v>
      </c>
      <c r="F1765" s="5" t="s">
        <v>168</v>
      </c>
      <c r="G1765" s="2" t="n">
        <v>1</v>
      </c>
      <c r="H1765" s="7" t="n">
        <v>0.9555435227</v>
      </c>
      <c r="I1765" s="7" t="n">
        <v>-0.2948489941</v>
      </c>
      <c r="J1765" s="7" t="n">
        <v>-0.0008043005022</v>
      </c>
      <c r="K1765" s="7" t="n">
        <v>0.2948494514</v>
      </c>
      <c r="L1765" s="7" t="n">
        <v>0.9555435767</v>
      </c>
      <c r="M1765" s="7" t="n">
        <v>0.0005235199571</v>
      </c>
      <c r="N1765" s="7" t="n">
        <v>0.0006141848458</v>
      </c>
      <c r="O1765" s="7" t="n">
        <v>-0.0007373936659</v>
      </c>
      <c r="P1765" s="7" t="n">
        <v>0.9999995395</v>
      </c>
      <c r="Q1765" s="7" t="n">
        <v>5.209848392</v>
      </c>
      <c r="R1765" s="7" t="n">
        <v>6.85415063</v>
      </c>
      <c r="S1765" s="7" t="n">
        <v>0.7185809628</v>
      </c>
    </row>
    <row r="1766" customFormat="false" ht="15" hidden="false" customHeight="false" outlineLevel="0" collapsed="false">
      <c r="A1766" s="5" t="s">
        <v>4</v>
      </c>
      <c r="B1766" s="5" t="s">
        <v>83</v>
      </c>
      <c r="C1766" s="5" t="s">
        <v>58</v>
      </c>
      <c r="D1766" s="2" t="n">
        <v>17</v>
      </c>
      <c r="E1766" s="5" t="s">
        <v>166</v>
      </c>
      <c r="F1766" s="5" t="s">
        <v>167</v>
      </c>
      <c r="G1766" s="2" t="n">
        <v>1</v>
      </c>
      <c r="H1766" s="7" t="n">
        <v>-0.2149435289</v>
      </c>
      <c r="I1766" s="7" t="n">
        <v>-0.9766221189</v>
      </c>
      <c r="J1766" s="7" t="n">
        <v>0.002918264351</v>
      </c>
      <c r="K1766" s="7" t="n">
        <v>0.9766153127</v>
      </c>
      <c r="L1766" s="7" t="n">
        <v>-0.2149544006</v>
      </c>
      <c r="M1766" s="7" t="n">
        <v>-0.004139638737</v>
      </c>
      <c r="N1766" s="7" t="n">
        <v>0.004670156519</v>
      </c>
      <c r="O1766" s="7" t="n">
        <v>0.001960233093</v>
      </c>
      <c r="P1766" s="7" t="n">
        <v>0.9999871735</v>
      </c>
      <c r="Q1766" s="7" t="n">
        <v>-5.179080585</v>
      </c>
      <c r="R1766" s="7" t="n">
        <v>-0.3767330594</v>
      </c>
      <c r="S1766" s="7" t="n">
        <v>-0.4260330976</v>
      </c>
    </row>
    <row r="1767" customFormat="false" ht="15" hidden="false" customHeight="false" outlineLevel="0" collapsed="false">
      <c r="A1767" s="5" t="s">
        <v>4</v>
      </c>
      <c r="B1767" s="5" t="s">
        <v>83</v>
      </c>
      <c r="C1767" s="5" t="s">
        <v>62</v>
      </c>
      <c r="D1767" s="2" t="n">
        <v>17</v>
      </c>
      <c r="E1767" s="5" t="s">
        <v>166</v>
      </c>
      <c r="F1767" s="5" t="s">
        <v>167</v>
      </c>
      <c r="G1767" s="2" t="n">
        <v>1</v>
      </c>
      <c r="H1767" s="7" t="n">
        <v>-0.2149435289</v>
      </c>
      <c r="I1767" s="7" t="n">
        <v>-0.9766221189</v>
      </c>
      <c r="J1767" s="7" t="n">
        <v>0.002918264351</v>
      </c>
      <c r="K1767" s="7" t="n">
        <v>0.9766153127</v>
      </c>
      <c r="L1767" s="7" t="n">
        <v>-0.2149544006</v>
      </c>
      <c r="M1767" s="7" t="n">
        <v>-0.004139638737</v>
      </c>
      <c r="N1767" s="7" t="n">
        <v>0.004670156519</v>
      </c>
      <c r="O1767" s="7" t="n">
        <v>0.001960233093</v>
      </c>
      <c r="P1767" s="7" t="n">
        <v>0.9999871735</v>
      </c>
      <c r="Q1767" s="7" t="n">
        <v>-5.179080585</v>
      </c>
      <c r="R1767" s="7" t="n">
        <v>-0.3767330594</v>
      </c>
      <c r="S1767" s="7" t="n">
        <v>-0.4260330976</v>
      </c>
    </row>
    <row r="1768" customFormat="false" ht="15" hidden="false" customHeight="false" outlineLevel="0" collapsed="false">
      <c r="A1768" s="5" t="s">
        <v>4</v>
      </c>
      <c r="B1768" s="5" t="s">
        <v>83</v>
      </c>
      <c r="C1768" s="5" t="s">
        <v>58</v>
      </c>
      <c r="D1768" s="2" t="n">
        <v>17</v>
      </c>
      <c r="E1768" s="5" t="s">
        <v>166</v>
      </c>
      <c r="F1768" s="5" t="s">
        <v>168</v>
      </c>
      <c r="G1768" s="2" t="n">
        <v>1</v>
      </c>
      <c r="H1768" s="7" t="n">
        <v>0.9557774357</v>
      </c>
      <c r="I1768" s="7" t="n">
        <v>-0.2940798475</v>
      </c>
      <c r="J1768" s="7" t="n">
        <v>-0.002556705299</v>
      </c>
      <c r="K1768" s="7" t="n">
        <v>0.294077651</v>
      </c>
      <c r="L1768" s="7" t="n">
        <v>0.9557807717</v>
      </c>
      <c r="M1768" s="7" t="n">
        <v>-0.001204826453</v>
      </c>
      <c r="N1768" s="7" t="n">
        <v>0.002797964944</v>
      </c>
      <c r="O1768" s="7" t="n">
        <v>0.0003996760491</v>
      </c>
      <c r="P1768" s="7" t="n">
        <v>0.9999960058</v>
      </c>
      <c r="Q1768" s="7" t="n">
        <v>5.21180994</v>
      </c>
      <c r="R1768" s="7" t="n">
        <v>6.842470682</v>
      </c>
      <c r="S1768" s="7" t="n">
        <v>0.7156080158</v>
      </c>
    </row>
    <row r="1769" customFormat="false" ht="15" hidden="false" customHeight="false" outlineLevel="0" collapsed="false">
      <c r="A1769" s="5" t="s">
        <v>4</v>
      </c>
      <c r="B1769" s="5" t="s">
        <v>83</v>
      </c>
      <c r="C1769" s="5" t="s">
        <v>62</v>
      </c>
      <c r="D1769" s="2" t="n">
        <v>17</v>
      </c>
      <c r="E1769" s="5" t="s">
        <v>166</v>
      </c>
      <c r="F1769" s="5" t="s">
        <v>168</v>
      </c>
      <c r="G1769" s="2" t="n">
        <v>1</v>
      </c>
      <c r="H1769" s="7" t="n">
        <v>0.9557774357</v>
      </c>
      <c r="I1769" s="7" t="n">
        <v>-0.2940798475</v>
      </c>
      <c r="J1769" s="7" t="n">
        <v>-0.002556705299</v>
      </c>
      <c r="K1769" s="7" t="n">
        <v>0.294077651</v>
      </c>
      <c r="L1769" s="7" t="n">
        <v>0.9557807717</v>
      </c>
      <c r="M1769" s="7" t="n">
        <v>-0.001204826453</v>
      </c>
      <c r="N1769" s="7" t="n">
        <v>0.002797964944</v>
      </c>
      <c r="O1769" s="7" t="n">
        <v>0.0003996760491</v>
      </c>
      <c r="P1769" s="7" t="n">
        <v>0.9999960058</v>
      </c>
      <c r="Q1769" s="7" t="n">
        <v>5.21180994</v>
      </c>
      <c r="R1769" s="7" t="n">
        <v>6.842470682</v>
      </c>
      <c r="S1769" s="7" t="n">
        <v>0.7156080158</v>
      </c>
    </row>
    <row r="1770" customFormat="false" ht="15" hidden="false" customHeight="false" outlineLevel="0" collapsed="false">
      <c r="A1770" s="5" t="s">
        <v>4</v>
      </c>
      <c r="B1770" s="5" t="s">
        <v>83</v>
      </c>
      <c r="C1770" s="5" t="s">
        <v>58</v>
      </c>
      <c r="D1770" s="2" t="n">
        <v>18</v>
      </c>
      <c r="E1770" s="5" t="s">
        <v>166</v>
      </c>
      <c r="F1770" s="5" t="s">
        <v>167</v>
      </c>
      <c r="G1770" s="2" t="n">
        <v>1</v>
      </c>
      <c r="H1770" s="7" t="n">
        <v>-0.2165143643</v>
      </c>
      <c r="I1770" s="7" t="n">
        <v>-0.9762780815</v>
      </c>
      <c r="J1770" s="7" t="n">
        <v>0.00162405906</v>
      </c>
      <c r="K1770" s="7" t="n">
        <v>0.9762762476</v>
      </c>
      <c r="L1770" s="7" t="n">
        <v>-0.2165091093</v>
      </c>
      <c r="M1770" s="7" t="n">
        <v>0.002914447038</v>
      </c>
      <c r="N1770" s="7" t="n">
        <v>-0.002493687183</v>
      </c>
      <c r="O1770" s="7" t="n">
        <v>0.002216549933</v>
      </c>
      <c r="P1770" s="7" t="n">
        <v>0.9999944342</v>
      </c>
      <c r="Q1770" s="7" t="n">
        <v>-5.199333708</v>
      </c>
      <c r="R1770" s="7" t="n">
        <v>-0.3659780726</v>
      </c>
      <c r="S1770" s="7" t="n">
        <v>-0.4128945797</v>
      </c>
    </row>
    <row r="1771" customFormat="false" ht="15" hidden="false" customHeight="false" outlineLevel="0" collapsed="false">
      <c r="A1771" s="5" t="s">
        <v>4</v>
      </c>
      <c r="B1771" s="5" t="s">
        <v>83</v>
      </c>
      <c r="C1771" s="5" t="s">
        <v>62</v>
      </c>
      <c r="D1771" s="2" t="n">
        <v>18</v>
      </c>
      <c r="E1771" s="5" t="s">
        <v>166</v>
      </c>
      <c r="F1771" s="5" t="s">
        <v>167</v>
      </c>
      <c r="G1771" s="2" t="n">
        <v>1</v>
      </c>
      <c r="H1771" s="7" t="n">
        <v>-0.2165143643</v>
      </c>
      <c r="I1771" s="7" t="n">
        <v>-0.9762780815</v>
      </c>
      <c r="J1771" s="7" t="n">
        <v>0.00162405906</v>
      </c>
      <c r="K1771" s="7" t="n">
        <v>0.9762762476</v>
      </c>
      <c r="L1771" s="7" t="n">
        <v>-0.2165091093</v>
      </c>
      <c r="M1771" s="7" t="n">
        <v>0.002914447038</v>
      </c>
      <c r="N1771" s="7" t="n">
        <v>-0.002493687183</v>
      </c>
      <c r="O1771" s="7" t="n">
        <v>0.002216549933</v>
      </c>
      <c r="P1771" s="7" t="n">
        <v>0.9999944342</v>
      </c>
      <c r="Q1771" s="7" t="n">
        <v>-5.199333708</v>
      </c>
      <c r="R1771" s="7" t="n">
        <v>-0.3659780726</v>
      </c>
      <c r="S1771" s="7" t="n">
        <v>-0.4128945797</v>
      </c>
    </row>
    <row r="1772" customFormat="false" ht="15" hidden="false" customHeight="false" outlineLevel="0" collapsed="false">
      <c r="A1772" s="5" t="s">
        <v>4</v>
      </c>
      <c r="B1772" s="5" t="s">
        <v>83</v>
      </c>
      <c r="C1772" s="5" t="s">
        <v>58</v>
      </c>
      <c r="D1772" s="2" t="n">
        <v>18</v>
      </c>
      <c r="E1772" s="5" t="s">
        <v>166</v>
      </c>
      <c r="F1772" s="5" t="s">
        <v>168</v>
      </c>
      <c r="G1772" s="2" t="n">
        <v>1</v>
      </c>
      <c r="H1772" s="7" t="n">
        <v>0.9558369211</v>
      </c>
      <c r="I1772" s="7" t="n">
        <v>-0.2938971084</v>
      </c>
      <c r="J1772" s="7" t="n">
        <v>0.0005196433057</v>
      </c>
      <c r="K1772" s="7" t="n">
        <v>0.2938968871</v>
      </c>
      <c r="L1772" s="7" t="n">
        <v>0.9558370186</v>
      </c>
      <c r="M1772" s="7" t="n">
        <v>0.0004621671444</v>
      </c>
      <c r="N1772" s="7" t="n">
        <v>-0.0006325238954</v>
      </c>
      <c r="O1772" s="7" t="n">
        <v>-0.0002890348704</v>
      </c>
      <c r="P1772" s="7" t="n">
        <v>0.9999997582</v>
      </c>
      <c r="Q1772" s="7" t="n">
        <v>5.222416176</v>
      </c>
      <c r="R1772" s="7" t="n">
        <v>6.85434408</v>
      </c>
      <c r="S1772" s="7" t="n">
        <v>0.7658660953</v>
      </c>
    </row>
    <row r="1773" customFormat="false" ht="15" hidden="false" customHeight="false" outlineLevel="0" collapsed="false">
      <c r="A1773" s="5" t="s">
        <v>4</v>
      </c>
      <c r="B1773" s="5" t="s">
        <v>83</v>
      </c>
      <c r="C1773" s="5" t="s">
        <v>62</v>
      </c>
      <c r="D1773" s="2" t="n">
        <v>18</v>
      </c>
      <c r="E1773" s="5" t="s">
        <v>166</v>
      </c>
      <c r="F1773" s="5" t="s">
        <v>168</v>
      </c>
      <c r="G1773" s="2" t="n">
        <v>1</v>
      </c>
      <c r="H1773" s="7" t="n">
        <v>0.9557201049</v>
      </c>
      <c r="I1773" s="7" t="n">
        <v>-0.2942694192</v>
      </c>
      <c r="J1773" s="7" t="n">
        <v>-0.002142436272</v>
      </c>
      <c r="K1773" s="7" t="n">
        <v>0.294267087</v>
      </c>
      <c r="L1773" s="7" t="n">
        <v>0.9557222852</v>
      </c>
      <c r="M1773" s="7" t="n">
        <v>-0.00133982738</v>
      </c>
      <c r="N1773" s="7" t="n">
        <v>0.002441844314</v>
      </c>
      <c r="O1773" s="7" t="n">
        <v>0.0006500514838</v>
      </c>
      <c r="P1773" s="7" t="n">
        <v>0.9999968074</v>
      </c>
      <c r="Q1773" s="7" t="n">
        <v>5.223498187</v>
      </c>
      <c r="R1773" s="7" t="n">
        <v>6.84695807</v>
      </c>
      <c r="S1773" s="7" t="n">
        <v>0.7095151646</v>
      </c>
    </row>
    <row r="1774" customFormat="false" ht="15" hidden="false" customHeight="false" outlineLevel="0" collapsed="false">
      <c r="A1774" s="5" t="s">
        <v>4</v>
      </c>
      <c r="B1774" s="5" t="s">
        <v>83</v>
      </c>
      <c r="C1774" s="5" t="s">
        <v>58</v>
      </c>
      <c r="D1774" s="2" t="n">
        <v>19</v>
      </c>
      <c r="E1774" s="5" t="s">
        <v>166</v>
      </c>
      <c r="F1774" s="5" t="s">
        <v>167</v>
      </c>
      <c r="G1774" s="2" t="n">
        <v>1</v>
      </c>
      <c r="H1774" s="7" t="n">
        <v>-0.2154650188</v>
      </c>
      <c r="I1774" s="7" t="n">
        <v>-0.9764994653</v>
      </c>
      <c r="J1774" s="7" t="n">
        <v>0.004860033059</v>
      </c>
      <c r="K1774" s="7" t="n">
        <v>0.9764990388</v>
      </c>
      <c r="L1774" s="7" t="n">
        <v>-0.2154847905</v>
      </c>
      <c r="M1774" s="7" t="n">
        <v>-0.003991531208</v>
      </c>
      <c r="N1774" s="7" t="n">
        <v>0.004944991296</v>
      </c>
      <c r="O1774" s="7" t="n">
        <v>0.003885782264</v>
      </c>
      <c r="P1774" s="7" t="n">
        <v>0.9999802237</v>
      </c>
      <c r="Q1774" s="7" t="n">
        <v>-5.192230637</v>
      </c>
      <c r="R1774" s="7" t="n">
        <v>-0.387683746</v>
      </c>
      <c r="S1774" s="7" t="n">
        <v>-0.3864973001</v>
      </c>
    </row>
    <row r="1775" customFormat="false" ht="15" hidden="false" customHeight="false" outlineLevel="0" collapsed="false">
      <c r="A1775" s="5" t="s">
        <v>4</v>
      </c>
      <c r="B1775" s="5" t="s">
        <v>83</v>
      </c>
      <c r="C1775" s="5" t="s">
        <v>62</v>
      </c>
      <c r="D1775" s="2" t="n">
        <v>19</v>
      </c>
      <c r="E1775" s="5" t="s">
        <v>166</v>
      </c>
      <c r="F1775" s="5" t="s">
        <v>167</v>
      </c>
      <c r="G1775" s="2" t="n">
        <v>1</v>
      </c>
      <c r="H1775" s="7" t="n">
        <v>-0.2154650188</v>
      </c>
      <c r="I1775" s="7" t="n">
        <v>-0.9764994653</v>
      </c>
      <c r="J1775" s="7" t="n">
        <v>0.004860033059</v>
      </c>
      <c r="K1775" s="7" t="n">
        <v>0.9764990388</v>
      </c>
      <c r="L1775" s="7" t="n">
        <v>-0.2154847905</v>
      </c>
      <c r="M1775" s="7" t="n">
        <v>-0.003991531208</v>
      </c>
      <c r="N1775" s="7" t="n">
        <v>0.004944991296</v>
      </c>
      <c r="O1775" s="7" t="n">
        <v>0.003885782264</v>
      </c>
      <c r="P1775" s="7" t="n">
        <v>0.9999802237</v>
      </c>
      <c r="Q1775" s="7" t="n">
        <v>-5.192230637</v>
      </c>
      <c r="R1775" s="7" t="n">
        <v>-0.387683746</v>
      </c>
      <c r="S1775" s="7" t="n">
        <v>-0.3864973001</v>
      </c>
    </row>
    <row r="1776" customFormat="false" ht="15" hidden="false" customHeight="false" outlineLevel="0" collapsed="false">
      <c r="A1776" s="5" t="s">
        <v>4</v>
      </c>
      <c r="B1776" s="5" t="s">
        <v>83</v>
      </c>
      <c r="C1776" s="5" t="s">
        <v>58</v>
      </c>
      <c r="D1776" s="2" t="n">
        <v>19</v>
      </c>
      <c r="E1776" s="5" t="s">
        <v>166</v>
      </c>
      <c r="F1776" s="5" t="s">
        <v>168</v>
      </c>
      <c r="G1776" s="2" t="n">
        <v>1</v>
      </c>
      <c r="H1776" s="7" t="n">
        <v>0.9555993549</v>
      </c>
      <c r="I1776" s="7" t="n">
        <v>-0.2946661701</v>
      </c>
      <c r="J1776" s="7" t="n">
        <v>0.001311892114</v>
      </c>
      <c r="K1776" s="7" t="n">
        <v>0.294668534</v>
      </c>
      <c r="L1776" s="7" t="n">
        <v>0.955596732</v>
      </c>
      <c r="M1776" s="7" t="n">
        <v>-0.002311030706</v>
      </c>
      <c r="N1776" s="7" t="n">
        <v>-0.0005726572497</v>
      </c>
      <c r="O1776" s="7" t="n">
        <v>0.002594992778</v>
      </c>
      <c r="P1776" s="7" t="n">
        <v>0.999996469</v>
      </c>
      <c r="Q1776" s="7" t="n">
        <v>5.229517379</v>
      </c>
      <c r="R1776" s="7" t="n">
        <v>6.841704338</v>
      </c>
      <c r="S1776" s="7" t="n">
        <v>0.7519058903</v>
      </c>
    </row>
    <row r="1777" customFormat="false" ht="15" hidden="false" customHeight="false" outlineLevel="0" collapsed="false">
      <c r="A1777" s="5" t="s">
        <v>4</v>
      </c>
      <c r="B1777" s="5" t="s">
        <v>83</v>
      </c>
      <c r="C1777" s="5" t="s">
        <v>62</v>
      </c>
      <c r="D1777" s="2" t="n">
        <v>19</v>
      </c>
      <c r="E1777" s="5" t="s">
        <v>166</v>
      </c>
      <c r="F1777" s="5" t="s">
        <v>168</v>
      </c>
      <c r="G1777" s="2" t="n">
        <v>1</v>
      </c>
      <c r="H1777" s="7" t="n">
        <v>0.9555993549</v>
      </c>
      <c r="I1777" s="7" t="n">
        <v>-0.2946661701</v>
      </c>
      <c r="J1777" s="7" t="n">
        <v>0.001311892114</v>
      </c>
      <c r="K1777" s="7" t="n">
        <v>0.294668534</v>
      </c>
      <c r="L1777" s="7" t="n">
        <v>0.955596732</v>
      </c>
      <c r="M1777" s="7" t="n">
        <v>-0.002311030706</v>
      </c>
      <c r="N1777" s="7" t="n">
        <v>-0.0005726572497</v>
      </c>
      <c r="O1777" s="7" t="n">
        <v>0.002594992778</v>
      </c>
      <c r="P1777" s="7" t="n">
        <v>0.999996469</v>
      </c>
      <c r="Q1777" s="7" t="n">
        <v>5.229517379</v>
      </c>
      <c r="R1777" s="7" t="n">
        <v>6.841704338</v>
      </c>
      <c r="S1777" s="7" t="n">
        <v>0.7519058903</v>
      </c>
    </row>
    <row r="1778" customFormat="false" ht="15" hidden="false" customHeight="false" outlineLevel="0" collapsed="false">
      <c r="A1778" s="5" t="s">
        <v>4</v>
      </c>
      <c r="B1778" s="5" t="s">
        <v>83</v>
      </c>
      <c r="C1778" s="5" t="s">
        <v>58</v>
      </c>
      <c r="D1778" s="2" t="n">
        <v>20</v>
      </c>
      <c r="E1778" s="5" t="s">
        <v>166</v>
      </c>
      <c r="F1778" s="5" t="s">
        <v>167</v>
      </c>
      <c r="G1778" s="2" t="n">
        <v>1</v>
      </c>
      <c r="H1778" s="7" t="n">
        <v>-0.2159111749</v>
      </c>
      <c r="I1778" s="7" t="n">
        <v>-0.9764088285</v>
      </c>
      <c r="J1778" s="7" t="n">
        <v>0.002857313982</v>
      </c>
      <c r="K1778" s="7" t="n">
        <v>0.9764065216</v>
      </c>
      <c r="L1778" s="7" t="n">
        <v>-0.2159194834</v>
      </c>
      <c r="M1778" s="7" t="n">
        <v>-0.003013518873</v>
      </c>
      <c r="N1778" s="7" t="n">
        <v>0.003559376192</v>
      </c>
      <c r="O1778" s="7" t="n">
        <v>0.002139247606</v>
      </c>
      <c r="P1778" s="7" t="n">
        <v>0.9999913772</v>
      </c>
      <c r="Q1778" s="7" t="n">
        <v>-5.207831456</v>
      </c>
      <c r="R1778" s="7" t="n">
        <v>-0.3758268747</v>
      </c>
      <c r="S1778" s="7" t="n">
        <v>-0.4229746595</v>
      </c>
    </row>
    <row r="1779" customFormat="false" ht="15" hidden="false" customHeight="false" outlineLevel="0" collapsed="false">
      <c r="A1779" s="5" t="s">
        <v>4</v>
      </c>
      <c r="B1779" s="5" t="s">
        <v>83</v>
      </c>
      <c r="C1779" s="5" t="s">
        <v>62</v>
      </c>
      <c r="D1779" s="2" t="n">
        <v>20</v>
      </c>
      <c r="E1779" s="5" t="s">
        <v>166</v>
      </c>
      <c r="F1779" s="5" t="s">
        <v>167</v>
      </c>
      <c r="G1779" s="2" t="n">
        <v>1</v>
      </c>
      <c r="H1779" s="7" t="n">
        <v>-0.2159111749</v>
      </c>
      <c r="I1779" s="7" t="n">
        <v>-0.9764088285</v>
      </c>
      <c r="J1779" s="7" t="n">
        <v>0.002857313982</v>
      </c>
      <c r="K1779" s="7" t="n">
        <v>0.9764065216</v>
      </c>
      <c r="L1779" s="7" t="n">
        <v>-0.2159194834</v>
      </c>
      <c r="M1779" s="7" t="n">
        <v>-0.003013518873</v>
      </c>
      <c r="N1779" s="7" t="n">
        <v>0.003559376192</v>
      </c>
      <c r="O1779" s="7" t="n">
        <v>0.002139247606</v>
      </c>
      <c r="P1779" s="7" t="n">
        <v>0.9999913772</v>
      </c>
      <c r="Q1779" s="7" t="n">
        <v>-5.207831456</v>
      </c>
      <c r="R1779" s="7" t="n">
        <v>-0.3758268747</v>
      </c>
      <c r="S1779" s="7" t="n">
        <v>-0.4229746595</v>
      </c>
    </row>
    <row r="1780" customFormat="false" ht="15" hidden="false" customHeight="false" outlineLevel="0" collapsed="false">
      <c r="A1780" s="5" t="s">
        <v>4</v>
      </c>
      <c r="B1780" s="5" t="s">
        <v>83</v>
      </c>
      <c r="C1780" s="5" t="s">
        <v>58</v>
      </c>
      <c r="D1780" s="2" t="n">
        <v>20</v>
      </c>
      <c r="E1780" s="5" t="s">
        <v>166</v>
      </c>
      <c r="F1780" s="5" t="s">
        <v>168</v>
      </c>
      <c r="G1780" s="2" t="n">
        <v>1</v>
      </c>
      <c r="H1780" s="7" t="n">
        <v>0.9556958648</v>
      </c>
      <c r="I1780" s="7" t="n">
        <v>-0.2942699924</v>
      </c>
      <c r="J1780" s="7" t="n">
        <v>0.007112358055</v>
      </c>
      <c r="K1780" s="7" t="n">
        <v>0.2940922077</v>
      </c>
      <c r="L1780" s="7" t="n">
        <v>0.9555834332</v>
      </c>
      <c r="M1780" s="7" t="n">
        <v>0.01923734859</v>
      </c>
      <c r="N1780" s="7" t="n">
        <v>-0.01245742595</v>
      </c>
      <c r="O1780" s="7" t="n">
        <v>-0.01629336542</v>
      </c>
      <c r="P1780" s="7" t="n">
        <v>0.9997896473</v>
      </c>
      <c r="Q1780" s="7" t="n">
        <v>5.226618076</v>
      </c>
      <c r="R1780" s="7" t="n">
        <v>6.868031707</v>
      </c>
      <c r="S1780" s="7" t="n">
        <v>0.9095344434</v>
      </c>
    </row>
    <row r="1781" customFormat="false" ht="15" hidden="false" customHeight="false" outlineLevel="0" collapsed="false">
      <c r="A1781" s="5" t="s">
        <v>4</v>
      </c>
      <c r="B1781" s="5" t="s">
        <v>83</v>
      </c>
      <c r="C1781" s="5" t="s">
        <v>62</v>
      </c>
      <c r="D1781" s="2" t="n">
        <v>20</v>
      </c>
      <c r="E1781" s="5" t="s">
        <v>166</v>
      </c>
      <c r="F1781" s="5" t="s">
        <v>168</v>
      </c>
      <c r="G1781" s="2" t="n">
        <v>1</v>
      </c>
      <c r="H1781" s="7" t="n">
        <v>0.9556046426</v>
      </c>
      <c r="I1781" s="7" t="n">
        <v>-0.2946429596</v>
      </c>
      <c r="J1781" s="7" t="n">
        <v>0.002300752027</v>
      </c>
      <c r="K1781" s="7" t="n">
        <v>0.2946446734</v>
      </c>
      <c r="L1781" s="7" t="n">
        <v>0.9556067836</v>
      </c>
      <c r="M1781" s="7" t="n">
        <v>-0.0004376137104</v>
      </c>
      <c r="N1781" s="7" t="n">
        <v>-0.002069674446</v>
      </c>
      <c r="O1781" s="7" t="n">
        <v>0.001096090023</v>
      </c>
      <c r="P1781" s="7" t="n">
        <v>0.9999972575</v>
      </c>
      <c r="Q1781" s="7" t="n">
        <v>5.228524927</v>
      </c>
      <c r="R1781" s="7" t="n">
        <v>6.861265004</v>
      </c>
      <c r="S1781" s="7" t="n">
        <v>0.7934603819</v>
      </c>
    </row>
    <row r="1782" customFormat="false" ht="15" hidden="false" customHeight="false" outlineLevel="0" collapsed="false">
      <c r="A1782" s="5" t="s">
        <v>4</v>
      </c>
      <c r="B1782" s="5" t="s">
        <v>83</v>
      </c>
      <c r="C1782" s="5" t="s">
        <v>58</v>
      </c>
      <c r="D1782" s="2" t="n">
        <v>11</v>
      </c>
      <c r="E1782" s="5" t="s">
        <v>167</v>
      </c>
      <c r="F1782" s="5" t="s">
        <v>168</v>
      </c>
      <c r="G1782" s="2" t="n">
        <v>1</v>
      </c>
      <c r="H1782" s="7" t="n">
        <v>0.08194774865</v>
      </c>
      <c r="I1782" s="7" t="n">
        <v>0.9965842625</v>
      </c>
      <c r="J1782" s="7" t="n">
        <v>-0.01021636943</v>
      </c>
      <c r="K1782" s="7" t="n">
        <v>-0.9965984769</v>
      </c>
      <c r="L1782" s="7" t="n">
        <v>0.08202999765</v>
      </c>
      <c r="M1782" s="7" t="n">
        <v>0.007909191066</v>
      </c>
      <c r="N1782" s="7" t="n">
        <v>0.008720224106</v>
      </c>
      <c r="O1782" s="7" t="n">
        <v>0.009533477811</v>
      </c>
      <c r="P1782" s="7" t="n">
        <v>0.9999165318</v>
      </c>
      <c r="Q1782" s="7" t="n">
        <v>6.005477796</v>
      </c>
      <c r="R1782" s="7" t="n">
        <v>1.712051333</v>
      </c>
      <c r="S1782" s="7" t="n">
        <v>1.174988631</v>
      </c>
    </row>
    <row r="1783" customFormat="false" ht="15" hidden="false" customHeight="false" outlineLevel="0" collapsed="false">
      <c r="A1783" s="5" t="s">
        <v>4</v>
      </c>
      <c r="B1783" s="5" t="s">
        <v>83</v>
      </c>
      <c r="C1783" s="5" t="s">
        <v>62</v>
      </c>
      <c r="D1783" s="2" t="n">
        <v>11</v>
      </c>
      <c r="E1783" s="5" t="s">
        <v>167</v>
      </c>
      <c r="F1783" s="5" t="s">
        <v>168</v>
      </c>
      <c r="G1783" s="2" t="n">
        <v>1</v>
      </c>
      <c r="H1783" s="7" t="n">
        <v>0.08194774865</v>
      </c>
      <c r="I1783" s="7" t="n">
        <v>0.9965842625</v>
      </c>
      <c r="J1783" s="7" t="n">
        <v>-0.01021636943</v>
      </c>
      <c r="K1783" s="7" t="n">
        <v>-0.9965984769</v>
      </c>
      <c r="L1783" s="7" t="n">
        <v>0.08202999765</v>
      </c>
      <c r="M1783" s="7" t="n">
        <v>0.007909191066</v>
      </c>
      <c r="N1783" s="7" t="n">
        <v>0.008720224106</v>
      </c>
      <c r="O1783" s="7" t="n">
        <v>0.009533477811</v>
      </c>
      <c r="P1783" s="7" t="n">
        <v>0.9999165318</v>
      </c>
      <c r="Q1783" s="7" t="n">
        <v>6.005477796</v>
      </c>
      <c r="R1783" s="7" t="n">
        <v>1.712051333</v>
      </c>
      <c r="S1783" s="7" t="n">
        <v>1.174988631</v>
      </c>
    </row>
    <row r="1784" customFormat="false" ht="15" hidden="false" customHeight="false" outlineLevel="0" collapsed="false">
      <c r="A1784" s="5" t="s">
        <v>4</v>
      </c>
      <c r="B1784" s="5" t="s">
        <v>83</v>
      </c>
      <c r="C1784" s="5" t="s">
        <v>58</v>
      </c>
      <c r="D1784" s="2" t="n">
        <v>12</v>
      </c>
      <c r="E1784" s="5" t="s">
        <v>167</v>
      </c>
      <c r="F1784" s="5" t="s">
        <v>168</v>
      </c>
      <c r="G1784" s="2" t="n">
        <v>1</v>
      </c>
      <c r="H1784" s="7" t="n">
        <v>0.08017757452</v>
      </c>
      <c r="I1784" s="7" t="n">
        <v>0.9967794613</v>
      </c>
      <c r="J1784" s="7" t="n">
        <v>0.001504003166</v>
      </c>
      <c r="K1784" s="7" t="n">
        <v>-0.9967805523</v>
      </c>
      <c r="L1784" s="7" t="n">
        <v>0.08017703309</v>
      </c>
      <c r="M1784" s="7" t="n">
        <v>0.0004169949603</v>
      </c>
      <c r="N1784" s="7" t="n">
        <v>0.0002950655003</v>
      </c>
      <c r="O1784" s="7" t="n">
        <v>-0.001532594751</v>
      </c>
      <c r="P1784" s="7" t="n">
        <v>0.999998782</v>
      </c>
      <c r="Q1784" s="7" t="n">
        <v>6.012487129</v>
      </c>
      <c r="R1784" s="7" t="n">
        <v>1.70669401</v>
      </c>
      <c r="S1784" s="7" t="n">
        <v>1.156996996</v>
      </c>
    </row>
    <row r="1785" customFormat="false" ht="15" hidden="false" customHeight="false" outlineLevel="0" collapsed="false">
      <c r="A1785" s="5" t="s">
        <v>4</v>
      </c>
      <c r="B1785" s="5" t="s">
        <v>83</v>
      </c>
      <c r="C1785" s="5" t="s">
        <v>62</v>
      </c>
      <c r="D1785" s="2" t="n">
        <v>12</v>
      </c>
      <c r="E1785" s="5" t="s">
        <v>167</v>
      </c>
      <c r="F1785" s="5" t="s">
        <v>168</v>
      </c>
      <c r="G1785" s="2" t="n">
        <v>1</v>
      </c>
      <c r="H1785" s="7" t="n">
        <v>0.08017757452</v>
      </c>
      <c r="I1785" s="7" t="n">
        <v>0.9967794613</v>
      </c>
      <c r="J1785" s="7" t="n">
        <v>0.001504003166</v>
      </c>
      <c r="K1785" s="7" t="n">
        <v>-0.9967805523</v>
      </c>
      <c r="L1785" s="7" t="n">
        <v>0.08017703309</v>
      </c>
      <c r="M1785" s="7" t="n">
        <v>0.0004169949603</v>
      </c>
      <c r="N1785" s="7" t="n">
        <v>0.0002950655003</v>
      </c>
      <c r="O1785" s="7" t="n">
        <v>-0.001532594751</v>
      </c>
      <c r="P1785" s="7" t="n">
        <v>0.999998782</v>
      </c>
      <c r="Q1785" s="7" t="n">
        <v>6.012487129</v>
      </c>
      <c r="R1785" s="7" t="n">
        <v>1.70669401</v>
      </c>
      <c r="S1785" s="7" t="n">
        <v>1.156996996</v>
      </c>
    </row>
    <row r="1786" customFormat="false" ht="15" hidden="false" customHeight="false" outlineLevel="0" collapsed="false">
      <c r="A1786" s="5" t="s">
        <v>4</v>
      </c>
      <c r="B1786" s="5" t="s">
        <v>83</v>
      </c>
      <c r="C1786" s="5" t="s">
        <v>58</v>
      </c>
      <c r="D1786" s="2" t="n">
        <v>13</v>
      </c>
      <c r="E1786" s="5" t="s">
        <v>167</v>
      </c>
      <c r="F1786" s="5" t="s">
        <v>168</v>
      </c>
      <c r="G1786" s="2" t="n">
        <v>1</v>
      </c>
      <c r="H1786" s="7" t="n">
        <v>0.08169184998</v>
      </c>
      <c r="I1786" s="7" t="n">
        <v>0.996657605</v>
      </c>
      <c r="J1786" s="7" t="n">
        <v>-0.0002449136816</v>
      </c>
      <c r="K1786" s="7" t="n">
        <v>-0.9966538288</v>
      </c>
      <c r="L1786" s="7" t="n">
        <v>0.08169085639</v>
      </c>
      <c r="M1786" s="7" t="n">
        <v>-0.002783792758</v>
      </c>
      <c r="N1786" s="7" t="n">
        <v>-0.002754481015</v>
      </c>
      <c r="O1786" s="7" t="n">
        <v>0.0004715073388</v>
      </c>
      <c r="P1786" s="7" t="n">
        <v>0.9999960952</v>
      </c>
      <c r="Q1786" s="7" t="n">
        <v>6.011501067</v>
      </c>
      <c r="R1786" s="7" t="n">
        <v>1.700030353</v>
      </c>
      <c r="S1786" s="7" t="n">
        <v>1.174002515</v>
      </c>
    </row>
    <row r="1787" customFormat="false" ht="15" hidden="false" customHeight="false" outlineLevel="0" collapsed="false">
      <c r="A1787" s="5" t="s">
        <v>4</v>
      </c>
      <c r="B1787" s="5" t="s">
        <v>83</v>
      </c>
      <c r="C1787" s="5" t="s">
        <v>62</v>
      </c>
      <c r="D1787" s="2" t="n">
        <v>13</v>
      </c>
      <c r="E1787" s="5" t="s">
        <v>167</v>
      </c>
      <c r="F1787" s="5" t="s">
        <v>168</v>
      </c>
      <c r="G1787" s="2" t="n">
        <v>1</v>
      </c>
      <c r="H1787" s="7" t="n">
        <v>0.08169184998</v>
      </c>
      <c r="I1787" s="7" t="n">
        <v>0.996657605</v>
      </c>
      <c r="J1787" s="7" t="n">
        <v>-0.0002449136816</v>
      </c>
      <c r="K1787" s="7" t="n">
        <v>-0.9966538288</v>
      </c>
      <c r="L1787" s="7" t="n">
        <v>0.08169085639</v>
      </c>
      <c r="M1787" s="7" t="n">
        <v>-0.002783792758</v>
      </c>
      <c r="N1787" s="7" t="n">
        <v>-0.002754481015</v>
      </c>
      <c r="O1787" s="7" t="n">
        <v>0.0004715073388</v>
      </c>
      <c r="P1787" s="7" t="n">
        <v>0.9999960952</v>
      </c>
      <c r="Q1787" s="7" t="n">
        <v>6.011501067</v>
      </c>
      <c r="R1787" s="7" t="n">
        <v>1.700030353</v>
      </c>
      <c r="S1787" s="7" t="n">
        <v>1.174002515</v>
      </c>
    </row>
    <row r="1788" customFormat="false" ht="15" hidden="false" customHeight="false" outlineLevel="0" collapsed="false">
      <c r="A1788" s="5" t="s">
        <v>4</v>
      </c>
      <c r="B1788" s="5" t="s">
        <v>83</v>
      </c>
      <c r="C1788" s="5" t="s">
        <v>58</v>
      </c>
      <c r="D1788" s="2" t="n">
        <v>14</v>
      </c>
      <c r="E1788" s="5" t="s">
        <v>167</v>
      </c>
      <c r="F1788" s="5" t="s">
        <v>168</v>
      </c>
      <c r="G1788" s="2" t="n">
        <v>1</v>
      </c>
      <c r="H1788" s="7" t="n">
        <v>0.08070000713</v>
      </c>
      <c r="I1788" s="7" t="n">
        <v>0.9967376097</v>
      </c>
      <c r="J1788" s="7" t="n">
        <v>-0.001283072163</v>
      </c>
      <c r="K1788" s="7" t="n">
        <v>-0.9967188862</v>
      </c>
      <c r="L1788" s="7" t="n">
        <v>0.08070641976</v>
      </c>
      <c r="M1788" s="7" t="n">
        <v>0.006159198923</v>
      </c>
      <c r="N1788" s="7" t="n">
        <v>0.006242657373</v>
      </c>
      <c r="O1788" s="7" t="n">
        <v>0.00078181486</v>
      </c>
      <c r="P1788" s="7" t="n">
        <v>0.9999802088</v>
      </c>
      <c r="Q1788" s="7" t="n">
        <v>5.99181244</v>
      </c>
      <c r="R1788" s="7" t="n">
        <v>1.721399235</v>
      </c>
      <c r="S1788" s="7" t="n">
        <v>1.105844763</v>
      </c>
    </row>
    <row r="1789" customFormat="false" ht="15" hidden="false" customHeight="false" outlineLevel="0" collapsed="false">
      <c r="A1789" s="5" t="s">
        <v>4</v>
      </c>
      <c r="B1789" s="5" t="s">
        <v>83</v>
      </c>
      <c r="C1789" s="5" t="s">
        <v>62</v>
      </c>
      <c r="D1789" s="2" t="n">
        <v>14</v>
      </c>
      <c r="E1789" s="5" t="s">
        <v>167</v>
      </c>
      <c r="F1789" s="5" t="s">
        <v>168</v>
      </c>
      <c r="G1789" s="2" t="n">
        <v>1</v>
      </c>
      <c r="H1789" s="7" t="n">
        <v>0.08070000713</v>
      </c>
      <c r="I1789" s="7" t="n">
        <v>0.9967376097</v>
      </c>
      <c r="J1789" s="7" t="n">
        <v>-0.001283072163</v>
      </c>
      <c r="K1789" s="7" t="n">
        <v>-0.9967188862</v>
      </c>
      <c r="L1789" s="7" t="n">
        <v>0.08070641976</v>
      </c>
      <c r="M1789" s="7" t="n">
        <v>0.006159198923</v>
      </c>
      <c r="N1789" s="7" t="n">
        <v>0.006242657373</v>
      </c>
      <c r="O1789" s="7" t="n">
        <v>0.00078181486</v>
      </c>
      <c r="P1789" s="7" t="n">
        <v>0.9999802088</v>
      </c>
      <c r="Q1789" s="7" t="n">
        <v>5.99181244</v>
      </c>
      <c r="R1789" s="7" t="n">
        <v>1.721399235</v>
      </c>
      <c r="S1789" s="7" t="n">
        <v>1.105844763</v>
      </c>
    </row>
    <row r="1790" customFormat="false" ht="15" hidden="false" customHeight="false" outlineLevel="0" collapsed="false">
      <c r="A1790" s="5" t="s">
        <v>4</v>
      </c>
      <c r="B1790" s="5" t="s">
        <v>83</v>
      </c>
      <c r="C1790" s="5" t="s">
        <v>58</v>
      </c>
      <c r="D1790" s="2" t="n">
        <v>15</v>
      </c>
      <c r="E1790" s="5" t="s">
        <v>167</v>
      </c>
      <c r="F1790" s="5" t="s">
        <v>168</v>
      </c>
      <c r="G1790" s="2" t="n">
        <v>1</v>
      </c>
      <c r="H1790" s="7" t="n">
        <v>0.08059241178</v>
      </c>
      <c r="I1790" s="7" t="n">
        <v>0.9967429718</v>
      </c>
      <c r="J1790" s="7" t="n">
        <v>-0.002882925607</v>
      </c>
      <c r="K1790" s="7" t="n">
        <v>-0.9967430333</v>
      </c>
      <c r="L1790" s="7" t="n">
        <v>0.08060004621</v>
      </c>
      <c r="M1790" s="7" t="n">
        <v>0.002637812751</v>
      </c>
      <c r="N1790" s="7" t="n">
        <v>0.002861585257</v>
      </c>
      <c r="O1790" s="7" t="n">
        <v>0.002660948323</v>
      </c>
      <c r="P1790" s="7" t="n">
        <v>0.9999923653</v>
      </c>
      <c r="Q1790" s="7" t="n">
        <v>5.988277378</v>
      </c>
      <c r="R1790" s="7" t="n">
        <v>1.704795725</v>
      </c>
      <c r="S1790" s="7" t="n">
        <v>1.166549752</v>
      </c>
    </row>
    <row r="1791" customFormat="false" ht="15" hidden="false" customHeight="false" outlineLevel="0" collapsed="false">
      <c r="A1791" s="5" t="s">
        <v>4</v>
      </c>
      <c r="B1791" s="5" t="s">
        <v>83</v>
      </c>
      <c r="C1791" s="5" t="s">
        <v>62</v>
      </c>
      <c r="D1791" s="2" t="n">
        <v>15</v>
      </c>
      <c r="E1791" s="5" t="s">
        <v>167</v>
      </c>
      <c r="F1791" s="5" t="s">
        <v>168</v>
      </c>
      <c r="G1791" s="2" t="n">
        <v>1</v>
      </c>
      <c r="H1791" s="7" t="n">
        <v>0.08059241178</v>
      </c>
      <c r="I1791" s="7" t="n">
        <v>0.9967429718</v>
      </c>
      <c r="J1791" s="7" t="n">
        <v>-0.002882925607</v>
      </c>
      <c r="K1791" s="7" t="n">
        <v>-0.9967430333</v>
      </c>
      <c r="L1791" s="7" t="n">
        <v>0.08060004621</v>
      </c>
      <c r="M1791" s="7" t="n">
        <v>0.002637812751</v>
      </c>
      <c r="N1791" s="7" t="n">
        <v>0.002861585257</v>
      </c>
      <c r="O1791" s="7" t="n">
        <v>0.002660948323</v>
      </c>
      <c r="P1791" s="7" t="n">
        <v>0.9999923653</v>
      </c>
      <c r="Q1791" s="7" t="n">
        <v>5.988277378</v>
      </c>
      <c r="R1791" s="7" t="n">
        <v>1.704795725</v>
      </c>
      <c r="S1791" s="7" t="n">
        <v>1.166549752</v>
      </c>
    </row>
    <row r="1792" customFormat="false" ht="15" hidden="false" customHeight="false" outlineLevel="0" collapsed="false">
      <c r="A1792" s="5" t="s">
        <v>4</v>
      </c>
      <c r="B1792" s="5" t="s">
        <v>83</v>
      </c>
      <c r="C1792" s="5" t="s">
        <v>58</v>
      </c>
      <c r="D1792" s="2" t="n">
        <v>16</v>
      </c>
      <c r="E1792" s="5" t="s">
        <v>167</v>
      </c>
      <c r="F1792" s="5" t="s">
        <v>168</v>
      </c>
      <c r="G1792" s="2" t="n">
        <v>1</v>
      </c>
      <c r="H1792" s="7" t="n">
        <v>0.08058687837</v>
      </c>
      <c r="I1792" s="7" t="n">
        <v>0.9967411024</v>
      </c>
      <c r="J1792" s="7" t="n">
        <v>-0.003595811015</v>
      </c>
      <c r="K1792" s="7" t="n">
        <v>-0.9966616744</v>
      </c>
      <c r="L1792" s="7" t="n">
        <v>0.08062677279</v>
      </c>
      <c r="M1792" s="7" t="n">
        <v>0.01283862351</v>
      </c>
      <c r="N1792" s="7" t="n">
        <v>0.01308670239</v>
      </c>
      <c r="O1792" s="7" t="n">
        <v>0.002549182436</v>
      </c>
      <c r="P1792" s="7" t="n">
        <v>0.999911116</v>
      </c>
      <c r="Q1792" s="7" t="n">
        <v>6.00012362</v>
      </c>
      <c r="R1792" s="7" t="n">
        <v>1.736231936</v>
      </c>
      <c r="S1792" s="7" t="n">
        <v>1.203177819</v>
      </c>
    </row>
    <row r="1793" customFormat="false" ht="15" hidden="false" customHeight="false" outlineLevel="0" collapsed="false">
      <c r="A1793" s="5" t="s">
        <v>4</v>
      </c>
      <c r="B1793" s="5" t="s">
        <v>83</v>
      </c>
      <c r="C1793" s="5" t="s">
        <v>62</v>
      </c>
      <c r="D1793" s="2" t="n">
        <v>16</v>
      </c>
      <c r="E1793" s="5" t="s">
        <v>167</v>
      </c>
      <c r="F1793" s="5" t="s">
        <v>168</v>
      </c>
      <c r="G1793" s="2" t="n">
        <v>1</v>
      </c>
      <c r="H1793" s="7" t="n">
        <v>0.08149259282</v>
      </c>
      <c r="I1793" s="7" t="n">
        <v>0.9966696156</v>
      </c>
      <c r="J1793" s="7" t="n">
        <v>-0.002938482782</v>
      </c>
      <c r="K1793" s="7" t="n">
        <v>-0.9966678615</v>
      </c>
      <c r="L1793" s="7" t="n">
        <v>0.08150204415</v>
      </c>
      <c r="M1793" s="7" t="n">
        <v>0.003254330582</v>
      </c>
      <c r="N1793" s="7" t="n">
        <v>0.003482984764</v>
      </c>
      <c r="O1793" s="7" t="n">
        <v>0.002663487514</v>
      </c>
      <c r="P1793" s="7" t="n">
        <v>0.9999903873</v>
      </c>
      <c r="Q1793" s="7" t="n">
        <v>5.998911449</v>
      </c>
      <c r="R1793" s="7" t="n">
        <v>1.714713362</v>
      </c>
      <c r="S1793" s="7" t="n">
        <v>1.165060364</v>
      </c>
    </row>
    <row r="1794" customFormat="false" ht="15" hidden="false" customHeight="false" outlineLevel="0" collapsed="false">
      <c r="A1794" s="5" t="s">
        <v>4</v>
      </c>
      <c r="B1794" s="5" t="s">
        <v>83</v>
      </c>
      <c r="C1794" s="5" t="s">
        <v>58</v>
      </c>
      <c r="D1794" s="2" t="n">
        <v>17</v>
      </c>
      <c r="E1794" s="5" t="s">
        <v>167</v>
      </c>
      <c r="F1794" s="5" t="s">
        <v>168</v>
      </c>
      <c r="G1794" s="2" t="n">
        <v>1</v>
      </c>
      <c r="H1794" s="7" t="n">
        <v>0.08120493228</v>
      </c>
      <c r="I1794" s="7" t="n">
        <v>0.9965963913</v>
      </c>
      <c r="J1794" s="7" t="n">
        <v>0.01419125864</v>
      </c>
      <c r="K1794" s="7" t="n">
        <v>-0.9966670584</v>
      </c>
      <c r="L1794" s="7" t="n">
        <v>0.08130537236</v>
      </c>
      <c r="M1794" s="7" t="n">
        <v>-0.006649142664</v>
      </c>
      <c r="N1794" s="7" t="n">
        <v>-0.007780337153</v>
      </c>
      <c r="O1794" s="7" t="n">
        <v>-0.01360401682</v>
      </c>
      <c r="P1794" s="7" t="n">
        <v>0.999877191</v>
      </c>
      <c r="Q1794" s="7" t="n">
        <v>6.048521567</v>
      </c>
      <c r="R1794" s="7" t="n">
        <v>1.731760683</v>
      </c>
      <c r="S1794" s="7" t="n">
        <v>1.060297913</v>
      </c>
    </row>
    <row r="1795" customFormat="false" ht="15" hidden="false" customHeight="false" outlineLevel="0" collapsed="false">
      <c r="A1795" s="5" t="s">
        <v>4</v>
      </c>
      <c r="B1795" s="5" t="s">
        <v>83</v>
      </c>
      <c r="C1795" s="5" t="s">
        <v>62</v>
      </c>
      <c r="D1795" s="2" t="n">
        <v>17</v>
      </c>
      <c r="E1795" s="5" t="s">
        <v>167</v>
      </c>
      <c r="F1795" s="5" t="s">
        <v>168</v>
      </c>
      <c r="G1795" s="2" t="n">
        <v>1</v>
      </c>
      <c r="H1795" s="7" t="n">
        <v>0.08120493228</v>
      </c>
      <c r="I1795" s="7" t="n">
        <v>0.9965963913</v>
      </c>
      <c r="J1795" s="7" t="n">
        <v>0.01419125864</v>
      </c>
      <c r="K1795" s="7" t="n">
        <v>-0.9966670584</v>
      </c>
      <c r="L1795" s="7" t="n">
        <v>0.08130537236</v>
      </c>
      <c r="M1795" s="7" t="n">
        <v>-0.006649142664</v>
      </c>
      <c r="N1795" s="7" t="n">
        <v>-0.007780337153</v>
      </c>
      <c r="O1795" s="7" t="n">
        <v>-0.01360401682</v>
      </c>
      <c r="P1795" s="7" t="n">
        <v>0.999877191</v>
      </c>
      <c r="Q1795" s="7" t="n">
        <v>6.048521567</v>
      </c>
      <c r="R1795" s="7" t="n">
        <v>1.731760683</v>
      </c>
      <c r="S1795" s="7" t="n">
        <v>1.060297913</v>
      </c>
    </row>
    <row r="1796" customFormat="false" ht="15" hidden="false" customHeight="false" outlineLevel="0" collapsed="false">
      <c r="A1796" s="5" t="s">
        <v>4</v>
      </c>
      <c r="B1796" s="5" t="s">
        <v>83</v>
      </c>
      <c r="C1796" s="5" t="s">
        <v>58</v>
      </c>
      <c r="D1796" s="2" t="n">
        <v>18</v>
      </c>
      <c r="E1796" s="5" t="s">
        <v>167</v>
      </c>
      <c r="F1796" s="5" t="s">
        <v>168</v>
      </c>
      <c r="G1796" s="2" t="n">
        <v>1</v>
      </c>
      <c r="H1796" s="7" t="n">
        <v>0.07966502883</v>
      </c>
      <c r="I1796" s="7" t="n">
        <v>0.99682066</v>
      </c>
      <c r="J1796" s="7" t="n">
        <v>-0.001433505113</v>
      </c>
      <c r="K1796" s="7" t="n">
        <v>-0.996817173</v>
      </c>
      <c r="L1796" s="7" t="n">
        <v>0.07966025579</v>
      </c>
      <c r="M1796" s="7" t="n">
        <v>-0.003125254916</v>
      </c>
      <c r="N1796" s="7" t="n">
        <v>-0.003001125285</v>
      </c>
      <c r="O1796" s="7" t="n">
        <v>0.001677916037</v>
      </c>
      <c r="P1796" s="7" t="n">
        <v>0.9999940889</v>
      </c>
      <c r="Q1796" s="7" t="n">
        <v>6.006738297</v>
      </c>
      <c r="R1796" s="7" t="n">
        <v>1.698044293</v>
      </c>
      <c r="S1796" s="7" t="n">
        <v>1.17622053</v>
      </c>
    </row>
    <row r="1797" customFormat="false" ht="15" hidden="false" customHeight="false" outlineLevel="0" collapsed="false">
      <c r="A1797" s="5" t="s">
        <v>4</v>
      </c>
      <c r="B1797" s="5" t="s">
        <v>83</v>
      </c>
      <c r="C1797" s="5" t="s">
        <v>62</v>
      </c>
      <c r="D1797" s="2" t="n">
        <v>18</v>
      </c>
      <c r="E1797" s="5" t="s">
        <v>167</v>
      </c>
      <c r="F1797" s="5" t="s">
        <v>168</v>
      </c>
      <c r="G1797" s="2" t="n">
        <v>1</v>
      </c>
      <c r="H1797" s="7" t="n">
        <v>0.07966502883</v>
      </c>
      <c r="I1797" s="7" t="n">
        <v>0.99682066</v>
      </c>
      <c r="J1797" s="7" t="n">
        <v>-0.001433505113</v>
      </c>
      <c r="K1797" s="7" t="n">
        <v>-0.996817173</v>
      </c>
      <c r="L1797" s="7" t="n">
        <v>0.07966025579</v>
      </c>
      <c r="M1797" s="7" t="n">
        <v>-0.003125254916</v>
      </c>
      <c r="N1797" s="7" t="n">
        <v>-0.003001125285</v>
      </c>
      <c r="O1797" s="7" t="n">
        <v>0.001677916037</v>
      </c>
      <c r="P1797" s="7" t="n">
        <v>0.9999940889</v>
      </c>
      <c r="Q1797" s="7" t="n">
        <v>6.006738297</v>
      </c>
      <c r="R1797" s="7" t="n">
        <v>1.698044293</v>
      </c>
      <c r="S1797" s="7" t="n">
        <v>1.17622053</v>
      </c>
    </row>
    <row r="1798" customFormat="false" ht="15" hidden="false" customHeight="false" outlineLevel="0" collapsed="false">
      <c r="A1798" s="5" t="s">
        <v>4</v>
      </c>
      <c r="B1798" s="5" t="s">
        <v>83</v>
      </c>
      <c r="C1798" s="5" t="s">
        <v>58</v>
      </c>
      <c r="D1798" s="2" t="n">
        <v>19</v>
      </c>
      <c r="E1798" s="5" t="s">
        <v>167</v>
      </c>
      <c r="F1798" s="5" t="s">
        <v>168</v>
      </c>
      <c r="G1798" s="2" t="n">
        <v>1</v>
      </c>
      <c r="H1798" s="7" t="n">
        <v>0.08118025405</v>
      </c>
      <c r="I1798" s="7" t="n">
        <v>0.9966978509</v>
      </c>
      <c r="J1798" s="7" t="n">
        <v>0.001777735099</v>
      </c>
      <c r="K1798" s="7" t="n">
        <v>-0.996696228</v>
      </c>
      <c r="L1798" s="7" t="n">
        <v>0.08118438919</v>
      </c>
      <c r="M1798" s="7" t="n">
        <v>-0.002392502666</v>
      </c>
      <c r="N1798" s="7" t="n">
        <v>-0.002528926604</v>
      </c>
      <c r="O1798" s="7" t="n">
        <v>-0.001577637893</v>
      </c>
      <c r="P1798" s="7" t="n">
        <v>0.9999955578</v>
      </c>
      <c r="Q1798" s="7" t="n">
        <v>5.999391105</v>
      </c>
      <c r="R1798" s="7" t="n">
        <v>1.694390529</v>
      </c>
      <c r="S1798" s="7" t="n">
        <v>1.199926689</v>
      </c>
    </row>
    <row r="1799" customFormat="false" ht="15" hidden="false" customHeight="false" outlineLevel="0" collapsed="false">
      <c r="A1799" s="5" t="s">
        <v>4</v>
      </c>
      <c r="B1799" s="5" t="s">
        <v>83</v>
      </c>
      <c r="C1799" s="5" t="s">
        <v>62</v>
      </c>
      <c r="D1799" s="2" t="n">
        <v>19</v>
      </c>
      <c r="E1799" s="5" t="s">
        <v>167</v>
      </c>
      <c r="F1799" s="5" t="s">
        <v>168</v>
      </c>
      <c r="G1799" s="2" t="n">
        <v>1</v>
      </c>
      <c r="H1799" s="7" t="n">
        <v>0.08118025405</v>
      </c>
      <c r="I1799" s="7" t="n">
        <v>0.9966978509</v>
      </c>
      <c r="J1799" s="7" t="n">
        <v>0.001777735099</v>
      </c>
      <c r="K1799" s="7" t="n">
        <v>-0.996696228</v>
      </c>
      <c r="L1799" s="7" t="n">
        <v>0.08118438919</v>
      </c>
      <c r="M1799" s="7" t="n">
        <v>-0.002392502666</v>
      </c>
      <c r="N1799" s="7" t="n">
        <v>-0.002528926604</v>
      </c>
      <c r="O1799" s="7" t="n">
        <v>-0.001577637893</v>
      </c>
      <c r="P1799" s="7" t="n">
        <v>0.9999955578</v>
      </c>
      <c r="Q1799" s="7" t="n">
        <v>5.999391105</v>
      </c>
      <c r="R1799" s="7" t="n">
        <v>1.694390529</v>
      </c>
      <c r="S1799" s="7" t="n">
        <v>1.199926689</v>
      </c>
    </row>
    <row r="1800" customFormat="false" ht="15" hidden="false" customHeight="false" outlineLevel="0" collapsed="false">
      <c r="A1800" s="5" t="s">
        <v>4</v>
      </c>
      <c r="B1800" s="5" t="s">
        <v>83</v>
      </c>
      <c r="C1800" s="5" t="s">
        <v>58</v>
      </c>
      <c r="D1800" s="2" t="n">
        <v>20</v>
      </c>
      <c r="E1800" s="5" t="s">
        <v>167</v>
      </c>
      <c r="F1800" s="5" t="s">
        <v>168</v>
      </c>
      <c r="G1800" s="2" t="n">
        <v>1</v>
      </c>
      <c r="H1800" s="7" t="n">
        <v>0.08101236658</v>
      </c>
      <c r="I1800" s="7" t="n">
        <v>0.9967111839</v>
      </c>
      <c r="J1800" s="7" t="n">
        <v>-0.001952508689</v>
      </c>
      <c r="K1800" s="7" t="n">
        <v>-0.9967071656</v>
      </c>
      <c r="L1800" s="7" t="n">
        <v>0.08101848693</v>
      </c>
      <c r="M1800" s="7" t="n">
        <v>0.003291029386</v>
      </c>
      <c r="N1800" s="7" t="n">
        <v>0.003438395095</v>
      </c>
      <c r="O1800" s="7" t="n">
        <v>0.001679465322</v>
      </c>
      <c r="P1800" s="7" t="n">
        <v>0.9999926784</v>
      </c>
      <c r="Q1800" s="7" t="n">
        <v>6.007320863</v>
      </c>
      <c r="R1800" s="7" t="n">
        <v>1.716859775</v>
      </c>
      <c r="S1800" s="7" t="n">
        <v>1.143062972</v>
      </c>
    </row>
    <row r="1801" customFormat="false" ht="15" hidden="false" customHeight="false" outlineLevel="0" collapsed="false">
      <c r="A1801" s="5" t="s">
        <v>4</v>
      </c>
      <c r="B1801" s="5" t="s">
        <v>83</v>
      </c>
      <c r="C1801" s="5" t="s">
        <v>62</v>
      </c>
      <c r="D1801" s="2" t="n">
        <v>20</v>
      </c>
      <c r="E1801" s="5" t="s">
        <v>167</v>
      </c>
      <c r="F1801" s="5" t="s">
        <v>168</v>
      </c>
      <c r="G1801" s="2" t="n">
        <v>1</v>
      </c>
      <c r="H1801" s="7" t="n">
        <v>0.08101236658</v>
      </c>
      <c r="I1801" s="7" t="n">
        <v>0.9967111839</v>
      </c>
      <c r="J1801" s="7" t="n">
        <v>-0.001952508689</v>
      </c>
      <c r="K1801" s="7" t="n">
        <v>-0.9967071656</v>
      </c>
      <c r="L1801" s="7" t="n">
        <v>0.08101848693</v>
      </c>
      <c r="M1801" s="7" t="n">
        <v>0.003291029386</v>
      </c>
      <c r="N1801" s="7" t="n">
        <v>0.003438395095</v>
      </c>
      <c r="O1801" s="7" t="n">
        <v>0.001679465322</v>
      </c>
      <c r="P1801" s="7" t="n">
        <v>0.9999926784</v>
      </c>
      <c r="Q1801" s="7" t="n">
        <v>6.007320863</v>
      </c>
      <c r="R1801" s="7" t="n">
        <v>1.716859775</v>
      </c>
      <c r="S1801" s="7" t="n">
        <v>1.143062972</v>
      </c>
    </row>
    <row r="1802" customFormat="false" ht="15" hidden="false" customHeight="false" outlineLevel="0" collapsed="false">
      <c r="A1802" s="5" t="s">
        <v>4</v>
      </c>
      <c r="B1802" s="5" t="s">
        <v>85</v>
      </c>
      <c r="C1802" s="5" t="s">
        <v>85</v>
      </c>
      <c r="D1802" s="2" t="n">
        <v>11</v>
      </c>
      <c r="E1802" s="5" t="s">
        <v>163</v>
      </c>
      <c r="F1802" s="5" t="s">
        <v>164</v>
      </c>
      <c r="G1802" s="2" t="n">
        <v>1</v>
      </c>
      <c r="H1802" s="7" t="n">
        <v>-0.7180964323</v>
      </c>
      <c r="I1802" s="7" t="n">
        <v>-0.6958798513</v>
      </c>
      <c r="J1802" s="7" t="n">
        <v>0.009420536849</v>
      </c>
      <c r="K1802" s="7" t="n">
        <v>0.6958593404</v>
      </c>
      <c r="L1802" s="7" t="n">
        <v>-0.7181543421</v>
      </c>
      <c r="M1802" s="7" t="n">
        <v>-0.005841173471</v>
      </c>
      <c r="N1802" s="7" t="n">
        <v>0.01083015437</v>
      </c>
      <c r="O1802" s="7" t="n">
        <v>0.002360842728</v>
      </c>
      <c r="P1802" s="7" t="n">
        <v>0.9999385652</v>
      </c>
      <c r="Q1802" s="7" t="n">
        <v>-11.08082119</v>
      </c>
      <c r="R1802" s="7" t="n">
        <v>-0.8653282138</v>
      </c>
      <c r="S1802" s="7" t="n">
        <v>0.6185074484</v>
      </c>
    </row>
    <row r="1803" customFormat="false" ht="15" hidden="false" customHeight="false" outlineLevel="0" collapsed="false">
      <c r="A1803" s="5" t="s">
        <v>4</v>
      </c>
      <c r="B1803" s="5" t="s">
        <v>85</v>
      </c>
      <c r="C1803" s="5" t="s">
        <v>85</v>
      </c>
      <c r="D1803" s="2" t="n">
        <v>11</v>
      </c>
      <c r="E1803" s="5" t="s">
        <v>163</v>
      </c>
      <c r="F1803" s="5" t="s">
        <v>165</v>
      </c>
      <c r="G1803" s="2" t="n">
        <v>1</v>
      </c>
      <c r="H1803" s="7" t="n">
        <v>0.933287344800643</v>
      </c>
      <c r="I1803" s="7" t="n">
        <v>0.359068572386924</v>
      </c>
      <c r="J1803" s="7" t="n">
        <v>-0.00667025129480045</v>
      </c>
      <c r="K1803" s="7" t="n">
        <v>-0.359036499101372</v>
      </c>
      <c r="L1803" s="7" t="n">
        <v>0.933307033036925</v>
      </c>
      <c r="M1803" s="7" t="n">
        <v>0.00554747625467705</v>
      </c>
      <c r="N1803" s="7" t="n">
        <v>0.00821731681748169</v>
      </c>
      <c r="O1803" s="7" t="n">
        <v>-0.00278252570516742</v>
      </c>
      <c r="P1803" s="7" t="n">
        <v>0.99996236587649</v>
      </c>
      <c r="Q1803" s="7" t="n">
        <v>8.40040470550107</v>
      </c>
      <c r="R1803" s="7" t="n">
        <v>1.34895105913039</v>
      </c>
      <c r="S1803" s="7" t="n">
        <v>0.629955532883407</v>
      </c>
    </row>
    <row r="1804" customFormat="false" ht="15" hidden="false" customHeight="false" outlineLevel="0" collapsed="false">
      <c r="A1804" s="5" t="s">
        <v>4</v>
      </c>
      <c r="B1804" s="5" t="s">
        <v>85</v>
      </c>
      <c r="C1804" s="5" t="s">
        <v>85</v>
      </c>
      <c r="D1804" s="2" t="n">
        <v>11</v>
      </c>
      <c r="E1804" s="5" t="s">
        <v>163</v>
      </c>
      <c r="F1804" s="5" t="s">
        <v>166</v>
      </c>
      <c r="G1804" s="2" t="n">
        <v>1</v>
      </c>
      <c r="H1804" s="7" t="n">
        <v>0.901240972687</v>
      </c>
      <c r="I1804" s="7" t="n">
        <v>0.433018844759412</v>
      </c>
      <c r="J1804" s="7" t="n">
        <v>-0.0161055643337504</v>
      </c>
      <c r="K1804" s="7" t="n">
        <v>-0.432910645737127</v>
      </c>
      <c r="L1804" s="7" t="n">
        <v>0.901382819823689</v>
      </c>
      <c r="M1804" s="7" t="n">
        <v>0.00986838469992162</v>
      </c>
      <c r="N1804" s="7" t="n">
        <v>0.0187904755334122</v>
      </c>
      <c r="O1804" s="7" t="n">
        <v>-0.00192152236335395</v>
      </c>
      <c r="P1804" s="7" t="n">
        <v>0.999821596947712</v>
      </c>
      <c r="Q1804" s="7" t="n">
        <v>22.8387681146261</v>
      </c>
      <c r="R1804" s="7" t="n">
        <v>6.52796655695629</v>
      </c>
      <c r="S1804" s="7" t="n">
        <v>1.45790968412136</v>
      </c>
    </row>
    <row r="1805" customFormat="false" ht="15" hidden="false" customHeight="false" outlineLevel="0" collapsed="false">
      <c r="A1805" s="5" t="s">
        <v>4</v>
      </c>
      <c r="B1805" s="5" t="s">
        <v>85</v>
      </c>
      <c r="C1805" s="5" t="s">
        <v>85</v>
      </c>
      <c r="D1805" s="2" t="n">
        <v>11</v>
      </c>
      <c r="E1805" s="5" t="s">
        <v>163</v>
      </c>
      <c r="F1805" s="5" t="s">
        <v>167</v>
      </c>
      <c r="G1805" s="2" t="n">
        <v>1</v>
      </c>
      <c r="H1805" s="7" t="n">
        <v>0.227851228857911</v>
      </c>
      <c r="I1805" s="7" t="n">
        <v>-0.973684818785022</v>
      </c>
      <c r="J1805" s="7" t="n">
        <v>0.00465739025980944</v>
      </c>
      <c r="K1805" s="7" t="n">
        <v>0.973575876023036</v>
      </c>
      <c r="L1805" s="7" t="n">
        <v>0.227745404297313</v>
      </c>
      <c r="M1805" s="7" t="n">
        <v>-0.0167941781409254</v>
      </c>
      <c r="N1805" s="7" t="n">
        <v>0.0152915370719029</v>
      </c>
      <c r="O1805" s="7" t="n">
        <v>0.00836089692918726</v>
      </c>
      <c r="P1805" s="7" t="n">
        <v>0.999848120595865</v>
      </c>
      <c r="Q1805" s="7" t="n">
        <v>-16.4821437151571</v>
      </c>
      <c r="R1805" s="7" t="n">
        <v>20.5069121962766</v>
      </c>
      <c r="S1805" s="7" t="n">
        <v>1.18698547352796</v>
      </c>
    </row>
    <row r="1806" customFormat="false" ht="15" hidden="false" customHeight="false" outlineLevel="0" collapsed="false">
      <c r="A1806" s="5" t="s">
        <v>4</v>
      </c>
      <c r="B1806" s="5" t="s">
        <v>85</v>
      </c>
      <c r="C1806" s="5" t="s">
        <v>85</v>
      </c>
      <c r="D1806" s="2" t="n">
        <v>11</v>
      </c>
      <c r="E1806" s="5" t="s">
        <v>163</v>
      </c>
      <c r="F1806" s="5" t="s">
        <v>168</v>
      </c>
      <c r="G1806" s="2" t="n">
        <v>1</v>
      </c>
      <c r="H1806" s="7" t="n">
        <v>0.988705732757232</v>
      </c>
      <c r="I1806" s="7" t="n">
        <v>0.149098638034764</v>
      </c>
      <c r="J1806" s="7" t="n">
        <v>-0.0151845340931533</v>
      </c>
      <c r="K1806" s="7" t="n">
        <v>-0.149011302386662</v>
      </c>
      <c r="L1806" s="7" t="n">
        <v>0.988812552694656</v>
      </c>
      <c r="M1806" s="7" t="n">
        <v>0.00673554070965199</v>
      </c>
      <c r="N1806" s="7" t="n">
        <v>0.0160189178614951</v>
      </c>
      <c r="O1806" s="7" t="n">
        <v>-0.00439680050468526</v>
      </c>
      <c r="P1806" s="7" t="n">
        <v>0.99986202164391</v>
      </c>
      <c r="Q1806" s="7" t="n">
        <v>25.1364117438469</v>
      </c>
      <c r="R1806" s="7" t="n">
        <v>19.8079734447085</v>
      </c>
      <c r="S1806" s="7" t="n">
        <v>2.14066695486997</v>
      </c>
    </row>
    <row r="1807" customFormat="false" ht="15" hidden="false" customHeight="false" outlineLevel="0" collapsed="false">
      <c r="A1807" s="5" t="s">
        <v>4</v>
      </c>
      <c r="B1807" s="5" t="s">
        <v>85</v>
      </c>
      <c r="C1807" s="5" t="s">
        <v>85</v>
      </c>
      <c r="D1807" s="2" t="n">
        <v>11</v>
      </c>
      <c r="E1807" s="5" t="s">
        <v>164</v>
      </c>
      <c r="F1807" s="5" t="s">
        <v>165</v>
      </c>
      <c r="G1807" s="2" t="n">
        <v>1</v>
      </c>
      <c r="H1807" s="7" t="n">
        <v>-0.920121734711061</v>
      </c>
      <c r="I1807" s="7" t="n">
        <v>0.39160902394871</v>
      </c>
      <c r="J1807" s="7" t="n">
        <v>0.00428550893368855</v>
      </c>
      <c r="K1807" s="7" t="n">
        <v>-0.391594470004911</v>
      </c>
      <c r="L1807" s="7" t="n">
        <v>-0.920129803467038</v>
      </c>
      <c r="M1807" s="7" t="n">
        <v>0.00386210585903586</v>
      </c>
      <c r="N1807" s="7" t="n">
        <v>0.00545565999987346</v>
      </c>
      <c r="O1807" s="7" t="n">
        <v>0.001875425933118</v>
      </c>
      <c r="P1807" s="7" t="n">
        <v>0.999983359096302</v>
      </c>
      <c r="Q1807" s="7" t="n">
        <v>-1.45907999185899</v>
      </c>
      <c r="R1807" s="7" t="n">
        <v>-3.78884026252545</v>
      </c>
      <c r="S1807" s="7" t="n">
        <v>0.073534428911145</v>
      </c>
    </row>
    <row r="1808" customFormat="false" ht="15" hidden="false" customHeight="false" outlineLevel="0" collapsed="false">
      <c r="A1808" s="5" t="s">
        <v>4</v>
      </c>
      <c r="B1808" s="5" t="s">
        <v>85</v>
      </c>
      <c r="C1808" s="5" t="s">
        <v>85</v>
      </c>
      <c r="D1808" s="2" t="n">
        <v>11</v>
      </c>
      <c r="E1808" s="5" t="s">
        <v>164</v>
      </c>
      <c r="F1808" s="5" t="s">
        <v>166</v>
      </c>
      <c r="G1808" s="2" t="n">
        <v>1</v>
      </c>
      <c r="H1808" s="7" t="n">
        <v>-0.948658739477418</v>
      </c>
      <c r="I1808" s="7" t="n">
        <v>0.316256660686631</v>
      </c>
      <c r="J1808" s="7" t="n">
        <v>-0.00532170664293091</v>
      </c>
      <c r="K1808" s="7" t="n">
        <v>-0.31628958684659</v>
      </c>
      <c r="L1808" s="7" t="n">
        <v>-0.948634545261806</v>
      </c>
      <c r="M1808" s="7" t="n">
        <v>0.0073073123915828</v>
      </c>
      <c r="N1808" s="7" t="n">
        <v>-0.00273736854870628</v>
      </c>
      <c r="O1808" s="7" t="n">
        <v>0.00861534615096481</v>
      </c>
      <c r="P1808" s="7" t="n">
        <v>0.999959140450176</v>
      </c>
      <c r="Q1808" s="7" t="n">
        <v>12.6038075786372</v>
      </c>
      <c r="R1808" s="7" t="n">
        <v>2.1978183371079</v>
      </c>
      <c r="S1808" s="7" t="n">
        <v>0.816550318334005</v>
      </c>
    </row>
    <row r="1809" customFormat="false" ht="15" hidden="false" customHeight="false" outlineLevel="0" collapsed="false">
      <c r="A1809" s="5" t="s">
        <v>4</v>
      </c>
      <c r="B1809" s="5" t="s">
        <v>85</v>
      </c>
      <c r="C1809" s="5" t="s">
        <v>85</v>
      </c>
      <c r="D1809" s="2" t="n">
        <v>11</v>
      </c>
      <c r="E1809" s="5" t="s">
        <v>164</v>
      </c>
      <c r="F1809" s="5" t="s">
        <v>167</v>
      </c>
      <c r="G1809" s="2" t="n">
        <v>1</v>
      </c>
      <c r="H1809" s="7" t="n">
        <v>0.5139923674</v>
      </c>
      <c r="I1809" s="7" t="n">
        <v>0.8577811816</v>
      </c>
      <c r="J1809" s="7" t="n">
        <v>0.004826051392</v>
      </c>
      <c r="K1809" s="7" t="n">
        <v>-0.8577630114</v>
      </c>
      <c r="L1809" s="7" t="n">
        <v>0.5140136137</v>
      </c>
      <c r="M1809" s="7" t="n">
        <v>-0.005711498285</v>
      </c>
      <c r="N1809" s="7" t="n">
        <v>-0.007379871863</v>
      </c>
      <c r="O1809" s="7" t="n">
        <v>-0.00120394185</v>
      </c>
      <c r="P1809" s="7" t="n">
        <v>0.9999720436</v>
      </c>
      <c r="Q1809" s="7" t="n">
        <v>-10.04740889</v>
      </c>
      <c r="R1809" s="7" t="n">
        <v>11.45051673</v>
      </c>
      <c r="S1809" s="7" t="n">
        <v>0.485678471</v>
      </c>
    </row>
    <row r="1810" customFormat="false" ht="15" hidden="false" customHeight="false" outlineLevel="0" collapsed="false">
      <c r="A1810" s="5" t="s">
        <v>4</v>
      </c>
      <c r="B1810" s="5" t="s">
        <v>85</v>
      </c>
      <c r="C1810" s="5" t="s">
        <v>85</v>
      </c>
      <c r="D1810" s="2" t="n">
        <v>11</v>
      </c>
      <c r="E1810" s="5" t="s">
        <v>164</v>
      </c>
      <c r="F1810" s="5" t="s">
        <v>168</v>
      </c>
      <c r="G1810" s="2" t="n">
        <v>1</v>
      </c>
      <c r="H1810" s="7" t="n">
        <v>-0.813883843825968</v>
      </c>
      <c r="I1810" s="7" t="n">
        <v>0.581012980297042</v>
      </c>
      <c r="J1810" s="7" t="n">
        <v>-0.00412376708757352</v>
      </c>
      <c r="K1810" s="7" t="n">
        <v>-0.581026795019904</v>
      </c>
      <c r="L1810" s="7" t="n">
        <v>-0.813850278243124</v>
      </c>
      <c r="M1810" s="7" t="n">
        <v>0.00745574242979869</v>
      </c>
      <c r="N1810" s="7" t="n">
        <v>0.000975754134523368</v>
      </c>
      <c r="O1810" s="7" t="n">
        <v>0.00846412747465766</v>
      </c>
      <c r="P1810" s="7" t="n">
        <v>0.999963702523062</v>
      </c>
      <c r="Q1810" s="7" t="n">
        <v>16.6232279060756</v>
      </c>
      <c r="R1810" s="7" t="n">
        <v>12.6608603826952</v>
      </c>
      <c r="S1810" s="7" t="n">
        <v>1.54031836212889</v>
      </c>
    </row>
    <row r="1811" customFormat="false" ht="15" hidden="false" customHeight="false" outlineLevel="0" collapsed="false">
      <c r="A1811" s="5" t="s">
        <v>4</v>
      </c>
      <c r="B1811" s="5" t="s">
        <v>85</v>
      </c>
      <c r="C1811" s="5" t="s">
        <v>85</v>
      </c>
      <c r="D1811" s="2" t="n">
        <v>11</v>
      </c>
      <c r="E1811" s="5" t="s">
        <v>165</v>
      </c>
      <c r="F1811" s="5" t="s">
        <v>166</v>
      </c>
      <c r="G1811" s="2" t="n">
        <v>1</v>
      </c>
      <c r="H1811" s="7" t="n">
        <v>0.9967076811</v>
      </c>
      <c r="I1811" s="7" t="n">
        <v>0.08047178437</v>
      </c>
      <c r="J1811" s="7" t="n">
        <v>-0.009904061677</v>
      </c>
      <c r="K1811" s="7" t="n">
        <v>-0.08043760938</v>
      </c>
      <c r="L1811" s="7" t="n">
        <v>0.9967523924</v>
      </c>
      <c r="M1811" s="7" t="n">
        <v>0.003802528508</v>
      </c>
      <c r="N1811" s="7" t="n">
        <v>0.01017789343</v>
      </c>
      <c r="O1811" s="7" t="n">
        <v>-0.002993350327</v>
      </c>
      <c r="P1811" s="7" t="n">
        <v>0.9999437236</v>
      </c>
      <c r="Q1811" s="7" t="n">
        <v>14.36370684</v>
      </c>
      <c r="R1811" s="7" t="n">
        <v>5.85670941</v>
      </c>
      <c r="S1811" s="7" t="n">
        <v>0.7465290621</v>
      </c>
    </row>
    <row r="1812" customFormat="false" ht="15" hidden="false" customHeight="false" outlineLevel="0" collapsed="false">
      <c r="A1812" s="5" t="s">
        <v>4</v>
      </c>
      <c r="B1812" s="5" t="s">
        <v>85</v>
      </c>
      <c r="C1812" s="5" t="s">
        <v>85</v>
      </c>
      <c r="D1812" s="2" t="n">
        <v>11</v>
      </c>
      <c r="E1812" s="5" t="s">
        <v>165</v>
      </c>
      <c r="F1812" s="5" t="s">
        <v>167</v>
      </c>
      <c r="G1812" s="2" t="n">
        <v>1</v>
      </c>
      <c r="H1812" s="7" t="n">
        <v>-0.13700001546544</v>
      </c>
      <c r="I1812" s="7" t="n">
        <v>-0.990527960007378</v>
      </c>
      <c r="J1812" s="7" t="n">
        <v>0.00923884376278529</v>
      </c>
      <c r="K1812" s="7" t="n">
        <v>0.990514282972507</v>
      </c>
      <c r="L1812" s="7" t="n">
        <v>-0.137086051813704</v>
      </c>
      <c r="M1812" s="7" t="n">
        <v>-0.00942707212472238</v>
      </c>
      <c r="N1812" s="7" t="n">
        <v>0.0106042951407993</v>
      </c>
      <c r="O1812" s="7" t="n">
        <v>0.00785969766943991</v>
      </c>
      <c r="P1812" s="7" t="n">
        <v>0.999912883268016</v>
      </c>
      <c r="Q1812" s="7" t="n">
        <v>-14.000934460583</v>
      </c>
      <c r="R1812" s="7" t="n">
        <v>12.3770523637583</v>
      </c>
      <c r="S1812" s="7" t="n">
        <v>0.457402102016949</v>
      </c>
    </row>
    <row r="1813" customFormat="false" ht="15" hidden="false" customHeight="false" outlineLevel="0" collapsed="false">
      <c r="A1813" s="5" t="s">
        <v>4</v>
      </c>
      <c r="B1813" s="5" t="s">
        <v>85</v>
      </c>
      <c r="C1813" s="5" t="s">
        <v>85</v>
      </c>
      <c r="D1813" s="2" t="n">
        <v>11</v>
      </c>
      <c r="E1813" s="5" t="s">
        <v>165</v>
      </c>
      <c r="F1813" s="5" t="s">
        <v>168</v>
      </c>
      <c r="G1813" s="2" t="n">
        <v>1</v>
      </c>
      <c r="H1813" s="7" t="n">
        <v>0.976384467971314</v>
      </c>
      <c r="I1813" s="7" t="n">
        <v>-0.215910873216819</v>
      </c>
      <c r="J1813" s="7" t="n">
        <v>-0.00747432517882461</v>
      </c>
      <c r="K1813" s="7" t="n">
        <v>0.215936221219774</v>
      </c>
      <c r="L1813" s="7" t="n">
        <v>0.976403571288126</v>
      </c>
      <c r="M1813" s="7" t="n">
        <v>0.0027594177904047</v>
      </c>
      <c r="N1813" s="7" t="n">
        <v>0.00670216949763798</v>
      </c>
      <c r="O1813" s="7" t="n">
        <v>-0.00430823020642309</v>
      </c>
      <c r="P1813" s="7" t="n">
        <v>0.999968259532435</v>
      </c>
      <c r="Q1813" s="7" t="n">
        <v>17.2303487583271</v>
      </c>
      <c r="R1813" s="7" t="n">
        <v>16.6751628537534</v>
      </c>
      <c r="S1813" s="7" t="n">
        <v>1.46024207258463</v>
      </c>
    </row>
    <row r="1814" customFormat="false" ht="15" hidden="false" customHeight="false" outlineLevel="0" collapsed="false">
      <c r="A1814" s="5" t="s">
        <v>4</v>
      </c>
      <c r="B1814" s="5" t="s">
        <v>85</v>
      </c>
      <c r="C1814" s="5" t="s">
        <v>85</v>
      </c>
      <c r="D1814" s="2" t="n">
        <v>11</v>
      </c>
      <c r="E1814" s="5" t="s">
        <v>166</v>
      </c>
      <c r="F1814" s="5" t="s">
        <v>167</v>
      </c>
      <c r="G1814" s="2" t="n">
        <v>1</v>
      </c>
      <c r="H1814" s="7" t="n">
        <v>-0.2163500222</v>
      </c>
      <c r="I1814" s="7" t="n">
        <v>-0.9762560292</v>
      </c>
      <c r="J1814" s="7" t="n">
        <v>0.01080894947</v>
      </c>
      <c r="K1814" s="7" t="n">
        <v>0.9763150011</v>
      </c>
      <c r="L1814" s="7" t="n">
        <v>-0.2163512978</v>
      </c>
      <c r="M1814" s="7" t="n">
        <v>0.001065153783</v>
      </c>
      <c r="N1814" s="7" t="n">
        <v>0.001298667443</v>
      </c>
      <c r="O1814" s="7" t="n">
        <v>0.01078338555</v>
      </c>
      <c r="P1814" s="7" t="n">
        <v>0.9999410143</v>
      </c>
      <c r="Q1814" s="7" t="n">
        <v>-5.183767489</v>
      </c>
      <c r="R1814" s="7" t="n">
        <v>-0.3801385821</v>
      </c>
      <c r="S1814" s="7" t="n">
        <v>-0.3708917596</v>
      </c>
    </row>
    <row r="1815" customFormat="false" ht="15" hidden="false" customHeight="false" outlineLevel="0" collapsed="false">
      <c r="A1815" s="5" t="s">
        <v>4</v>
      </c>
      <c r="B1815" s="5" t="s">
        <v>85</v>
      </c>
      <c r="C1815" s="5" t="s">
        <v>85</v>
      </c>
      <c r="D1815" s="2" t="n">
        <v>11</v>
      </c>
      <c r="E1815" s="5" t="s">
        <v>166</v>
      </c>
      <c r="F1815" s="5" t="s">
        <v>168</v>
      </c>
      <c r="G1815" s="2" t="n">
        <v>1</v>
      </c>
      <c r="H1815" s="7" t="n">
        <v>0.9558691918</v>
      </c>
      <c r="I1815" s="7" t="n">
        <v>-0.2937761332</v>
      </c>
      <c r="J1815" s="7" t="n">
        <v>0.003109929389</v>
      </c>
      <c r="K1815" s="7" t="n">
        <v>0.2937708985</v>
      </c>
      <c r="L1815" s="7" t="n">
        <v>0.955873695</v>
      </c>
      <c r="M1815" s="7" t="n">
        <v>0.002034320397</v>
      </c>
      <c r="N1815" s="7" t="n">
        <v>-0.003570334476</v>
      </c>
      <c r="O1815" s="7" t="n">
        <v>-0.001030937443</v>
      </c>
      <c r="P1815" s="7" t="n">
        <v>0.9999930949</v>
      </c>
      <c r="Q1815" s="7" t="n">
        <v>5.218763701</v>
      </c>
      <c r="R1815" s="7" t="n">
        <v>6.855730646</v>
      </c>
      <c r="S1815" s="7" t="n">
        <v>0.7710393041</v>
      </c>
    </row>
    <row r="1816" customFormat="false" ht="15" hidden="false" customHeight="false" outlineLevel="0" collapsed="false">
      <c r="A1816" s="5" t="s">
        <v>4</v>
      </c>
      <c r="B1816" s="5" t="s">
        <v>85</v>
      </c>
      <c r="C1816" s="5" t="s">
        <v>85</v>
      </c>
      <c r="D1816" s="2" t="n">
        <v>11</v>
      </c>
      <c r="E1816" s="5" t="s">
        <v>167</v>
      </c>
      <c r="F1816" s="5" t="s">
        <v>168</v>
      </c>
      <c r="G1816" s="2" t="n">
        <v>1</v>
      </c>
      <c r="H1816" s="7" t="n">
        <v>0.0800320155374838</v>
      </c>
      <c r="I1816" s="7" t="n">
        <v>0.996791591297247</v>
      </c>
      <c r="J1816" s="7" t="n">
        <v>0.0011832008346697</v>
      </c>
      <c r="K1816" s="7" t="n">
        <v>-0.996712809394252</v>
      </c>
      <c r="L1816" s="7" t="n">
        <v>0.0800105874452235</v>
      </c>
      <c r="M1816" s="7" t="n">
        <v>0.0127232657006805</v>
      </c>
      <c r="N1816" s="7" t="n">
        <v>0.0125877756619757</v>
      </c>
      <c r="O1816" s="7" t="n">
        <v>-0.00219758002709055</v>
      </c>
      <c r="P1816" s="7" t="n">
        <v>0.999918355913776</v>
      </c>
      <c r="Q1816" s="7" t="n">
        <v>6.01298884282682</v>
      </c>
      <c r="R1816" s="7" t="n">
        <v>1.72413725446022</v>
      </c>
      <c r="S1816" s="7" t="n">
        <v>1.20631749986103</v>
      </c>
    </row>
    <row r="1817" customFormat="false" ht="15" hidden="false" customHeight="false" outlineLevel="0" collapsed="false">
      <c r="A1817" s="5" t="s">
        <v>4</v>
      </c>
      <c r="B1817" s="5" t="s">
        <v>85</v>
      </c>
      <c r="C1817" s="5" t="s">
        <v>85</v>
      </c>
      <c r="D1817" s="2" t="n">
        <v>12</v>
      </c>
      <c r="E1817" s="5" t="s">
        <v>163</v>
      </c>
      <c r="F1817" s="5" t="s">
        <v>164</v>
      </c>
      <c r="G1817" s="2" t="n">
        <v>1</v>
      </c>
      <c r="H1817" s="7" t="n">
        <v>-0.7184456201</v>
      </c>
      <c r="I1817" s="7" t="n">
        <v>-0.6955438707</v>
      </c>
      <c r="J1817" s="7" t="n">
        <v>0.007390193395</v>
      </c>
      <c r="K1817" s="7" t="n">
        <v>0.6955213975</v>
      </c>
      <c r="L1817" s="7" t="n">
        <v>-0.7184828573</v>
      </c>
      <c r="M1817" s="7" t="n">
        <v>-0.005689416669</v>
      </c>
      <c r="N1817" s="7" t="n">
        <v>0.009266966158</v>
      </c>
      <c r="O1817" s="7" t="n">
        <v>0.001052501151</v>
      </c>
      <c r="P1817" s="7" t="n">
        <v>0.9999565068</v>
      </c>
      <c r="Q1817" s="7" t="n">
        <v>-11.08737811</v>
      </c>
      <c r="R1817" s="7" t="n">
        <v>-0.8736620982</v>
      </c>
      <c r="S1817" s="7" t="n">
        <v>0.602046283</v>
      </c>
    </row>
    <row r="1818" customFormat="false" ht="15" hidden="false" customHeight="false" outlineLevel="0" collapsed="false">
      <c r="A1818" s="5" t="s">
        <v>4</v>
      </c>
      <c r="B1818" s="5" t="s">
        <v>85</v>
      </c>
      <c r="C1818" s="5" t="s">
        <v>85</v>
      </c>
      <c r="D1818" s="2" t="n">
        <v>12</v>
      </c>
      <c r="E1818" s="5" t="s">
        <v>163</v>
      </c>
      <c r="F1818" s="5" t="s">
        <v>165</v>
      </c>
      <c r="G1818" s="2" t="n">
        <v>1</v>
      </c>
      <c r="H1818" s="7" t="n">
        <v>0.933776252140796</v>
      </c>
      <c r="I1818" s="7" t="n">
        <v>0.357736971733485</v>
      </c>
      <c r="J1818" s="7" t="n">
        <v>-0.00928278151327647</v>
      </c>
      <c r="K1818" s="7" t="n">
        <v>-0.357674909980955</v>
      </c>
      <c r="L1818" s="7" t="n">
        <v>0.933814332478133</v>
      </c>
      <c r="M1818" s="7" t="n">
        <v>0.00771046333562608</v>
      </c>
      <c r="N1818" s="7" t="n">
        <v>0.0114267122274861</v>
      </c>
      <c r="O1818" s="7" t="n">
        <v>-0.00387962951380872</v>
      </c>
      <c r="P1818" s="7" t="n">
        <v>0.999927186704244</v>
      </c>
      <c r="Q1818" s="7" t="n">
        <v>8.40391599246391</v>
      </c>
      <c r="R1818" s="7" t="n">
        <v>1.37674708758591</v>
      </c>
      <c r="S1818" s="7" t="n">
        <v>0.656243423893161</v>
      </c>
    </row>
    <row r="1819" customFormat="false" ht="15" hidden="false" customHeight="false" outlineLevel="0" collapsed="false">
      <c r="A1819" s="5" t="s">
        <v>4</v>
      </c>
      <c r="B1819" s="5" t="s">
        <v>85</v>
      </c>
      <c r="C1819" s="5" t="s">
        <v>85</v>
      </c>
      <c r="D1819" s="2" t="n">
        <v>12</v>
      </c>
      <c r="E1819" s="5" t="s">
        <v>163</v>
      </c>
      <c r="F1819" s="5" t="s">
        <v>166</v>
      </c>
      <c r="G1819" s="2" t="n">
        <v>1</v>
      </c>
      <c r="H1819" s="7" t="n">
        <v>0.901218968375391</v>
      </c>
      <c r="I1819" s="7" t="n">
        <v>0.433253389831772</v>
      </c>
      <c r="J1819" s="7" t="n">
        <v>-0.00979138912369004</v>
      </c>
      <c r="K1819" s="7" t="n">
        <v>-0.433112644527694</v>
      </c>
      <c r="L1819" s="7" t="n">
        <v>0.90123573387778</v>
      </c>
      <c r="M1819" s="7" t="n">
        <v>0.0136963172850491</v>
      </c>
      <c r="N1819" s="7" t="n">
        <v>0.0147583256542991</v>
      </c>
      <c r="O1819" s="7" t="n">
        <v>-0.00810260649851328</v>
      </c>
      <c r="P1819" s="7" t="n">
        <v>0.999858259674936</v>
      </c>
      <c r="Q1819" s="7" t="n">
        <v>22.8690816186132</v>
      </c>
      <c r="R1819" s="7" t="n">
        <v>6.51915301254982</v>
      </c>
      <c r="S1819" s="7" t="n">
        <v>1.29069846392699</v>
      </c>
    </row>
    <row r="1820" customFormat="false" ht="15" hidden="false" customHeight="false" outlineLevel="0" collapsed="false">
      <c r="A1820" s="5" t="s">
        <v>4</v>
      </c>
      <c r="B1820" s="5" t="s">
        <v>85</v>
      </c>
      <c r="C1820" s="5" t="s">
        <v>85</v>
      </c>
      <c r="D1820" s="2" t="n">
        <v>12</v>
      </c>
      <c r="E1820" s="5" t="s">
        <v>163</v>
      </c>
      <c r="F1820" s="5" t="s">
        <v>167</v>
      </c>
      <c r="G1820" s="2" t="n">
        <v>1</v>
      </c>
      <c r="H1820" s="7" t="n">
        <v>0.227766056763028</v>
      </c>
      <c r="I1820" s="7" t="n">
        <v>-0.973684728401343</v>
      </c>
      <c r="J1820" s="7" t="n">
        <v>-0.00778929440892706</v>
      </c>
      <c r="K1820" s="7" t="n">
        <v>0.973581434089379</v>
      </c>
      <c r="L1820" s="7" t="n">
        <v>0.227860252473479</v>
      </c>
      <c r="M1820" s="7" t="n">
        <v>-0.0147951521434997</v>
      </c>
      <c r="N1820" s="7" t="n">
        <v>0.0161806842874118</v>
      </c>
      <c r="O1820" s="7" t="n">
        <v>-0.00421367895866286</v>
      </c>
      <c r="P1820" s="7" t="n">
        <v>0.999860205368366</v>
      </c>
      <c r="Q1820" s="7" t="n">
        <v>-16.5040957314052</v>
      </c>
      <c r="R1820" s="7" t="n">
        <v>20.5406250106864</v>
      </c>
      <c r="S1820" s="7" t="n">
        <v>0.97814920336021</v>
      </c>
    </row>
    <row r="1821" customFormat="false" ht="15" hidden="false" customHeight="false" outlineLevel="0" collapsed="false">
      <c r="A1821" s="5" t="s">
        <v>4</v>
      </c>
      <c r="B1821" s="5" t="s">
        <v>85</v>
      </c>
      <c r="C1821" s="5" t="s">
        <v>85</v>
      </c>
      <c r="D1821" s="2" t="n">
        <v>12</v>
      </c>
      <c r="E1821" s="5" t="s">
        <v>163</v>
      </c>
      <c r="F1821" s="5" t="s">
        <v>168</v>
      </c>
      <c r="G1821" s="2" t="n">
        <v>1</v>
      </c>
      <c r="H1821" s="7" t="n">
        <v>0.988691201436613</v>
      </c>
      <c r="I1821" s="7" t="n">
        <v>0.149175338250468</v>
      </c>
      <c r="J1821" s="7" t="n">
        <v>-0.01537617034619</v>
      </c>
      <c r="K1821" s="7" t="n">
        <v>-0.149053381744084</v>
      </c>
      <c r="L1821" s="7" t="n">
        <v>0.988789990354271</v>
      </c>
      <c r="M1821" s="7" t="n">
        <v>0.00880024984052278</v>
      </c>
      <c r="N1821" s="7" t="n">
        <v>0.0165165835751313</v>
      </c>
      <c r="O1821" s="7" t="n">
        <v>-0.00640885940024138</v>
      </c>
      <c r="P1821" s="7" t="n">
        <v>0.99984305210447</v>
      </c>
      <c r="Q1821" s="7" t="n">
        <v>25.156786311002</v>
      </c>
      <c r="R1821" s="7" t="n">
        <v>19.8116303415146</v>
      </c>
      <c r="S1821" s="7" t="n">
        <v>2.09948958656093</v>
      </c>
    </row>
    <row r="1822" customFormat="false" ht="15" hidden="false" customHeight="false" outlineLevel="0" collapsed="false">
      <c r="A1822" s="5" t="s">
        <v>4</v>
      </c>
      <c r="B1822" s="5" t="s">
        <v>85</v>
      </c>
      <c r="C1822" s="5" t="s">
        <v>85</v>
      </c>
      <c r="D1822" s="2" t="n">
        <v>12</v>
      </c>
      <c r="E1822" s="5" t="s">
        <v>164</v>
      </c>
      <c r="F1822" s="5" t="s">
        <v>165</v>
      </c>
      <c r="G1822" s="2" t="n">
        <v>1</v>
      </c>
      <c r="H1822" s="7" t="n">
        <v>-0.919757818</v>
      </c>
      <c r="I1822" s="7" t="n">
        <v>0.3924862958</v>
      </c>
      <c r="J1822" s="7" t="n">
        <v>-0.0002525862738</v>
      </c>
      <c r="K1822" s="7" t="n">
        <v>-0.392481881</v>
      </c>
      <c r="L1822" s="7" t="n">
        <v>-0.919744011</v>
      </c>
      <c r="M1822" s="7" t="n">
        <v>0.005378407357</v>
      </c>
      <c r="N1822" s="7" t="n">
        <v>0.001878636468</v>
      </c>
      <c r="O1822" s="7" t="n">
        <v>0.005045967751</v>
      </c>
      <c r="P1822" s="7" t="n">
        <v>0.9999855044</v>
      </c>
      <c r="Q1822" s="7" t="n">
        <v>-1.450734236</v>
      </c>
      <c r="R1822" s="7" t="n">
        <v>-3.781631461</v>
      </c>
      <c r="S1822" s="7" t="n">
        <v>0.07944349154</v>
      </c>
    </row>
    <row r="1823" customFormat="false" ht="15" hidden="false" customHeight="false" outlineLevel="0" collapsed="false">
      <c r="A1823" s="5" t="s">
        <v>4</v>
      </c>
      <c r="B1823" s="5" t="s">
        <v>85</v>
      </c>
      <c r="C1823" s="5" t="s">
        <v>85</v>
      </c>
      <c r="D1823" s="2" t="n">
        <v>12</v>
      </c>
      <c r="E1823" s="5" t="s">
        <v>164</v>
      </c>
      <c r="F1823" s="5" t="s">
        <v>166</v>
      </c>
      <c r="G1823" s="2" t="n">
        <v>1</v>
      </c>
      <c r="H1823" s="7" t="n">
        <v>-0.948895920529364</v>
      </c>
      <c r="I1823" s="7" t="n">
        <v>0.315587650134526</v>
      </c>
      <c r="J1823" s="7" t="n">
        <v>-0.000983397893166819</v>
      </c>
      <c r="K1823" s="7" t="n">
        <v>-0.31557988983936</v>
      </c>
      <c r="L1823" s="7" t="n">
        <v>-0.948839460961132</v>
      </c>
      <c r="M1823" s="7" t="n">
        <v>0.0106306330173855</v>
      </c>
      <c r="N1823" s="7" t="n">
        <v>0.00242180976740452</v>
      </c>
      <c r="O1823" s="7" t="n">
        <v>0.0103977049020163</v>
      </c>
      <c r="P1823" s="7" t="n">
        <v>0.999943009629284</v>
      </c>
      <c r="Q1823" s="7" t="n">
        <v>12.6246227802964</v>
      </c>
      <c r="R1823" s="7" t="n">
        <v>2.18483424257637</v>
      </c>
      <c r="S1823" s="7" t="n">
        <v>0.724622093050712</v>
      </c>
    </row>
    <row r="1824" customFormat="false" ht="15" hidden="false" customHeight="false" outlineLevel="0" collapsed="false">
      <c r="A1824" s="5" t="s">
        <v>4</v>
      </c>
      <c r="B1824" s="5" t="s">
        <v>85</v>
      </c>
      <c r="C1824" s="5" t="s">
        <v>85</v>
      </c>
      <c r="D1824" s="2" t="n">
        <v>12</v>
      </c>
      <c r="E1824" s="5" t="s">
        <v>164</v>
      </c>
      <c r="F1824" s="5" t="s">
        <v>167</v>
      </c>
      <c r="G1824" s="2" t="n">
        <v>1</v>
      </c>
      <c r="H1824" s="7" t="n">
        <v>0.51354535452765</v>
      </c>
      <c r="I1824" s="7" t="n">
        <v>0.858036268355721</v>
      </c>
      <c r="J1824" s="7" t="n">
        <v>-0.00670305958571181</v>
      </c>
      <c r="K1824" s="7" t="n">
        <v>-0.858061458088167</v>
      </c>
      <c r="L1824" s="7" t="n">
        <v>0.513517210092098</v>
      </c>
      <c r="M1824" s="7" t="n">
        <v>-0.00553253927635336</v>
      </c>
      <c r="N1824" s="7" t="n">
        <v>-0.00130498289742349</v>
      </c>
      <c r="O1824" s="7" t="n">
        <v>0.00859284692583628</v>
      </c>
      <c r="P1824" s="7" t="n">
        <v>0.99996222928812</v>
      </c>
      <c r="Q1824" s="7" t="n">
        <v>-10.0565548904714</v>
      </c>
      <c r="R1824" s="7" t="n">
        <v>11.4789445511827</v>
      </c>
      <c r="S1824" s="7" t="n">
        <v>0.369164065940824</v>
      </c>
    </row>
    <row r="1825" customFormat="false" ht="15" hidden="false" customHeight="false" outlineLevel="0" collapsed="false">
      <c r="A1825" s="5" t="s">
        <v>4</v>
      </c>
      <c r="B1825" s="5" t="s">
        <v>85</v>
      </c>
      <c r="C1825" s="5" t="s">
        <v>85</v>
      </c>
      <c r="D1825" s="2" t="n">
        <v>12</v>
      </c>
      <c r="E1825" s="5" t="s">
        <v>164</v>
      </c>
      <c r="F1825" s="5" t="s">
        <v>168</v>
      </c>
      <c r="G1825" s="2" t="n">
        <v>1</v>
      </c>
      <c r="H1825" s="7" t="n">
        <v>-0.814192488294251</v>
      </c>
      <c r="I1825" s="7" t="n">
        <v>0.580563444240718</v>
      </c>
      <c r="J1825" s="7" t="n">
        <v>-0.00605632646888237</v>
      </c>
      <c r="K1825" s="7" t="n">
        <v>-0.580595032346865</v>
      </c>
      <c r="L1825" s="7" t="n">
        <v>-0.814148542144571</v>
      </c>
      <c r="M1825" s="7" t="n">
        <v>0.00845929704892143</v>
      </c>
      <c r="N1825" s="7" t="n">
        <v>-1.95907342641327E-005</v>
      </c>
      <c r="O1825" s="7" t="n">
        <v>0.0104037691757462</v>
      </c>
      <c r="P1825" s="7" t="n">
        <v>0.999945879107663</v>
      </c>
      <c r="Q1825" s="7" t="n">
        <v>16.6403888046347</v>
      </c>
      <c r="R1825" s="7" t="n">
        <v>12.6579700771756</v>
      </c>
      <c r="S1825" s="7" t="n">
        <v>1.50634805577203</v>
      </c>
    </row>
    <row r="1826" customFormat="false" ht="15" hidden="false" customHeight="false" outlineLevel="0" collapsed="false">
      <c r="A1826" s="5" t="s">
        <v>4</v>
      </c>
      <c r="B1826" s="5" t="s">
        <v>85</v>
      </c>
      <c r="C1826" s="5" t="s">
        <v>85</v>
      </c>
      <c r="D1826" s="2" t="n">
        <v>12</v>
      </c>
      <c r="E1826" s="5" t="s">
        <v>165</v>
      </c>
      <c r="F1826" s="5" t="s">
        <v>166</v>
      </c>
      <c r="G1826" s="2" t="n">
        <v>1</v>
      </c>
      <c r="H1826" s="7" t="n">
        <v>0.996618517606681</v>
      </c>
      <c r="I1826" s="7" t="n">
        <v>0.0821593154958957</v>
      </c>
      <c r="J1826" s="7" t="n">
        <v>-0.00117356901390068</v>
      </c>
      <c r="K1826" s="7" t="n">
        <v>-0.0821520996128161</v>
      </c>
      <c r="L1826" s="7" t="n">
        <v>0.996605976314653</v>
      </c>
      <c r="M1826" s="7" t="n">
        <v>0.0052498057087022</v>
      </c>
      <c r="N1826" s="7" t="n">
        <v>0.00160090633549484</v>
      </c>
      <c r="O1826" s="7" t="n">
        <v>-0.00513564242579957</v>
      </c>
      <c r="P1826" s="7" t="n">
        <v>0.999985530963519</v>
      </c>
      <c r="Q1826" s="7" t="n">
        <v>14.3812408687335</v>
      </c>
      <c r="R1826" s="7" t="n">
        <v>5.83403283046549</v>
      </c>
      <c r="S1826" s="7" t="n">
        <v>0.628081133641171</v>
      </c>
    </row>
    <row r="1827" customFormat="false" ht="15" hidden="false" customHeight="false" outlineLevel="0" collapsed="false">
      <c r="A1827" s="5" t="s">
        <v>4</v>
      </c>
      <c r="B1827" s="5" t="s">
        <v>85</v>
      </c>
      <c r="C1827" s="5" t="s">
        <v>85</v>
      </c>
      <c r="D1827" s="2" t="n">
        <v>12</v>
      </c>
      <c r="E1827" s="5" t="s">
        <v>165</v>
      </c>
      <c r="F1827" s="5" t="s">
        <v>167</v>
      </c>
      <c r="G1827" s="2" t="n">
        <v>1</v>
      </c>
      <c r="H1827" s="7" t="n">
        <v>-0.135568185</v>
      </c>
      <c r="I1827" s="7" t="n">
        <v>-0.9907670176</v>
      </c>
      <c r="J1827" s="7" t="n">
        <v>-0.00140857405</v>
      </c>
      <c r="K1827" s="7" t="n">
        <v>0.9907585995</v>
      </c>
      <c r="L1827" s="7" t="n">
        <v>-0.1355605597</v>
      </c>
      <c r="M1827" s="7" t="n">
        <v>-0.004553253344</v>
      </c>
      <c r="N1827" s="7" t="n">
        <v>0.004320266149</v>
      </c>
      <c r="O1827" s="7" t="n">
        <v>-0.002012833145</v>
      </c>
      <c r="P1827" s="7" t="n">
        <v>0.9999886418</v>
      </c>
      <c r="Q1827" s="7" t="n">
        <v>-13.99983212</v>
      </c>
      <c r="R1827" s="7" t="n">
        <v>12.40399362</v>
      </c>
      <c r="S1827" s="7" t="n">
        <v>0.2883772416</v>
      </c>
    </row>
    <row r="1828" customFormat="false" ht="15" hidden="false" customHeight="false" outlineLevel="0" collapsed="false">
      <c r="A1828" s="5" t="s">
        <v>4</v>
      </c>
      <c r="B1828" s="5" t="s">
        <v>85</v>
      </c>
      <c r="C1828" s="5" t="s">
        <v>85</v>
      </c>
      <c r="D1828" s="2" t="n">
        <v>12</v>
      </c>
      <c r="E1828" s="5" t="s">
        <v>165</v>
      </c>
      <c r="F1828" s="5" t="s">
        <v>168</v>
      </c>
      <c r="G1828" s="2" t="n">
        <v>1</v>
      </c>
      <c r="H1828" s="7" t="n">
        <v>0.976724631953672</v>
      </c>
      <c r="I1828" s="7" t="n">
        <v>-0.214446524945435</v>
      </c>
      <c r="J1828" s="7" t="n">
        <v>-0.00465630596206761</v>
      </c>
      <c r="K1828" s="7" t="n">
        <v>0.214462537861759</v>
      </c>
      <c r="L1828" s="7" t="n">
        <v>0.976726773691629</v>
      </c>
      <c r="M1828" s="7" t="n">
        <v>0.00326028013654445</v>
      </c>
      <c r="N1828" s="7" t="n">
        <v>0.00384878295339994</v>
      </c>
      <c r="O1828" s="7" t="n">
        <v>-0.00418299911080172</v>
      </c>
      <c r="P1828" s="7" t="n">
        <v>0.999983844496416</v>
      </c>
      <c r="Q1828" s="7" t="n">
        <v>17.2467688551219</v>
      </c>
      <c r="R1828" s="7" t="n">
        <v>16.6624599113469</v>
      </c>
      <c r="S1828" s="7" t="n">
        <v>1.41667084784033</v>
      </c>
    </row>
    <row r="1829" customFormat="false" ht="15" hidden="false" customHeight="false" outlineLevel="0" collapsed="false">
      <c r="A1829" s="5" t="s">
        <v>4</v>
      </c>
      <c r="B1829" s="5" t="s">
        <v>85</v>
      </c>
      <c r="C1829" s="5" t="s">
        <v>85</v>
      </c>
      <c r="D1829" s="2" t="n">
        <v>12</v>
      </c>
      <c r="E1829" s="5" t="s">
        <v>166</v>
      </c>
      <c r="F1829" s="5" t="s">
        <v>167</v>
      </c>
      <c r="G1829" s="2" t="n">
        <v>1</v>
      </c>
      <c r="H1829" s="7" t="n">
        <v>-0.2165088504</v>
      </c>
      <c r="I1829" s="7" t="n">
        <v>-0.9762745146</v>
      </c>
      <c r="J1829" s="7" t="n">
        <v>0.003462639493</v>
      </c>
      <c r="K1829" s="7" t="n">
        <v>0.9762761475</v>
      </c>
      <c r="L1829" s="7" t="n">
        <v>-0.2165172669</v>
      </c>
      <c r="M1829" s="7" t="n">
        <v>-0.002270885182</v>
      </c>
      <c r="N1829" s="7" t="n">
        <v>0.002966728568</v>
      </c>
      <c r="O1829" s="7" t="n">
        <v>0.002888825605</v>
      </c>
      <c r="P1829" s="7" t="n">
        <v>0.9999914266</v>
      </c>
      <c r="Q1829" s="7" t="n">
        <v>-5.192723441</v>
      </c>
      <c r="R1829" s="7" t="n">
        <v>-0.371473668</v>
      </c>
      <c r="S1829" s="7" t="n">
        <v>-0.3992172488</v>
      </c>
    </row>
    <row r="1830" customFormat="false" ht="15" hidden="false" customHeight="false" outlineLevel="0" collapsed="false">
      <c r="A1830" s="5" t="s">
        <v>4</v>
      </c>
      <c r="B1830" s="5" t="s">
        <v>85</v>
      </c>
      <c r="C1830" s="5" t="s">
        <v>85</v>
      </c>
      <c r="D1830" s="2" t="n">
        <v>12</v>
      </c>
      <c r="E1830" s="5" t="s">
        <v>166</v>
      </c>
      <c r="F1830" s="5" t="s">
        <v>168</v>
      </c>
      <c r="G1830" s="2" t="n">
        <v>1</v>
      </c>
      <c r="H1830" s="7" t="n">
        <v>0.955808539607808</v>
      </c>
      <c r="I1830" s="7" t="n">
        <v>-0.293983112418856</v>
      </c>
      <c r="J1830" s="7" t="n">
        <v>-0.00199127326672922</v>
      </c>
      <c r="K1830" s="7" t="n">
        <v>0.293980713462841</v>
      </c>
      <c r="L1830" s="7" t="n">
        <v>0.95581030796619</v>
      </c>
      <c r="M1830" s="7" t="n">
        <v>-0.00141255205691571</v>
      </c>
      <c r="N1830" s="7" t="n">
        <v>0.00231854596443388</v>
      </c>
      <c r="O1830" s="7" t="n">
        <v>0.00076473338339264</v>
      </c>
      <c r="P1830" s="7" t="n">
        <v>0.999997019761795</v>
      </c>
      <c r="Q1830" s="7" t="n">
        <v>5.21741383325432</v>
      </c>
      <c r="R1830" s="7" t="n">
        <v>6.85931094120083</v>
      </c>
      <c r="S1830" s="7" t="n">
        <v>0.750786538385527</v>
      </c>
    </row>
    <row r="1831" customFormat="false" ht="15" hidden="false" customHeight="false" outlineLevel="0" collapsed="false">
      <c r="A1831" s="5" t="s">
        <v>4</v>
      </c>
      <c r="B1831" s="5" t="s">
        <v>85</v>
      </c>
      <c r="C1831" s="5" t="s">
        <v>85</v>
      </c>
      <c r="D1831" s="2" t="n">
        <v>12</v>
      </c>
      <c r="E1831" s="5" t="s">
        <v>167</v>
      </c>
      <c r="F1831" s="5" t="s">
        <v>168</v>
      </c>
      <c r="G1831" s="2" t="n">
        <v>1</v>
      </c>
      <c r="H1831" s="7" t="n">
        <v>0.08006031718</v>
      </c>
      <c r="I1831" s="7" t="n">
        <v>0.9967900208</v>
      </c>
      <c r="J1831" s="7" t="n">
        <v>-4.897637008E-006</v>
      </c>
      <c r="K1831" s="7" t="n">
        <v>-0.9967875619</v>
      </c>
      <c r="L1831" s="7" t="n">
        <v>0.08006013059</v>
      </c>
      <c r="M1831" s="7" t="n">
        <v>0.002220790325</v>
      </c>
      <c r="N1831" s="7" t="n">
        <v>0.00221405374</v>
      </c>
      <c r="O1831" s="7" t="n">
        <v>-0.0001729152741</v>
      </c>
      <c r="P1831" s="7" t="n">
        <v>0.999997534</v>
      </c>
      <c r="Q1831" s="7" t="n">
        <v>6.003424209</v>
      </c>
      <c r="R1831" s="7" t="n">
        <v>1.713895611</v>
      </c>
      <c r="S1831" s="7" t="n">
        <v>1.161435538</v>
      </c>
    </row>
    <row r="1832" customFormat="false" ht="15" hidden="false" customHeight="false" outlineLevel="0" collapsed="false">
      <c r="A1832" s="5" t="s">
        <v>4</v>
      </c>
      <c r="B1832" s="5" t="s">
        <v>85</v>
      </c>
      <c r="C1832" s="5" t="s">
        <v>85</v>
      </c>
      <c r="D1832" s="2" t="n">
        <v>13</v>
      </c>
      <c r="E1832" s="5" t="s">
        <v>163</v>
      </c>
      <c r="F1832" s="5" t="s">
        <v>164</v>
      </c>
      <c r="G1832" s="2" t="n">
        <v>1</v>
      </c>
      <c r="H1832" s="7" t="n">
        <v>-0.7181196606</v>
      </c>
      <c r="I1832" s="7" t="n">
        <v>-0.6959105468</v>
      </c>
      <c r="J1832" s="7" t="n">
        <v>0.00355863482</v>
      </c>
      <c r="K1832" s="7" t="n">
        <v>0.6959063792</v>
      </c>
      <c r="L1832" s="7" t="n">
        <v>-0.7181281566</v>
      </c>
      <c r="M1832" s="7" t="n">
        <v>-0.00250243495</v>
      </c>
      <c r="N1832" s="7" t="n">
        <v>0.004297026738</v>
      </c>
      <c r="O1832" s="7" t="n">
        <v>0.0006794289351</v>
      </c>
      <c r="P1832" s="7" t="n">
        <v>0.9999905369</v>
      </c>
      <c r="Q1832" s="7" t="n">
        <v>-11.09201079</v>
      </c>
      <c r="R1832" s="7" t="n">
        <v>-0.8690408149</v>
      </c>
      <c r="S1832" s="7" t="n">
        <v>0.5804251255</v>
      </c>
    </row>
    <row r="1833" customFormat="false" ht="15" hidden="false" customHeight="false" outlineLevel="0" collapsed="false">
      <c r="A1833" s="5" t="s">
        <v>4</v>
      </c>
      <c r="B1833" s="5" t="s">
        <v>85</v>
      </c>
      <c r="C1833" s="5" t="s">
        <v>85</v>
      </c>
      <c r="D1833" s="2" t="n">
        <v>13</v>
      </c>
      <c r="E1833" s="5" t="s">
        <v>163</v>
      </c>
      <c r="F1833" s="5" t="s">
        <v>165</v>
      </c>
      <c r="G1833" s="2" t="n">
        <v>1</v>
      </c>
      <c r="H1833" s="7" t="n">
        <v>0.934060872365649</v>
      </c>
      <c r="I1833" s="7" t="n">
        <v>0.357076234171435</v>
      </c>
      <c r="J1833" s="7" t="n">
        <v>-0.00518166176946353</v>
      </c>
      <c r="K1833" s="7" t="n">
        <v>-0.357088099551056</v>
      </c>
      <c r="L1833" s="7" t="n">
        <v>0.934069423557037</v>
      </c>
      <c r="M1833" s="7" t="n">
        <v>-0.00154960585267079</v>
      </c>
      <c r="N1833" s="7" t="n">
        <v>0.00428670440005463</v>
      </c>
      <c r="O1833" s="7" t="n">
        <v>0.00329773594733841</v>
      </c>
      <c r="P1833" s="7" t="n">
        <v>0.999985374452963</v>
      </c>
      <c r="Q1833" s="7" t="n">
        <v>8.3999996050315</v>
      </c>
      <c r="R1833" s="7" t="n">
        <v>1.36940220873646</v>
      </c>
      <c r="S1833" s="7" t="n">
        <v>0.734024494369565</v>
      </c>
    </row>
    <row r="1834" customFormat="false" ht="15" hidden="false" customHeight="false" outlineLevel="0" collapsed="false">
      <c r="A1834" s="5" t="s">
        <v>4</v>
      </c>
      <c r="B1834" s="5" t="s">
        <v>85</v>
      </c>
      <c r="C1834" s="5" t="s">
        <v>85</v>
      </c>
      <c r="D1834" s="2" t="n">
        <v>13</v>
      </c>
      <c r="E1834" s="5" t="s">
        <v>163</v>
      </c>
      <c r="F1834" s="5" t="s">
        <v>166</v>
      </c>
      <c r="G1834" s="2" t="n">
        <v>1</v>
      </c>
      <c r="H1834" s="7" t="n">
        <v>0.901708441362514</v>
      </c>
      <c r="I1834" s="7" t="n">
        <v>0.432170806354204</v>
      </c>
      <c r="J1834" s="7" t="n">
        <v>-0.0122589053220259</v>
      </c>
      <c r="K1834" s="7" t="n">
        <v>-0.432213371489247</v>
      </c>
      <c r="L1834" s="7" t="n">
        <v>0.901770889981842</v>
      </c>
      <c r="M1834" s="7" t="n">
        <v>-0.000929354786165524</v>
      </c>
      <c r="N1834" s="7" t="n">
        <v>0.0106530839541748</v>
      </c>
      <c r="O1834" s="7" t="n">
        <v>0.00613646985392531</v>
      </c>
      <c r="P1834" s="7" t="n">
        <v>0.999924424879446</v>
      </c>
      <c r="Q1834" s="7" t="n">
        <v>22.8535990598425</v>
      </c>
      <c r="R1834" s="7" t="n">
        <v>6.51804663975487</v>
      </c>
      <c r="S1834" s="7" t="n">
        <v>1.54440833968857</v>
      </c>
    </row>
    <row r="1835" customFormat="false" ht="15" hidden="false" customHeight="false" outlineLevel="0" collapsed="false">
      <c r="A1835" s="5" t="s">
        <v>4</v>
      </c>
      <c r="B1835" s="5" t="s">
        <v>85</v>
      </c>
      <c r="C1835" s="5" t="s">
        <v>85</v>
      </c>
      <c r="D1835" s="2" t="n">
        <v>13</v>
      </c>
      <c r="E1835" s="5" t="s">
        <v>163</v>
      </c>
      <c r="F1835" s="5" t="s">
        <v>167</v>
      </c>
      <c r="G1835" s="2" t="n">
        <v>1</v>
      </c>
      <c r="H1835" s="7" t="n">
        <v>0.228147668883587</v>
      </c>
      <c r="I1835" s="7" t="n">
        <v>-0.973609731962612</v>
      </c>
      <c r="J1835" s="7" t="n">
        <v>0.00572112594902816</v>
      </c>
      <c r="K1835" s="7" t="n">
        <v>0.973593934986791</v>
      </c>
      <c r="L1835" s="7" t="n">
        <v>0.228087999850526</v>
      </c>
      <c r="M1835" s="7" t="n">
        <v>-0.00952439040547653</v>
      </c>
      <c r="N1835" s="7" t="n">
        <v>0.00796811901347766</v>
      </c>
      <c r="O1835" s="7" t="n">
        <v>0.00774302099166528</v>
      </c>
      <c r="P1835" s="7" t="n">
        <v>0.999938275430504</v>
      </c>
      <c r="Q1835" s="7" t="n">
        <v>-16.4723896260391</v>
      </c>
      <c r="R1835" s="7" t="n">
        <v>20.5550193129456</v>
      </c>
      <c r="S1835" s="7" t="n">
        <v>1.11167819549684</v>
      </c>
    </row>
    <row r="1836" customFormat="false" ht="15" hidden="false" customHeight="false" outlineLevel="0" collapsed="false">
      <c r="A1836" s="5" t="s">
        <v>4</v>
      </c>
      <c r="B1836" s="5" t="s">
        <v>85</v>
      </c>
      <c r="C1836" s="5" t="s">
        <v>85</v>
      </c>
      <c r="D1836" s="2" t="n">
        <v>13</v>
      </c>
      <c r="E1836" s="5" t="s">
        <v>163</v>
      </c>
      <c r="F1836" s="5" t="s">
        <v>168</v>
      </c>
      <c r="G1836" s="2" t="n">
        <v>1</v>
      </c>
      <c r="H1836" s="7" t="n">
        <v>0.989195723840509</v>
      </c>
      <c r="I1836" s="7" t="n">
        <v>0.14651690293569</v>
      </c>
      <c r="J1836" s="7" t="n">
        <v>-0.00496155414308566</v>
      </c>
      <c r="K1836" s="7" t="n">
        <v>-0.146568682886498</v>
      </c>
      <c r="L1836" s="7" t="n">
        <v>0.989121214634581</v>
      </c>
      <c r="M1836" s="7" t="n">
        <v>-0.0125237400645753</v>
      </c>
      <c r="N1836" s="7" t="n">
        <v>0.00307263885106159</v>
      </c>
      <c r="O1836" s="7" t="n">
        <v>0.0131156385739565</v>
      </c>
      <c r="P1836" s="7" t="n">
        <v>0.999909265293392</v>
      </c>
      <c r="Q1836" s="7" t="n">
        <v>25.1452366606892</v>
      </c>
      <c r="R1836" s="7" t="n">
        <v>19.8042182252823</v>
      </c>
      <c r="S1836" s="7" t="n">
        <v>2.26837498506065</v>
      </c>
    </row>
    <row r="1837" customFormat="false" ht="15" hidden="false" customHeight="false" outlineLevel="0" collapsed="false">
      <c r="A1837" s="5" t="s">
        <v>4</v>
      </c>
      <c r="B1837" s="5" t="s">
        <v>85</v>
      </c>
      <c r="C1837" s="5" t="s">
        <v>85</v>
      </c>
      <c r="D1837" s="2" t="n">
        <v>13</v>
      </c>
      <c r="E1837" s="5" t="s">
        <v>164</v>
      </c>
      <c r="F1837" s="5" t="s">
        <v>165</v>
      </c>
      <c r="G1837" s="2" t="n">
        <v>1</v>
      </c>
      <c r="H1837" s="7" t="n">
        <v>-0.9192790337</v>
      </c>
      <c r="I1837" s="7" t="n">
        <v>0.3936053886</v>
      </c>
      <c r="J1837" s="7" t="n">
        <v>-0.0009253202663</v>
      </c>
      <c r="K1837" s="7" t="n">
        <v>-0.3936022929</v>
      </c>
      <c r="L1837" s="7" t="n">
        <v>-0.9192775618</v>
      </c>
      <c r="M1837" s="7" t="n">
        <v>-0.002449374506</v>
      </c>
      <c r="N1837" s="7" t="n">
        <v>-0.001814713162</v>
      </c>
      <c r="O1837" s="7" t="n">
        <v>-0.00188745045</v>
      </c>
      <c r="P1837" s="7" t="n">
        <v>0.9999965722</v>
      </c>
      <c r="Q1837" s="7" t="n">
        <v>-1.454057129</v>
      </c>
      <c r="R1837" s="7" t="n">
        <v>-3.793906714</v>
      </c>
      <c r="S1837" s="7" t="n">
        <v>0.131832269</v>
      </c>
    </row>
    <row r="1838" customFormat="false" ht="15" hidden="false" customHeight="false" outlineLevel="0" collapsed="false">
      <c r="A1838" s="5" t="s">
        <v>4</v>
      </c>
      <c r="B1838" s="5" t="s">
        <v>85</v>
      </c>
      <c r="C1838" s="5" t="s">
        <v>85</v>
      </c>
      <c r="D1838" s="2" t="n">
        <v>13</v>
      </c>
      <c r="E1838" s="5" t="s">
        <v>164</v>
      </c>
      <c r="F1838" s="5" t="s">
        <v>166</v>
      </c>
      <c r="G1838" s="2" t="n">
        <v>1</v>
      </c>
      <c r="H1838" s="7" t="n">
        <v>-0.948330407041081</v>
      </c>
      <c r="I1838" s="7" t="n">
        <v>0.317181309139934</v>
      </c>
      <c r="J1838" s="7" t="n">
        <v>-0.00809049468234645</v>
      </c>
      <c r="K1838" s="7" t="n">
        <v>-0.317174260701595</v>
      </c>
      <c r="L1838" s="7" t="n">
        <v>-0.948364783541914</v>
      </c>
      <c r="M1838" s="7" t="n">
        <v>-0.00217388916944014</v>
      </c>
      <c r="N1838" s="7" t="n">
        <v>-0.00836225724937645</v>
      </c>
      <c r="O1838" s="7" t="n">
        <v>0.000504531469082158</v>
      </c>
      <c r="P1838" s="7" t="n">
        <v>0.999964908424374</v>
      </c>
      <c r="Q1838" s="7" t="n">
        <v>12.6150473822151</v>
      </c>
      <c r="R1838" s="7" t="n">
        <v>2.17704039332478</v>
      </c>
      <c r="S1838" s="7" t="n">
        <v>0.871687793020951</v>
      </c>
    </row>
    <row r="1839" customFormat="false" ht="15" hidden="false" customHeight="false" outlineLevel="0" collapsed="false">
      <c r="A1839" s="5" t="s">
        <v>4</v>
      </c>
      <c r="B1839" s="5" t="s">
        <v>85</v>
      </c>
      <c r="C1839" s="5" t="s">
        <v>85</v>
      </c>
      <c r="D1839" s="2" t="n">
        <v>13</v>
      </c>
      <c r="E1839" s="5" t="s">
        <v>164</v>
      </c>
      <c r="F1839" s="5" t="s">
        <v>167</v>
      </c>
      <c r="G1839" s="2" t="n">
        <v>1</v>
      </c>
      <c r="H1839" s="7" t="n">
        <v>0.513728313774449</v>
      </c>
      <c r="I1839" s="7" t="n">
        <v>0.857931663391735</v>
      </c>
      <c r="J1839" s="7" t="n">
        <v>0.00603992981925351</v>
      </c>
      <c r="K1839" s="7" t="n">
        <v>-0.85791968472314</v>
      </c>
      <c r="L1839" s="7" t="n">
        <v>0.513757649385582</v>
      </c>
      <c r="M1839" s="7" t="n">
        <v>-0.00518577151847948</v>
      </c>
      <c r="N1839" s="7" t="n">
        <v>-0.00755209772897001</v>
      </c>
      <c r="O1839" s="7" t="n">
        <v>-0.00251769702795807</v>
      </c>
      <c r="P1839" s="7" t="n">
        <v>0.999968313015553</v>
      </c>
      <c r="Q1839" s="7" t="n">
        <v>-10.0320377216653</v>
      </c>
      <c r="R1839" s="7" t="n">
        <v>11.4884512314107</v>
      </c>
      <c r="S1839" s="7" t="n">
        <v>0.445315530945044</v>
      </c>
    </row>
    <row r="1840" customFormat="false" ht="15" hidden="false" customHeight="false" outlineLevel="0" collapsed="false">
      <c r="A1840" s="5" t="s">
        <v>4</v>
      </c>
      <c r="B1840" s="5" t="s">
        <v>85</v>
      </c>
      <c r="C1840" s="5" t="s">
        <v>85</v>
      </c>
      <c r="D1840" s="2" t="n">
        <v>13</v>
      </c>
      <c r="E1840" s="5" t="s">
        <v>164</v>
      </c>
      <c r="F1840" s="5" t="s">
        <v>168</v>
      </c>
      <c r="G1840" s="2" t="n">
        <v>1</v>
      </c>
      <c r="H1840" s="7" t="n">
        <v>-0.812341211915785</v>
      </c>
      <c r="I1840" s="7" t="n">
        <v>0.583182117025875</v>
      </c>
      <c r="J1840" s="7" t="n">
        <v>-0.000611358894130962</v>
      </c>
      <c r="K1840" s="7" t="n">
        <v>-0.583130599922071</v>
      </c>
      <c r="L1840" s="7" t="n">
        <v>-0.812282535987272</v>
      </c>
      <c r="M1840" s="7" t="n">
        <v>-0.0124813935270894</v>
      </c>
      <c r="N1840" s="7" t="n">
        <v>-0.0077755216519063</v>
      </c>
      <c r="O1840" s="7" t="n">
        <v>-0.00978264826604783</v>
      </c>
      <c r="P1840" s="7" t="n">
        <v>0.999921917455659</v>
      </c>
      <c r="Q1840" s="7" t="n">
        <v>16.6419030832357</v>
      </c>
      <c r="R1840" s="7" t="n">
        <v>12.6374651563685</v>
      </c>
      <c r="S1840" s="7" t="n">
        <v>1.59324748994942</v>
      </c>
    </row>
    <row r="1841" customFormat="false" ht="15" hidden="false" customHeight="false" outlineLevel="0" collapsed="false">
      <c r="A1841" s="5" t="s">
        <v>4</v>
      </c>
      <c r="B1841" s="5" t="s">
        <v>85</v>
      </c>
      <c r="C1841" s="5" t="s">
        <v>85</v>
      </c>
      <c r="D1841" s="2" t="n">
        <v>13</v>
      </c>
      <c r="E1841" s="5" t="s">
        <v>165</v>
      </c>
      <c r="F1841" s="5" t="s">
        <v>166</v>
      </c>
      <c r="G1841" s="2" t="n">
        <v>1</v>
      </c>
      <c r="H1841" s="7" t="n">
        <v>0.996632019</v>
      </c>
      <c r="I1841" s="7" t="n">
        <v>0.08170717878</v>
      </c>
      <c r="J1841" s="7" t="n">
        <v>-0.006968183282</v>
      </c>
      <c r="K1841" s="7" t="n">
        <v>-0.08170782972</v>
      </c>
      <c r="L1841" s="7" t="n">
        <v>0.9966563068</v>
      </c>
      <c r="M1841" s="7" t="n">
        <v>0.000191690126</v>
      </c>
      <c r="N1841" s="7" t="n">
        <v>0.006960546274</v>
      </c>
      <c r="O1841" s="7" t="n">
        <v>0.0003783106157</v>
      </c>
      <c r="P1841" s="7" t="n">
        <v>0.9999757035</v>
      </c>
      <c r="Q1841" s="7" t="n">
        <v>14.37511532</v>
      </c>
      <c r="R1841" s="7" t="n">
        <v>5.839428324</v>
      </c>
      <c r="S1841" s="7" t="n">
        <v>0.7514150342</v>
      </c>
    </row>
    <row r="1842" customFormat="false" ht="15" hidden="false" customHeight="false" outlineLevel="0" collapsed="false">
      <c r="A1842" s="5" t="s">
        <v>4</v>
      </c>
      <c r="B1842" s="5" t="s">
        <v>85</v>
      </c>
      <c r="C1842" s="5" t="s">
        <v>85</v>
      </c>
      <c r="D1842" s="2" t="n">
        <v>13</v>
      </c>
      <c r="E1842" s="5" t="s">
        <v>165</v>
      </c>
      <c r="F1842" s="5" t="s">
        <v>167</v>
      </c>
      <c r="G1842" s="2" t="n">
        <v>1</v>
      </c>
      <c r="H1842" s="7" t="n">
        <v>-0.134578730993542</v>
      </c>
      <c r="I1842" s="7" t="n">
        <v>-0.990896763954108</v>
      </c>
      <c r="J1842" s="7" t="n">
        <v>0.00348833607766356</v>
      </c>
      <c r="K1842" s="7" t="n">
        <v>0.990890156542087</v>
      </c>
      <c r="L1842" s="7" t="n">
        <v>-0.134594022341811</v>
      </c>
      <c r="M1842" s="7" t="n">
        <v>-0.00459856770490831</v>
      </c>
      <c r="N1842" s="7" t="n">
        <v>0.00502621504051501</v>
      </c>
      <c r="O1842" s="7" t="n">
        <v>0.00283768847557992</v>
      </c>
      <c r="P1842" s="7" t="n">
        <v>0.999983342178901</v>
      </c>
      <c r="Q1842" s="7" t="n">
        <v>-13.9875526457848</v>
      </c>
      <c r="R1842" s="7" t="n">
        <v>12.4192312021745</v>
      </c>
      <c r="S1842" s="7" t="n">
        <v>0.331559787154687</v>
      </c>
    </row>
    <row r="1843" customFormat="false" ht="15" hidden="false" customHeight="false" outlineLevel="0" collapsed="false">
      <c r="A1843" s="5" t="s">
        <v>4</v>
      </c>
      <c r="B1843" s="5" t="s">
        <v>85</v>
      </c>
      <c r="C1843" s="5" t="s">
        <v>85</v>
      </c>
      <c r="D1843" s="2" t="n">
        <v>13</v>
      </c>
      <c r="E1843" s="5" t="s">
        <v>165</v>
      </c>
      <c r="F1843" s="5" t="s">
        <v>168</v>
      </c>
      <c r="G1843" s="2" t="n">
        <v>1</v>
      </c>
      <c r="H1843" s="7" t="n">
        <v>0.976312433868041</v>
      </c>
      <c r="I1843" s="7" t="n">
        <v>-0.216365373533763</v>
      </c>
      <c r="J1843" s="7" t="n">
        <v>-0.000237917858281784</v>
      </c>
      <c r="K1843" s="7" t="n">
        <v>0.216352500491818</v>
      </c>
      <c r="L1843" s="7" t="n">
        <v>0.97626522193391</v>
      </c>
      <c r="M1843" s="7" t="n">
        <v>-0.00988999292893809</v>
      </c>
      <c r="N1843" s="7" t="n">
        <v>0.0023721229439532</v>
      </c>
      <c r="O1843" s="7" t="n">
        <v>0.00960424894448806</v>
      </c>
      <c r="P1843" s="7" t="n">
        <v>0.999951064463866</v>
      </c>
      <c r="Q1843" s="7" t="n">
        <v>17.2406784597571</v>
      </c>
      <c r="R1843" s="7" t="n">
        <v>16.6572170524335</v>
      </c>
      <c r="S1843" s="7" t="n">
        <v>1.50130849906312</v>
      </c>
    </row>
    <row r="1844" customFormat="false" ht="15" hidden="false" customHeight="false" outlineLevel="0" collapsed="false">
      <c r="A1844" s="5" t="s">
        <v>4</v>
      </c>
      <c r="B1844" s="5" t="s">
        <v>85</v>
      </c>
      <c r="C1844" s="5" t="s">
        <v>85</v>
      </c>
      <c r="D1844" s="2" t="n">
        <v>13</v>
      </c>
      <c r="E1844" s="5" t="s">
        <v>166</v>
      </c>
      <c r="F1844" s="5" t="s">
        <v>167</v>
      </c>
      <c r="G1844" s="2" t="n">
        <v>1</v>
      </c>
      <c r="H1844" s="7" t="n">
        <v>-0.2151131588</v>
      </c>
      <c r="I1844" s="7" t="n">
        <v>-0.9765867044</v>
      </c>
      <c r="J1844" s="7" t="n">
        <v>0.002176643074</v>
      </c>
      <c r="K1844" s="7" t="n">
        <v>0.9765876032</v>
      </c>
      <c r="L1844" s="7" t="n">
        <v>-0.2151083469</v>
      </c>
      <c r="M1844" s="7" t="n">
        <v>0.002247762464</v>
      </c>
      <c r="N1844" s="7" t="n">
        <v>-0.001726920844</v>
      </c>
      <c r="O1844" s="7" t="n">
        <v>0.002609205926</v>
      </c>
      <c r="P1844" s="7" t="n">
        <v>0.9999951049</v>
      </c>
      <c r="Q1844" s="7" t="n">
        <v>-5.194203681</v>
      </c>
      <c r="R1844" s="7" t="n">
        <v>-0.3649074428</v>
      </c>
      <c r="S1844" s="7" t="n">
        <v>-0.4102631535</v>
      </c>
    </row>
    <row r="1845" customFormat="false" ht="15" hidden="false" customHeight="false" outlineLevel="0" collapsed="false">
      <c r="A1845" s="5" t="s">
        <v>4</v>
      </c>
      <c r="B1845" s="5" t="s">
        <v>85</v>
      </c>
      <c r="C1845" s="5" t="s">
        <v>85</v>
      </c>
      <c r="D1845" s="2" t="n">
        <v>13</v>
      </c>
      <c r="E1845" s="5" t="s">
        <v>166</v>
      </c>
      <c r="F1845" s="5" t="s">
        <v>168</v>
      </c>
      <c r="G1845" s="2" t="n">
        <v>1</v>
      </c>
      <c r="H1845" s="7" t="n">
        <v>0.9553472858</v>
      </c>
      <c r="I1845" s="7" t="n">
        <v>-0.2954143298</v>
      </c>
      <c r="J1845" s="7" t="n">
        <v>0.006475902479</v>
      </c>
      <c r="K1845" s="7" t="n">
        <v>0.2954606217</v>
      </c>
      <c r="L1845" s="7" t="n">
        <v>0.9553213014</v>
      </c>
      <c r="M1845" s="7" t="n">
        <v>-0.008014489549</v>
      </c>
      <c r="N1845" s="7" t="n">
        <v>-0.003818972526</v>
      </c>
      <c r="O1845" s="7" t="n">
        <v>0.00956999501</v>
      </c>
      <c r="P1845" s="7" t="n">
        <v>0.9999469139</v>
      </c>
      <c r="Q1845" s="7" t="n">
        <v>5.22763577</v>
      </c>
      <c r="R1845" s="7" t="n">
        <v>6.837428485</v>
      </c>
      <c r="S1845" s="7" t="n">
        <v>0.7489482251</v>
      </c>
    </row>
    <row r="1846" customFormat="false" ht="15" hidden="false" customHeight="false" outlineLevel="0" collapsed="false">
      <c r="A1846" s="5" t="s">
        <v>4</v>
      </c>
      <c r="B1846" s="5" t="s">
        <v>85</v>
      </c>
      <c r="C1846" s="5" t="s">
        <v>85</v>
      </c>
      <c r="D1846" s="2" t="n">
        <v>13</v>
      </c>
      <c r="E1846" s="5" t="s">
        <v>167</v>
      </c>
      <c r="F1846" s="5" t="s">
        <v>168</v>
      </c>
      <c r="G1846" s="2" t="n">
        <v>1</v>
      </c>
      <c r="H1846" s="7" t="n">
        <v>0.0830040300991919</v>
      </c>
      <c r="I1846" s="7" t="n">
        <v>0.996540960421962</v>
      </c>
      <c r="J1846" s="7" t="n">
        <v>0.00405526481802232</v>
      </c>
      <c r="K1846" s="7" t="n">
        <v>-0.996528993620443</v>
      </c>
      <c r="L1846" s="7" t="n">
        <v>0.0830275798045553</v>
      </c>
      <c r="M1846" s="7" t="n">
        <v>-0.0060320574218816</v>
      </c>
      <c r="N1846" s="7" t="n">
        <v>-0.00634789112002702</v>
      </c>
      <c r="O1846" s="7" t="n">
        <v>-0.00354050389259037</v>
      </c>
      <c r="P1846" s="7" t="n">
        <v>0.999973584175686</v>
      </c>
      <c r="Q1846" s="7" t="n">
        <v>6.02408454792461</v>
      </c>
      <c r="R1846" s="7" t="n">
        <v>1.68907656904183</v>
      </c>
      <c r="S1846" s="7" t="n">
        <v>1.12493634551672</v>
      </c>
    </row>
    <row r="1847" customFormat="false" ht="15" hidden="false" customHeight="false" outlineLevel="0" collapsed="false">
      <c r="A1847" s="5" t="s">
        <v>4</v>
      </c>
      <c r="B1847" s="5" t="s">
        <v>85</v>
      </c>
      <c r="C1847" s="5" t="s">
        <v>85</v>
      </c>
      <c r="D1847" s="2" t="n">
        <v>14</v>
      </c>
      <c r="E1847" s="5" t="s">
        <v>163</v>
      </c>
      <c r="F1847" s="5" t="s">
        <v>164</v>
      </c>
      <c r="G1847" s="2" t="n">
        <v>1</v>
      </c>
      <c r="H1847" s="7" t="n">
        <v>-0.717261990490012</v>
      </c>
      <c r="I1847" s="7" t="n">
        <v>-0.696714417988096</v>
      </c>
      <c r="J1847" s="7" t="n">
        <v>0.0111470557696592</v>
      </c>
      <c r="K1847" s="7" t="n">
        <v>0.696636992885153</v>
      </c>
      <c r="L1847" s="7" t="n">
        <v>-0.717348536093298</v>
      </c>
      <c r="M1847" s="7" t="n">
        <v>-0.0103912393628017</v>
      </c>
      <c r="N1847" s="7" t="n">
        <v>0.0152360504242112</v>
      </c>
      <c r="O1847" s="7" t="n">
        <v>0.000312210379322767</v>
      </c>
      <c r="P1847" s="7" t="n">
        <v>0.999883875819735</v>
      </c>
      <c r="Q1847" s="7" t="n">
        <v>-11.0555521937052</v>
      </c>
      <c r="R1847" s="7" t="n">
        <v>-0.873189732769228</v>
      </c>
      <c r="S1847" s="7" t="n">
        <v>0.778576949227145</v>
      </c>
    </row>
    <row r="1848" customFormat="false" ht="15" hidden="false" customHeight="false" outlineLevel="0" collapsed="false">
      <c r="A1848" s="5" t="s">
        <v>4</v>
      </c>
      <c r="B1848" s="5" t="s">
        <v>85</v>
      </c>
      <c r="C1848" s="5" t="s">
        <v>85</v>
      </c>
      <c r="D1848" s="2" t="n">
        <v>14</v>
      </c>
      <c r="E1848" s="5" t="s">
        <v>163</v>
      </c>
      <c r="F1848" s="5" t="s">
        <v>165</v>
      </c>
      <c r="G1848" s="2" t="n">
        <v>1</v>
      </c>
      <c r="H1848" s="7" t="n">
        <v>0.9333947237</v>
      </c>
      <c r="I1848" s="7" t="n">
        <v>0.3586025373</v>
      </c>
      <c r="J1848" s="7" t="n">
        <v>-0.01336076654</v>
      </c>
      <c r="K1848" s="7" t="n">
        <v>-0.3584602624</v>
      </c>
      <c r="L1848" s="7" t="n">
        <v>0.9334687883</v>
      </c>
      <c r="M1848" s="7" t="n">
        <v>0.01192734337</v>
      </c>
      <c r="N1848" s="7" t="n">
        <v>0.01674903415</v>
      </c>
      <c r="O1848" s="7" t="n">
        <v>-0.006343615492</v>
      </c>
      <c r="P1848" s="7" t="n">
        <v>0.9998396013</v>
      </c>
      <c r="Q1848" s="7" t="n">
        <v>8.374537743</v>
      </c>
      <c r="R1848" s="7" t="n">
        <v>1.381641014</v>
      </c>
      <c r="S1848" s="7" t="n">
        <v>0.7886975845</v>
      </c>
    </row>
    <row r="1849" customFormat="false" ht="15" hidden="false" customHeight="false" outlineLevel="0" collapsed="false">
      <c r="A1849" s="5" t="s">
        <v>4</v>
      </c>
      <c r="B1849" s="5" t="s">
        <v>85</v>
      </c>
      <c r="C1849" s="5" t="s">
        <v>85</v>
      </c>
      <c r="D1849" s="2" t="n">
        <v>14</v>
      </c>
      <c r="E1849" s="5" t="s">
        <v>163</v>
      </c>
      <c r="F1849" s="5" t="s">
        <v>166</v>
      </c>
      <c r="G1849" s="2" t="n">
        <v>1</v>
      </c>
      <c r="H1849" s="7" t="n">
        <v>0.900545527430859</v>
      </c>
      <c r="I1849" s="7" t="n">
        <v>0.434578686536033</v>
      </c>
      <c r="J1849" s="7" t="n">
        <v>-0.0126142093213164</v>
      </c>
      <c r="K1849" s="7" t="n">
        <v>-0.434370040004352</v>
      </c>
      <c r="L1849" s="7" t="n">
        <v>0.900586739907707</v>
      </c>
      <c r="M1849" s="7" t="n">
        <v>0.0163153974145345</v>
      </c>
      <c r="N1849" s="7" t="n">
        <v>0.0184505136304414</v>
      </c>
      <c r="O1849" s="7" t="n">
        <v>-0.00921352356483569</v>
      </c>
      <c r="P1849" s="7" t="n">
        <v>0.999787322112565</v>
      </c>
      <c r="Q1849" s="7" t="n">
        <v>22.8578099425564</v>
      </c>
      <c r="R1849" s="7" t="n">
        <v>6.47615632037402</v>
      </c>
      <c r="S1849" s="7" t="n">
        <v>1.42033214701874</v>
      </c>
    </row>
    <row r="1850" customFormat="false" ht="15" hidden="false" customHeight="false" outlineLevel="0" collapsed="false">
      <c r="A1850" s="5" t="s">
        <v>4</v>
      </c>
      <c r="B1850" s="5" t="s">
        <v>85</v>
      </c>
      <c r="C1850" s="5" t="s">
        <v>85</v>
      </c>
      <c r="D1850" s="2" t="n">
        <v>14</v>
      </c>
      <c r="E1850" s="5" t="s">
        <v>163</v>
      </c>
      <c r="F1850" s="5" t="s">
        <v>167</v>
      </c>
      <c r="G1850" s="2" t="n">
        <v>1</v>
      </c>
      <c r="H1850" s="7" t="n">
        <v>0.229268017934002</v>
      </c>
      <c r="I1850" s="7" t="n">
        <v>-0.973287257913024</v>
      </c>
      <c r="J1850" s="7" t="n">
        <v>-0.012169204642503</v>
      </c>
      <c r="K1850" s="7" t="n">
        <v>0.973117082901813</v>
      </c>
      <c r="L1850" s="7" t="n">
        <v>0.229473307824429</v>
      </c>
      <c r="M1850" s="7" t="n">
        <v>-0.0196250885946823</v>
      </c>
      <c r="N1850" s="7" t="n">
        <v>0.0218933563089158</v>
      </c>
      <c r="O1850" s="7" t="n">
        <v>-0.00734265576154118</v>
      </c>
      <c r="P1850" s="7" t="n">
        <v>0.999733347602212</v>
      </c>
      <c r="Q1850" s="7" t="n">
        <v>-16.4620727315469</v>
      </c>
      <c r="R1850" s="7" t="n">
        <v>20.520287451514</v>
      </c>
      <c r="S1850" s="7" t="n">
        <v>1.06915012115991</v>
      </c>
    </row>
    <row r="1851" customFormat="false" ht="15" hidden="false" customHeight="false" outlineLevel="0" collapsed="false">
      <c r="A1851" s="5" t="s">
        <v>4</v>
      </c>
      <c r="B1851" s="5" t="s">
        <v>85</v>
      </c>
      <c r="C1851" s="5" t="s">
        <v>85</v>
      </c>
      <c r="D1851" s="2" t="n">
        <v>14</v>
      </c>
      <c r="E1851" s="5" t="s">
        <v>163</v>
      </c>
      <c r="F1851" s="5" t="s">
        <v>168</v>
      </c>
      <c r="G1851" s="2" t="n">
        <v>1</v>
      </c>
      <c r="H1851" s="7" t="n">
        <v>0.988207582054787</v>
      </c>
      <c r="I1851" s="7" t="n">
        <v>0.151438934781896</v>
      </c>
      <c r="J1851" s="7" t="n">
        <v>-0.0226279424671005</v>
      </c>
      <c r="K1851" s="7" t="n">
        <v>-0.151079790224953</v>
      </c>
      <c r="L1851" s="7" t="n">
        <v>0.988378337089521</v>
      </c>
      <c r="M1851" s="7" t="n">
        <v>0.0168273502063493</v>
      </c>
      <c r="N1851" s="7" t="n">
        <v>0.024913284140859</v>
      </c>
      <c r="O1851" s="7" t="n">
        <v>-0.0132102902617502</v>
      </c>
      <c r="P1851" s="7" t="n">
        <v>0.999602329129143</v>
      </c>
      <c r="Q1851" s="7" t="n">
        <v>25.1441500112974</v>
      </c>
      <c r="R1851" s="7" t="n">
        <v>19.7612716742016</v>
      </c>
      <c r="S1851" s="7" t="n">
        <v>2.18160050700924</v>
      </c>
    </row>
    <row r="1852" customFormat="false" ht="15" hidden="false" customHeight="false" outlineLevel="0" collapsed="false">
      <c r="A1852" s="5" t="s">
        <v>4</v>
      </c>
      <c r="B1852" s="5" t="s">
        <v>85</v>
      </c>
      <c r="C1852" s="5" t="s">
        <v>85</v>
      </c>
      <c r="D1852" s="2" t="n">
        <v>14</v>
      </c>
      <c r="E1852" s="5" t="s">
        <v>164</v>
      </c>
      <c r="F1852" s="5" t="s">
        <v>165</v>
      </c>
      <c r="G1852" s="2" t="n">
        <v>1</v>
      </c>
      <c r="H1852" s="7" t="n">
        <v>-0.9194810486</v>
      </c>
      <c r="I1852" s="7" t="n">
        <v>0.3931331232</v>
      </c>
      <c r="J1852" s="7" t="n">
        <v>0.0009739934767</v>
      </c>
      <c r="K1852" s="7" t="n">
        <v>-0.3931182875</v>
      </c>
      <c r="L1852" s="7" t="n">
        <v>-0.919463088</v>
      </c>
      <c r="M1852" s="7" t="n">
        <v>0.006755878333</v>
      </c>
      <c r="N1852" s="7" t="n">
        <v>0.003551510599</v>
      </c>
      <c r="O1852" s="7" t="n">
        <v>0.005829007446</v>
      </c>
      <c r="P1852" s="7" t="n">
        <v>0.9999767045</v>
      </c>
      <c r="Q1852" s="7" t="n">
        <v>-1.448311503</v>
      </c>
      <c r="R1852" s="7" t="n">
        <v>-3.772624431</v>
      </c>
      <c r="S1852" s="7" t="n">
        <v>0.05449251286</v>
      </c>
    </row>
    <row r="1853" customFormat="false" ht="15" hidden="false" customHeight="false" outlineLevel="0" collapsed="false">
      <c r="A1853" s="5" t="s">
        <v>4</v>
      </c>
      <c r="B1853" s="5" t="s">
        <v>85</v>
      </c>
      <c r="C1853" s="5" t="s">
        <v>85</v>
      </c>
      <c r="D1853" s="2" t="n">
        <v>14</v>
      </c>
      <c r="E1853" s="5" t="s">
        <v>164</v>
      </c>
      <c r="F1853" s="5" t="s">
        <v>166</v>
      </c>
      <c r="G1853" s="2" t="n">
        <v>1</v>
      </c>
      <c r="H1853" s="7" t="n">
        <v>-0.948844925382008</v>
      </c>
      <c r="I1853" s="7" t="n">
        <v>0.315740020798915</v>
      </c>
      <c r="J1853" s="7" t="n">
        <v>0.00124369253398851</v>
      </c>
      <c r="K1853" s="7" t="n">
        <v>-0.315712778235599</v>
      </c>
      <c r="L1853" s="7" t="n">
        <v>-0.94880235523886</v>
      </c>
      <c r="M1853" s="7" t="n">
        <v>0.00997659150295388</v>
      </c>
      <c r="N1853" s="7" t="n">
        <v>0.00433002761387281</v>
      </c>
      <c r="O1853" s="7" t="n">
        <v>0.00907358859526045</v>
      </c>
      <c r="P1853" s="7" t="n">
        <v>0.999949459195498</v>
      </c>
      <c r="Q1853" s="7" t="n">
        <v>12.6425379803104</v>
      </c>
      <c r="R1853" s="7" t="n">
        <v>2.1495252031728</v>
      </c>
      <c r="S1853" s="7" t="n">
        <v>0.697588358383082</v>
      </c>
    </row>
    <row r="1854" customFormat="false" ht="15" hidden="false" customHeight="false" outlineLevel="0" collapsed="false">
      <c r="A1854" s="5" t="s">
        <v>4</v>
      </c>
      <c r="B1854" s="5" t="s">
        <v>85</v>
      </c>
      <c r="C1854" s="5" t="s">
        <v>85</v>
      </c>
      <c r="D1854" s="2" t="n">
        <v>14</v>
      </c>
      <c r="E1854" s="5" t="s">
        <v>164</v>
      </c>
      <c r="F1854" s="5" t="s">
        <v>167</v>
      </c>
      <c r="G1854" s="2" t="n">
        <v>1</v>
      </c>
      <c r="H1854" s="7" t="n">
        <v>0.513522379747258</v>
      </c>
      <c r="I1854" s="7" t="n">
        <v>0.858029225441238</v>
      </c>
      <c r="J1854" s="7" t="n">
        <v>-0.00897852281027583</v>
      </c>
      <c r="K1854" s="7" t="n">
        <v>-0.858076019812723</v>
      </c>
      <c r="L1854" s="7" t="n">
        <v>0.513500945876555</v>
      </c>
      <c r="M1854" s="7" t="n">
        <v>-0.0047247047580613</v>
      </c>
      <c r="N1854" s="7" t="n">
        <v>0.000556545192186441</v>
      </c>
      <c r="O1854" s="7" t="n">
        <v>0.0101304967476947</v>
      </c>
      <c r="P1854" s="7" t="n">
        <v>0.999948530381884</v>
      </c>
      <c r="Q1854" s="7" t="n">
        <v>-10.028586478646</v>
      </c>
      <c r="R1854" s="7" t="n">
        <v>11.4858455282309</v>
      </c>
      <c r="S1854" s="7" t="n">
        <v>0.305612005159323</v>
      </c>
    </row>
    <row r="1855" customFormat="false" ht="15" hidden="false" customHeight="false" outlineLevel="0" collapsed="false">
      <c r="A1855" s="5" t="s">
        <v>4</v>
      </c>
      <c r="B1855" s="5" t="s">
        <v>85</v>
      </c>
      <c r="C1855" s="5" t="s">
        <v>85</v>
      </c>
      <c r="D1855" s="2" t="n">
        <v>14</v>
      </c>
      <c r="E1855" s="5" t="s">
        <v>164</v>
      </c>
      <c r="F1855" s="5" t="s">
        <v>168</v>
      </c>
      <c r="G1855" s="2" t="n">
        <v>1</v>
      </c>
      <c r="H1855" s="7" t="n">
        <v>-0.814565661453865</v>
      </c>
      <c r="I1855" s="7" t="n">
        <v>0.580022592474665</v>
      </c>
      <c r="J1855" s="7" t="n">
        <v>-0.00752165346243049</v>
      </c>
      <c r="K1855" s="7" t="n">
        <v>-0.580066071414738</v>
      </c>
      <c r="L1855" s="7" t="n">
        <v>-0.814434381074322</v>
      </c>
      <c r="M1855" s="7" t="n">
        <v>0.0148321188230979</v>
      </c>
      <c r="N1855" s="7" t="n">
        <v>0.0024770708301506</v>
      </c>
      <c r="O1855" s="7" t="n">
        <v>0.0164447906551139</v>
      </c>
      <c r="P1855" s="7" t="n">
        <v>0.999861706959522</v>
      </c>
      <c r="Q1855" s="7" t="n">
        <v>16.6510027844232</v>
      </c>
      <c r="R1855" s="7" t="n">
        <v>12.6256172604863</v>
      </c>
      <c r="S1855" s="7" t="n">
        <v>1.44487603776347</v>
      </c>
    </row>
    <row r="1856" customFormat="false" ht="15" hidden="false" customHeight="false" outlineLevel="0" collapsed="false">
      <c r="A1856" s="5" t="s">
        <v>4</v>
      </c>
      <c r="B1856" s="5" t="s">
        <v>85</v>
      </c>
      <c r="C1856" s="5" t="s">
        <v>85</v>
      </c>
      <c r="D1856" s="2" t="n">
        <v>14</v>
      </c>
      <c r="E1856" s="5" t="s">
        <v>165</v>
      </c>
      <c r="F1856" s="5" t="s">
        <v>166</v>
      </c>
      <c r="G1856" s="2" t="n">
        <v>1</v>
      </c>
      <c r="H1856" s="7" t="n">
        <v>0.996573998843071</v>
      </c>
      <c r="I1856" s="7" t="n">
        <v>0.082705399927906</v>
      </c>
      <c r="J1856" s="7" t="n">
        <v>-0.000285718315279525</v>
      </c>
      <c r="K1856" s="7" t="n">
        <v>-0.0827039996381728</v>
      </c>
      <c r="L1856" s="7" t="n">
        <v>0.996568610751819</v>
      </c>
      <c r="M1856" s="7" t="n">
        <v>0.0033245258208636</v>
      </c>
      <c r="N1856" s="7" t="n">
        <v>0.000559694142586011</v>
      </c>
      <c r="O1856" s="7" t="n">
        <v>-0.00328950594419667</v>
      </c>
      <c r="P1856" s="7" t="n">
        <v>0.999994432929301</v>
      </c>
      <c r="Q1856" s="7" t="n">
        <v>14.3979195482781</v>
      </c>
      <c r="R1856" s="7" t="n">
        <v>5.78924197547672</v>
      </c>
      <c r="S1856" s="7" t="n">
        <v>0.631496689860626</v>
      </c>
    </row>
    <row r="1857" customFormat="false" ht="15" hidden="false" customHeight="false" outlineLevel="0" collapsed="false">
      <c r="A1857" s="5" t="s">
        <v>4</v>
      </c>
      <c r="B1857" s="5" t="s">
        <v>85</v>
      </c>
      <c r="C1857" s="5" t="s">
        <v>85</v>
      </c>
      <c r="D1857" s="2" t="n">
        <v>14</v>
      </c>
      <c r="E1857" s="5" t="s">
        <v>165</v>
      </c>
      <c r="F1857" s="5" t="s">
        <v>167</v>
      </c>
      <c r="G1857" s="2" t="n">
        <v>1</v>
      </c>
      <c r="H1857" s="7" t="n">
        <v>-0.1348631321</v>
      </c>
      <c r="I1857" s="7" t="n">
        <v>-0.9908618975</v>
      </c>
      <c r="J1857" s="7" t="n">
        <v>-0.002153074732</v>
      </c>
      <c r="K1857" s="7" t="n">
        <v>0.9908542673</v>
      </c>
      <c r="L1857" s="7" t="n">
        <v>-0.1348517094</v>
      </c>
      <c r="M1857" s="7" t="n">
        <v>-0.004778859935</v>
      </c>
      <c r="N1857" s="7" t="n">
        <v>0.004444844415</v>
      </c>
      <c r="O1857" s="7" t="n">
        <v>-0.002777875305</v>
      </c>
      <c r="P1857" s="7" t="n">
        <v>0.9999862633</v>
      </c>
      <c r="Q1857" s="7" t="n">
        <v>-13.96194278</v>
      </c>
      <c r="R1857" s="7" t="n">
        <v>12.41242672</v>
      </c>
      <c r="S1857" s="7" t="n">
        <v>0.2470778799</v>
      </c>
    </row>
    <row r="1858" customFormat="false" ht="15" hidden="false" customHeight="false" outlineLevel="0" collapsed="false">
      <c r="A1858" s="5" t="s">
        <v>4</v>
      </c>
      <c r="B1858" s="5" t="s">
        <v>85</v>
      </c>
      <c r="C1858" s="5" t="s">
        <v>85</v>
      </c>
      <c r="D1858" s="2" t="n">
        <v>14</v>
      </c>
      <c r="E1858" s="5" t="s">
        <v>165</v>
      </c>
      <c r="F1858" s="5" t="s">
        <v>168</v>
      </c>
      <c r="G1858" s="2" t="n">
        <v>1</v>
      </c>
      <c r="H1858" s="7" t="n">
        <v>0.976996455843891</v>
      </c>
      <c r="I1858" s="7" t="n">
        <v>-0.213139521408239</v>
      </c>
      <c r="J1858" s="7" t="n">
        <v>-0.00703346081057986</v>
      </c>
      <c r="K1858" s="7" t="n">
        <v>0.213193074180596</v>
      </c>
      <c r="L1858" s="7" t="n">
        <v>0.976977135577426</v>
      </c>
      <c r="M1858" s="7" t="n">
        <v>0.00802431842799436</v>
      </c>
      <c r="N1858" s="7" t="n">
        <v>0.00516123100638066</v>
      </c>
      <c r="O1858" s="7" t="n">
        <v>-0.0093392157976379</v>
      </c>
      <c r="P1858" s="7" t="n">
        <v>0.999943068733602</v>
      </c>
      <c r="Q1858" s="7" t="n">
        <v>17.2622858950894</v>
      </c>
      <c r="R1858" s="7" t="n">
        <v>16.6197177871146</v>
      </c>
      <c r="S1858" s="7" t="n">
        <v>1.36262834378286</v>
      </c>
    </row>
    <row r="1859" customFormat="false" ht="15" hidden="false" customHeight="false" outlineLevel="0" collapsed="false">
      <c r="A1859" s="5" t="s">
        <v>4</v>
      </c>
      <c r="B1859" s="5" t="s">
        <v>85</v>
      </c>
      <c r="C1859" s="5" t="s">
        <v>85</v>
      </c>
      <c r="D1859" s="2" t="n">
        <v>14</v>
      </c>
      <c r="E1859" s="5" t="s">
        <v>166</v>
      </c>
      <c r="F1859" s="5" t="s">
        <v>167</v>
      </c>
      <c r="G1859" s="2" t="n">
        <v>1</v>
      </c>
      <c r="H1859" s="7" t="n">
        <v>-0.2163501052</v>
      </c>
      <c r="I1859" s="7" t="n">
        <v>-0.9763153022</v>
      </c>
      <c r="J1859" s="7" t="n">
        <v>0.001030901251</v>
      </c>
      <c r="K1859" s="7" t="n">
        <v>0.9763080003</v>
      </c>
      <c r="L1859" s="7" t="n">
        <v>-0.2163524791</v>
      </c>
      <c r="M1859" s="7" t="n">
        <v>-0.003780662502</v>
      </c>
      <c r="N1859" s="7" t="n">
        <v>0.003914156694</v>
      </c>
      <c r="O1859" s="7" t="n">
        <v>0.0001885304085</v>
      </c>
      <c r="P1859" s="7" t="n">
        <v>0.9999923219</v>
      </c>
      <c r="Q1859" s="7" t="n">
        <v>-5.195476853</v>
      </c>
      <c r="R1859" s="7" t="n">
        <v>-0.3894729933</v>
      </c>
      <c r="S1859" s="7" t="n">
        <v>-0.4418611226</v>
      </c>
    </row>
    <row r="1860" customFormat="false" ht="15" hidden="false" customHeight="false" outlineLevel="0" collapsed="false">
      <c r="A1860" s="5" t="s">
        <v>4</v>
      </c>
      <c r="B1860" s="5" t="s">
        <v>85</v>
      </c>
      <c r="C1860" s="5" t="s">
        <v>85</v>
      </c>
      <c r="D1860" s="2" t="n">
        <v>14</v>
      </c>
      <c r="E1860" s="5" t="s">
        <v>166</v>
      </c>
      <c r="F1860" s="5" t="s">
        <v>168</v>
      </c>
      <c r="G1860" s="2" t="n">
        <v>1</v>
      </c>
      <c r="H1860" s="7" t="n">
        <v>0.9560234851</v>
      </c>
      <c r="I1860" s="7" t="n">
        <v>-0.2932330542</v>
      </c>
      <c r="J1860" s="7" t="n">
        <v>-0.005785478739</v>
      </c>
      <c r="K1860" s="7" t="n">
        <v>0.2932616665</v>
      </c>
      <c r="L1860" s="7" t="n">
        <v>0.9560195039</v>
      </c>
      <c r="M1860" s="7" t="n">
        <v>0.004929824576</v>
      </c>
      <c r="N1860" s="7" t="n">
        <v>0.004085442996</v>
      </c>
      <c r="O1860" s="7" t="n">
        <v>-0.006409687209</v>
      </c>
      <c r="P1860" s="7" t="n">
        <v>0.9999711121</v>
      </c>
      <c r="Q1860" s="7" t="n">
        <v>5.198787287</v>
      </c>
      <c r="R1860" s="7" t="n">
        <v>6.859618497</v>
      </c>
      <c r="S1860" s="7" t="n">
        <v>0.7094352472</v>
      </c>
    </row>
    <row r="1861" customFormat="false" ht="15" hidden="false" customHeight="false" outlineLevel="0" collapsed="false">
      <c r="A1861" s="5" t="s">
        <v>4</v>
      </c>
      <c r="B1861" s="5" t="s">
        <v>85</v>
      </c>
      <c r="C1861" s="5" t="s">
        <v>85</v>
      </c>
      <c r="D1861" s="2" t="n">
        <v>14</v>
      </c>
      <c r="E1861" s="5" t="s">
        <v>167</v>
      </c>
      <c r="F1861" s="5" t="s">
        <v>168</v>
      </c>
      <c r="G1861" s="2" t="n">
        <v>1</v>
      </c>
      <c r="H1861" s="7" t="n">
        <v>0.0794461721348626</v>
      </c>
      <c r="I1861" s="7" t="n">
        <v>0.99683694808316</v>
      </c>
      <c r="J1861" s="7" t="n">
        <v>-0.00209869194098146</v>
      </c>
      <c r="K1861" s="7" t="n">
        <v>-0.996818581004453</v>
      </c>
      <c r="L1861" s="7" t="n">
        <v>0.0794578833921297</v>
      </c>
      <c r="M1861" s="7" t="n">
        <v>0.00625789758716991</v>
      </c>
      <c r="N1861" s="7" t="n">
        <v>0.00640486115206177</v>
      </c>
      <c r="O1861" s="7" t="n">
        <v>0.00159484911346066</v>
      </c>
      <c r="P1861" s="7" t="n">
        <v>0.999978216839612</v>
      </c>
      <c r="Q1861" s="7" t="n">
        <v>5.99886177501108</v>
      </c>
      <c r="R1861" s="7" t="n">
        <v>1.71438245409006</v>
      </c>
      <c r="S1861" s="7" t="n">
        <v>1.18518420318859</v>
      </c>
    </row>
    <row r="1862" customFormat="false" ht="15" hidden="false" customHeight="false" outlineLevel="0" collapsed="false">
      <c r="A1862" s="5" t="s">
        <v>4</v>
      </c>
      <c r="B1862" s="5" t="s">
        <v>85</v>
      </c>
      <c r="C1862" s="5" t="s">
        <v>85</v>
      </c>
      <c r="D1862" s="2" t="n">
        <v>15</v>
      </c>
      <c r="E1862" s="5" t="s">
        <v>163</v>
      </c>
      <c r="F1862" s="5" t="s">
        <v>164</v>
      </c>
      <c r="G1862" s="2" t="n">
        <v>1</v>
      </c>
      <c r="H1862" s="7" t="n">
        <v>-0.71941270945623</v>
      </c>
      <c r="I1862" s="7" t="n">
        <v>-0.694572002107094</v>
      </c>
      <c r="J1862" s="7" t="n">
        <v>0.00388423200897258</v>
      </c>
      <c r="K1862" s="7" t="n">
        <v>0.694563540657</v>
      </c>
      <c r="L1862" s="7" t="n">
        <v>-0.719423159699775</v>
      </c>
      <c r="M1862" s="7" t="n">
        <v>-0.00343587007850958</v>
      </c>
      <c r="N1862" s="7" t="n">
        <v>0.00518086562514116</v>
      </c>
      <c r="O1862" s="7" t="n">
        <v>0.000226037333886697</v>
      </c>
      <c r="P1862" s="7" t="n">
        <v>0.999986553661446</v>
      </c>
      <c r="Q1862" s="7" t="n">
        <v>-11.0805356226831</v>
      </c>
      <c r="R1862" s="7" t="n">
        <v>-0.894933397348006</v>
      </c>
      <c r="S1862" s="7" t="n">
        <v>0.56364321812256</v>
      </c>
    </row>
    <row r="1863" customFormat="false" ht="15" hidden="false" customHeight="false" outlineLevel="0" collapsed="false">
      <c r="A1863" s="5" t="s">
        <v>4</v>
      </c>
      <c r="B1863" s="5" t="s">
        <v>85</v>
      </c>
      <c r="C1863" s="5" t="s">
        <v>85</v>
      </c>
      <c r="D1863" s="2" t="n">
        <v>15</v>
      </c>
      <c r="E1863" s="5" t="s">
        <v>163</v>
      </c>
      <c r="F1863" s="5" t="s">
        <v>165</v>
      </c>
      <c r="G1863" s="2" t="n">
        <v>1</v>
      </c>
      <c r="H1863" s="7" t="n">
        <v>0.9345565328</v>
      </c>
      <c r="I1863" s="7" t="n">
        <v>0.3557844587</v>
      </c>
      <c r="J1863" s="7" t="n">
        <v>-0.004637442719</v>
      </c>
      <c r="K1863" s="7" t="n">
        <v>-0.35578598</v>
      </c>
      <c r="L1863" s="7" t="n">
        <v>0.9345673145</v>
      </c>
      <c r="M1863" s="7" t="n">
        <v>0.0005205955931</v>
      </c>
      <c r="N1863" s="7" t="n">
        <v>0.00451922221</v>
      </c>
      <c r="O1863" s="7" t="n">
        <v>0.00116341109</v>
      </c>
      <c r="P1863" s="7" t="n">
        <v>0.9999891115</v>
      </c>
      <c r="Q1863" s="7" t="n">
        <v>8.391407132</v>
      </c>
      <c r="R1863" s="7" t="n">
        <v>1.387838764</v>
      </c>
      <c r="S1863" s="7" t="n">
        <v>0.6836597386</v>
      </c>
    </row>
    <row r="1864" customFormat="false" ht="15" hidden="false" customHeight="false" outlineLevel="0" collapsed="false">
      <c r="A1864" s="5" t="s">
        <v>4</v>
      </c>
      <c r="B1864" s="5" t="s">
        <v>85</v>
      </c>
      <c r="C1864" s="5" t="s">
        <v>85</v>
      </c>
      <c r="D1864" s="2" t="n">
        <v>15</v>
      </c>
      <c r="E1864" s="5" t="s">
        <v>163</v>
      </c>
      <c r="F1864" s="5" t="s">
        <v>166</v>
      </c>
      <c r="G1864" s="2" t="n">
        <v>1</v>
      </c>
      <c r="H1864" s="7" t="n">
        <v>0.902192749605697</v>
      </c>
      <c r="I1864" s="7" t="n">
        <v>0.431263168628248</v>
      </c>
      <c r="J1864" s="7" t="n">
        <v>-0.00776670963722797</v>
      </c>
      <c r="K1864" s="7" t="n">
        <v>-0.43115494702377</v>
      </c>
      <c r="L1864" s="7" t="n">
        <v>0.902191379017846</v>
      </c>
      <c r="M1864" s="7" t="n">
        <v>0.0124950830968734</v>
      </c>
      <c r="N1864" s="7" t="n">
        <v>0.0123957276081776</v>
      </c>
      <c r="O1864" s="7" t="n">
        <v>-0.00792431809498861</v>
      </c>
      <c r="P1864" s="7" t="n">
        <v>0.999891769712653</v>
      </c>
      <c r="Q1864" s="7" t="n">
        <v>22.858871698401</v>
      </c>
      <c r="R1864" s="7" t="n">
        <v>6.54406202682629</v>
      </c>
      <c r="S1864" s="7" t="n">
        <v>1.30969412222346</v>
      </c>
    </row>
    <row r="1865" customFormat="false" ht="15" hidden="false" customHeight="false" outlineLevel="0" collapsed="false">
      <c r="A1865" s="5" t="s">
        <v>4</v>
      </c>
      <c r="B1865" s="5" t="s">
        <v>85</v>
      </c>
      <c r="C1865" s="5" t="s">
        <v>85</v>
      </c>
      <c r="D1865" s="2" t="n">
        <v>15</v>
      </c>
      <c r="E1865" s="5" t="s">
        <v>163</v>
      </c>
      <c r="F1865" s="5" t="s">
        <v>167</v>
      </c>
      <c r="G1865" s="2" t="n">
        <v>1</v>
      </c>
      <c r="H1865" s="7" t="n">
        <v>0.225669452310639</v>
      </c>
      <c r="I1865" s="7" t="n">
        <v>-0.974197175901266</v>
      </c>
      <c r="J1865" s="7" t="n">
        <v>-0.00362775509341725</v>
      </c>
      <c r="K1865" s="7" t="n">
        <v>0.974144296271581</v>
      </c>
      <c r="L1865" s="7" t="n">
        <v>0.225695275838188</v>
      </c>
      <c r="M1865" s="7" t="n">
        <v>-0.0102241075593454</v>
      </c>
      <c r="N1865" s="7" t="n">
        <v>0.0107790638987397</v>
      </c>
      <c r="O1865" s="7" t="n">
        <v>-0.00122668818007107</v>
      </c>
      <c r="P1865" s="7" t="n">
        <v>0.999941151830199</v>
      </c>
      <c r="Q1865" s="7" t="n">
        <v>-16.5180704319158</v>
      </c>
      <c r="R1865" s="7" t="n">
        <v>20.5284274665996</v>
      </c>
      <c r="S1865" s="7" t="n">
        <v>0.976644004626144</v>
      </c>
    </row>
    <row r="1866" customFormat="false" ht="15" hidden="false" customHeight="false" outlineLevel="0" collapsed="false">
      <c r="A1866" s="5" t="s">
        <v>4</v>
      </c>
      <c r="B1866" s="5" t="s">
        <v>85</v>
      </c>
      <c r="C1866" s="5" t="s">
        <v>85</v>
      </c>
      <c r="D1866" s="2" t="n">
        <v>15</v>
      </c>
      <c r="E1866" s="5" t="s">
        <v>163</v>
      </c>
      <c r="F1866" s="5" t="s">
        <v>168</v>
      </c>
      <c r="G1866" s="2" t="n">
        <v>1</v>
      </c>
      <c r="H1866" s="7" t="n">
        <v>0.989332651676969</v>
      </c>
      <c r="I1866" s="7" t="n">
        <v>0.145251457172903</v>
      </c>
      <c r="J1866" s="7" t="n">
        <v>-0.0110868585005271</v>
      </c>
      <c r="K1866" s="7" t="n">
        <v>-0.145247443962544</v>
      </c>
      <c r="L1866" s="7" t="n">
        <v>0.989394668206909</v>
      </c>
      <c r="M1866" s="7" t="n">
        <v>0.00117061305723369</v>
      </c>
      <c r="N1866" s="7" t="n">
        <v>0.0111393119423605</v>
      </c>
      <c r="O1866" s="7" t="n">
        <v>0.000452212137433115</v>
      </c>
      <c r="P1866" s="7" t="n">
        <v>0.999937853786607</v>
      </c>
      <c r="Q1866" s="7" t="n">
        <v>25.1073684277191</v>
      </c>
      <c r="R1866" s="7" t="n">
        <v>19.8492735697273</v>
      </c>
      <c r="S1866" s="7" t="n">
        <v>2.18130153255294</v>
      </c>
    </row>
    <row r="1867" customFormat="false" ht="15" hidden="false" customHeight="false" outlineLevel="0" collapsed="false">
      <c r="A1867" s="5" t="s">
        <v>4</v>
      </c>
      <c r="B1867" s="5" t="s">
        <v>85</v>
      </c>
      <c r="C1867" s="5" t="s">
        <v>85</v>
      </c>
      <c r="D1867" s="2" t="n">
        <v>15</v>
      </c>
      <c r="E1867" s="5" t="s">
        <v>164</v>
      </c>
      <c r="F1867" s="5" t="s">
        <v>165</v>
      </c>
      <c r="G1867" s="2" t="n">
        <v>1</v>
      </c>
      <c r="H1867" s="7" t="n">
        <v>-0.9194677842</v>
      </c>
      <c r="I1867" s="7" t="n">
        <v>0.3931652486</v>
      </c>
      <c r="J1867" s="7" t="n">
        <v>0.0002848520234</v>
      </c>
      <c r="K1867" s="7" t="n">
        <v>-0.3931653128</v>
      </c>
      <c r="L1867" s="7" t="n">
        <v>-0.9194671291</v>
      </c>
      <c r="M1867" s="7" t="n">
        <v>-0.001111443656</v>
      </c>
      <c r="N1867" s="7" t="n">
        <v>-0.0001750689493</v>
      </c>
      <c r="O1867" s="7" t="n">
        <v>-0.001133930571</v>
      </c>
      <c r="P1867" s="7" t="n">
        <v>0.9999993418</v>
      </c>
      <c r="Q1867" s="7" t="n">
        <v>-1.445092248</v>
      </c>
      <c r="R1867" s="7" t="n">
        <v>-3.790878874</v>
      </c>
      <c r="S1867" s="7" t="n">
        <v>0.1170622414</v>
      </c>
    </row>
    <row r="1868" customFormat="false" ht="15" hidden="false" customHeight="false" outlineLevel="0" collapsed="false">
      <c r="A1868" s="5" t="s">
        <v>4</v>
      </c>
      <c r="B1868" s="5" t="s">
        <v>85</v>
      </c>
      <c r="C1868" s="5" t="s">
        <v>85</v>
      </c>
      <c r="D1868" s="2" t="n">
        <v>15</v>
      </c>
      <c r="E1868" s="5" t="s">
        <v>164</v>
      </c>
      <c r="F1868" s="5" t="s">
        <v>166</v>
      </c>
      <c r="G1868" s="2" t="n">
        <v>1</v>
      </c>
      <c r="H1868" s="7" t="n">
        <v>-0.948622420716635</v>
      </c>
      <c r="I1868" s="7" t="n">
        <v>0.316396164517868</v>
      </c>
      <c r="J1868" s="7" t="n">
        <v>-0.00299498422320105</v>
      </c>
      <c r="K1868" s="7" t="n">
        <v>-0.316409990000848</v>
      </c>
      <c r="L1868" s="7" t="n">
        <v>-0.948564810674743</v>
      </c>
      <c r="M1868" s="7" t="n">
        <v>0.0104650881745875</v>
      </c>
      <c r="N1868" s="7" t="n">
        <v>0.000470177117698174</v>
      </c>
      <c r="O1868" s="7" t="n">
        <v>0.0108750602057476</v>
      </c>
      <c r="P1868" s="7" t="n">
        <v>0.999940754271521</v>
      </c>
      <c r="Q1868" s="7" t="n">
        <v>12.63246877014</v>
      </c>
      <c r="R1868" s="7" t="n">
        <v>2.18326895665052</v>
      </c>
      <c r="S1868" s="7" t="n">
        <v>0.761026566431879</v>
      </c>
    </row>
    <row r="1869" customFormat="false" ht="15" hidden="false" customHeight="false" outlineLevel="0" collapsed="false">
      <c r="A1869" s="5" t="s">
        <v>4</v>
      </c>
      <c r="B1869" s="5" t="s">
        <v>85</v>
      </c>
      <c r="C1869" s="5" t="s">
        <v>85</v>
      </c>
      <c r="D1869" s="2" t="n">
        <v>15</v>
      </c>
      <c r="E1869" s="5" t="s">
        <v>164</v>
      </c>
      <c r="F1869" s="5" t="s">
        <v>167</v>
      </c>
      <c r="G1869" s="2" t="n">
        <v>1</v>
      </c>
      <c r="H1869" s="7" t="n">
        <v>0.514286519791186</v>
      </c>
      <c r="I1869" s="7" t="n">
        <v>0.857614248829024</v>
      </c>
      <c r="J1869" s="7" t="n">
        <v>-0.00267874813827254</v>
      </c>
      <c r="K1869" s="7" t="n">
        <v>-0.857613120084172</v>
      </c>
      <c r="L1869" s="7" t="n">
        <v>0.514269831804002</v>
      </c>
      <c r="M1869" s="7" t="n">
        <v>-0.00512604382614477</v>
      </c>
      <c r="N1869" s="7" t="n">
        <v>-0.00301856887092322</v>
      </c>
      <c r="O1869" s="7" t="n">
        <v>0.00493358478881355</v>
      </c>
      <c r="P1869" s="7" t="n">
        <v>0.999983273922034</v>
      </c>
      <c r="Q1869" s="7" t="n">
        <v>-10.0504828375641</v>
      </c>
      <c r="R1869" s="7" t="n">
        <v>11.4887412465949</v>
      </c>
      <c r="S1869" s="7" t="n">
        <v>0.383978083936366</v>
      </c>
    </row>
    <row r="1870" customFormat="false" ht="15" hidden="false" customHeight="false" outlineLevel="0" collapsed="false">
      <c r="A1870" s="5" t="s">
        <v>4</v>
      </c>
      <c r="B1870" s="5" t="s">
        <v>85</v>
      </c>
      <c r="C1870" s="5" t="s">
        <v>85</v>
      </c>
      <c r="D1870" s="2" t="n">
        <v>15</v>
      </c>
      <c r="E1870" s="5" t="s">
        <v>164</v>
      </c>
      <c r="F1870" s="5" t="s">
        <v>168</v>
      </c>
      <c r="G1870" s="2" t="n">
        <v>1</v>
      </c>
      <c r="H1870" s="7" t="n">
        <v>-0.812669142931557</v>
      </c>
      <c r="I1870" s="7" t="n">
        <v>0.582695220218642</v>
      </c>
      <c r="J1870" s="7" t="n">
        <v>-0.00592827764443654</v>
      </c>
      <c r="K1870" s="7" t="n">
        <v>-0.582708431491582</v>
      </c>
      <c r="L1870" s="7" t="n">
        <v>-0.812681039473589</v>
      </c>
      <c r="M1870" s="7" t="n">
        <v>0.000641729960750438</v>
      </c>
      <c r="N1870" s="7" t="n">
        <v>-0.00444386585743729</v>
      </c>
      <c r="O1870" s="7" t="n">
        <v>0.00397597150585061</v>
      </c>
      <c r="P1870" s="7" t="n">
        <v>0.999982221813647</v>
      </c>
      <c r="Q1870" s="7" t="n">
        <v>16.6273738865488</v>
      </c>
      <c r="R1870" s="7" t="n">
        <v>12.6648949265904</v>
      </c>
      <c r="S1870" s="7" t="n">
        <v>1.57198615073627</v>
      </c>
    </row>
    <row r="1871" customFormat="false" ht="15" hidden="false" customHeight="false" outlineLevel="0" collapsed="false">
      <c r="A1871" s="5" t="s">
        <v>4</v>
      </c>
      <c r="B1871" s="5" t="s">
        <v>85</v>
      </c>
      <c r="C1871" s="5" t="s">
        <v>85</v>
      </c>
      <c r="D1871" s="2" t="n">
        <v>15</v>
      </c>
      <c r="E1871" s="5" t="s">
        <v>165</v>
      </c>
      <c r="F1871" s="5" t="s">
        <v>166</v>
      </c>
      <c r="G1871" s="2" t="n">
        <v>1</v>
      </c>
      <c r="H1871" s="7" t="n">
        <v>0.996622878741644</v>
      </c>
      <c r="I1871" s="7" t="n">
        <v>0.0820528864841389</v>
      </c>
      <c r="J1871" s="7" t="n">
        <v>-0.00318767920476851</v>
      </c>
      <c r="K1871" s="7" t="n">
        <v>-0.0820109461888282</v>
      </c>
      <c r="L1871" s="7" t="n">
        <v>0.996563964580328</v>
      </c>
      <c r="M1871" s="7" t="n">
        <v>0.0115960814873222</v>
      </c>
      <c r="N1871" s="7" t="n">
        <v>0.00412821818374079</v>
      </c>
      <c r="O1871" s="7" t="n">
        <v>-0.0112954955279888</v>
      </c>
      <c r="P1871" s="7" t="n">
        <v>0.999927682185773</v>
      </c>
      <c r="Q1871" s="7" t="n">
        <v>14.384106477185</v>
      </c>
      <c r="R1871" s="7" t="n">
        <v>5.84125139068878</v>
      </c>
      <c r="S1871" s="7" t="n">
        <v>0.607118591444268</v>
      </c>
    </row>
    <row r="1872" customFormat="false" ht="15" hidden="false" customHeight="false" outlineLevel="0" collapsed="false">
      <c r="A1872" s="5" t="s">
        <v>4</v>
      </c>
      <c r="B1872" s="5" t="s">
        <v>85</v>
      </c>
      <c r="C1872" s="5" t="s">
        <v>85</v>
      </c>
      <c r="D1872" s="2" t="n">
        <v>15</v>
      </c>
      <c r="E1872" s="5" t="s">
        <v>165</v>
      </c>
      <c r="F1872" s="5" t="s">
        <v>167</v>
      </c>
      <c r="G1872" s="2" t="n">
        <v>1</v>
      </c>
      <c r="H1872" s="7" t="n">
        <v>-0.1356865305</v>
      </c>
      <c r="I1872" s="7" t="n">
        <v>-0.9907447544</v>
      </c>
      <c r="J1872" s="7" t="n">
        <v>-0.00374125699</v>
      </c>
      <c r="K1872" s="7" t="n">
        <v>0.9907392013</v>
      </c>
      <c r="L1872" s="7" t="n">
        <v>-0.1356647779</v>
      </c>
      <c r="M1872" s="7" t="n">
        <v>-0.005559045308</v>
      </c>
      <c r="N1872" s="7" t="n">
        <v>0.00500003818</v>
      </c>
      <c r="O1872" s="7" t="n">
        <v>-0.004460897534</v>
      </c>
      <c r="P1872" s="7" t="n">
        <v>0.9999775498</v>
      </c>
      <c r="Q1872" s="7" t="n">
        <v>-14.00191779</v>
      </c>
      <c r="R1872" s="7" t="n">
        <v>12.4068128</v>
      </c>
      <c r="S1872" s="7" t="n">
        <v>0.2572332648</v>
      </c>
    </row>
    <row r="1873" customFormat="false" ht="15" hidden="false" customHeight="false" outlineLevel="0" collapsed="false">
      <c r="A1873" s="5" t="s">
        <v>4</v>
      </c>
      <c r="B1873" s="5" t="s">
        <v>85</v>
      </c>
      <c r="C1873" s="5" t="s">
        <v>85</v>
      </c>
      <c r="D1873" s="2" t="n">
        <v>15</v>
      </c>
      <c r="E1873" s="5" t="s">
        <v>165</v>
      </c>
      <c r="F1873" s="5" t="s">
        <v>168</v>
      </c>
      <c r="G1873" s="2" t="n">
        <v>1</v>
      </c>
      <c r="H1873" s="7" t="n">
        <v>0.976316918543066</v>
      </c>
      <c r="I1873" s="7" t="n">
        <v>-0.216249194541906</v>
      </c>
      <c r="J1873" s="7" t="n">
        <v>-0.00644673653279389</v>
      </c>
      <c r="K1873" s="7" t="n">
        <v>0.216263870217361</v>
      </c>
      <c r="L1873" s="7" t="n">
        <v>0.976333531739949</v>
      </c>
      <c r="M1873" s="7" t="n">
        <v>0.00166526756580226</v>
      </c>
      <c r="N1873" s="7" t="n">
        <v>0.00593405227784254</v>
      </c>
      <c r="O1873" s="7" t="n">
        <v>-0.00302002509301464</v>
      </c>
      <c r="P1873" s="7" t="n">
        <v>0.999977833084527</v>
      </c>
      <c r="Q1873" s="7" t="n">
        <v>17.2192220634464</v>
      </c>
      <c r="R1873" s="7" t="n">
        <v>16.678383388461</v>
      </c>
      <c r="S1873" s="7" t="n">
        <v>1.45205320786696</v>
      </c>
    </row>
    <row r="1874" customFormat="false" ht="15" hidden="false" customHeight="false" outlineLevel="0" collapsed="false">
      <c r="A1874" s="5" t="s">
        <v>4</v>
      </c>
      <c r="B1874" s="5" t="s">
        <v>85</v>
      </c>
      <c r="C1874" s="5" t="s">
        <v>85</v>
      </c>
      <c r="D1874" s="2" t="n">
        <v>15</v>
      </c>
      <c r="E1874" s="5" t="s">
        <v>166</v>
      </c>
      <c r="F1874" s="5" t="s">
        <v>167</v>
      </c>
      <c r="G1874" s="2" t="n">
        <v>1</v>
      </c>
      <c r="H1874" s="7" t="n">
        <v>-0.2165098416</v>
      </c>
      <c r="I1874" s="7" t="n">
        <v>-0.9762561236</v>
      </c>
      <c r="J1874" s="7" t="n">
        <v>0.006889822909</v>
      </c>
      <c r="K1874" s="7" t="n">
        <v>0.9762793888</v>
      </c>
      <c r="L1874" s="7" t="n">
        <v>-0.2165145514</v>
      </c>
      <c r="M1874" s="7" t="n">
        <v>6.374518886E-005</v>
      </c>
      <c r="N1874" s="7" t="n">
        <v>0.001429515286</v>
      </c>
      <c r="O1874" s="7" t="n">
        <v>0.00674019356</v>
      </c>
      <c r="P1874" s="7" t="n">
        <v>0.9999762629</v>
      </c>
      <c r="Q1874" s="7" t="n">
        <v>-5.189242675</v>
      </c>
      <c r="R1874" s="7" t="n">
        <v>-0.3714166564</v>
      </c>
      <c r="S1874" s="7" t="n">
        <v>-0.4098043805</v>
      </c>
    </row>
    <row r="1875" customFormat="false" ht="15" hidden="false" customHeight="false" outlineLevel="0" collapsed="false">
      <c r="A1875" s="5" t="s">
        <v>4</v>
      </c>
      <c r="B1875" s="5" t="s">
        <v>85</v>
      </c>
      <c r="C1875" s="5" t="s">
        <v>85</v>
      </c>
      <c r="D1875" s="2" t="n">
        <v>15</v>
      </c>
      <c r="E1875" s="5" t="s">
        <v>166</v>
      </c>
      <c r="F1875" s="5" t="s">
        <v>168</v>
      </c>
      <c r="G1875" s="2" t="n">
        <v>1</v>
      </c>
      <c r="H1875" s="7" t="n">
        <v>0.955296457522076</v>
      </c>
      <c r="I1875" s="7" t="n">
        <v>-0.295649585824733</v>
      </c>
      <c r="J1875" s="7" t="n">
        <v>2.68207477727704E-005</v>
      </c>
      <c r="K1875" s="7" t="n">
        <v>0.295639197048698</v>
      </c>
      <c r="L1875" s="7" t="n">
        <v>0.955262121195785</v>
      </c>
      <c r="M1875" s="7" t="n">
        <v>-0.00847023946199356</v>
      </c>
      <c r="N1875" s="7" t="n">
        <v>0.00247860194489868</v>
      </c>
      <c r="O1875" s="7" t="n">
        <v>0.00809951901745786</v>
      </c>
      <c r="P1875" s="7" t="n">
        <v>0.999964126609812</v>
      </c>
      <c r="Q1875" s="7" t="n">
        <v>5.2050833721519</v>
      </c>
      <c r="R1875" s="7" t="n">
        <v>6.85109394522716</v>
      </c>
      <c r="S1875" s="7" t="n">
        <v>0.7619925948102</v>
      </c>
    </row>
    <row r="1876" customFormat="false" ht="15" hidden="false" customHeight="false" outlineLevel="0" collapsed="false">
      <c r="A1876" s="5" t="s">
        <v>4</v>
      </c>
      <c r="B1876" s="5" t="s">
        <v>85</v>
      </c>
      <c r="C1876" s="5" t="s">
        <v>85</v>
      </c>
      <c r="D1876" s="2" t="n">
        <v>15</v>
      </c>
      <c r="E1876" s="5" t="s">
        <v>167</v>
      </c>
      <c r="F1876" s="5" t="s">
        <v>168</v>
      </c>
      <c r="G1876" s="2" t="n">
        <v>1</v>
      </c>
      <c r="H1876" s="7" t="n">
        <v>0.08179881867</v>
      </c>
      <c r="I1876" s="7" t="n">
        <v>0.9966486808</v>
      </c>
      <c r="J1876" s="7" t="n">
        <v>-0.0006003044349</v>
      </c>
      <c r="K1876" s="7" t="n">
        <v>-0.9966476496</v>
      </c>
      <c r="L1876" s="7" t="n">
        <v>0.08179776504</v>
      </c>
      <c r="M1876" s="7" t="n">
        <v>-0.001608766055</v>
      </c>
      <c r="N1876" s="7" t="n">
        <v>-0.001554271005</v>
      </c>
      <c r="O1876" s="7" t="n">
        <v>0.0007298871669</v>
      </c>
      <c r="P1876" s="7" t="n">
        <v>0.9999985258</v>
      </c>
      <c r="Q1876" s="7" t="n">
        <v>5.999483206</v>
      </c>
      <c r="R1876" s="7" t="n">
        <v>1.708969203</v>
      </c>
      <c r="S1876" s="7" t="n">
        <v>1.164001974</v>
      </c>
    </row>
    <row r="1877" customFormat="false" ht="15" hidden="false" customHeight="false" outlineLevel="0" collapsed="false">
      <c r="A1877" s="5" t="s">
        <v>4</v>
      </c>
      <c r="B1877" s="5" t="s">
        <v>85</v>
      </c>
      <c r="C1877" s="5" t="s">
        <v>85</v>
      </c>
      <c r="D1877" s="2" t="n">
        <v>16</v>
      </c>
      <c r="E1877" s="5" t="s">
        <v>163</v>
      </c>
      <c r="F1877" s="5" t="s">
        <v>164</v>
      </c>
      <c r="G1877" s="2" t="n">
        <v>1</v>
      </c>
      <c r="H1877" s="7" t="n">
        <v>-0.7181442013</v>
      </c>
      <c r="I1877" s="7" t="n">
        <v>-0.6958688019</v>
      </c>
      <c r="J1877" s="7" t="n">
        <v>0.005959579145</v>
      </c>
      <c r="K1877" s="7" t="n">
        <v>0.6958468178</v>
      </c>
      <c r="L1877" s="7" t="n">
        <v>-0.7181689082</v>
      </c>
      <c r="M1877" s="7" t="n">
        <v>-0.005534031197</v>
      </c>
      <c r="N1877" s="7" t="n">
        <v>0.008130944107</v>
      </c>
      <c r="O1877" s="7" t="n">
        <v>0.0001727217686</v>
      </c>
      <c r="P1877" s="7" t="n">
        <v>0.9999669284</v>
      </c>
      <c r="Q1877" s="7" t="n">
        <v>-11.07324287</v>
      </c>
      <c r="R1877" s="7" t="n">
        <v>-0.8742808673</v>
      </c>
      <c r="S1877" s="7" t="n">
        <v>0.5969073602</v>
      </c>
    </row>
    <row r="1878" customFormat="false" ht="15" hidden="false" customHeight="false" outlineLevel="0" collapsed="false">
      <c r="A1878" s="5" t="s">
        <v>4</v>
      </c>
      <c r="B1878" s="5" t="s">
        <v>85</v>
      </c>
      <c r="C1878" s="5" t="s">
        <v>85</v>
      </c>
      <c r="D1878" s="2" t="n">
        <v>16</v>
      </c>
      <c r="E1878" s="5" t="s">
        <v>163</v>
      </c>
      <c r="F1878" s="5" t="s">
        <v>165</v>
      </c>
      <c r="G1878" s="2" t="n">
        <v>1</v>
      </c>
      <c r="H1878" s="7" t="n">
        <v>0.933958443766413</v>
      </c>
      <c r="I1878" s="7" t="n">
        <v>0.357282671887783</v>
      </c>
      <c r="J1878" s="7" t="n">
        <v>-0.00840937414454038</v>
      </c>
      <c r="K1878" s="7" t="n">
        <v>-0.357257498216527</v>
      </c>
      <c r="L1878" s="7" t="n">
        <v>0.93399567288887</v>
      </c>
      <c r="M1878" s="7" t="n">
        <v>0.0043775540510315</v>
      </c>
      <c r="N1878" s="7" t="n">
        <v>0.00941834327125759</v>
      </c>
      <c r="O1878" s="7" t="n">
        <v>-0.00108414160147768</v>
      </c>
      <c r="P1878" s="7" t="n">
        <v>0.999955058724469</v>
      </c>
      <c r="Q1878" s="7" t="n">
        <v>8.38430433614623</v>
      </c>
      <c r="R1878" s="7" t="n">
        <v>1.36779419221106</v>
      </c>
      <c r="S1878" s="7" t="n">
        <v>0.719792987003473</v>
      </c>
    </row>
    <row r="1879" customFormat="false" ht="15" hidden="false" customHeight="false" outlineLevel="0" collapsed="false">
      <c r="A1879" s="5" t="s">
        <v>4</v>
      </c>
      <c r="B1879" s="5" t="s">
        <v>85</v>
      </c>
      <c r="C1879" s="5" t="s">
        <v>85</v>
      </c>
      <c r="D1879" s="2" t="n">
        <v>16</v>
      </c>
      <c r="E1879" s="5" t="s">
        <v>163</v>
      </c>
      <c r="F1879" s="5" t="s">
        <v>166</v>
      </c>
      <c r="G1879" s="2" t="n">
        <v>1</v>
      </c>
      <c r="H1879" s="7" t="n">
        <v>0.901323723772393</v>
      </c>
      <c r="I1879" s="7" t="n">
        <v>0.432913002240023</v>
      </c>
      <c r="J1879" s="7" t="n">
        <v>-0.0142083543493771</v>
      </c>
      <c r="K1879" s="7" t="n">
        <v>-0.432935197419785</v>
      </c>
      <c r="L1879" s="7" t="n">
        <v>0.901423565621392</v>
      </c>
      <c r="M1879" s="7" t="n">
        <v>0.00163409441493514</v>
      </c>
      <c r="N1879" s="7" t="n">
        <v>0.0135151661581456</v>
      </c>
      <c r="O1879" s="7" t="n">
        <v>0.00467844863123239</v>
      </c>
      <c r="P1879" s="7" t="n">
        <v>0.999897721027168</v>
      </c>
      <c r="Q1879" s="7" t="n">
        <v>22.8489446652355</v>
      </c>
      <c r="R1879" s="7" t="n">
        <v>6.50537904574161</v>
      </c>
      <c r="S1879" s="7" t="n">
        <v>1.53596801917049</v>
      </c>
    </row>
    <row r="1880" customFormat="false" ht="15" hidden="false" customHeight="false" outlineLevel="0" collapsed="false">
      <c r="A1880" s="5" t="s">
        <v>4</v>
      </c>
      <c r="B1880" s="5" t="s">
        <v>85</v>
      </c>
      <c r="C1880" s="5" t="s">
        <v>85</v>
      </c>
      <c r="D1880" s="2" t="n">
        <v>16</v>
      </c>
      <c r="E1880" s="5" t="s">
        <v>163</v>
      </c>
      <c r="F1880" s="5" t="s">
        <v>167</v>
      </c>
      <c r="G1880" s="2" t="n">
        <v>1</v>
      </c>
      <c r="H1880" s="7" t="n">
        <v>0.227619307865868</v>
      </c>
      <c r="I1880" s="7" t="n">
        <v>-0.973710972181639</v>
      </c>
      <c r="J1880" s="7" t="n">
        <v>0.00874033321866559</v>
      </c>
      <c r="K1880" s="7" t="n">
        <v>0.973728780733832</v>
      </c>
      <c r="L1880" s="7" t="n">
        <v>0.227545597856347</v>
      </c>
      <c r="M1880" s="7" t="n">
        <v>-0.00867538695533507</v>
      </c>
      <c r="N1880" s="7" t="n">
        <v>0.00645849511883813</v>
      </c>
      <c r="O1880" s="7" t="n">
        <v>0.0104853995821532</v>
      </c>
      <c r="P1880" s="7" t="n">
        <v>0.999924169271992</v>
      </c>
      <c r="Q1880" s="7" t="n">
        <v>-16.4595454944456</v>
      </c>
      <c r="R1880" s="7" t="n">
        <v>20.5371926855563</v>
      </c>
      <c r="S1880" s="7" t="n">
        <v>1.05891951102214</v>
      </c>
    </row>
    <row r="1881" customFormat="false" ht="15" hidden="false" customHeight="false" outlineLevel="0" collapsed="false">
      <c r="A1881" s="5" t="s">
        <v>4</v>
      </c>
      <c r="B1881" s="5" t="s">
        <v>85</v>
      </c>
      <c r="C1881" s="5" t="s">
        <v>85</v>
      </c>
      <c r="D1881" s="2" t="n">
        <v>16</v>
      </c>
      <c r="E1881" s="5" t="s">
        <v>163</v>
      </c>
      <c r="F1881" s="5" t="s">
        <v>168</v>
      </c>
      <c r="G1881" s="2" t="n">
        <v>1</v>
      </c>
      <c r="H1881" s="7" t="n">
        <v>0.988857207893638</v>
      </c>
      <c r="I1881" s="7" t="n">
        <v>0.148262081350358</v>
      </c>
      <c r="J1881" s="7" t="n">
        <v>-0.0134081135568143</v>
      </c>
      <c r="K1881" s="7" t="n">
        <v>-0.148323095712304</v>
      </c>
      <c r="L1881" s="7" t="n">
        <v>0.988932141923723</v>
      </c>
      <c r="M1881" s="7" t="n">
        <v>-0.00367125139617977</v>
      </c>
      <c r="N1881" s="7" t="n">
        <v>0.0127154070854721</v>
      </c>
      <c r="O1881" s="7" t="n">
        <v>0.00561907631436267</v>
      </c>
      <c r="P1881" s="7" t="n">
        <v>0.999903367603151</v>
      </c>
      <c r="Q1881" s="7" t="n">
        <v>25.1368545154879</v>
      </c>
      <c r="R1881" s="7" t="n">
        <v>19.7991489145386</v>
      </c>
      <c r="S1881" s="7" t="n">
        <v>2.26360857532535</v>
      </c>
    </row>
    <row r="1882" customFormat="false" ht="15" hidden="false" customHeight="false" outlineLevel="0" collapsed="false">
      <c r="A1882" s="5" t="s">
        <v>4</v>
      </c>
      <c r="B1882" s="5" t="s">
        <v>85</v>
      </c>
      <c r="C1882" s="5" t="s">
        <v>85</v>
      </c>
      <c r="D1882" s="2" t="n">
        <v>16</v>
      </c>
      <c r="E1882" s="5" t="s">
        <v>164</v>
      </c>
      <c r="F1882" s="5" t="s">
        <v>165</v>
      </c>
      <c r="G1882" s="2" t="n">
        <v>1</v>
      </c>
      <c r="H1882" s="7" t="n">
        <v>-0.9193888219</v>
      </c>
      <c r="I1882" s="7" t="n">
        <v>0.3933492424</v>
      </c>
      <c r="J1882" s="7" t="n">
        <v>-0.0007534216335</v>
      </c>
      <c r="K1882" s="7" t="n">
        <v>-0.3933499608</v>
      </c>
      <c r="L1882" s="7" t="n">
        <v>-0.9193873714</v>
      </c>
      <c r="M1882" s="7" t="n">
        <v>0.001633889914</v>
      </c>
      <c r="N1882" s="7" t="n">
        <v>-4.999697539E-005</v>
      </c>
      <c r="O1882" s="7" t="n">
        <v>0.001798538493</v>
      </c>
      <c r="P1882" s="7" t="n">
        <v>0.9999983814</v>
      </c>
      <c r="Q1882" s="7" t="n">
        <v>-1.451963941</v>
      </c>
      <c r="R1882" s="7" t="n">
        <v>-3.792643526</v>
      </c>
      <c r="S1882" s="7" t="n">
        <v>0.1239053921</v>
      </c>
    </row>
    <row r="1883" customFormat="false" ht="15" hidden="false" customHeight="false" outlineLevel="0" collapsed="false">
      <c r="A1883" s="5" t="s">
        <v>4</v>
      </c>
      <c r="B1883" s="5" t="s">
        <v>85</v>
      </c>
      <c r="C1883" s="5" t="s">
        <v>85</v>
      </c>
      <c r="D1883" s="2" t="n">
        <v>16</v>
      </c>
      <c r="E1883" s="5" t="s">
        <v>164</v>
      </c>
      <c r="F1883" s="5" t="s">
        <v>166</v>
      </c>
      <c r="G1883" s="2" t="n">
        <v>1</v>
      </c>
      <c r="H1883" s="7" t="n">
        <v>-0.948615733827727</v>
      </c>
      <c r="I1883" s="7" t="n">
        <v>0.316357216308149</v>
      </c>
      <c r="J1883" s="7" t="n">
        <v>-0.00680449813663366</v>
      </c>
      <c r="K1883" s="7" t="n">
        <v>-0.316352896546648</v>
      </c>
      <c r="L1883" s="7" t="n">
        <v>-0.948640000463689</v>
      </c>
      <c r="M1883" s="7" t="n">
        <v>-0.001730436045922</v>
      </c>
      <c r="N1883" s="7" t="n">
        <v>-0.00700245504564068</v>
      </c>
      <c r="O1883" s="7" t="n">
        <v>0.000511103834895064</v>
      </c>
      <c r="P1883" s="7" t="n">
        <v>0.999975351961639</v>
      </c>
      <c r="Q1883" s="7" t="n">
        <v>12.6253389707286</v>
      </c>
      <c r="R1883" s="7" t="n">
        <v>2.17398169730389</v>
      </c>
      <c r="S1883" s="7" t="n">
        <v>0.861982334463413</v>
      </c>
    </row>
    <row r="1884" customFormat="false" ht="15" hidden="false" customHeight="false" outlineLevel="0" collapsed="false">
      <c r="A1884" s="5" t="s">
        <v>4</v>
      </c>
      <c r="B1884" s="5" t="s">
        <v>85</v>
      </c>
      <c r="C1884" s="5" t="s">
        <v>85</v>
      </c>
      <c r="D1884" s="2" t="n">
        <v>16</v>
      </c>
      <c r="E1884" s="5" t="s">
        <v>164</v>
      </c>
      <c r="F1884" s="5" t="s">
        <v>167</v>
      </c>
      <c r="G1884" s="2" t="n">
        <v>1</v>
      </c>
      <c r="H1884" s="7" t="n">
        <v>0.514163690303634</v>
      </c>
      <c r="I1884" s="7" t="n">
        <v>0.85762874751452</v>
      </c>
      <c r="J1884" s="7" t="n">
        <v>0.0104226229498224</v>
      </c>
      <c r="K1884" s="7" t="n">
        <v>-0.857671261829158</v>
      </c>
      <c r="L1884" s="7" t="n">
        <v>0.514197909748015</v>
      </c>
      <c r="M1884" s="7" t="n">
        <v>-0.00071846367683781</v>
      </c>
      <c r="N1884" s="7" t="n">
        <v>-0.00597546603851807</v>
      </c>
      <c r="O1884" s="7" t="n">
        <v>-0.00856977624144888</v>
      </c>
      <c r="P1884" s="7" t="n">
        <v>0.99994542492082</v>
      </c>
      <c r="Q1884" s="7" t="n">
        <v>-10.0224990119309</v>
      </c>
      <c r="R1884" s="7" t="n">
        <v>11.4899727514578</v>
      </c>
      <c r="S1884" s="7" t="n">
        <v>0.388384548977697</v>
      </c>
    </row>
    <row r="1885" customFormat="false" ht="15" hidden="false" customHeight="false" outlineLevel="0" collapsed="false">
      <c r="A1885" s="5" t="s">
        <v>4</v>
      </c>
      <c r="B1885" s="5" t="s">
        <v>85</v>
      </c>
      <c r="C1885" s="5" t="s">
        <v>85</v>
      </c>
      <c r="D1885" s="2" t="n">
        <v>16</v>
      </c>
      <c r="E1885" s="5" t="s">
        <v>164</v>
      </c>
      <c r="F1885" s="5" t="s">
        <v>168</v>
      </c>
      <c r="G1885" s="2" t="n">
        <v>1</v>
      </c>
      <c r="H1885" s="7" t="n">
        <v>-0.813392933482949</v>
      </c>
      <c r="I1885" s="7" t="n">
        <v>0.581690125185419</v>
      </c>
      <c r="J1885" s="7" t="n">
        <v>-0.0053417193531818</v>
      </c>
      <c r="K1885" s="7" t="n">
        <v>-0.581671532811799</v>
      </c>
      <c r="L1885" s="7" t="n">
        <v>-0.813410153936968</v>
      </c>
      <c r="M1885" s="7" t="n">
        <v>-0.00470632667359137</v>
      </c>
      <c r="N1885" s="7" t="n">
        <v>-0.00708263251282625</v>
      </c>
      <c r="O1885" s="7" t="n">
        <v>-0.000720966775313869</v>
      </c>
      <c r="P1885" s="7" t="n">
        <v>0.999974658021439</v>
      </c>
      <c r="Q1885" s="7" t="n">
        <v>16.6417060730345</v>
      </c>
      <c r="R1885" s="7" t="n">
        <v>12.6498190673247</v>
      </c>
      <c r="S1885" s="7" t="n">
        <v>1.58765830450778</v>
      </c>
    </row>
    <row r="1886" customFormat="false" ht="15" hidden="false" customHeight="false" outlineLevel="0" collapsed="false">
      <c r="A1886" s="5" t="s">
        <v>4</v>
      </c>
      <c r="B1886" s="5" t="s">
        <v>85</v>
      </c>
      <c r="C1886" s="5" t="s">
        <v>85</v>
      </c>
      <c r="D1886" s="2" t="n">
        <v>16</v>
      </c>
      <c r="E1886" s="5" t="s">
        <v>165</v>
      </c>
      <c r="F1886" s="5" t="s">
        <v>166</v>
      </c>
      <c r="G1886" s="2" t="n">
        <v>1</v>
      </c>
      <c r="H1886" s="7" t="n">
        <v>0.9965907</v>
      </c>
      <c r="I1886" s="7" t="n">
        <v>0.08227201436</v>
      </c>
      <c r="J1886" s="7" t="n">
        <v>-0.006188078574</v>
      </c>
      <c r="K1886" s="7" t="n">
        <v>-0.08229420492</v>
      </c>
      <c r="L1886" s="7" t="n">
        <v>0.9966022086</v>
      </c>
      <c r="M1886" s="7" t="n">
        <v>-0.003420782114</v>
      </c>
      <c r="N1886" s="7" t="n">
        <v>0.005885618138</v>
      </c>
      <c r="O1886" s="7" t="n">
        <v>0.003918362648</v>
      </c>
      <c r="P1886" s="7" t="n">
        <v>0.9999750027</v>
      </c>
      <c r="Q1886" s="7" t="n">
        <v>14.38514789</v>
      </c>
      <c r="R1886" s="7" t="n">
        <v>5.834674247</v>
      </c>
      <c r="S1886" s="7" t="n">
        <v>0.7614866977</v>
      </c>
    </row>
    <row r="1887" customFormat="false" ht="15" hidden="false" customHeight="false" outlineLevel="0" collapsed="false">
      <c r="A1887" s="5" t="s">
        <v>4</v>
      </c>
      <c r="B1887" s="5" t="s">
        <v>85</v>
      </c>
      <c r="C1887" s="5" t="s">
        <v>85</v>
      </c>
      <c r="D1887" s="2" t="n">
        <v>16</v>
      </c>
      <c r="E1887" s="5" t="s">
        <v>165</v>
      </c>
      <c r="F1887" s="5" t="s">
        <v>167</v>
      </c>
      <c r="G1887" s="2" t="n">
        <v>1</v>
      </c>
      <c r="H1887" s="7" t="n">
        <v>-0.135376583995961</v>
      </c>
      <c r="I1887" s="7" t="n">
        <v>-0.99072227786915</v>
      </c>
      <c r="J1887" s="7" t="n">
        <v>0.0119393777652328</v>
      </c>
      <c r="K1887" s="7" t="n">
        <v>0.990793270568614</v>
      </c>
      <c r="L1887" s="7" t="n">
        <v>-0.135383281334175</v>
      </c>
      <c r="M1887" s="7" t="n">
        <v>0.000249223188823588</v>
      </c>
      <c r="N1887" s="7" t="n">
        <v>0.00136948117358129</v>
      </c>
      <c r="O1887" s="7" t="n">
        <v>0.011863194128776</v>
      </c>
      <c r="P1887" s="7" t="n">
        <v>0.999928692048909</v>
      </c>
      <c r="Q1887" s="7" t="n">
        <v>-13.9779967168566</v>
      </c>
      <c r="R1887" s="7" t="n">
        <v>12.4150774477312</v>
      </c>
      <c r="S1887" s="7" t="n">
        <v>0.311469296009439</v>
      </c>
    </row>
    <row r="1888" customFormat="false" ht="15" hidden="false" customHeight="false" outlineLevel="0" collapsed="false">
      <c r="A1888" s="5" t="s">
        <v>4</v>
      </c>
      <c r="B1888" s="5" t="s">
        <v>85</v>
      </c>
      <c r="C1888" s="5" t="s">
        <v>85</v>
      </c>
      <c r="D1888" s="2" t="n">
        <v>16</v>
      </c>
      <c r="E1888" s="5" t="s">
        <v>165</v>
      </c>
      <c r="F1888" s="5" t="s">
        <v>168</v>
      </c>
      <c r="G1888" s="2" t="n">
        <v>1</v>
      </c>
      <c r="H1888" s="7" t="n">
        <v>0.97663576550809</v>
      </c>
      <c r="I1888" s="7" t="n">
        <v>-0.21485920448892</v>
      </c>
      <c r="J1888" s="7" t="n">
        <v>-0.00425485143915621</v>
      </c>
      <c r="K1888" s="7" t="n">
        <v>0.214831583293427</v>
      </c>
      <c r="L1888" s="7" t="n">
        <v>0.976631808352547</v>
      </c>
      <c r="M1888" s="7" t="n">
        <v>-0.00614018671104406</v>
      </c>
      <c r="N1888" s="7" t="n">
        <v>0.00547469888676958</v>
      </c>
      <c r="O1888" s="7" t="n">
        <v>0.00508264947752697</v>
      </c>
      <c r="P1888" s="7" t="n">
        <v>0.999972096843136</v>
      </c>
      <c r="Q1888" s="7" t="n">
        <v>17.2453888161726</v>
      </c>
      <c r="R1888" s="7" t="n">
        <v>16.6665238871306</v>
      </c>
      <c r="S1888" s="7" t="n">
        <v>1.49098211276666</v>
      </c>
    </row>
    <row r="1889" customFormat="false" ht="15" hidden="false" customHeight="false" outlineLevel="0" collapsed="false">
      <c r="A1889" s="5" t="s">
        <v>4</v>
      </c>
      <c r="B1889" s="5" t="s">
        <v>85</v>
      </c>
      <c r="C1889" s="5" t="s">
        <v>85</v>
      </c>
      <c r="D1889" s="2" t="n">
        <v>16</v>
      </c>
      <c r="E1889" s="5" t="s">
        <v>166</v>
      </c>
      <c r="F1889" s="5" t="s">
        <v>167</v>
      </c>
      <c r="G1889" s="2" t="n">
        <v>1</v>
      </c>
      <c r="H1889" s="7" t="n">
        <v>-0.216497643891188</v>
      </c>
      <c r="I1889" s="7" t="n">
        <v>-0.976256143801418</v>
      </c>
      <c r="J1889" s="7" t="n">
        <v>0.00726029526612864</v>
      </c>
      <c r="K1889" s="7" t="n">
        <v>0.976275561602214</v>
      </c>
      <c r="L1889" s="7" t="n">
        <v>-0.216460674141771</v>
      </c>
      <c r="M1889" s="7" t="n">
        <v>0.00555016701059533</v>
      </c>
      <c r="N1889" s="7" t="n">
        <v>-0.00384681623507077</v>
      </c>
      <c r="O1889" s="7" t="n">
        <v>0.00828964691930427</v>
      </c>
      <c r="P1889" s="7" t="n">
        <v>0.999958240979836</v>
      </c>
      <c r="Q1889" s="7" t="n">
        <v>-5.1730381291982</v>
      </c>
      <c r="R1889" s="7" t="n">
        <v>-0.370039744754738</v>
      </c>
      <c r="S1889" s="7" t="n">
        <v>-0.44301597170184</v>
      </c>
    </row>
    <row r="1890" customFormat="false" ht="15" hidden="false" customHeight="false" outlineLevel="0" collapsed="false">
      <c r="A1890" s="5" t="s">
        <v>4</v>
      </c>
      <c r="B1890" s="5" t="s">
        <v>85</v>
      </c>
      <c r="C1890" s="5" t="s">
        <v>85</v>
      </c>
      <c r="D1890" s="2" t="n">
        <v>16</v>
      </c>
      <c r="E1890" s="5" t="s">
        <v>166</v>
      </c>
      <c r="F1890" s="5" t="s">
        <v>168</v>
      </c>
      <c r="G1890" s="2" t="n">
        <v>1</v>
      </c>
      <c r="H1890" s="7" t="n">
        <v>0.955655551</v>
      </c>
      <c r="I1890" s="7" t="n">
        <v>-0.2944860666</v>
      </c>
      <c r="J1890" s="7" t="n">
        <v>0.0006514638155</v>
      </c>
      <c r="K1890" s="7" t="n">
        <v>0.2944866201</v>
      </c>
      <c r="L1890" s="7" t="n">
        <v>0.955655027</v>
      </c>
      <c r="M1890" s="7" t="n">
        <v>-0.001048818961</v>
      </c>
      <c r="N1890" s="7" t="n">
        <v>-0.0003137120998</v>
      </c>
      <c r="O1890" s="7" t="n">
        <v>0.001194157039</v>
      </c>
      <c r="P1890" s="7" t="n">
        <v>0.9999992378</v>
      </c>
      <c r="Q1890" s="7" t="n">
        <v>5.215876571</v>
      </c>
      <c r="R1890" s="7" t="n">
        <v>6.855153192</v>
      </c>
      <c r="S1890" s="7" t="n">
        <v>0.7270412731</v>
      </c>
    </row>
    <row r="1891" customFormat="false" ht="15" hidden="false" customHeight="false" outlineLevel="0" collapsed="false">
      <c r="A1891" s="5" t="s">
        <v>4</v>
      </c>
      <c r="B1891" s="5" t="s">
        <v>85</v>
      </c>
      <c r="C1891" s="5" t="s">
        <v>85</v>
      </c>
      <c r="D1891" s="2" t="n">
        <v>16</v>
      </c>
      <c r="E1891" s="5" t="s">
        <v>167</v>
      </c>
      <c r="F1891" s="5" t="s">
        <v>168</v>
      </c>
      <c r="G1891" s="2" t="n">
        <v>1</v>
      </c>
      <c r="H1891" s="7" t="n">
        <v>0.08060138644</v>
      </c>
      <c r="I1891" s="7" t="n">
        <v>0.996731428</v>
      </c>
      <c r="J1891" s="7" t="n">
        <v>-0.005465980193</v>
      </c>
      <c r="K1891" s="7" t="n">
        <v>-0.9967273656</v>
      </c>
      <c r="L1891" s="7" t="n">
        <v>0.08063253791</v>
      </c>
      <c r="M1891" s="7" t="n">
        <v>0.005740431676</v>
      </c>
      <c r="N1891" s="7" t="n">
        <v>0.006162404517</v>
      </c>
      <c r="O1891" s="7" t="n">
        <v>0.004985405286</v>
      </c>
      <c r="P1891" s="7" t="n">
        <v>0.9999685848</v>
      </c>
      <c r="Q1891" s="7" t="n">
        <v>5.999239343</v>
      </c>
      <c r="R1891" s="7" t="n">
        <v>1.731424872</v>
      </c>
      <c r="S1891" s="7" t="n">
        <v>1.203766479</v>
      </c>
    </row>
    <row r="1892" customFormat="false" ht="15" hidden="false" customHeight="false" outlineLevel="0" collapsed="false">
      <c r="A1892" s="5" t="s">
        <v>4</v>
      </c>
      <c r="B1892" s="5" t="s">
        <v>85</v>
      </c>
      <c r="C1892" s="5" t="s">
        <v>85</v>
      </c>
      <c r="D1892" s="2" t="n">
        <v>17</v>
      </c>
      <c r="E1892" s="5" t="s">
        <v>163</v>
      </c>
      <c r="F1892" s="5" t="s">
        <v>164</v>
      </c>
      <c r="G1892" s="2" t="n">
        <v>1</v>
      </c>
      <c r="H1892" s="7" t="n">
        <v>-0.71859616170539</v>
      </c>
      <c r="I1892" s="7" t="n">
        <v>-0.695422273664725</v>
      </c>
      <c r="J1892" s="7" t="n">
        <v>0.00272354046998426</v>
      </c>
      <c r="K1892" s="7" t="n">
        <v>0.695393159214903</v>
      </c>
      <c r="L1892" s="7" t="n">
        <v>-0.71859403616027</v>
      </c>
      <c r="M1892" s="7" t="n">
        <v>-0.00713900937508532</v>
      </c>
      <c r="N1892" s="7" t="n">
        <v>0.00692174607427544</v>
      </c>
      <c r="O1892" s="7" t="n">
        <v>-0.00323613332370936</v>
      </c>
      <c r="P1892" s="7" t="n">
        <v>0.999970807967041</v>
      </c>
      <c r="Q1892" s="7" t="n">
        <v>-11.0793208907615</v>
      </c>
      <c r="R1892" s="7" t="n">
        <v>-0.881893916142647</v>
      </c>
      <c r="S1892" s="7" t="n">
        <v>0.509927724468446</v>
      </c>
    </row>
    <row r="1893" customFormat="false" ht="15" hidden="false" customHeight="false" outlineLevel="0" collapsed="false">
      <c r="A1893" s="5" t="s">
        <v>4</v>
      </c>
      <c r="B1893" s="5" t="s">
        <v>85</v>
      </c>
      <c r="C1893" s="5" t="s">
        <v>85</v>
      </c>
      <c r="D1893" s="2" t="n">
        <v>17</v>
      </c>
      <c r="E1893" s="5" t="s">
        <v>163</v>
      </c>
      <c r="F1893" s="5" t="s">
        <v>165</v>
      </c>
      <c r="G1893" s="2" t="n">
        <v>1</v>
      </c>
      <c r="H1893" s="7" t="n">
        <v>0.9341656841</v>
      </c>
      <c r="I1893" s="7" t="n">
        <v>0.3567362794</v>
      </c>
      <c r="J1893" s="7" t="n">
        <v>-0.008584961272</v>
      </c>
      <c r="K1893" s="7" t="n">
        <v>-0.3566747561</v>
      </c>
      <c r="L1893" s="7" t="n">
        <v>0.9341950824</v>
      </c>
      <c r="M1893" s="7" t="n">
        <v>0.0079162176</v>
      </c>
      <c r="N1893" s="7" t="n">
        <v>0.01084403062</v>
      </c>
      <c r="O1893" s="7" t="n">
        <v>-0.004333019862</v>
      </c>
      <c r="P1893" s="7" t="n">
        <v>0.9999318136</v>
      </c>
      <c r="Q1893" s="7" t="n">
        <v>8.38773583</v>
      </c>
      <c r="R1893" s="7" t="n">
        <v>1.40538469</v>
      </c>
      <c r="S1893" s="7" t="n">
        <v>0.6672222916</v>
      </c>
    </row>
    <row r="1894" customFormat="false" ht="15" hidden="false" customHeight="false" outlineLevel="0" collapsed="false">
      <c r="A1894" s="5" t="s">
        <v>4</v>
      </c>
      <c r="B1894" s="5" t="s">
        <v>85</v>
      </c>
      <c r="C1894" s="5" t="s">
        <v>85</v>
      </c>
      <c r="D1894" s="2" t="n">
        <v>17</v>
      </c>
      <c r="E1894" s="5" t="s">
        <v>163</v>
      </c>
      <c r="F1894" s="5" t="s">
        <v>166</v>
      </c>
      <c r="G1894" s="2" t="n">
        <v>1</v>
      </c>
      <c r="H1894" s="7" t="n">
        <v>0.902298340226559</v>
      </c>
      <c r="I1894" s="7" t="n">
        <v>0.43095214837068</v>
      </c>
      <c r="J1894" s="7" t="n">
        <v>-0.0117452511066623</v>
      </c>
      <c r="K1894" s="7" t="n">
        <v>-0.430931881400771</v>
      </c>
      <c r="L1894" s="7" t="n">
        <v>0.902374048308729</v>
      </c>
      <c r="M1894" s="7" t="n">
        <v>0.00433480732471654</v>
      </c>
      <c r="N1894" s="7" t="n">
        <v>0.0124667043237928</v>
      </c>
      <c r="O1894" s="7" t="n">
        <v>0.00115011370295869</v>
      </c>
      <c r="P1894" s="7" t="n">
        <v>0.999921626158517</v>
      </c>
      <c r="Q1894" s="7" t="n">
        <v>22.8314653237342</v>
      </c>
      <c r="R1894" s="7" t="n">
        <v>6.57588304175917</v>
      </c>
      <c r="S1894" s="7" t="n">
        <v>1.44662370453074</v>
      </c>
    </row>
    <row r="1895" customFormat="false" ht="15" hidden="false" customHeight="false" outlineLevel="0" collapsed="false">
      <c r="A1895" s="5" t="s">
        <v>4</v>
      </c>
      <c r="B1895" s="5" t="s">
        <v>85</v>
      </c>
      <c r="C1895" s="5" t="s">
        <v>85</v>
      </c>
      <c r="D1895" s="2" t="n">
        <v>17</v>
      </c>
      <c r="E1895" s="5" t="s">
        <v>163</v>
      </c>
      <c r="F1895" s="5" t="s">
        <v>167</v>
      </c>
      <c r="G1895" s="2" t="n">
        <v>1</v>
      </c>
      <c r="H1895" s="7" t="n">
        <v>0.227483232356375</v>
      </c>
      <c r="I1895" s="7" t="n">
        <v>-0.973781851453487</v>
      </c>
      <c r="J1895" s="7" t="n">
        <v>0.000533759948085439</v>
      </c>
      <c r="K1895" s="7" t="n">
        <v>0.973652619914627</v>
      </c>
      <c r="L1895" s="7" t="n">
        <v>0.227444039693159</v>
      </c>
      <c r="M1895" s="7" t="n">
        <v>-0.0164251182389586</v>
      </c>
      <c r="N1895" s="7" t="n">
        <v>0.0158730815332483</v>
      </c>
      <c r="O1895" s="7" t="n">
        <v>0.00425613576064262</v>
      </c>
      <c r="P1895" s="7" t="n">
        <v>0.999864956141072</v>
      </c>
      <c r="Q1895" s="7" t="n">
        <v>-16.5033935749882</v>
      </c>
      <c r="R1895" s="7" t="n">
        <v>20.5064484984983</v>
      </c>
      <c r="S1895" s="7" t="n">
        <v>1.12608084408162</v>
      </c>
    </row>
    <row r="1896" customFormat="false" ht="15" hidden="false" customHeight="false" outlineLevel="0" collapsed="false">
      <c r="A1896" s="5" t="s">
        <v>4</v>
      </c>
      <c r="B1896" s="5" t="s">
        <v>85</v>
      </c>
      <c r="C1896" s="5" t="s">
        <v>85</v>
      </c>
      <c r="D1896" s="2" t="n">
        <v>17</v>
      </c>
      <c r="E1896" s="5" t="s">
        <v>163</v>
      </c>
      <c r="F1896" s="5" t="s">
        <v>168</v>
      </c>
      <c r="G1896" s="2" t="n">
        <v>1</v>
      </c>
      <c r="H1896" s="7" t="n">
        <v>0.989116483736731</v>
      </c>
      <c r="I1896" s="7" t="n">
        <v>0.146754634174786</v>
      </c>
      <c r="J1896" s="7" t="n">
        <v>-0.0105668782335122</v>
      </c>
      <c r="K1896" s="7" t="n">
        <v>-0.146828070948538</v>
      </c>
      <c r="L1896" s="7" t="n">
        <v>0.989140394420983</v>
      </c>
      <c r="M1896" s="7" t="n">
        <v>-0.00654199537806358</v>
      </c>
      <c r="N1896" s="7" t="n">
        <v>0.00949205796915807</v>
      </c>
      <c r="O1896" s="7" t="n">
        <v>0.00802230981287029</v>
      </c>
      <c r="P1896" s="7" t="n">
        <v>0.999922768677706</v>
      </c>
      <c r="Q1896" s="7" t="n">
        <v>25.1121997210218</v>
      </c>
      <c r="R1896" s="7" t="n">
        <v>19.8184884890354</v>
      </c>
      <c r="S1896" s="7" t="n">
        <v>2.22389708432324</v>
      </c>
    </row>
    <row r="1897" customFormat="false" ht="15" hidden="false" customHeight="false" outlineLevel="0" collapsed="false">
      <c r="A1897" s="5" t="s">
        <v>4</v>
      </c>
      <c r="B1897" s="5" t="s">
        <v>85</v>
      </c>
      <c r="C1897" s="5" t="s">
        <v>85</v>
      </c>
      <c r="D1897" s="2" t="n">
        <v>17</v>
      </c>
      <c r="E1897" s="5" t="s">
        <v>164</v>
      </c>
      <c r="F1897" s="5" t="s">
        <v>165</v>
      </c>
      <c r="G1897" s="2" t="n">
        <v>1</v>
      </c>
      <c r="H1897" s="7" t="n">
        <v>-0.919393611</v>
      </c>
      <c r="I1897" s="7" t="n">
        <v>0.3933251515</v>
      </c>
      <c r="J1897" s="7" t="n">
        <v>-0.003273099169</v>
      </c>
      <c r="K1897" s="7" t="n">
        <v>-0.3933333974</v>
      </c>
      <c r="L1897" s="7" t="n">
        <v>-0.9193927141</v>
      </c>
      <c r="M1897" s="7" t="n">
        <v>0.002423994582</v>
      </c>
      <c r="N1897" s="7" t="n">
        <v>-0.002055845492</v>
      </c>
      <c r="O1897" s="7" t="n">
        <v>0.003516024347</v>
      </c>
      <c r="P1897" s="7" t="n">
        <v>0.9999917055</v>
      </c>
      <c r="Q1897" s="7" t="n">
        <v>-1.449980909</v>
      </c>
      <c r="R1897" s="7" t="n">
        <v>-3.76452514</v>
      </c>
      <c r="S1897" s="7" t="n">
        <v>0.1376221853</v>
      </c>
    </row>
    <row r="1898" customFormat="false" ht="15" hidden="false" customHeight="false" outlineLevel="0" collapsed="false">
      <c r="A1898" s="5" t="s">
        <v>4</v>
      </c>
      <c r="B1898" s="5" t="s">
        <v>85</v>
      </c>
      <c r="C1898" s="5" t="s">
        <v>85</v>
      </c>
      <c r="D1898" s="2" t="n">
        <v>17</v>
      </c>
      <c r="E1898" s="5" t="s">
        <v>164</v>
      </c>
      <c r="F1898" s="5" t="s">
        <v>166</v>
      </c>
      <c r="G1898" s="2" t="n">
        <v>1</v>
      </c>
      <c r="H1898" s="7" t="n">
        <v>-0.948113835527719</v>
      </c>
      <c r="I1898" s="7" t="n">
        <v>0.317856299086815</v>
      </c>
      <c r="J1898" s="7" t="n">
        <v>-0.00689404685758293</v>
      </c>
      <c r="K1898" s="7" t="n">
        <v>-0.317853210417283</v>
      </c>
      <c r="L1898" s="7" t="n">
        <v>-0.948138638008992</v>
      </c>
      <c r="M1898" s="7" t="n">
        <v>-0.00156832300136114</v>
      </c>
      <c r="N1898" s="7" t="n">
        <v>-0.00703501354371009</v>
      </c>
      <c r="O1898" s="7" t="n">
        <v>0.000704346189645469</v>
      </c>
      <c r="P1898" s="7" t="n">
        <v>0.999975005939993</v>
      </c>
      <c r="Q1898" s="7" t="n">
        <v>12.6108389009507</v>
      </c>
      <c r="R1898" s="7" t="n">
        <v>2.21892736224678</v>
      </c>
      <c r="S1898" s="7" t="n">
        <v>0.85938671132433</v>
      </c>
    </row>
    <row r="1899" customFormat="false" ht="15" hidden="false" customHeight="false" outlineLevel="0" collapsed="false">
      <c r="A1899" s="5" t="s">
        <v>4</v>
      </c>
      <c r="B1899" s="5" t="s">
        <v>85</v>
      </c>
      <c r="C1899" s="5" t="s">
        <v>85</v>
      </c>
      <c r="D1899" s="2" t="n">
        <v>17</v>
      </c>
      <c r="E1899" s="5" t="s">
        <v>164</v>
      </c>
      <c r="F1899" s="5" t="s">
        <v>167</v>
      </c>
      <c r="G1899" s="2" t="n">
        <v>1</v>
      </c>
      <c r="H1899" s="7" t="n">
        <v>0.513722465285142</v>
      </c>
      <c r="I1899" s="7" t="n">
        <v>0.857940303952696</v>
      </c>
      <c r="J1899" s="7" t="n">
        <v>0.00525961343553188</v>
      </c>
      <c r="K1899" s="7" t="n">
        <v>-0.857877421194482</v>
      </c>
      <c r="L1899" s="7" t="n">
        <v>0.513748699855932</v>
      </c>
      <c r="M1899" s="7" t="n">
        <v>-0.0104213017983259</v>
      </c>
      <c r="N1899" s="7" t="n">
        <v>-0.0116429743962416</v>
      </c>
      <c r="O1899" s="7" t="n">
        <v>0.000841553239736692</v>
      </c>
      <c r="P1899" s="7" t="n">
        <v>0.999931864153435</v>
      </c>
      <c r="Q1899" s="7" t="n">
        <v>-10.0577672215424</v>
      </c>
      <c r="R1899" s="7" t="n">
        <v>11.4601352276868</v>
      </c>
      <c r="S1899" s="7" t="n">
        <v>0.487933775193723</v>
      </c>
    </row>
    <row r="1900" customFormat="false" ht="15" hidden="false" customHeight="false" outlineLevel="0" collapsed="false">
      <c r="A1900" s="5" t="s">
        <v>4</v>
      </c>
      <c r="B1900" s="5" t="s">
        <v>85</v>
      </c>
      <c r="C1900" s="5" t="s">
        <v>85</v>
      </c>
      <c r="D1900" s="2" t="n">
        <v>17</v>
      </c>
      <c r="E1900" s="5" t="s">
        <v>164</v>
      </c>
      <c r="F1900" s="5" t="s">
        <v>168</v>
      </c>
      <c r="G1900" s="2" t="n">
        <v>1</v>
      </c>
      <c r="H1900" s="7" t="n">
        <v>-0.812860529382124</v>
      </c>
      <c r="I1900" s="7" t="n">
        <v>0.582443268519539</v>
      </c>
      <c r="J1900" s="7" t="n">
        <v>-0.00419507419361499</v>
      </c>
      <c r="K1900" s="7" t="n">
        <v>-0.582377991237558</v>
      </c>
      <c r="L1900" s="7" t="n">
        <v>-0.812846920992258</v>
      </c>
      <c r="M1900" s="7" t="n">
        <v>-0.0107591012196103</v>
      </c>
      <c r="N1900" s="7" t="n">
        <v>-0.00967651922297102</v>
      </c>
      <c r="O1900" s="7" t="n">
        <v>-0.00630252983181271</v>
      </c>
      <c r="P1900" s="7" t="n">
        <v>0.999933319336278</v>
      </c>
      <c r="Q1900" s="7" t="n">
        <v>16.6220494362061</v>
      </c>
      <c r="R1900" s="7" t="n">
        <v>12.6547774540213</v>
      </c>
      <c r="S1900" s="7" t="n">
        <v>1.60123593788201</v>
      </c>
    </row>
    <row r="1901" customFormat="false" ht="15" hidden="false" customHeight="false" outlineLevel="0" collapsed="false">
      <c r="A1901" s="5" t="s">
        <v>4</v>
      </c>
      <c r="B1901" s="5" t="s">
        <v>85</v>
      </c>
      <c r="C1901" s="5" t="s">
        <v>85</v>
      </c>
      <c r="D1901" s="2" t="n">
        <v>17</v>
      </c>
      <c r="E1901" s="5" t="s">
        <v>165</v>
      </c>
      <c r="F1901" s="5" t="s">
        <v>166</v>
      </c>
      <c r="G1901" s="2" t="n">
        <v>1</v>
      </c>
      <c r="H1901" s="7" t="n">
        <v>0.996733244846822</v>
      </c>
      <c r="I1901" s="7" t="n">
        <v>0.0806733593802495</v>
      </c>
      <c r="J1901" s="7" t="n">
        <v>-0.00382722363311601</v>
      </c>
      <c r="K1901" s="7" t="n">
        <v>-0.0806894292998465</v>
      </c>
      <c r="L1901" s="7" t="n">
        <v>0.996730237265648</v>
      </c>
      <c r="M1901" s="7" t="n">
        <v>-0.00424853143964108</v>
      </c>
      <c r="N1901" s="7" t="n">
        <v>0.00347196621707163</v>
      </c>
      <c r="O1901" s="7" t="n">
        <v>0.00454346901853517</v>
      </c>
      <c r="P1901" s="7" t="n">
        <v>0.999983651049843</v>
      </c>
      <c r="Q1901" s="7" t="n">
        <v>14.3603066777394</v>
      </c>
      <c r="R1901" s="7" t="n">
        <v>5.85472995836963</v>
      </c>
      <c r="S1901" s="7" t="n">
        <v>0.743905064077112</v>
      </c>
    </row>
    <row r="1902" customFormat="false" ht="15" hidden="false" customHeight="false" outlineLevel="0" collapsed="false">
      <c r="A1902" s="5" t="s">
        <v>4</v>
      </c>
      <c r="B1902" s="5" t="s">
        <v>85</v>
      </c>
      <c r="C1902" s="5" t="s">
        <v>85</v>
      </c>
      <c r="D1902" s="2" t="n">
        <v>17</v>
      </c>
      <c r="E1902" s="5" t="s">
        <v>165</v>
      </c>
      <c r="F1902" s="5" t="s">
        <v>167</v>
      </c>
      <c r="G1902" s="2" t="n">
        <v>1</v>
      </c>
      <c r="H1902" s="7" t="n">
        <v>-0.1348808676</v>
      </c>
      <c r="I1902" s="7" t="n">
        <v>-0.9908355179</v>
      </c>
      <c r="J1902" s="7" t="n">
        <v>0.007219974793</v>
      </c>
      <c r="K1902" s="7" t="n">
        <v>0.9908314153</v>
      </c>
      <c r="L1902" s="7" t="n">
        <v>-0.1349302321</v>
      </c>
      <c r="M1902" s="7" t="n">
        <v>-0.006851198992</v>
      </c>
      <c r="N1902" s="7" t="n">
        <v>0.007762604176</v>
      </c>
      <c r="O1902" s="7" t="n">
        <v>0.006229682178</v>
      </c>
      <c r="P1902" s="7" t="n">
        <v>0.9999504653</v>
      </c>
      <c r="Q1902" s="7" t="n">
        <v>-13.98436075</v>
      </c>
      <c r="R1902" s="7" t="n">
        <v>12.38981649</v>
      </c>
      <c r="S1902" s="7" t="n">
        <v>0.38502583</v>
      </c>
    </row>
    <row r="1903" customFormat="false" ht="15" hidden="false" customHeight="false" outlineLevel="0" collapsed="false">
      <c r="A1903" s="5" t="s">
        <v>4</v>
      </c>
      <c r="B1903" s="5" t="s">
        <v>85</v>
      </c>
      <c r="C1903" s="5" t="s">
        <v>85</v>
      </c>
      <c r="D1903" s="2" t="n">
        <v>17</v>
      </c>
      <c r="E1903" s="5" t="s">
        <v>165</v>
      </c>
      <c r="F1903" s="5" t="s">
        <v>168</v>
      </c>
      <c r="G1903" s="2" t="n">
        <v>1</v>
      </c>
      <c r="H1903" s="7" t="n">
        <v>0.976442095148193</v>
      </c>
      <c r="I1903" s="7" t="n">
        <v>-0.215779072682141</v>
      </c>
      <c r="J1903" s="7" t="n">
        <v>-0.000476039028824052</v>
      </c>
      <c r="K1903" s="7" t="n">
        <v>0.215756681580132</v>
      </c>
      <c r="L1903" s="7" t="n">
        <v>0.976368170694475</v>
      </c>
      <c r="M1903" s="7" t="n">
        <v>-0.0124197223756121</v>
      </c>
      <c r="N1903" s="7" t="n">
        <v>0.00314470553348915</v>
      </c>
      <c r="O1903" s="7" t="n">
        <v>0.0120244311362471</v>
      </c>
      <c r="P1903" s="7" t="n">
        <v>0.999922758972745</v>
      </c>
      <c r="Q1903" s="7" t="n">
        <v>17.2256316026486</v>
      </c>
      <c r="R1903" s="7" t="n">
        <v>16.644892277111</v>
      </c>
      <c r="S1903" s="7" t="n">
        <v>1.51345041895557</v>
      </c>
    </row>
    <row r="1904" customFormat="false" ht="15" hidden="false" customHeight="false" outlineLevel="0" collapsed="false">
      <c r="A1904" s="5" t="s">
        <v>4</v>
      </c>
      <c r="B1904" s="5" t="s">
        <v>85</v>
      </c>
      <c r="C1904" s="5" t="s">
        <v>85</v>
      </c>
      <c r="D1904" s="2" t="n">
        <v>17</v>
      </c>
      <c r="E1904" s="5" t="s">
        <v>166</v>
      </c>
      <c r="F1904" s="5" t="s">
        <v>167</v>
      </c>
      <c r="G1904" s="2" t="n">
        <v>1</v>
      </c>
      <c r="H1904" s="7" t="n">
        <v>-0.2144019071</v>
      </c>
      <c r="I1904" s="7" t="n">
        <v>-0.976742935</v>
      </c>
      <c r="J1904" s="7" t="n">
        <v>0.00224972446</v>
      </c>
      <c r="K1904" s="7" t="n">
        <v>0.9767355577</v>
      </c>
      <c r="L1904" s="7" t="n">
        <v>-0.2144095562</v>
      </c>
      <c r="M1904" s="7" t="n">
        <v>-0.004024005111</v>
      </c>
      <c r="N1904" s="7" t="n">
        <v>0.004412780985</v>
      </c>
      <c r="O1904" s="7" t="n">
        <v>0.001334631505</v>
      </c>
      <c r="P1904" s="7" t="n">
        <v>0.999989373</v>
      </c>
      <c r="Q1904" s="7" t="n">
        <v>-5.18859107</v>
      </c>
      <c r="R1904" s="7" t="n">
        <v>-0.3781021318</v>
      </c>
      <c r="S1904" s="7" t="n">
        <v>-0.4300541239</v>
      </c>
    </row>
    <row r="1905" customFormat="false" ht="15" hidden="false" customHeight="false" outlineLevel="0" collapsed="false">
      <c r="A1905" s="5" t="s">
        <v>4</v>
      </c>
      <c r="B1905" s="5" t="s">
        <v>85</v>
      </c>
      <c r="C1905" s="5" t="s">
        <v>85</v>
      </c>
      <c r="D1905" s="2" t="n">
        <v>17</v>
      </c>
      <c r="E1905" s="5" t="s">
        <v>166</v>
      </c>
      <c r="F1905" s="5" t="s">
        <v>168</v>
      </c>
      <c r="G1905" s="2" t="n">
        <v>1</v>
      </c>
      <c r="H1905" s="7" t="n">
        <v>0.9558464972</v>
      </c>
      <c r="I1905" s="7" t="n">
        <v>-0.2938600593</v>
      </c>
      <c r="J1905" s="7" t="n">
        <v>0.001933757189</v>
      </c>
      <c r="K1905" s="7" t="n">
        <v>0.2938662907</v>
      </c>
      <c r="L1905" s="7" t="n">
        <v>0.9558191606</v>
      </c>
      <c r="M1905" s="7" t="n">
        <v>-0.007234320882</v>
      </c>
      <c r="N1905" s="7" t="n">
        <v>0.0002775557898</v>
      </c>
      <c r="O1905" s="7" t="n">
        <v>0.007483166327</v>
      </c>
      <c r="P1905" s="7" t="n">
        <v>0.9999719622</v>
      </c>
      <c r="Q1905" s="7" t="n">
        <v>5.218415527</v>
      </c>
      <c r="R1905" s="7" t="n">
        <v>6.834200794</v>
      </c>
      <c r="S1905" s="7" t="n">
        <v>0.721768508</v>
      </c>
    </row>
    <row r="1906" customFormat="false" ht="15" hidden="false" customHeight="false" outlineLevel="0" collapsed="false">
      <c r="A1906" s="5" t="s">
        <v>4</v>
      </c>
      <c r="B1906" s="5" t="s">
        <v>85</v>
      </c>
      <c r="C1906" s="5" t="s">
        <v>85</v>
      </c>
      <c r="D1906" s="2" t="n">
        <v>17</v>
      </c>
      <c r="E1906" s="5" t="s">
        <v>167</v>
      </c>
      <c r="F1906" s="5" t="s">
        <v>168</v>
      </c>
      <c r="G1906" s="2" t="n">
        <v>1</v>
      </c>
      <c r="H1906" s="7" t="n">
        <v>0.0820947753091857</v>
      </c>
      <c r="I1906" s="7" t="n">
        <v>0.996607884885851</v>
      </c>
      <c r="J1906" s="7" t="n">
        <v>0.00575948299341805</v>
      </c>
      <c r="K1906" s="7" t="n">
        <v>-0.996611380541194</v>
      </c>
      <c r="L1906" s="7" t="n">
        <v>0.0821220042506345</v>
      </c>
      <c r="M1906" s="7" t="n">
        <v>-0.00466181005830748</v>
      </c>
      <c r="N1906" s="7" t="n">
        <v>-0.005118976948791</v>
      </c>
      <c r="O1906" s="7" t="n">
        <v>-0.00535725604807835</v>
      </c>
      <c r="P1906" s="7" t="n">
        <v>0.999972547570196</v>
      </c>
      <c r="Q1906" s="7" t="n">
        <v>6.02366820031978</v>
      </c>
      <c r="R1906" s="7" t="n">
        <v>1.69223755889803</v>
      </c>
      <c r="S1906" s="7" t="n">
        <v>1.12322495785294</v>
      </c>
    </row>
    <row r="1907" customFormat="false" ht="15" hidden="false" customHeight="false" outlineLevel="0" collapsed="false">
      <c r="A1907" s="5" t="s">
        <v>4</v>
      </c>
      <c r="B1907" s="5" t="s">
        <v>85</v>
      </c>
      <c r="C1907" s="5" t="s">
        <v>85</v>
      </c>
      <c r="D1907" s="2" t="n">
        <v>18</v>
      </c>
      <c r="E1907" s="5" t="s">
        <v>163</v>
      </c>
      <c r="F1907" s="5" t="s">
        <v>164</v>
      </c>
      <c r="G1907" s="2" t="n">
        <v>1</v>
      </c>
      <c r="H1907" s="7" t="n">
        <v>-0.7190812842</v>
      </c>
      <c r="I1907" s="7" t="n">
        <v>-0.6948774357</v>
      </c>
      <c r="J1907" s="7" t="n">
        <v>0.008213170564</v>
      </c>
      <c r="K1907" s="7" t="n">
        <v>0.6948334405</v>
      </c>
      <c r="L1907" s="7" t="n">
        <v>-0.7191281822</v>
      </c>
      <c r="M1907" s="7" t="n">
        <v>-0.007819693549</v>
      </c>
      <c r="N1907" s="7" t="n">
        <v>0.01134005102</v>
      </c>
      <c r="O1907" s="7" t="n">
        <v>8.379028131E-005</v>
      </c>
      <c r="P1907" s="7" t="n">
        <v>0.999935696</v>
      </c>
      <c r="Q1907" s="7" t="n">
        <v>-11.08430338</v>
      </c>
      <c r="R1907" s="7" t="n">
        <v>-0.893124877</v>
      </c>
      <c r="S1907" s="7" t="n">
        <v>0.5978154778</v>
      </c>
    </row>
    <row r="1908" customFormat="false" ht="15" hidden="false" customHeight="false" outlineLevel="0" collapsed="false">
      <c r="A1908" s="5" t="s">
        <v>4</v>
      </c>
      <c r="B1908" s="5" t="s">
        <v>85</v>
      </c>
      <c r="C1908" s="5" t="s">
        <v>85</v>
      </c>
      <c r="D1908" s="2" t="n">
        <v>18</v>
      </c>
      <c r="E1908" s="5" t="s">
        <v>163</v>
      </c>
      <c r="F1908" s="5" t="s">
        <v>165</v>
      </c>
      <c r="G1908" s="2" t="n">
        <v>1</v>
      </c>
      <c r="H1908" s="7" t="n">
        <v>0.933863579594062</v>
      </c>
      <c r="I1908" s="7" t="n">
        <v>0.357455016708321</v>
      </c>
      <c r="J1908" s="7" t="n">
        <v>-0.0111680768248374</v>
      </c>
      <c r="K1908" s="7" t="n">
        <v>-0.357434849284217</v>
      </c>
      <c r="L1908" s="7" t="n">
        <v>0.933930260455393</v>
      </c>
      <c r="M1908" s="7" t="n">
        <v>0.00382062166363384</v>
      </c>
      <c r="N1908" s="7" t="n">
        <v>0.0117959052786848</v>
      </c>
      <c r="O1908" s="7" t="n">
        <v>0.000423920433804294</v>
      </c>
      <c r="P1908" s="7" t="n">
        <v>0.999930335945176</v>
      </c>
      <c r="Q1908" s="7" t="n">
        <v>8.38825518320129</v>
      </c>
      <c r="R1908" s="7" t="n">
        <v>1.35354632850568</v>
      </c>
      <c r="S1908" s="7" t="n">
        <v>0.719984125375105</v>
      </c>
    </row>
    <row r="1909" customFormat="false" ht="15" hidden="false" customHeight="false" outlineLevel="0" collapsed="false">
      <c r="A1909" s="5" t="s">
        <v>4</v>
      </c>
      <c r="B1909" s="5" t="s">
        <v>85</v>
      </c>
      <c r="C1909" s="5" t="s">
        <v>85</v>
      </c>
      <c r="D1909" s="2" t="n">
        <v>18</v>
      </c>
      <c r="E1909" s="5" t="s">
        <v>163</v>
      </c>
      <c r="F1909" s="5" t="s">
        <v>166</v>
      </c>
      <c r="G1909" s="2" t="n">
        <v>1</v>
      </c>
      <c r="H1909" s="7" t="n">
        <v>0.901392439574701</v>
      </c>
      <c r="I1909" s="7" t="n">
        <v>0.432831528134685</v>
      </c>
      <c r="J1909" s="7" t="n">
        <v>-0.0121876260755629</v>
      </c>
      <c r="K1909" s="7" t="n">
        <v>-0.432648930071241</v>
      </c>
      <c r="L1909" s="7" t="n">
        <v>0.901436515661175</v>
      </c>
      <c r="M1909" s="7" t="n">
        <v>0.0150702189166963</v>
      </c>
      <c r="N1909" s="7" t="n">
        <v>0.0175092370693038</v>
      </c>
      <c r="O1909" s="7" t="n">
        <v>-0.00831121801158642</v>
      </c>
      <c r="P1909" s="7" t="n">
        <v>0.999812157505776</v>
      </c>
      <c r="Q1909" s="7" t="n">
        <v>22.8473643168979</v>
      </c>
      <c r="R1909" s="7" t="n">
        <v>6.50103942208659</v>
      </c>
      <c r="S1909" s="7" t="n">
        <v>1.21953768885123</v>
      </c>
    </row>
    <row r="1910" customFormat="false" ht="15" hidden="false" customHeight="false" outlineLevel="0" collapsed="false">
      <c r="A1910" s="5" t="s">
        <v>4</v>
      </c>
      <c r="B1910" s="5" t="s">
        <v>85</v>
      </c>
      <c r="C1910" s="5" t="s">
        <v>85</v>
      </c>
      <c r="D1910" s="2" t="n">
        <v>18</v>
      </c>
      <c r="E1910" s="5" t="s">
        <v>163</v>
      </c>
      <c r="F1910" s="5" t="s">
        <v>167</v>
      </c>
      <c r="G1910" s="2" t="n">
        <v>1</v>
      </c>
      <c r="H1910" s="7" t="n">
        <v>0.226754496971784</v>
      </c>
      <c r="I1910" s="7" t="n">
        <v>-0.973946088429254</v>
      </c>
      <c r="J1910" s="7" t="n">
        <v>-0.00337859886987107</v>
      </c>
      <c r="K1910" s="7" t="n">
        <v>0.973817871947973</v>
      </c>
      <c r="L1910" s="7" t="n">
        <v>0.226779475341593</v>
      </c>
      <c r="M1910" s="7" t="n">
        <v>-0.015805758390611</v>
      </c>
      <c r="N1910" s="7" t="n">
        <v>0.0161601534395663</v>
      </c>
      <c r="O1910" s="7" t="n">
        <v>0.000293886831364844</v>
      </c>
      <c r="P1910" s="7" t="n">
        <v>0.999869372980738</v>
      </c>
      <c r="Q1910" s="7" t="n">
        <v>-16.4815951704556</v>
      </c>
      <c r="R1910" s="7" t="n">
        <v>20.5226992758403</v>
      </c>
      <c r="S1910" s="7" t="n">
        <v>0.923151887270518</v>
      </c>
    </row>
    <row r="1911" customFormat="false" ht="15" hidden="false" customHeight="false" outlineLevel="0" collapsed="false">
      <c r="A1911" s="5" t="s">
        <v>4</v>
      </c>
      <c r="B1911" s="5" t="s">
        <v>85</v>
      </c>
      <c r="C1911" s="5" t="s">
        <v>85</v>
      </c>
      <c r="D1911" s="2" t="n">
        <v>18</v>
      </c>
      <c r="E1911" s="5" t="s">
        <v>163</v>
      </c>
      <c r="F1911" s="5" t="s">
        <v>168</v>
      </c>
      <c r="G1911" s="2" t="n">
        <v>1</v>
      </c>
      <c r="H1911" s="7" t="n">
        <v>0.989045210191312</v>
      </c>
      <c r="I1911" s="7" t="n">
        <v>0.146324516977165</v>
      </c>
      <c r="J1911" s="7" t="n">
        <v>-0.0194604218719033</v>
      </c>
      <c r="K1911" s="7" t="n">
        <v>-0.146389086265497</v>
      </c>
      <c r="L1911" s="7" t="n">
        <v>0.989225210716805</v>
      </c>
      <c r="M1911" s="7" t="n">
        <v>-0.00192819077890815</v>
      </c>
      <c r="N1911" s="7" t="n">
        <v>0.0189685983449244</v>
      </c>
      <c r="O1911" s="7" t="n">
        <v>0.00475586123069737</v>
      </c>
      <c r="P1911" s="7" t="n">
        <v>0.999808768748081</v>
      </c>
      <c r="Q1911" s="7" t="n">
        <v>25.11080350384</v>
      </c>
      <c r="R1911" s="7" t="n">
        <v>19.7969201797317</v>
      </c>
      <c r="S1911" s="7" t="n">
        <v>2.23548500790229</v>
      </c>
    </row>
    <row r="1912" customFormat="false" ht="15" hidden="false" customHeight="false" outlineLevel="0" collapsed="false">
      <c r="A1912" s="5" t="s">
        <v>4</v>
      </c>
      <c r="B1912" s="5" t="s">
        <v>85</v>
      </c>
      <c r="C1912" s="5" t="s">
        <v>85</v>
      </c>
      <c r="D1912" s="2" t="n">
        <v>18</v>
      </c>
      <c r="E1912" s="5" t="s">
        <v>164</v>
      </c>
      <c r="F1912" s="5" t="s">
        <v>165</v>
      </c>
      <c r="G1912" s="2" t="n">
        <v>1</v>
      </c>
      <c r="H1912" s="7" t="n">
        <v>-0.9200029727</v>
      </c>
      <c r="I1912" s="7" t="n">
        <v>0.3919109985</v>
      </c>
      <c r="J1912" s="7" t="n">
        <v>-0.0005473467805</v>
      </c>
      <c r="K1912" s="7" t="n">
        <v>-0.3919109746</v>
      </c>
      <c r="L1912" s="7" t="n">
        <v>-0.9200031326</v>
      </c>
      <c r="M1912" s="7" t="n">
        <v>-0.0001546991649</v>
      </c>
      <c r="N1912" s="7" t="n">
        <v>-0.0005641890569</v>
      </c>
      <c r="O1912" s="7" t="n">
        <v>7.218751864E-005</v>
      </c>
      <c r="P1912" s="7" t="n">
        <v>0.9999998382</v>
      </c>
      <c r="Q1912" s="7" t="n">
        <v>-1.458984202</v>
      </c>
      <c r="R1912" s="7" t="n">
        <v>-3.812099015</v>
      </c>
      <c r="S1912" s="7" t="n">
        <v>0.1159795741</v>
      </c>
    </row>
    <row r="1913" customFormat="false" ht="15" hidden="false" customHeight="false" outlineLevel="0" collapsed="false">
      <c r="A1913" s="5" t="s">
        <v>4</v>
      </c>
      <c r="B1913" s="5" t="s">
        <v>85</v>
      </c>
      <c r="C1913" s="5" t="s">
        <v>85</v>
      </c>
      <c r="D1913" s="2" t="n">
        <v>18</v>
      </c>
      <c r="E1913" s="5" t="s">
        <v>164</v>
      </c>
      <c r="F1913" s="5" t="s">
        <v>166</v>
      </c>
      <c r="G1913" s="2" t="n">
        <v>1</v>
      </c>
      <c r="H1913" s="7" t="n">
        <v>-0.949039394335557</v>
      </c>
      <c r="I1913" s="7" t="n">
        <v>0.315151563489792</v>
      </c>
      <c r="J1913" s="7" t="n">
        <v>-0.00192873903558626</v>
      </c>
      <c r="K1913" s="7" t="n">
        <v>-0.315154371885386</v>
      </c>
      <c r="L1913" s="7" t="n">
        <v>-0.948985191902134</v>
      </c>
      <c r="M1913" s="7" t="n">
        <v>0.0102385205215912</v>
      </c>
      <c r="N1913" s="7" t="n">
        <v>0.00139634096547518</v>
      </c>
      <c r="O1913" s="7" t="n">
        <v>0.0103246098532884</v>
      </c>
      <c r="P1913" s="7" t="n">
        <v>0.999945724914222</v>
      </c>
      <c r="Q1913" s="7" t="n">
        <v>12.6105464819375</v>
      </c>
      <c r="R1913" s="7" t="n">
        <v>2.15408972374565</v>
      </c>
      <c r="S1913" s="7" t="n">
        <v>0.646453290326109</v>
      </c>
    </row>
    <row r="1914" customFormat="false" ht="15" hidden="false" customHeight="false" outlineLevel="0" collapsed="false">
      <c r="A1914" s="5" t="s">
        <v>4</v>
      </c>
      <c r="B1914" s="5" t="s">
        <v>85</v>
      </c>
      <c r="C1914" s="5" t="s">
        <v>85</v>
      </c>
      <c r="D1914" s="2" t="n">
        <v>18</v>
      </c>
      <c r="E1914" s="5" t="s">
        <v>164</v>
      </c>
      <c r="F1914" s="5" t="s">
        <v>167</v>
      </c>
      <c r="G1914" s="2" t="n">
        <v>1</v>
      </c>
      <c r="H1914" s="7" t="n">
        <v>0.513690496487164</v>
      </c>
      <c r="I1914" s="7" t="n">
        <v>0.857975106947935</v>
      </c>
      <c r="J1914" s="7" t="n">
        <v>-0.000888581264952301</v>
      </c>
      <c r="K1914" s="7" t="n">
        <v>-0.857967961538836</v>
      </c>
      <c r="L1914" s="7" t="n">
        <v>0.513681306678509</v>
      </c>
      <c r="M1914" s="7" t="n">
        <v>-0.00474259575184652</v>
      </c>
      <c r="N1914" s="7" t="n">
        <v>-0.00361258151172027</v>
      </c>
      <c r="O1914" s="7" t="n">
        <v>0.00319860062309303</v>
      </c>
      <c r="P1914" s="7" t="n">
        <v>0.999988359056969</v>
      </c>
      <c r="Q1914" s="7" t="n">
        <v>-10.0208837444736</v>
      </c>
      <c r="R1914" s="7" t="n">
        <v>11.4743388508135</v>
      </c>
      <c r="S1914" s="7" t="n">
        <v>0.288157168933624</v>
      </c>
    </row>
    <row r="1915" customFormat="false" ht="15" hidden="false" customHeight="false" outlineLevel="0" collapsed="false">
      <c r="A1915" s="5" t="s">
        <v>4</v>
      </c>
      <c r="B1915" s="5" t="s">
        <v>85</v>
      </c>
      <c r="C1915" s="5" t="s">
        <v>85</v>
      </c>
      <c r="D1915" s="2" t="n">
        <v>18</v>
      </c>
      <c r="E1915" s="5" t="s">
        <v>164</v>
      </c>
      <c r="F1915" s="5" t="s">
        <v>168</v>
      </c>
      <c r="G1915" s="2" t="n">
        <v>1</v>
      </c>
      <c r="H1915" s="7" t="n">
        <v>-0.8130413367</v>
      </c>
      <c r="I1915" s="7" t="n">
        <v>0.5821477768</v>
      </c>
      <c r="J1915" s="7" t="n">
        <v>-0.008231086775</v>
      </c>
      <c r="K1915" s="7" t="n">
        <v>-0.5821404621</v>
      </c>
      <c r="L1915" s="7" t="n">
        <v>-0.8130806821</v>
      </c>
      <c r="M1915" s="7" t="n">
        <v>-0.003505239037</v>
      </c>
      <c r="N1915" s="7" t="n">
        <v>-0.008733104762</v>
      </c>
      <c r="O1915" s="7" t="n">
        <v>0.001941744427</v>
      </c>
      <c r="P1915" s="7" t="n">
        <v>0.9999599805</v>
      </c>
      <c r="Q1915" s="7" t="n">
        <v>16.623658</v>
      </c>
      <c r="R1915" s="7" t="n">
        <v>12.62021159</v>
      </c>
      <c r="S1915" s="7" t="n">
        <v>1.542627292</v>
      </c>
    </row>
    <row r="1916" customFormat="false" ht="15" hidden="false" customHeight="false" outlineLevel="0" collapsed="false">
      <c r="A1916" s="5" t="s">
        <v>4</v>
      </c>
      <c r="B1916" s="5" t="s">
        <v>85</v>
      </c>
      <c r="C1916" s="5" t="s">
        <v>85</v>
      </c>
      <c r="D1916" s="2" t="n">
        <v>18</v>
      </c>
      <c r="E1916" s="5" t="s">
        <v>165</v>
      </c>
      <c r="F1916" s="5" t="s">
        <v>166</v>
      </c>
      <c r="G1916" s="2" t="n">
        <v>1</v>
      </c>
      <c r="H1916" s="7" t="n">
        <v>0.996631483501518</v>
      </c>
      <c r="I1916" s="7" t="n">
        <v>0.0819988266734988</v>
      </c>
      <c r="J1916" s="7" t="n">
        <v>-0.00137055107349276</v>
      </c>
      <c r="K1916" s="7" t="n">
        <v>-0.0819803791576851</v>
      </c>
      <c r="L1916" s="7" t="n">
        <v>0.996580222549267</v>
      </c>
      <c r="M1916" s="7" t="n">
        <v>0.0103478206274567</v>
      </c>
      <c r="N1916" s="7" t="n">
        <v>0.00221437324424922</v>
      </c>
      <c r="O1916" s="7" t="n">
        <v>-0.0102006055258161</v>
      </c>
      <c r="P1916" s="7" t="n">
        <v>0.999945520710317</v>
      </c>
      <c r="Q1916" s="7" t="n">
        <v>14.377362673905</v>
      </c>
      <c r="R1916" s="7" t="n">
        <v>5.83234399459992</v>
      </c>
      <c r="S1916" s="7" t="n">
        <v>0.494825052014248</v>
      </c>
    </row>
    <row r="1917" customFormat="false" ht="15" hidden="false" customHeight="false" outlineLevel="0" collapsed="false">
      <c r="A1917" s="5" t="s">
        <v>4</v>
      </c>
      <c r="B1917" s="5" t="s">
        <v>85</v>
      </c>
      <c r="C1917" s="5" t="s">
        <v>85</v>
      </c>
      <c r="D1917" s="2" t="n">
        <v>18</v>
      </c>
      <c r="E1917" s="5" t="s">
        <v>165</v>
      </c>
      <c r="F1917" s="5" t="s">
        <v>167</v>
      </c>
      <c r="G1917" s="2" t="n">
        <v>1</v>
      </c>
      <c r="H1917" s="7" t="n">
        <v>-0.136346416567377</v>
      </c>
      <c r="I1917" s="7" t="n">
        <v>-0.990660591802381</v>
      </c>
      <c r="J1917" s="7" t="n">
        <v>-0.0011164645839883</v>
      </c>
      <c r="K1917" s="7" t="n">
        <v>0.990653024645847</v>
      </c>
      <c r="L1917" s="7" t="n">
        <v>-0.136340617672208</v>
      </c>
      <c r="M1917" s="7" t="n">
        <v>-0.00422145747094169</v>
      </c>
      <c r="N1917" s="7" t="n">
        <v>0.00402981208453955</v>
      </c>
      <c r="O1917" s="7" t="n">
        <v>-0.00168160961633611</v>
      </c>
      <c r="P1917" s="7" t="n">
        <v>0.999990466416494</v>
      </c>
      <c r="Q1917" s="7" t="n">
        <v>-13.9961777913669</v>
      </c>
      <c r="R1917" s="7" t="n">
        <v>12.4004316319422</v>
      </c>
      <c r="S1917" s="7" t="n">
        <v>0.171647670340901</v>
      </c>
    </row>
    <row r="1918" customFormat="false" ht="15" hidden="false" customHeight="false" outlineLevel="0" collapsed="false">
      <c r="A1918" s="5" t="s">
        <v>4</v>
      </c>
      <c r="B1918" s="5" t="s">
        <v>85</v>
      </c>
      <c r="C1918" s="5" t="s">
        <v>85</v>
      </c>
      <c r="D1918" s="2" t="n">
        <v>18</v>
      </c>
      <c r="E1918" s="5" t="s">
        <v>165</v>
      </c>
      <c r="F1918" s="5" t="s">
        <v>168</v>
      </c>
      <c r="G1918" s="2" t="n">
        <v>1</v>
      </c>
      <c r="H1918" s="7" t="n">
        <v>0.976155068327327</v>
      </c>
      <c r="I1918" s="7" t="n">
        <v>-0.216936682326222</v>
      </c>
      <c r="J1918" s="7" t="n">
        <v>-0.00773035261544538</v>
      </c>
      <c r="K1918" s="7" t="n">
        <v>0.216917612216403</v>
      </c>
      <c r="L1918" s="7" t="n">
        <v>0.976184552758529</v>
      </c>
      <c r="M1918" s="7" t="n">
        <v>-0.00323549546872275</v>
      </c>
      <c r="N1918" s="7" t="n">
        <v>0.00824814846217836</v>
      </c>
      <c r="O1918" s="7" t="n">
        <v>0.00148149566903079</v>
      </c>
      <c r="P1918" s="7" t="n">
        <v>0.999964886077967</v>
      </c>
      <c r="Q1918" s="7" t="n">
        <v>17.2217652733826</v>
      </c>
      <c r="R1918" s="7" t="n">
        <v>16.6583783827748</v>
      </c>
      <c r="S1918" s="7" t="n">
        <v>1.44433331688043</v>
      </c>
    </row>
    <row r="1919" customFormat="false" ht="15" hidden="false" customHeight="false" outlineLevel="0" collapsed="false">
      <c r="A1919" s="5" t="s">
        <v>4</v>
      </c>
      <c r="B1919" s="5" t="s">
        <v>85</v>
      </c>
      <c r="C1919" s="5" t="s">
        <v>85</v>
      </c>
      <c r="D1919" s="2" t="n">
        <v>18</v>
      </c>
      <c r="E1919" s="5" t="s">
        <v>166</v>
      </c>
      <c r="F1919" s="5" t="s">
        <v>167</v>
      </c>
      <c r="G1919" s="2" t="n">
        <v>1</v>
      </c>
      <c r="H1919" s="7" t="n">
        <v>-0.2171186076</v>
      </c>
      <c r="I1919" s="7" t="n">
        <v>-0.9761065752</v>
      </c>
      <c r="J1919" s="7" t="n">
        <v>0.008687012291</v>
      </c>
      <c r="K1919" s="7" t="n">
        <v>0.9761420087</v>
      </c>
      <c r="L1919" s="7" t="n">
        <v>-0.2171321564</v>
      </c>
      <c r="M1919" s="7" t="n">
        <v>-0.0006367950783</v>
      </c>
      <c r="N1919" s="7" t="n">
        <v>0.002507809575</v>
      </c>
      <c r="O1919" s="7" t="n">
        <v>0.008341497566</v>
      </c>
      <c r="P1919" s="7" t="n">
        <v>0.9999620644</v>
      </c>
      <c r="Q1919" s="7" t="n">
        <v>-5.185894056</v>
      </c>
      <c r="R1919" s="7" t="n">
        <v>-0.3672115178</v>
      </c>
      <c r="S1919" s="7" t="n">
        <v>-0.4078647812</v>
      </c>
    </row>
    <row r="1920" customFormat="false" ht="15" hidden="false" customHeight="false" outlineLevel="0" collapsed="false">
      <c r="A1920" s="5" t="s">
        <v>4</v>
      </c>
      <c r="B1920" s="5" t="s">
        <v>85</v>
      </c>
      <c r="C1920" s="5" t="s">
        <v>85</v>
      </c>
      <c r="D1920" s="2" t="n">
        <v>18</v>
      </c>
      <c r="E1920" s="5" t="s">
        <v>166</v>
      </c>
      <c r="F1920" s="5" t="s">
        <v>168</v>
      </c>
      <c r="G1920" s="2" t="n">
        <v>1</v>
      </c>
      <c r="H1920" s="7" t="n">
        <v>0.955088915353931</v>
      </c>
      <c r="I1920" s="7" t="n">
        <v>-0.296300361919971</v>
      </c>
      <c r="J1920" s="7" t="n">
        <v>-0.00335547428408321</v>
      </c>
      <c r="K1920" s="7" t="n">
        <v>0.296237344218947</v>
      </c>
      <c r="L1920" s="7" t="n">
        <v>0.955029750530392</v>
      </c>
      <c r="M1920" s="7" t="n">
        <v>-0.0127126561874471</v>
      </c>
      <c r="N1920" s="7" t="n">
        <v>0.00697134239914349</v>
      </c>
      <c r="O1920" s="7" t="n">
        <v>0.0111477002198138</v>
      </c>
      <c r="P1920" s="7" t="n">
        <v>0.999913560837032</v>
      </c>
      <c r="Q1920" s="7" t="n">
        <v>5.2198915606915</v>
      </c>
      <c r="R1920" s="7" t="n">
        <v>6.83549515797354</v>
      </c>
      <c r="S1920" s="7" t="n">
        <v>0.784304296702406</v>
      </c>
    </row>
    <row r="1921" customFormat="false" ht="15" hidden="false" customHeight="false" outlineLevel="0" collapsed="false">
      <c r="A1921" s="5" t="s">
        <v>4</v>
      </c>
      <c r="B1921" s="5" t="s">
        <v>85</v>
      </c>
      <c r="C1921" s="5" t="s">
        <v>85</v>
      </c>
      <c r="D1921" s="2" t="n">
        <v>18</v>
      </c>
      <c r="E1921" s="5" t="s">
        <v>167</v>
      </c>
      <c r="F1921" s="5" t="s">
        <v>168</v>
      </c>
      <c r="G1921" s="2" t="n">
        <v>1</v>
      </c>
      <c r="H1921" s="7" t="n">
        <v>0.08182400706</v>
      </c>
      <c r="I1921" s="7" t="n">
        <v>0.9966408856</v>
      </c>
      <c r="J1921" s="7" t="n">
        <v>-0.003431754614</v>
      </c>
      <c r="K1921" s="7" t="n">
        <v>-0.9966398936</v>
      </c>
      <c r="L1921" s="7" t="n">
        <v>0.08181014239</v>
      </c>
      <c r="M1921" s="7" t="n">
        <v>-0.004002888738</v>
      </c>
      <c r="N1921" s="7" t="n">
        <v>-0.003708690244</v>
      </c>
      <c r="O1921" s="7" t="n">
        <v>0.00374775595</v>
      </c>
      <c r="P1921" s="7" t="n">
        <v>0.9999860999</v>
      </c>
      <c r="Q1921" s="7" t="n">
        <v>6.008800513</v>
      </c>
      <c r="R1921" s="7" t="n">
        <v>1.695435247</v>
      </c>
      <c r="S1921" s="7" t="n">
        <v>1.174306753</v>
      </c>
    </row>
    <row r="1922" customFormat="false" ht="15" hidden="false" customHeight="false" outlineLevel="0" collapsed="false">
      <c r="A1922" s="5" t="s">
        <v>4</v>
      </c>
      <c r="B1922" s="5" t="s">
        <v>85</v>
      </c>
      <c r="C1922" s="5" t="s">
        <v>85</v>
      </c>
      <c r="D1922" s="2" t="n">
        <v>19</v>
      </c>
      <c r="E1922" s="5" t="s">
        <v>163</v>
      </c>
      <c r="F1922" s="5" t="s">
        <v>164</v>
      </c>
      <c r="G1922" s="2" t="n">
        <v>1</v>
      </c>
      <c r="H1922" s="7" t="n">
        <v>-0.7181192753</v>
      </c>
      <c r="I1922" s="7" t="n">
        <v>-0.6958908128</v>
      </c>
      <c r="J1922" s="7" t="n">
        <v>0.006378334707</v>
      </c>
      <c r="K1922" s="7" t="n">
        <v>0.6958567418</v>
      </c>
      <c r="L1922" s="7" t="n">
        <v>-0.7181474121</v>
      </c>
      <c r="M1922" s="7" t="n">
        <v>-0.006905751802</v>
      </c>
      <c r="N1922" s="7" t="n">
        <v>0.009386233798</v>
      </c>
      <c r="O1922" s="7" t="n">
        <v>-0.0005207462725</v>
      </c>
      <c r="P1922" s="7" t="n">
        <v>0.9999558127</v>
      </c>
      <c r="Q1922" s="7" t="n">
        <v>-11.07748154</v>
      </c>
      <c r="R1922" s="7" t="n">
        <v>-0.8601500021</v>
      </c>
      <c r="S1922" s="7" t="n">
        <v>0.6026974434</v>
      </c>
    </row>
    <row r="1923" customFormat="false" ht="15" hidden="false" customHeight="false" outlineLevel="0" collapsed="false">
      <c r="A1923" s="5" t="s">
        <v>4</v>
      </c>
      <c r="B1923" s="5" t="s">
        <v>85</v>
      </c>
      <c r="C1923" s="5" t="s">
        <v>85</v>
      </c>
      <c r="D1923" s="2" t="n">
        <v>19</v>
      </c>
      <c r="E1923" s="5" t="s">
        <v>163</v>
      </c>
      <c r="F1923" s="5" t="s">
        <v>165</v>
      </c>
      <c r="G1923" s="2" t="n">
        <v>1</v>
      </c>
      <c r="H1923" s="7" t="n">
        <v>0.9341533702</v>
      </c>
      <c r="I1923" s="7" t="n">
        <v>0.3568306978</v>
      </c>
      <c r="J1923" s="7" t="n">
        <v>-0.005416095334</v>
      </c>
      <c r="K1923" s="7" t="n">
        <v>-0.3567993849</v>
      </c>
      <c r="L1923" s="7" t="n">
        <v>0.9341619713</v>
      </c>
      <c r="M1923" s="7" t="n">
        <v>0.005967431446</v>
      </c>
      <c r="N1923" s="7" t="n">
        <v>0.007188873021</v>
      </c>
      <c r="O1923" s="7" t="n">
        <v>-0.003642036713</v>
      </c>
      <c r="P1923" s="7" t="n">
        <v>0.9999675273</v>
      </c>
      <c r="Q1923" s="7" t="n">
        <v>8.405145961</v>
      </c>
      <c r="R1923" s="7" t="n">
        <v>1.38727628</v>
      </c>
      <c r="S1923" s="7" t="n">
        <v>0.6440002721</v>
      </c>
    </row>
    <row r="1924" customFormat="false" ht="15" hidden="false" customHeight="false" outlineLevel="0" collapsed="false">
      <c r="A1924" s="5" t="s">
        <v>4</v>
      </c>
      <c r="B1924" s="5" t="s">
        <v>85</v>
      </c>
      <c r="C1924" s="5" t="s">
        <v>85</v>
      </c>
      <c r="D1924" s="2" t="n">
        <v>19</v>
      </c>
      <c r="E1924" s="5" t="s">
        <v>163</v>
      </c>
      <c r="F1924" s="5" t="s">
        <v>166</v>
      </c>
      <c r="G1924" s="2" t="n">
        <v>1</v>
      </c>
      <c r="H1924" s="7" t="n">
        <v>0.901668264613773</v>
      </c>
      <c r="I1924" s="7" t="n">
        <v>0.43240297370645</v>
      </c>
      <c r="J1924" s="7" t="n">
        <v>-0.00469136787746112</v>
      </c>
      <c r="K1924" s="7" t="n">
        <v>-0.432373680782698</v>
      </c>
      <c r="L1924" s="7" t="n">
        <v>0.901673682919807</v>
      </c>
      <c r="M1924" s="7" t="n">
        <v>0.00612939752163646</v>
      </c>
      <c r="N1924" s="7" t="n">
        <v>0.00688045266888885</v>
      </c>
      <c r="O1924" s="7" t="n">
        <v>-0.00349825923011286</v>
      </c>
      <c r="P1924" s="7" t="n">
        <v>0.999970210362506</v>
      </c>
      <c r="Q1924" s="7" t="n">
        <v>22.8898731284361</v>
      </c>
      <c r="R1924" s="7" t="n">
        <v>6.5030170165464</v>
      </c>
      <c r="S1924" s="7" t="n">
        <v>1.32273797805175</v>
      </c>
    </row>
    <row r="1925" customFormat="false" ht="15" hidden="false" customHeight="false" outlineLevel="0" collapsed="false">
      <c r="A1925" s="5" t="s">
        <v>4</v>
      </c>
      <c r="B1925" s="5" t="s">
        <v>85</v>
      </c>
      <c r="C1925" s="5" t="s">
        <v>85</v>
      </c>
      <c r="D1925" s="2" t="n">
        <v>19</v>
      </c>
      <c r="E1925" s="5" t="s">
        <v>163</v>
      </c>
      <c r="F1925" s="5" t="s">
        <v>167</v>
      </c>
      <c r="G1925" s="2" t="n">
        <v>1</v>
      </c>
      <c r="H1925" s="7" t="n">
        <v>0.226351496958768</v>
      </c>
      <c r="I1925" s="7" t="n">
        <v>-0.97404132897399</v>
      </c>
      <c r="J1925" s="7" t="n">
        <v>-0.00291362209808446</v>
      </c>
      <c r="K1925" s="7" t="n">
        <v>0.974005738752521</v>
      </c>
      <c r="L1925" s="7" t="n">
        <v>0.226368292042629</v>
      </c>
      <c r="M1925" s="7" t="n">
        <v>-0.00837957484968621</v>
      </c>
      <c r="N1925" s="7" t="n">
        <v>0.00882160388127146</v>
      </c>
      <c r="O1925" s="7" t="n">
        <v>-0.000941155332907956</v>
      </c>
      <c r="P1925" s="7" t="n">
        <v>0.999960645990857</v>
      </c>
      <c r="Q1925" s="7" t="n">
        <v>-16.5161758420567</v>
      </c>
      <c r="R1925" s="7" t="n">
        <v>20.549734100506</v>
      </c>
      <c r="S1925" s="7" t="n">
        <v>0.980632786127666</v>
      </c>
    </row>
    <row r="1926" customFormat="false" ht="15" hidden="false" customHeight="false" outlineLevel="0" collapsed="false">
      <c r="A1926" s="5" t="s">
        <v>4</v>
      </c>
      <c r="B1926" s="5" t="s">
        <v>85</v>
      </c>
      <c r="C1926" s="5" t="s">
        <v>85</v>
      </c>
      <c r="D1926" s="2" t="n">
        <v>19</v>
      </c>
      <c r="E1926" s="5" t="s">
        <v>163</v>
      </c>
      <c r="F1926" s="5" t="s">
        <v>168</v>
      </c>
      <c r="G1926" s="2" t="n">
        <v>1</v>
      </c>
      <c r="H1926" s="7" t="n">
        <v>0.989044103940532</v>
      </c>
      <c r="I1926" s="7" t="n">
        <v>0.147524626547936</v>
      </c>
      <c r="J1926" s="7" t="n">
        <v>-0.0053145978865392</v>
      </c>
      <c r="K1926" s="7" t="n">
        <v>-0.14752293281597</v>
      </c>
      <c r="L1926" s="7" t="n">
        <v>0.989058379540121</v>
      </c>
      <c r="M1926" s="7" t="n">
        <v>0.000711440362050695</v>
      </c>
      <c r="N1926" s="7" t="n">
        <v>0.00536140254934265</v>
      </c>
      <c r="O1926" s="7" t="n">
        <v>8.03791701463214E-005</v>
      </c>
      <c r="P1926" s="7" t="n">
        <v>0.999985624378945</v>
      </c>
      <c r="Q1926" s="7" t="n">
        <v>25.1909254913903</v>
      </c>
      <c r="R1926" s="7" t="n">
        <v>19.8066460299009</v>
      </c>
      <c r="S1926" s="7" t="n">
        <v>2.0810693052736</v>
      </c>
    </row>
    <row r="1927" customFormat="false" ht="15" hidden="false" customHeight="false" outlineLevel="0" collapsed="false">
      <c r="A1927" s="5" t="s">
        <v>4</v>
      </c>
      <c r="B1927" s="5" t="s">
        <v>85</v>
      </c>
      <c r="C1927" s="5" t="s">
        <v>85</v>
      </c>
      <c r="D1927" s="2" t="n">
        <v>19</v>
      </c>
      <c r="E1927" s="5" t="s">
        <v>164</v>
      </c>
      <c r="F1927" s="5" t="s">
        <v>165</v>
      </c>
      <c r="G1927" s="2" t="n">
        <v>1</v>
      </c>
      <c r="H1927" s="7" t="n">
        <v>-0.919183291168064</v>
      </c>
      <c r="I1927" s="7" t="n">
        <v>0.393817280534427</v>
      </c>
      <c r="J1927" s="7" t="n">
        <v>0.0031665076682854</v>
      </c>
      <c r="K1927" s="7" t="n">
        <v>-0.39381215550077</v>
      </c>
      <c r="L1927" s="7" t="n">
        <v>-0.919188469209463</v>
      </c>
      <c r="M1927" s="7" t="n">
        <v>0.00213170395209022</v>
      </c>
      <c r="N1927" s="7" t="n">
        <v>0.0037501191898367</v>
      </c>
      <c r="O1927" s="7" t="n">
        <v>0.000712417443331502</v>
      </c>
      <c r="P1927" s="7" t="n">
        <v>0.999992714540735</v>
      </c>
      <c r="Q1927" s="7" t="n">
        <v>-1.44025649018816</v>
      </c>
      <c r="R1927" s="7" t="n">
        <v>-3.76709533903022</v>
      </c>
      <c r="S1927" s="7" t="n">
        <v>0.0834618815912668</v>
      </c>
    </row>
    <row r="1928" customFormat="false" ht="15" hidden="false" customHeight="false" outlineLevel="0" collapsed="false">
      <c r="A1928" s="5" t="s">
        <v>4</v>
      </c>
      <c r="B1928" s="5" t="s">
        <v>85</v>
      </c>
      <c r="C1928" s="5" t="s">
        <v>85</v>
      </c>
      <c r="D1928" s="2" t="n">
        <v>19</v>
      </c>
      <c r="E1928" s="5" t="s">
        <v>164</v>
      </c>
      <c r="F1928" s="5" t="s">
        <v>166</v>
      </c>
      <c r="G1928" s="2" t="n">
        <v>1</v>
      </c>
      <c r="H1928" s="7" t="n">
        <v>-0.948440540637431</v>
      </c>
      <c r="I1928" s="7" t="n">
        <v>0.316935261648816</v>
      </c>
      <c r="J1928" s="7" t="n">
        <v>0.00354693632420054</v>
      </c>
      <c r="K1928" s="7" t="n">
        <v>-0.316931462433254</v>
      </c>
      <c r="L1928" s="7" t="n">
        <v>-0.948447090778223</v>
      </c>
      <c r="M1928" s="7" t="n">
        <v>0.00160122301569314</v>
      </c>
      <c r="N1928" s="7" t="n">
        <v>0.00387156547361399</v>
      </c>
      <c r="O1928" s="7" t="n">
        <v>0.00039452910619806</v>
      </c>
      <c r="P1928" s="7" t="n">
        <v>0.999992427707562</v>
      </c>
      <c r="Q1928" s="7" t="n">
        <v>12.6540146842557</v>
      </c>
      <c r="R1928" s="7" t="n">
        <v>2.17544277185433</v>
      </c>
      <c r="S1928" s="7" t="n">
        <v>0.763271647729431</v>
      </c>
    </row>
    <row r="1929" customFormat="false" ht="15" hidden="false" customHeight="false" outlineLevel="0" collapsed="false">
      <c r="A1929" s="5" t="s">
        <v>4</v>
      </c>
      <c r="B1929" s="5" t="s">
        <v>85</v>
      </c>
      <c r="C1929" s="5" t="s">
        <v>85</v>
      </c>
      <c r="D1929" s="2" t="n">
        <v>19</v>
      </c>
      <c r="E1929" s="5" t="s">
        <v>164</v>
      </c>
      <c r="F1929" s="5" t="s">
        <v>167</v>
      </c>
      <c r="G1929" s="2" t="n">
        <v>1</v>
      </c>
      <c r="H1929" s="7" t="n">
        <v>0.515260455090394</v>
      </c>
      <c r="I1929" s="7" t="n">
        <v>0.857033595595449</v>
      </c>
      <c r="J1929" s="7" t="n">
        <v>-0.00028167689131563</v>
      </c>
      <c r="K1929" s="7" t="n">
        <v>-0.857033357675341</v>
      </c>
      <c r="L1929" s="7" t="n">
        <v>0.515260523991549</v>
      </c>
      <c r="M1929" s="7" t="n">
        <v>0.000645160560588504</v>
      </c>
      <c r="N1929" s="7" t="n">
        <v>0.000698061257679898</v>
      </c>
      <c r="O1929" s="7" t="n">
        <v>-9.10192329174377E-005</v>
      </c>
      <c r="P1929" s="7" t="n">
        <v>0.999999752255331</v>
      </c>
      <c r="Q1929" s="7" t="n">
        <v>-10.0710404475074</v>
      </c>
      <c r="R1929" s="7" t="n">
        <v>11.4987754058661</v>
      </c>
      <c r="S1929" s="7" t="n">
        <v>0.385589962545098</v>
      </c>
    </row>
    <row r="1930" customFormat="false" ht="15" hidden="false" customHeight="false" outlineLevel="0" collapsed="false">
      <c r="A1930" s="5" t="s">
        <v>4</v>
      </c>
      <c r="B1930" s="5" t="s">
        <v>85</v>
      </c>
      <c r="C1930" s="5" t="s">
        <v>85</v>
      </c>
      <c r="D1930" s="2" t="n">
        <v>19</v>
      </c>
      <c r="E1930" s="5" t="s">
        <v>164</v>
      </c>
      <c r="F1930" s="5" t="s">
        <v>168</v>
      </c>
      <c r="G1930" s="2" t="n">
        <v>1</v>
      </c>
      <c r="H1930" s="7" t="n">
        <v>-0.812946565672968</v>
      </c>
      <c r="I1930" s="7" t="n">
        <v>0.582325280157692</v>
      </c>
      <c r="J1930" s="7" t="n">
        <v>0.00389221324742272</v>
      </c>
      <c r="K1930" s="7" t="n">
        <v>-0.582333040218082</v>
      </c>
      <c r="L1930" s="7" t="n">
        <v>-0.81294945607314</v>
      </c>
      <c r="M1930" s="7" t="n">
        <v>-0.0011883242765468</v>
      </c>
      <c r="N1930" s="7" t="n">
        <v>0.00247218137530932</v>
      </c>
      <c r="O1930" s="7" t="n">
        <v>-0.00323260851191819</v>
      </c>
      <c r="P1930" s="7" t="n">
        <v>0.99999171932072</v>
      </c>
      <c r="Q1930" s="7" t="n">
        <v>16.6840661811187</v>
      </c>
      <c r="R1930" s="7" t="n">
        <v>12.6573202504079</v>
      </c>
      <c r="S1930" s="7" t="n">
        <v>1.50298186794804</v>
      </c>
    </row>
    <row r="1931" customFormat="false" ht="15" hidden="false" customHeight="false" outlineLevel="0" collapsed="false">
      <c r="A1931" s="5" t="s">
        <v>4</v>
      </c>
      <c r="B1931" s="5" t="s">
        <v>85</v>
      </c>
      <c r="C1931" s="5" t="s">
        <v>85</v>
      </c>
      <c r="D1931" s="2" t="n">
        <v>19</v>
      </c>
      <c r="E1931" s="5" t="s">
        <v>165</v>
      </c>
      <c r="F1931" s="5" t="s">
        <v>166</v>
      </c>
      <c r="G1931" s="2" t="n">
        <v>1</v>
      </c>
      <c r="H1931" s="7" t="n">
        <v>0.996616511887666</v>
      </c>
      <c r="I1931" s="7" t="n">
        <v>0.0821917366954891</v>
      </c>
      <c r="J1931" s="7" t="n">
        <v>0.000215935620215627</v>
      </c>
      <c r="K1931" s="7" t="n">
        <v>-0.082191679032968</v>
      </c>
      <c r="L1931" s="7" t="n">
        <v>0.996616505289816</v>
      </c>
      <c r="M1931" s="7" t="n">
        <v>-0.000263009661570537</v>
      </c>
      <c r="N1931" s="7" t="n">
        <v>-0.000236822223532313</v>
      </c>
      <c r="O1931" s="7" t="n">
        <v>0.000244371659778267</v>
      </c>
      <c r="P1931" s="7" t="n">
        <v>0.99999994213776</v>
      </c>
      <c r="Q1931" s="7" t="n">
        <v>14.3990041695498</v>
      </c>
      <c r="R1931" s="7" t="n">
        <v>5.81143701584672</v>
      </c>
      <c r="S1931" s="7" t="n">
        <v>0.680389257563534</v>
      </c>
    </row>
    <row r="1932" customFormat="false" ht="15" hidden="false" customHeight="false" outlineLevel="0" collapsed="false">
      <c r="A1932" s="5" t="s">
        <v>4</v>
      </c>
      <c r="B1932" s="5" t="s">
        <v>85</v>
      </c>
      <c r="C1932" s="5" t="s">
        <v>85</v>
      </c>
      <c r="D1932" s="2" t="n">
        <v>19</v>
      </c>
      <c r="E1932" s="5" t="s">
        <v>165</v>
      </c>
      <c r="F1932" s="5" t="s">
        <v>167</v>
      </c>
      <c r="G1932" s="2" t="n">
        <v>1</v>
      </c>
      <c r="H1932" s="7" t="n">
        <v>-0.1361050529</v>
      </c>
      <c r="I1932" s="7" t="n">
        <v>-0.9906918298</v>
      </c>
      <c r="J1932" s="7" t="n">
        <v>0.002261178965</v>
      </c>
      <c r="K1932" s="7" t="n">
        <v>0.9906912836</v>
      </c>
      <c r="L1932" s="7" t="n">
        <v>-0.1361100031</v>
      </c>
      <c r="M1932" s="7" t="n">
        <v>-0.002201740795</v>
      </c>
      <c r="N1932" s="7" t="n">
        <v>0.002489015693</v>
      </c>
      <c r="O1932" s="7" t="n">
        <v>0.001940462244</v>
      </c>
      <c r="P1932" s="7" t="n">
        <v>0.9999950197</v>
      </c>
      <c r="Q1932" s="7" t="n">
        <v>-13.99928593</v>
      </c>
      <c r="R1932" s="7" t="n">
        <v>12.41306936</v>
      </c>
      <c r="S1932" s="7" t="n">
        <v>0.3130232239</v>
      </c>
    </row>
    <row r="1933" customFormat="false" ht="15" hidden="false" customHeight="false" outlineLevel="0" collapsed="false">
      <c r="A1933" s="5" t="s">
        <v>4</v>
      </c>
      <c r="B1933" s="5" t="s">
        <v>85</v>
      </c>
      <c r="C1933" s="5" t="s">
        <v>85</v>
      </c>
      <c r="D1933" s="2" t="n">
        <v>19</v>
      </c>
      <c r="E1933" s="5" t="s">
        <v>165</v>
      </c>
      <c r="F1933" s="5" t="s">
        <v>168</v>
      </c>
      <c r="G1933" s="2" t="n">
        <v>1</v>
      </c>
      <c r="H1933" s="7" t="n">
        <v>0.97658898274098</v>
      </c>
      <c r="I1933" s="7" t="n">
        <v>-0.215110146497803</v>
      </c>
      <c r="J1933" s="7" t="n">
        <v>0.00125839706223497</v>
      </c>
      <c r="K1933" s="7" t="n">
        <v>0.215113493617866</v>
      </c>
      <c r="L1933" s="7" t="n">
        <v>0.976581062790898</v>
      </c>
      <c r="M1933" s="7" t="n">
        <v>-0.00395129330171365</v>
      </c>
      <c r="N1933" s="7" t="n">
        <v>-0.000378963458486726</v>
      </c>
      <c r="O1933" s="7" t="n">
        <v>0.00412948769299523</v>
      </c>
      <c r="P1933" s="7" t="n">
        <v>0.999991401862806</v>
      </c>
      <c r="Q1933" s="7" t="n">
        <v>17.2801593433211</v>
      </c>
      <c r="R1933" s="7" t="n">
        <v>16.6463426079165</v>
      </c>
      <c r="S1933" s="7" t="n">
        <v>1.43453107323371</v>
      </c>
    </row>
    <row r="1934" customFormat="false" ht="15" hidden="false" customHeight="false" outlineLevel="0" collapsed="false">
      <c r="A1934" s="5" t="s">
        <v>4</v>
      </c>
      <c r="B1934" s="5" t="s">
        <v>85</v>
      </c>
      <c r="C1934" s="5" t="s">
        <v>85</v>
      </c>
      <c r="D1934" s="2" t="n">
        <v>19</v>
      </c>
      <c r="E1934" s="5" t="s">
        <v>166</v>
      </c>
      <c r="F1934" s="5" t="s">
        <v>167</v>
      </c>
      <c r="G1934" s="2" t="n">
        <v>1</v>
      </c>
      <c r="H1934" s="7" t="n">
        <v>-0.2170707367</v>
      </c>
      <c r="I1934" s="7" t="n">
        <v>-0.9761537212</v>
      </c>
      <c r="J1934" s="7" t="n">
        <v>0.002051314528</v>
      </c>
      <c r="K1934" s="7" t="n">
        <v>0.9761516985</v>
      </c>
      <c r="L1934" s="7" t="n">
        <v>-0.2170754767</v>
      </c>
      <c r="M1934" s="7" t="n">
        <v>-0.002469619808</v>
      </c>
      <c r="N1934" s="7" t="n">
        <v>0.002856018644</v>
      </c>
      <c r="O1934" s="7" t="n">
        <v>0.00146631197</v>
      </c>
      <c r="P1934" s="7" t="n">
        <v>0.9999948465</v>
      </c>
      <c r="Q1934" s="7" t="n">
        <v>-5.202223311</v>
      </c>
      <c r="R1934" s="7" t="n">
        <v>-0.3793422535</v>
      </c>
      <c r="S1934" s="7" t="n">
        <v>-0.4170077313</v>
      </c>
    </row>
    <row r="1935" customFormat="false" ht="15" hidden="false" customHeight="false" outlineLevel="0" collapsed="false">
      <c r="A1935" s="5" t="s">
        <v>4</v>
      </c>
      <c r="B1935" s="5" t="s">
        <v>85</v>
      </c>
      <c r="C1935" s="5" t="s">
        <v>85</v>
      </c>
      <c r="D1935" s="2" t="n">
        <v>19</v>
      </c>
      <c r="E1935" s="5" t="s">
        <v>166</v>
      </c>
      <c r="F1935" s="5" t="s">
        <v>168</v>
      </c>
      <c r="G1935" s="2" t="n">
        <v>1</v>
      </c>
      <c r="H1935" s="7" t="n">
        <v>0.9556047008</v>
      </c>
      <c r="I1935" s="7" t="n">
        <v>-0.2946501418</v>
      </c>
      <c r="J1935" s="7" t="n">
        <v>0.0009745521908</v>
      </c>
      <c r="K1935" s="7" t="n">
        <v>0.2946516999</v>
      </c>
      <c r="L1935" s="7" t="n">
        <v>0.955597306</v>
      </c>
      <c r="M1935" s="7" t="n">
        <v>-0.003763587993</v>
      </c>
      <c r="N1935" s="7" t="n">
        <v>0.0001776622876</v>
      </c>
      <c r="O1935" s="7" t="n">
        <v>0.003883655837</v>
      </c>
      <c r="P1935" s="7" t="n">
        <v>0.9999924428</v>
      </c>
      <c r="Q1935" s="7" t="n">
        <v>5.232080938</v>
      </c>
      <c r="R1935" s="7" t="n">
        <v>6.852818701</v>
      </c>
      <c r="S1935" s="7" t="n">
        <v>0.7290191762</v>
      </c>
    </row>
    <row r="1936" customFormat="false" ht="15" hidden="false" customHeight="false" outlineLevel="0" collapsed="false">
      <c r="A1936" s="5" t="s">
        <v>4</v>
      </c>
      <c r="B1936" s="5" t="s">
        <v>85</v>
      </c>
      <c r="C1936" s="5" t="s">
        <v>85</v>
      </c>
      <c r="D1936" s="2" t="n">
        <v>19</v>
      </c>
      <c r="E1936" s="5" t="s">
        <v>167</v>
      </c>
      <c r="F1936" s="5" t="s">
        <v>168</v>
      </c>
      <c r="G1936" s="2" t="n">
        <v>1</v>
      </c>
      <c r="H1936" s="7" t="n">
        <v>0.0801920150133712</v>
      </c>
      <c r="I1936" s="7" t="n">
        <v>0.996774064901735</v>
      </c>
      <c r="J1936" s="7" t="n">
        <v>0.00327172298097986</v>
      </c>
      <c r="K1936" s="7" t="n">
        <v>-0.996777848060921</v>
      </c>
      <c r="L1936" s="7" t="n">
        <v>0.0801973112846718</v>
      </c>
      <c r="M1936" s="7" t="n">
        <v>-0.00152083408120553</v>
      </c>
      <c r="N1936" s="7" t="n">
        <v>-0.00177831135422328</v>
      </c>
      <c r="O1936" s="7" t="n">
        <v>-0.0031392222421287</v>
      </c>
      <c r="P1936" s="7" t="n">
        <v>0.999993491456944</v>
      </c>
      <c r="Q1936" s="7" t="n">
        <v>6.02874056164654</v>
      </c>
      <c r="R1936" s="7" t="n">
        <v>1.69714577314654</v>
      </c>
      <c r="S1936" s="7" t="n">
        <v>1.1355821809665</v>
      </c>
    </row>
    <row r="1937" customFormat="false" ht="15" hidden="false" customHeight="false" outlineLevel="0" collapsed="false">
      <c r="A1937" s="5" t="s">
        <v>4</v>
      </c>
      <c r="B1937" s="5" t="s">
        <v>85</v>
      </c>
      <c r="C1937" s="5" t="s">
        <v>85</v>
      </c>
      <c r="D1937" s="2" t="n">
        <v>20</v>
      </c>
      <c r="E1937" s="5" t="s">
        <v>163</v>
      </c>
      <c r="F1937" s="5" t="s">
        <v>164</v>
      </c>
      <c r="G1937" s="2" t="n">
        <v>1</v>
      </c>
      <c r="H1937" s="7" t="n">
        <v>-0.7191608157</v>
      </c>
      <c r="I1937" s="7" t="n">
        <v>-0.694817523</v>
      </c>
      <c r="J1937" s="7" t="n">
        <v>0.006027506334</v>
      </c>
      <c r="K1937" s="7" t="n">
        <v>0.6947897012</v>
      </c>
      <c r="L1937" s="7" t="n">
        <v>-0.7191860165</v>
      </c>
      <c r="M1937" s="7" t="n">
        <v>-0.006224530575</v>
      </c>
      <c r="N1937" s="7" t="n">
        <v>0.008659811187</v>
      </c>
      <c r="O1937" s="7" t="n">
        <v>-0.0002885891613</v>
      </c>
      <c r="P1937" s="7" t="n">
        <v>0.9999624615</v>
      </c>
      <c r="Q1937" s="7" t="n">
        <v>-11.07956803</v>
      </c>
      <c r="R1937" s="7" t="n">
        <v>-0.8839826124</v>
      </c>
      <c r="S1937" s="7" t="n">
        <v>0.5974988539</v>
      </c>
    </row>
    <row r="1938" customFormat="false" ht="15" hidden="false" customHeight="false" outlineLevel="0" collapsed="false">
      <c r="A1938" s="5" t="s">
        <v>4</v>
      </c>
      <c r="B1938" s="5" t="s">
        <v>85</v>
      </c>
      <c r="C1938" s="5" t="s">
        <v>85</v>
      </c>
      <c r="D1938" s="2" t="n">
        <v>20</v>
      </c>
      <c r="E1938" s="5" t="s">
        <v>163</v>
      </c>
      <c r="F1938" s="5" t="s">
        <v>165</v>
      </c>
      <c r="G1938" s="2" t="n">
        <v>1</v>
      </c>
      <c r="H1938" s="7" t="n">
        <v>0.9336234298</v>
      </c>
      <c r="I1938" s="7" t="n">
        <v>0.3582559015</v>
      </c>
      <c r="J1938" s="7" t="n">
        <v>-1.917368767E-005</v>
      </c>
      <c r="K1938" s="7" t="n">
        <v>-0.3582548012</v>
      </c>
      <c r="L1938" s="7" t="n">
        <v>0.9336206923</v>
      </c>
      <c r="M1938" s="7" t="n">
        <v>0.002429042902</v>
      </c>
      <c r="N1938" s="7" t="n">
        <v>0.0008881199062</v>
      </c>
      <c r="O1938" s="7" t="n">
        <v>-0.0022609423</v>
      </c>
      <c r="P1938" s="7" t="n">
        <v>0.9999970497</v>
      </c>
      <c r="Q1938" s="7" t="n">
        <v>8.423456475</v>
      </c>
      <c r="R1938" s="7" t="n">
        <v>1.349386009</v>
      </c>
      <c r="S1938" s="7" t="n">
        <v>0.5556721654</v>
      </c>
    </row>
    <row r="1939" customFormat="false" ht="15" hidden="false" customHeight="false" outlineLevel="0" collapsed="false">
      <c r="A1939" s="5" t="s">
        <v>4</v>
      </c>
      <c r="B1939" s="5" t="s">
        <v>85</v>
      </c>
      <c r="C1939" s="5" t="s">
        <v>85</v>
      </c>
      <c r="D1939" s="2" t="n">
        <v>20</v>
      </c>
      <c r="E1939" s="5" t="s">
        <v>163</v>
      </c>
      <c r="F1939" s="5" t="s">
        <v>166</v>
      </c>
      <c r="G1939" s="2" t="n">
        <v>1</v>
      </c>
      <c r="H1939" s="7" t="n">
        <v>0.900743798467612</v>
      </c>
      <c r="I1939" s="7" t="n">
        <v>0.43430779857803</v>
      </c>
      <c r="J1939" s="7" t="n">
        <v>-0.00611109995747323</v>
      </c>
      <c r="K1939" s="7" t="n">
        <v>-0.434279506678288</v>
      </c>
      <c r="L1939" s="7" t="n">
        <v>0.900761719695101</v>
      </c>
      <c r="M1939" s="7" t="n">
        <v>0.00544373833739044</v>
      </c>
      <c r="N1939" s="7" t="n">
        <v>0.00786890292256744</v>
      </c>
      <c r="O1939" s="7" t="n">
        <v>-0.00224948807256734</v>
      </c>
      <c r="P1939" s="7" t="n">
        <v>0.999966509589005</v>
      </c>
      <c r="Q1939" s="7" t="n">
        <v>22.8952713235909</v>
      </c>
      <c r="R1939" s="7" t="n">
        <v>6.44980608480775</v>
      </c>
      <c r="S1939" s="7" t="n">
        <v>1.36744635226751</v>
      </c>
    </row>
    <row r="1940" customFormat="false" ht="15" hidden="false" customHeight="false" outlineLevel="0" collapsed="false">
      <c r="A1940" s="5" t="s">
        <v>4</v>
      </c>
      <c r="B1940" s="5" t="s">
        <v>85</v>
      </c>
      <c r="C1940" s="5" t="s">
        <v>85</v>
      </c>
      <c r="D1940" s="2" t="n">
        <v>20</v>
      </c>
      <c r="E1940" s="5" t="s">
        <v>163</v>
      </c>
      <c r="F1940" s="5" t="s">
        <v>167</v>
      </c>
      <c r="G1940" s="2" t="n">
        <v>1</v>
      </c>
      <c r="H1940" s="7" t="n">
        <v>0.228963304356485</v>
      </c>
      <c r="I1940" s="7" t="n">
        <v>-0.973434467368758</v>
      </c>
      <c r="J1940" s="7" t="n">
        <v>-0.00106901649464424</v>
      </c>
      <c r="K1940" s="7" t="n">
        <v>0.973384550026544</v>
      </c>
      <c r="L1940" s="7" t="n">
        <v>0.228962473626134</v>
      </c>
      <c r="M1940" s="7" t="n">
        <v>-0.00993495804499939</v>
      </c>
      <c r="N1940" s="7" t="n">
        <v>0.00991579525599842</v>
      </c>
      <c r="O1940" s="7" t="n">
        <v>0.00123417668268668</v>
      </c>
      <c r="P1940" s="7" t="n">
        <v>0.999950075703883</v>
      </c>
      <c r="Q1940" s="7" t="n">
        <v>-16.4598336886219</v>
      </c>
      <c r="R1940" s="7" t="n">
        <v>20.5810004748336</v>
      </c>
      <c r="S1940" s="7" t="n">
        <v>1.04543205027033</v>
      </c>
    </row>
    <row r="1941" customFormat="false" ht="15" hidden="false" customHeight="false" outlineLevel="0" collapsed="false">
      <c r="A1941" s="5" t="s">
        <v>4</v>
      </c>
      <c r="B1941" s="5" t="s">
        <v>85</v>
      </c>
      <c r="C1941" s="5" t="s">
        <v>85</v>
      </c>
      <c r="D1941" s="2" t="n">
        <v>20</v>
      </c>
      <c r="E1941" s="5" t="s">
        <v>163</v>
      </c>
      <c r="F1941" s="5" t="s">
        <v>168</v>
      </c>
      <c r="G1941" s="2" t="n">
        <v>1</v>
      </c>
      <c r="H1941" s="7" t="n">
        <v>0.988485342848963</v>
      </c>
      <c r="I1941" s="7" t="n">
        <v>0.151075725533043</v>
      </c>
      <c r="J1941" s="7" t="n">
        <v>-0.00853534564885998</v>
      </c>
      <c r="K1941" s="7" t="n">
        <v>-0.150996138570474</v>
      </c>
      <c r="L1941" s="7" t="n">
        <v>0.988490522806424</v>
      </c>
      <c r="M1941" s="7" t="n">
        <v>0.00930872150139397</v>
      </c>
      <c r="N1941" s="7" t="n">
        <v>0.00984343013995046</v>
      </c>
      <c r="O1941" s="7" t="n">
        <v>-0.00791273052912014</v>
      </c>
      <c r="P1941" s="7" t="n">
        <v>0.999920244680219</v>
      </c>
      <c r="Q1941" s="7" t="n">
        <v>25.22875849148</v>
      </c>
      <c r="R1941" s="7" t="n">
        <v>19.7680311125318</v>
      </c>
      <c r="S1941" s="7" t="n">
        <v>2.08850805068821</v>
      </c>
    </row>
    <row r="1942" customFormat="false" ht="15" hidden="false" customHeight="false" outlineLevel="0" collapsed="false">
      <c r="A1942" s="5" t="s">
        <v>4</v>
      </c>
      <c r="B1942" s="5" t="s">
        <v>85</v>
      </c>
      <c r="C1942" s="5" t="s">
        <v>85</v>
      </c>
      <c r="D1942" s="2" t="n">
        <v>20</v>
      </c>
      <c r="E1942" s="5" t="s">
        <v>164</v>
      </c>
      <c r="F1942" s="5" t="s">
        <v>165</v>
      </c>
      <c r="G1942" s="2" t="n">
        <v>1</v>
      </c>
      <c r="H1942" s="7" t="n">
        <v>-0.920347981002015</v>
      </c>
      <c r="I1942" s="7" t="n">
        <v>0.391019428398098</v>
      </c>
      <c r="J1942" s="7" t="n">
        <v>0.00796244088287382</v>
      </c>
      <c r="K1942" s="7" t="n">
        <v>-0.391038560822825</v>
      </c>
      <c r="L1942" s="7" t="n">
        <v>-0.920373812580757</v>
      </c>
      <c r="M1942" s="7" t="n">
        <v>-0.000942900027693108</v>
      </c>
      <c r="N1942" s="7" t="n">
        <v>0.00695972984383746</v>
      </c>
      <c r="O1942" s="7" t="n">
        <v>-0.00398141756050895</v>
      </c>
      <c r="P1942" s="7" t="n">
        <v>0.999967854722261</v>
      </c>
      <c r="Q1942" s="7" t="n">
        <v>-1.43270476527224</v>
      </c>
      <c r="R1942" s="7" t="n">
        <v>-3.79618339353358</v>
      </c>
      <c r="S1942" s="7" t="n">
        <v>0.0317838146456321</v>
      </c>
    </row>
    <row r="1943" customFormat="false" ht="15" hidden="false" customHeight="false" outlineLevel="0" collapsed="false">
      <c r="A1943" s="5" t="s">
        <v>4</v>
      </c>
      <c r="B1943" s="5" t="s">
        <v>85</v>
      </c>
      <c r="C1943" s="5" t="s">
        <v>85</v>
      </c>
      <c r="D1943" s="2" t="n">
        <v>20</v>
      </c>
      <c r="E1943" s="5" t="s">
        <v>164</v>
      </c>
      <c r="F1943" s="5" t="s">
        <v>166</v>
      </c>
      <c r="G1943" s="2" t="n">
        <v>1</v>
      </c>
      <c r="H1943" s="7" t="n">
        <v>-0.949581148393381</v>
      </c>
      <c r="I1943" s="7" t="n">
        <v>0.313517457641218</v>
      </c>
      <c r="J1943" s="7" t="n">
        <v>0.00156406414262071</v>
      </c>
      <c r="K1943" s="7" t="n">
        <v>-0.313515410566142</v>
      </c>
      <c r="L1943" s="7" t="n">
        <v>-0.949582046426538</v>
      </c>
      <c r="M1943" s="7" t="n">
        <v>0.00142280538891151</v>
      </c>
      <c r="N1943" s="7" t="n">
        <v>0.00193128155705265</v>
      </c>
      <c r="O1943" s="7" t="n">
        <v>0.000860710962751954</v>
      </c>
      <c r="P1943" s="7" t="n">
        <v>0.999997764714982</v>
      </c>
      <c r="Q1943" s="7" t="n">
        <v>12.6505318446669</v>
      </c>
      <c r="R1943" s="7" t="n">
        <v>2.13592662230933</v>
      </c>
      <c r="S1943" s="7" t="n">
        <v>0.792107452869571</v>
      </c>
    </row>
    <row r="1944" customFormat="false" ht="15" hidden="false" customHeight="false" outlineLevel="0" collapsed="false">
      <c r="A1944" s="5" t="s">
        <v>4</v>
      </c>
      <c r="B1944" s="5" t="s">
        <v>85</v>
      </c>
      <c r="C1944" s="5" t="s">
        <v>85</v>
      </c>
      <c r="D1944" s="2" t="n">
        <v>20</v>
      </c>
      <c r="E1944" s="5" t="s">
        <v>164</v>
      </c>
      <c r="F1944" s="5" t="s">
        <v>167</v>
      </c>
      <c r="G1944" s="2" t="n">
        <v>1</v>
      </c>
      <c r="H1944" s="7" t="n">
        <v>0.5116914453</v>
      </c>
      <c r="I1944" s="7" t="n">
        <v>0.8591684569</v>
      </c>
      <c r="J1944" s="7" t="n">
        <v>0.001194725255</v>
      </c>
      <c r="K1944" s="7" t="n">
        <v>-0.8591670488</v>
      </c>
      <c r="L1944" s="7" t="n">
        <v>0.5116927917</v>
      </c>
      <c r="M1944" s="7" t="n">
        <v>-0.001571334775</v>
      </c>
      <c r="N1944" s="7" t="n">
        <v>-0.001961373575</v>
      </c>
      <c r="O1944" s="7" t="n">
        <v>-0.0002224300098</v>
      </c>
      <c r="P1944" s="7" t="n">
        <v>0.9999980518</v>
      </c>
      <c r="Q1944" s="7" t="n">
        <v>-10.03173738</v>
      </c>
      <c r="R1944" s="7" t="n">
        <v>11.51506711</v>
      </c>
      <c r="S1944" s="7" t="n">
        <v>0.4260065642</v>
      </c>
    </row>
    <row r="1945" customFormat="false" ht="15" hidden="false" customHeight="false" outlineLevel="0" collapsed="false">
      <c r="A1945" s="5" t="s">
        <v>4</v>
      </c>
      <c r="B1945" s="5" t="s">
        <v>85</v>
      </c>
      <c r="C1945" s="5" t="s">
        <v>85</v>
      </c>
      <c r="D1945" s="2" t="n">
        <v>20</v>
      </c>
      <c r="E1945" s="5" t="s">
        <v>164</v>
      </c>
      <c r="F1945" s="5" t="s">
        <v>168</v>
      </c>
      <c r="G1945" s="2" t="n">
        <v>1</v>
      </c>
      <c r="H1945" s="7" t="n">
        <v>-0.815901433717994</v>
      </c>
      <c r="I1945" s="7" t="n">
        <v>0.578191015205753</v>
      </c>
      <c r="J1945" s="7" t="n">
        <v>-1.8527632366125E-005</v>
      </c>
      <c r="K1945" s="7" t="n">
        <v>-0.578173922115817</v>
      </c>
      <c r="L1945" s="7" t="n">
        <v>-0.815877065916545</v>
      </c>
      <c r="M1945" s="7" t="n">
        <v>0.00771550636539755</v>
      </c>
      <c r="N1945" s="7" t="n">
        <v>0.00444592018721039</v>
      </c>
      <c r="O1945" s="7" t="n">
        <v>0.00630580489848082</v>
      </c>
      <c r="P1945" s="7" t="n">
        <v>0.999970234926185</v>
      </c>
      <c r="Q1945" s="7" t="n">
        <v>16.7000449251539</v>
      </c>
      <c r="R1945" s="7" t="n">
        <v>12.6362826629409</v>
      </c>
      <c r="S1945" s="7" t="n">
        <v>1.54586007844329</v>
      </c>
    </row>
    <row r="1946" customFormat="false" ht="15" hidden="false" customHeight="false" outlineLevel="0" collapsed="false">
      <c r="A1946" s="5" t="s">
        <v>4</v>
      </c>
      <c r="B1946" s="5" t="s">
        <v>85</v>
      </c>
      <c r="C1946" s="5" t="s">
        <v>85</v>
      </c>
      <c r="D1946" s="2" t="n">
        <v>20</v>
      </c>
      <c r="E1946" s="5" t="s">
        <v>165</v>
      </c>
      <c r="F1946" s="5" t="s">
        <v>166</v>
      </c>
      <c r="G1946" s="2" t="n">
        <v>1</v>
      </c>
      <c r="H1946" s="7" t="n">
        <v>0.99654896358082</v>
      </c>
      <c r="I1946" s="7" t="n">
        <v>0.0827681130432237</v>
      </c>
      <c r="J1946" s="7" t="n">
        <v>-0.00629305830280716</v>
      </c>
      <c r="K1946" s="7" t="n">
        <v>-0.0827504249341542</v>
      </c>
      <c r="L1946" s="7" t="n">
        <v>0.996565721817283</v>
      </c>
      <c r="M1946" s="7" t="n">
        <v>0.00302145972784405</v>
      </c>
      <c r="N1946" s="7" t="n">
        <v>0.00652152671249718</v>
      </c>
      <c r="O1946" s="7" t="n">
        <v>-0.0024902793112175</v>
      </c>
      <c r="P1946" s="7" t="n">
        <v>0.999975633854119</v>
      </c>
      <c r="Q1946" s="7" t="n">
        <v>14.3926952472637</v>
      </c>
      <c r="R1946" s="7" t="n">
        <v>5.80041990438948</v>
      </c>
      <c r="S1946" s="7" t="n">
        <v>0.760214278104344</v>
      </c>
    </row>
    <row r="1947" customFormat="false" ht="15" hidden="false" customHeight="false" outlineLevel="0" collapsed="false">
      <c r="A1947" s="5" t="s">
        <v>4</v>
      </c>
      <c r="B1947" s="5" t="s">
        <v>85</v>
      </c>
      <c r="C1947" s="5" t="s">
        <v>85</v>
      </c>
      <c r="D1947" s="2" t="n">
        <v>20</v>
      </c>
      <c r="E1947" s="5" t="s">
        <v>165</v>
      </c>
      <c r="F1947" s="5" t="s">
        <v>167</v>
      </c>
      <c r="G1947" s="2" t="n">
        <v>1</v>
      </c>
      <c r="H1947" s="7" t="n">
        <v>-0.134973116682983</v>
      </c>
      <c r="I1947" s="7" t="n">
        <v>-0.990848361185556</v>
      </c>
      <c r="J1947" s="7" t="n">
        <v>0.00133521269094674</v>
      </c>
      <c r="K1947" s="7" t="n">
        <v>0.990801969995252</v>
      </c>
      <c r="L1947" s="7" t="n">
        <v>-0.134979717740002</v>
      </c>
      <c r="M1947" s="7" t="n">
        <v>-0.00958811748001657</v>
      </c>
      <c r="N1947" s="7" t="n">
        <v>0.00968059712586993</v>
      </c>
      <c r="O1947" s="7" t="n">
        <v>2.87932650201376E-005</v>
      </c>
      <c r="P1947" s="7" t="n">
        <v>0.999953141538306</v>
      </c>
      <c r="Q1947" s="7" t="n">
        <v>-13.9865985398506</v>
      </c>
      <c r="R1947" s="7" t="n">
        <v>12.4224907978537</v>
      </c>
      <c r="S1947" s="7" t="n">
        <v>0.408202981042459</v>
      </c>
    </row>
    <row r="1948" customFormat="false" ht="15" hidden="false" customHeight="false" outlineLevel="0" collapsed="false">
      <c r="A1948" s="5" t="s">
        <v>4</v>
      </c>
      <c r="B1948" s="5" t="s">
        <v>85</v>
      </c>
      <c r="C1948" s="5" t="s">
        <v>85</v>
      </c>
      <c r="D1948" s="2" t="n">
        <v>20</v>
      </c>
      <c r="E1948" s="5" t="s">
        <v>165</v>
      </c>
      <c r="F1948" s="5" t="s">
        <v>168</v>
      </c>
      <c r="G1948" s="2" t="n">
        <v>1</v>
      </c>
      <c r="H1948" s="7" t="n">
        <v>0.976997009991469</v>
      </c>
      <c r="I1948" s="7" t="n">
        <v>-0.213102929234147</v>
      </c>
      <c r="J1948" s="7" t="n">
        <v>-0.00799900045513531</v>
      </c>
      <c r="K1948" s="7" t="n">
        <v>0.213158852143867</v>
      </c>
      <c r="L1948" s="7" t="n">
        <v>0.976992909206288</v>
      </c>
      <c r="M1948" s="7" t="n">
        <v>0.00693967132534952</v>
      </c>
      <c r="N1948" s="7" t="n">
        <v>0.00633610244060693</v>
      </c>
      <c r="O1948" s="7" t="n">
        <v>-0.00848509588981071</v>
      </c>
      <c r="P1948" s="7" t="n">
        <v>0.99994392696318</v>
      </c>
      <c r="Q1948" s="7" t="n">
        <v>17.2910696347012</v>
      </c>
      <c r="R1948" s="7" t="n">
        <v>16.6503000544692</v>
      </c>
      <c r="S1948" s="7" t="n">
        <v>1.49094483006314</v>
      </c>
    </row>
    <row r="1949" customFormat="false" ht="15" hidden="false" customHeight="false" outlineLevel="0" collapsed="false">
      <c r="A1949" s="5" t="s">
        <v>4</v>
      </c>
      <c r="B1949" s="5" t="s">
        <v>85</v>
      </c>
      <c r="C1949" s="5" t="s">
        <v>85</v>
      </c>
      <c r="D1949" s="2" t="n">
        <v>20</v>
      </c>
      <c r="E1949" s="5" t="s">
        <v>166</v>
      </c>
      <c r="F1949" s="5" t="s">
        <v>167</v>
      </c>
      <c r="G1949" s="2" t="n">
        <v>1</v>
      </c>
      <c r="H1949" s="7" t="n">
        <v>-0.2165263714</v>
      </c>
      <c r="I1949" s="7" t="n">
        <v>-0.9762723953</v>
      </c>
      <c r="J1949" s="7" t="n">
        <v>0.002922438546</v>
      </c>
      <c r="K1949" s="7" t="n">
        <v>0.9762709984</v>
      </c>
      <c r="L1949" s="7" t="n">
        <v>-0.2165344139</v>
      </c>
      <c r="M1949" s="7" t="n">
        <v>-0.002790205143</v>
      </c>
      <c r="N1949" s="7" t="n">
        <v>0.003356808776</v>
      </c>
      <c r="O1949" s="7" t="n">
        <v>0.002248939002</v>
      </c>
      <c r="P1949" s="7" t="n">
        <v>0.999991837</v>
      </c>
      <c r="Q1949" s="7" t="n">
        <v>-5.209632309</v>
      </c>
      <c r="R1949" s="7" t="n">
        <v>-0.3705684827</v>
      </c>
      <c r="S1949" s="7" t="n">
        <v>-0.4133634077</v>
      </c>
    </row>
    <row r="1950" customFormat="false" ht="15" hidden="false" customHeight="false" outlineLevel="0" collapsed="false">
      <c r="A1950" s="5" t="s">
        <v>4</v>
      </c>
      <c r="B1950" s="5" t="s">
        <v>85</v>
      </c>
      <c r="C1950" s="5" t="s">
        <v>85</v>
      </c>
      <c r="D1950" s="2" t="n">
        <v>20</v>
      </c>
      <c r="E1950" s="5" t="s">
        <v>166</v>
      </c>
      <c r="F1950" s="5" t="s">
        <v>168</v>
      </c>
      <c r="G1950" s="2" t="n">
        <v>1</v>
      </c>
      <c r="H1950" s="7" t="n">
        <v>0.9560375686</v>
      </c>
      <c r="I1950" s="7" t="n">
        <v>-0.2932421608</v>
      </c>
      <c r="J1950" s="7" t="n">
        <v>-0.001096607637</v>
      </c>
      <c r="K1950" s="7" t="n">
        <v>0.2932434211</v>
      </c>
      <c r="L1950" s="7" t="n">
        <v>0.9560196262</v>
      </c>
      <c r="M1950" s="7" t="n">
        <v>0.00589663815</v>
      </c>
      <c r="N1950" s="7" t="n">
        <v>-0.0006807644896</v>
      </c>
      <c r="O1950" s="7" t="n">
        <v>-0.005958980575</v>
      </c>
      <c r="P1950" s="7" t="n">
        <v>0.9999820134</v>
      </c>
      <c r="Q1950" s="7" t="n">
        <v>5.232873588</v>
      </c>
      <c r="R1950" s="7" t="n">
        <v>6.879938884</v>
      </c>
      <c r="S1950" s="7" t="n">
        <v>0.775106851</v>
      </c>
    </row>
    <row r="1951" customFormat="false" ht="15" hidden="false" customHeight="false" outlineLevel="0" collapsed="false">
      <c r="A1951" s="5" t="s">
        <v>4</v>
      </c>
      <c r="B1951" s="5" t="s">
        <v>85</v>
      </c>
      <c r="C1951" s="5" t="s">
        <v>85</v>
      </c>
      <c r="D1951" s="2" t="n">
        <v>20</v>
      </c>
      <c r="E1951" s="5" t="s">
        <v>167</v>
      </c>
      <c r="F1951" s="5" t="s">
        <v>168</v>
      </c>
      <c r="G1951" s="2" t="n">
        <v>1</v>
      </c>
      <c r="H1951" s="7" t="n">
        <v>0.0792736763754305</v>
      </c>
      <c r="I1951" s="7" t="n">
        <v>0.996851830825379</v>
      </c>
      <c r="J1951" s="7" t="n">
        <v>0.00145315288274223</v>
      </c>
      <c r="K1951" s="7" t="n">
        <v>-0.99681327178033</v>
      </c>
      <c r="L1951" s="7" t="n">
        <v>0.0792574451616998</v>
      </c>
      <c r="M1951" s="7" t="n">
        <v>0.00903098192963192</v>
      </c>
      <c r="N1951" s="7" t="n">
        <v>0.00888737768546464</v>
      </c>
      <c r="O1951" s="7" t="n">
        <v>-0.00216444121780142</v>
      </c>
      <c r="P1951" s="7" t="n">
        <v>0.999958164008354</v>
      </c>
      <c r="Q1951" s="7" t="n">
        <v>6.01586284435185</v>
      </c>
      <c r="R1951" s="7" t="n">
        <v>1.72001164595476</v>
      </c>
      <c r="S1951" s="7" t="n">
        <v>1.23395086146644</v>
      </c>
    </row>
  </sheetData>
  <autoFilter ref="A1:S19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35"/>
    <col collapsed="false" customWidth="true" hidden="false" outlineLevel="0" max="4" min="4" style="0" width="17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10" min="8" style="0" width="14"/>
    <col collapsed="false" customWidth="true" hidden="false" outlineLevel="0" max="11" min="11" style="0" width="19"/>
    <col collapsed="false" customWidth="true" hidden="false" outlineLevel="0" max="12" min="12" style="0" width="21"/>
    <col collapsed="false" customWidth="true" hidden="false" outlineLevel="0" max="13" min="13" style="0" width="10"/>
    <col collapsed="false" customWidth="true" hidden="false" outlineLevel="0" max="14" min="14" style="0" width="26"/>
  </cols>
  <sheetData>
    <row r="1" customFormat="false" ht="31.5" hidden="false" customHeight="true" outlineLevel="0" collapsed="false">
      <c r="A1" s="1" t="s">
        <v>35</v>
      </c>
      <c r="B1" s="1" t="s">
        <v>37</v>
      </c>
      <c r="C1" s="1" t="s">
        <v>38</v>
      </c>
      <c r="D1" s="6" t="s">
        <v>39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</row>
    <row r="2" customFormat="false" ht="15" hidden="false" customHeight="false" outlineLevel="0" collapsed="false">
      <c r="A2" s="5" t="s">
        <v>4</v>
      </c>
      <c r="B2" s="2" t="s">
        <v>56</v>
      </c>
      <c r="C2" s="5" t="s">
        <v>57</v>
      </c>
      <c r="D2" s="5" t="s">
        <v>58</v>
      </c>
      <c r="E2" s="2" t="n">
        <f aca="false">COUNTIFS(逐對結果!$A$2:$A$1951,$A2,逐對結果!$D$2:$D$1951,$C2,逐對結果!$E$2:$E$1951,$D2)</f>
        <v>150</v>
      </c>
      <c r="F2" s="2" t="n">
        <f aca="false">COUNTIFS(逐對結果!$A$2:$A$1951,$A2,逐對結果!$D$2:$D$1951,$C2,逐對結果!$E$2:$E$1951,$D2,逐對結果!$J$2:$J$1951,1)</f>
        <v>118</v>
      </c>
      <c r="G2" s="8" t="n">
        <f aca="false">IF(E2=0,"",F2/E2)</f>
        <v>0.786666666666667</v>
      </c>
      <c r="H2" s="2" t="n">
        <f aca="false">COUNTIFS(逐對結果!$A$2:$A$1951,$A2,逐對結果!$D$2:$D$1951,$C2,逐對結果!$E$2:$E$1951,$D2,逐對結果!$H$2:$H$1951,1)</f>
        <v>100</v>
      </c>
      <c r="I2" s="2" t="n">
        <f aca="false">COUNTIFS(逐對結果!$A$2:$A$1951,$A2,逐對結果!$D$2:$D$1951,$C2,逐對結果!$E$2:$E$1951,$D2,逐對結果!$H$2:$H$1951,1,逐對結果!$J$2:$J$1951,1)</f>
        <v>88</v>
      </c>
      <c r="J2" s="8" t="n">
        <f aca="false">IF(H2=0,"",I2/H2)</f>
        <v>0.88</v>
      </c>
      <c r="K2" s="7" t="n">
        <v>0.070338765815</v>
      </c>
      <c r="L2" s="7" t="n">
        <v>1.61932770686548</v>
      </c>
      <c r="M2" s="2" t="s">
        <v>179</v>
      </c>
      <c r="N2" s="7" t="n">
        <v>2.5001855</v>
      </c>
    </row>
    <row r="3" customFormat="false" ht="15" hidden="false" customHeight="false" outlineLevel="0" collapsed="false">
      <c r="A3" s="5" t="s">
        <v>4</v>
      </c>
      <c r="B3" s="2" t="s">
        <v>56</v>
      </c>
      <c r="C3" s="5" t="s">
        <v>57</v>
      </c>
      <c r="D3" s="5" t="s">
        <v>62</v>
      </c>
      <c r="E3" s="2" t="n">
        <f aca="false">COUNTIFS(逐對結果!$A$2:$A$1951,$A3,逐對結果!$D$2:$D$1951,$C3,逐對結果!$E$2:$E$1951,$D3)</f>
        <v>150</v>
      </c>
      <c r="F3" s="2" t="n">
        <f aca="false">COUNTIFS(逐對結果!$A$2:$A$1951,$A3,逐對結果!$D$2:$D$1951,$C3,逐對結果!$E$2:$E$1951,$D3,逐對結果!$J$2:$J$1951,1)</f>
        <v>123</v>
      </c>
      <c r="G3" s="8" t="n">
        <f aca="false">IF(E3=0,"",F3/E3)</f>
        <v>0.82</v>
      </c>
      <c r="H3" s="2" t="n">
        <f aca="false">COUNTIFS(逐對結果!$A$2:$A$1951,$A3,逐對結果!$D$2:$D$1951,$C3,逐對結果!$E$2:$E$1951,$D3,逐對結果!$H$2:$H$1951,1)</f>
        <v>100</v>
      </c>
      <c r="I3" s="2" t="n">
        <f aca="false">COUNTIFS(逐對結果!$A$2:$A$1951,$A3,逐對結果!$D$2:$D$1951,$C3,逐對結果!$E$2:$E$1951,$D3,逐對結果!$H$2:$H$1951,1,逐對結果!$J$2:$J$1951,1)</f>
        <v>90</v>
      </c>
      <c r="J3" s="8" t="n">
        <f aca="false">IF(H3=0,"",I3/H3)</f>
        <v>0.9</v>
      </c>
      <c r="K3" s="7" t="n">
        <v>0.07259609857</v>
      </c>
      <c r="L3" s="7" t="n">
        <v>1.49443411809733</v>
      </c>
      <c r="M3" s="2" t="s">
        <v>179</v>
      </c>
      <c r="N3" s="7" t="n">
        <v>3.641594</v>
      </c>
    </row>
    <row r="4" customFormat="false" ht="15" hidden="false" customHeight="false" outlineLevel="0" collapsed="false">
      <c r="A4" s="5" t="s">
        <v>4</v>
      </c>
      <c r="B4" s="2" t="s">
        <v>56</v>
      </c>
      <c r="C4" s="5" t="s">
        <v>77</v>
      </c>
      <c r="D4" s="5" t="s">
        <v>58</v>
      </c>
      <c r="E4" s="2" t="n">
        <f aca="false">COUNTIFS(逐對結果!$A$2:$A$1951,$A4,逐對結果!$D$2:$D$1951,$C4,逐對結果!$E$2:$E$1951,$D4)</f>
        <v>150</v>
      </c>
      <c r="F4" s="2" t="n">
        <f aca="false">COUNTIFS(逐對結果!$A$2:$A$1951,$A4,逐對結果!$D$2:$D$1951,$C4,逐對結果!$E$2:$E$1951,$D4,逐對結果!$J$2:$J$1951,1)</f>
        <v>135</v>
      </c>
      <c r="G4" s="8" t="n">
        <f aca="false">IF(E4=0,"",F4/E4)</f>
        <v>0.9</v>
      </c>
      <c r="H4" s="2" t="n">
        <f aca="false">COUNTIFS(逐對結果!$A$2:$A$1951,$A4,逐對結果!$D$2:$D$1951,$C4,逐對結果!$E$2:$E$1951,$D4,逐對結果!$H$2:$H$1951,1)</f>
        <v>100</v>
      </c>
      <c r="I4" s="2" t="n">
        <f aca="false">COUNTIFS(逐對結果!$A$2:$A$1951,$A4,逐對結果!$D$2:$D$1951,$C4,逐對結果!$E$2:$E$1951,$D4,逐對結果!$H$2:$H$1951,1,逐對結果!$J$2:$J$1951,1)</f>
        <v>97</v>
      </c>
      <c r="J4" s="8" t="n">
        <f aca="false">IF(H4=0,"",I4/H4)</f>
        <v>0.97</v>
      </c>
      <c r="K4" s="7" t="n">
        <v>0.0788279954</v>
      </c>
      <c r="L4" s="7" t="n">
        <v>1.26929551764399</v>
      </c>
      <c r="M4" s="2" t="s">
        <v>179</v>
      </c>
      <c r="N4" s="7" t="n">
        <v>3.153391</v>
      </c>
    </row>
    <row r="5" customFormat="false" ht="15" hidden="false" customHeight="false" outlineLevel="0" collapsed="false">
      <c r="A5" s="5" t="s">
        <v>4</v>
      </c>
      <c r="B5" s="2" t="s">
        <v>56</v>
      </c>
      <c r="C5" s="5" t="s">
        <v>77</v>
      </c>
      <c r="D5" s="5" t="s">
        <v>62</v>
      </c>
      <c r="E5" s="2" t="n">
        <f aca="false">COUNTIFS(逐對結果!$A$2:$A$1951,$A5,逐對結果!$D$2:$D$1951,$C5,逐對結果!$E$2:$E$1951,$D5)</f>
        <v>150</v>
      </c>
      <c r="F5" s="2" t="n">
        <f aca="false">COUNTIFS(逐對結果!$A$2:$A$1951,$A5,逐對結果!$D$2:$D$1951,$C5,逐對結果!$E$2:$E$1951,$D5,逐對結果!$J$2:$J$1951,1)</f>
        <v>142</v>
      </c>
      <c r="G5" s="8" t="n">
        <f aca="false">IF(E5=0,"",F5/E5)</f>
        <v>0.946666666666667</v>
      </c>
      <c r="H5" s="2" t="n">
        <f aca="false">COUNTIFS(逐對結果!$A$2:$A$1951,$A5,逐對結果!$D$2:$D$1951,$C5,逐對結果!$E$2:$E$1951,$D5,逐對結果!$H$2:$H$1951,1)</f>
        <v>100</v>
      </c>
      <c r="I5" s="2" t="n">
        <f aca="false">COUNTIFS(逐對結果!$A$2:$A$1951,$A5,逐對結果!$D$2:$D$1951,$C5,逐對結果!$E$2:$E$1951,$D5,逐對結果!$H$2:$H$1951,1,逐對結果!$J$2:$J$1951,1)</f>
        <v>99</v>
      </c>
      <c r="J5" s="8" t="n">
        <f aca="false">IF(H5=0,"",I5/H5)</f>
        <v>0.99</v>
      </c>
      <c r="K5" s="7" t="n">
        <v>0.070235818935</v>
      </c>
      <c r="L5" s="7" t="n">
        <v>0.632455532033676</v>
      </c>
      <c r="M5" s="2" t="s">
        <v>179</v>
      </c>
      <c r="N5" s="7" t="n">
        <v>6.11513</v>
      </c>
    </row>
    <row r="6" customFormat="false" ht="15" hidden="false" customHeight="false" outlineLevel="0" collapsed="false">
      <c r="A6" s="5" t="s">
        <v>4</v>
      </c>
      <c r="B6" s="2" t="s">
        <v>56</v>
      </c>
      <c r="C6" s="5" t="s">
        <v>78</v>
      </c>
      <c r="D6" s="5" t="s">
        <v>58</v>
      </c>
      <c r="E6" s="2" t="n">
        <f aca="false">COUNTIFS(逐對結果!$A$2:$A$1951,$A6,逐對結果!$D$2:$D$1951,$C6,逐對結果!$E$2:$E$1951,$D6)</f>
        <v>150</v>
      </c>
      <c r="F6" s="2" t="n">
        <f aca="false">COUNTIFS(逐對結果!$A$2:$A$1951,$A6,逐對結果!$D$2:$D$1951,$C6,逐對結果!$E$2:$E$1951,$D6,逐對結果!$J$2:$J$1951,1)</f>
        <v>113</v>
      </c>
      <c r="G6" s="8" t="n">
        <f aca="false">IF(E6=0,"",F6/E6)</f>
        <v>0.753333333333333</v>
      </c>
      <c r="H6" s="2" t="n">
        <f aca="false">COUNTIFS(逐對結果!$A$2:$A$1951,$A6,逐對結果!$D$2:$D$1951,$C6,逐對結果!$E$2:$E$1951,$D6,逐對結果!$H$2:$H$1951,1)</f>
        <v>100</v>
      </c>
      <c r="I6" s="2" t="n">
        <f aca="false">COUNTIFS(逐對結果!$A$2:$A$1951,$A6,逐對結果!$D$2:$D$1951,$C6,逐對結果!$E$2:$E$1951,$D6,逐對結果!$H$2:$H$1951,1,逐對結果!$J$2:$J$1951,1)</f>
        <v>86</v>
      </c>
      <c r="J6" s="8" t="n">
        <f aca="false">IF(H6=0,"",I6/H6)</f>
        <v>0.86</v>
      </c>
      <c r="K6" s="7" t="n">
        <v>0.08179517562</v>
      </c>
      <c r="L6" s="7" t="n">
        <v>1.82878222991269</v>
      </c>
      <c r="M6" s="2" t="s">
        <v>179</v>
      </c>
      <c r="N6" s="7" t="n">
        <v>2.3491565</v>
      </c>
    </row>
    <row r="7" customFormat="false" ht="15" hidden="false" customHeight="false" outlineLevel="0" collapsed="false">
      <c r="A7" s="5" t="s">
        <v>4</v>
      </c>
      <c r="B7" s="2" t="s">
        <v>56</v>
      </c>
      <c r="C7" s="5" t="s">
        <v>78</v>
      </c>
      <c r="D7" s="5" t="s">
        <v>62</v>
      </c>
      <c r="E7" s="2" t="n">
        <f aca="false">COUNTIFS(逐對結果!$A$2:$A$1951,$A7,逐對結果!$D$2:$D$1951,$C7,逐對結果!$E$2:$E$1951,$D7)</f>
        <v>150</v>
      </c>
      <c r="F7" s="2" t="n">
        <f aca="false">COUNTIFS(逐對結果!$A$2:$A$1951,$A7,逐對結果!$D$2:$D$1951,$C7,逐對結果!$E$2:$E$1951,$D7,逐對結果!$J$2:$J$1951,1)</f>
        <v>115</v>
      </c>
      <c r="G7" s="8" t="n">
        <f aca="false">IF(E7=0,"",F7/E7)</f>
        <v>0.766666666666667</v>
      </c>
      <c r="H7" s="2" t="n">
        <f aca="false">COUNTIFS(逐對結果!$A$2:$A$1951,$A7,逐對結果!$D$2:$D$1951,$C7,逐對結果!$E$2:$E$1951,$D7,逐對結果!$H$2:$H$1951,1)</f>
        <v>100</v>
      </c>
      <c r="I7" s="2" t="n">
        <f aca="false">COUNTIFS(逐對結果!$A$2:$A$1951,$A7,逐對結果!$D$2:$D$1951,$C7,逐對結果!$E$2:$E$1951,$D7,逐對結果!$H$2:$H$1951,1,逐對結果!$J$2:$J$1951,1)</f>
        <v>88</v>
      </c>
      <c r="J7" s="8" t="n">
        <f aca="false">IF(H7=0,"",I7/H7)</f>
        <v>0.88</v>
      </c>
      <c r="K7" s="7" t="n">
        <v>0.07741410109</v>
      </c>
      <c r="L7" s="7" t="n">
        <v>1.84089350286454</v>
      </c>
      <c r="M7" s="2" t="s">
        <v>179</v>
      </c>
      <c r="N7" s="7" t="n">
        <v>2.569853</v>
      </c>
    </row>
    <row r="8" customFormat="false" ht="15" hidden="false" customHeight="false" outlineLevel="0" collapsed="false">
      <c r="A8" s="5" t="s">
        <v>4</v>
      </c>
      <c r="B8" s="2" t="s">
        <v>56</v>
      </c>
      <c r="C8" s="5" t="s">
        <v>80</v>
      </c>
      <c r="D8" s="5" t="s">
        <v>58</v>
      </c>
      <c r="E8" s="2" t="n">
        <f aca="false">COUNTIFS(逐對結果!$A$2:$A$1951,$A8,逐對結果!$D$2:$D$1951,$C8,逐對結果!$E$2:$E$1951,$D8)</f>
        <v>150</v>
      </c>
      <c r="F8" s="2" t="n">
        <f aca="false">COUNTIFS(逐對結果!$A$2:$A$1951,$A8,逐對結果!$D$2:$D$1951,$C8,逐對結果!$E$2:$E$1951,$D8,逐對結果!$J$2:$J$1951,1)</f>
        <v>131</v>
      </c>
      <c r="G8" s="8" t="n">
        <f aca="false">IF(E8=0,"",F8/E8)</f>
        <v>0.873333333333333</v>
      </c>
      <c r="H8" s="2" t="n">
        <f aca="false">COUNTIFS(逐對結果!$A$2:$A$1951,$A8,逐對結果!$D$2:$D$1951,$C8,逐對結果!$E$2:$E$1951,$D8,逐對結果!$H$2:$H$1951,1)</f>
        <v>100</v>
      </c>
      <c r="I8" s="2" t="n">
        <f aca="false">COUNTIFS(逐對結果!$A$2:$A$1951,$A8,逐對結果!$D$2:$D$1951,$C8,逐對結果!$E$2:$E$1951,$D8,逐對結果!$H$2:$H$1951,1,逐對結果!$J$2:$J$1951,1)</f>
        <v>96</v>
      </c>
      <c r="J8" s="8" t="n">
        <f aca="false">IF(H8=0,"",I8/H8)</f>
        <v>0.96</v>
      </c>
      <c r="K8" s="7" t="n">
        <v>0.07179260532</v>
      </c>
      <c r="L8" s="7" t="n">
        <v>0.994428926011753</v>
      </c>
      <c r="M8" s="2" t="s">
        <v>179</v>
      </c>
      <c r="N8" s="7" t="n">
        <v>2.4882075</v>
      </c>
    </row>
    <row r="9" customFormat="false" ht="15" hidden="false" customHeight="false" outlineLevel="0" collapsed="false">
      <c r="A9" s="5" t="s">
        <v>4</v>
      </c>
      <c r="B9" s="2" t="s">
        <v>56</v>
      </c>
      <c r="C9" s="5" t="s">
        <v>80</v>
      </c>
      <c r="D9" s="5" t="s">
        <v>62</v>
      </c>
      <c r="E9" s="2" t="n">
        <f aca="false">COUNTIFS(逐對結果!$A$2:$A$1951,$A9,逐對結果!$D$2:$D$1951,$C9,逐對結果!$E$2:$E$1951,$D9)</f>
        <v>150</v>
      </c>
      <c r="F9" s="2" t="n">
        <f aca="false">COUNTIFS(逐對結果!$A$2:$A$1951,$A9,逐對結果!$D$2:$D$1951,$C9,逐對結果!$E$2:$E$1951,$D9,逐對結果!$J$2:$J$1951,1)</f>
        <v>130</v>
      </c>
      <c r="G9" s="8" t="n">
        <f aca="false">IF(E9=0,"",F9/E9)</f>
        <v>0.866666666666667</v>
      </c>
      <c r="H9" s="2" t="n">
        <f aca="false">COUNTIFS(逐對結果!$A$2:$A$1951,$A9,逐對結果!$D$2:$D$1951,$C9,逐對結果!$E$2:$E$1951,$D9,逐對結果!$H$2:$H$1951,1)</f>
        <v>100</v>
      </c>
      <c r="I9" s="2" t="n">
        <f aca="false">COUNTIFS(逐對結果!$A$2:$A$1951,$A9,逐對結果!$D$2:$D$1951,$C9,逐對結果!$E$2:$E$1951,$D9,逐對結果!$H$2:$H$1951,1,逐對結果!$J$2:$J$1951,1)</f>
        <v>95</v>
      </c>
      <c r="J9" s="8" t="n">
        <f aca="false">IF(H9=0,"",I9/H9)</f>
        <v>0.95</v>
      </c>
      <c r="K9" s="7" t="n">
        <v>0.06557428382</v>
      </c>
      <c r="L9" s="7" t="n">
        <v>0.942809041582063</v>
      </c>
      <c r="M9" s="2" t="s">
        <v>179</v>
      </c>
      <c r="N9" s="7" t="n">
        <v>2.896751</v>
      </c>
    </row>
    <row r="10" customFormat="false" ht="15" hidden="false" customHeight="false" outlineLevel="0" collapsed="false">
      <c r="A10" s="5" t="s">
        <v>4</v>
      </c>
      <c r="B10" s="2" t="s">
        <v>56</v>
      </c>
      <c r="C10" s="5" t="s">
        <v>81</v>
      </c>
      <c r="D10" s="5" t="s">
        <v>58</v>
      </c>
      <c r="E10" s="2" t="n">
        <f aca="false">COUNTIFS(逐對結果!$A$2:$A$1951,$A10,逐對結果!$D$2:$D$1951,$C10,逐對結果!$E$2:$E$1951,$D10)</f>
        <v>150</v>
      </c>
      <c r="F10" s="2" t="n">
        <f aca="false">COUNTIFS(逐對結果!$A$2:$A$1951,$A10,逐對結果!$D$2:$D$1951,$C10,逐對結果!$E$2:$E$1951,$D10,逐對結果!$J$2:$J$1951,1)</f>
        <v>117</v>
      </c>
      <c r="G10" s="8" t="n">
        <f aca="false">IF(E10=0,"",F10/E10)</f>
        <v>0.78</v>
      </c>
      <c r="H10" s="2" t="n">
        <f aca="false">COUNTIFS(逐對結果!$A$2:$A$1951,$A10,逐對結果!$D$2:$D$1951,$C10,逐對結果!$E$2:$E$1951,$D10,逐對結果!$H$2:$H$1951,1)</f>
        <v>100</v>
      </c>
      <c r="I10" s="2" t="n">
        <f aca="false">COUNTIFS(逐對結果!$A$2:$A$1951,$A10,逐對結果!$D$2:$D$1951,$C10,逐對結果!$E$2:$E$1951,$D10,逐對結果!$H$2:$H$1951,1,逐對結果!$J$2:$J$1951,1)</f>
        <v>89</v>
      </c>
      <c r="J10" s="8" t="n">
        <f aca="false">IF(H10=0,"",I10/H10)</f>
        <v>0.89</v>
      </c>
      <c r="K10" s="7" t="n">
        <v>0.07432674774</v>
      </c>
      <c r="L10" s="7" t="n">
        <v>1.25166555703457</v>
      </c>
      <c r="M10" s="2" t="s">
        <v>179</v>
      </c>
      <c r="N10" s="7" t="n">
        <v>2.1896205</v>
      </c>
    </row>
    <row r="11" customFormat="false" ht="15" hidden="false" customHeight="false" outlineLevel="0" collapsed="false">
      <c r="A11" s="5" t="s">
        <v>4</v>
      </c>
      <c r="B11" s="2" t="s">
        <v>56</v>
      </c>
      <c r="C11" s="5" t="s">
        <v>81</v>
      </c>
      <c r="D11" s="5" t="s">
        <v>62</v>
      </c>
      <c r="E11" s="2" t="n">
        <f aca="false">COUNTIFS(逐對結果!$A$2:$A$1951,$A11,逐對結果!$D$2:$D$1951,$C11,逐對結果!$E$2:$E$1951,$D11)</f>
        <v>150</v>
      </c>
      <c r="F11" s="2" t="n">
        <f aca="false">COUNTIFS(逐對結果!$A$2:$A$1951,$A11,逐對結果!$D$2:$D$1951,$C11,逐對結果!$E$2:$E$1951,$D11,逐對結果!$J$2:$J$1951,1)</f>
        <v>122</v>
      </c>
      <c r="G11" s="8" t="n">
        <f aca="false">IF(E11=0,"",F11/E11)</f>
        <v>0.813333333333333</v>
      </c>
      <c r="H11" s="2" t="n">
        <f aca="false">COUNTIFS(逐對結果!$A$2:$A$1951,$A11,逐對結果!$D$2:$D$1951,$C11,逐對結果!$E$2:$E$1951,$D11,逐對結果!$H$2:$H$1951,1)</f>
        <v>100</v>
      </c>
      <c r="I11" s="2" t="n">
        <f aca="false">COUNTIFS(逐對結果!$A$2:$A$1951,$A11,逐對結果!$D$2:$D$1951,$C11,逐對結果!$E$2:$E$1951,$D11,逐對結果!$H$2:$H$1951,1,逐對結果!$J$2:$J$1951,1)</f>
        <v>93</v>
      </c>
      <c r="J11" s="8" t="n">
        <f aca="false">IF(H11=0,"",I11/H11)</f>
        <v>0.93</v>
      </c>
      <c r="K11" s="7" t="n">
        <v>0.075780952055</v>
      </c>
      <c r="L11" s="7" t="n">
        <v>0.918936583472682</v>
      </c>
      <c r="M11" s="2" t="s">
        <v>179</v>
      </c>
      <c r="N11" s="7" t="n">
        <v>2.424939</v>
      </c>
    </row>
    <row r="12" customFormat="false" ht="15" hidden="false" customHeight="false" outlineLevel="0" collapsed="false">
      <c r="A12" s="5" t="s">
        <v>4</v>
      </c>
      <c r="B12" s="2" t="s">
        <v>56</v>
      </c>
      <c r="C12" s="5" t="s">
        <v>83</v>
      </c>
      <c r="D12" s="5" t="s">
        <v>58</v>
      </c>
      <c r="E12" s="2" t="n">
        <f aca="false">COUNTIFS(逐對結果!$A$2:$A$1951,$A12,逐對結果!$D$2:$D$1951,$C12,逐對結果!$E$2:$E$1951,$D12)</f>
        <v>150</v>
      </c>
      <c r="F12" s="2" t="n">
        <f aca="false">COUNTIFS(逐對結果!$A$2:$A$1951,$A12,逐對結果!$D$2:$D$1951,$C12,逐對結果!$E$2:$E$1951,$D12,逐對結果!$J$2:$J$1951,1)</f>
        <v>138</v>
      </c>
      <c r="G12" s="8" t="n">
        <f aca="false">IF(E12=0,"",F12/E12)</f>
        <v>0.92</v>
      </c>
      <c r="H12" s="2" t="n">
        <f aca="false">COUNTIFS(逐對結果!$A$2:$A$1951,$A12,逐對結果!$D$2:$D$1951,$C12,逐對結果!$E$2:$E$1951,$D12,逐對結果!$H$2:$H$1951,1)</f>
        <v>100</v>
      </c>
      <c r="I12" s="2" t="n">
        <f aca="false">COUNTIFS(逐對結果!$A$2:$A$1951,$A12,逐對結果!$D$2:$D$1951,$C12,逐對結果!$E$2:$E$1951,$D12,逐對結果!$H$2:$H$1951,1,逐對結果!$J$2:$J$1951,1)</f>
        <v>97</v>
      </c>
      <c r="J12" s="8" t="n">
        <f aca="false">IF(H12=0,"",I12/H12)</f>
        <v>0.97</v>
      </c>
      <c r="K12" s="7" t="n">
        <v>0.07491123655</v>
      </c>
      <c r="L12" s="7" t="n">
        <v>0.788810637746615</v>
      </c>
      <c r="M12" s="2" t="s">
        <v>179</v>
      </c>
      <c r="N12" s="7" t="n">
        <v>2.346764</v>
      </c>
    </row>
    <row r="13" customFormat="false" ht="15" hidden="false" customHeight="false" outlineLevel="0" collapsed="false">
      <c r="A13" s="5" t="s">
        <v>4</v>
      </c>
      <c r="B13" s="2" t="s">
        <v>56</v>
      </c>
      <c r="C13" s="5" t="s">
        <v>83</v>
      </c>
      <c r="D13" s="5" t="s">
        <v>62</v>
      </c>
      <c r="E13" s="2" t="n">
        <f aca="false">COUNTIFS(逐對結果!$A$2:$A$1951,$A13,逐對結果!$D$2:$D$1951,$C13,逐對結果!$E$2:$E$1951,$D13)</f>
        <v>150</v>
      </c>
      <c r="F13" s="2" t="n">
        <f aca="false">COUNTIFS(逐對結果!$A$2:$A$1951,$A13,逐對結果!$D$2:$D$1951,$C13,逐對結果!$E$2:$E$1951,$D13,逐對結果!$J$2:$J$1951,1)</f>
        <v>141</v>
      </c>
      <c r="G13" s="8" t="n">
        <f aca="false">IF(E13=0,"",F13/E13)</f>
        <v>0.94</v>
      </c>
      <c r="H13" s="2" t="n">
        <f aca="false">COUNTIFS(逐對結果!$A$2:$A$1951,$A13,逐對結果!$D$2:$D$1951,$C13,逐對結果!$E$2:$E$1951,$D13,逐對結果!$H$2:$H$1951,1)</f>
        <v>100</v>
      </c>
      <c r="I13" s="2" t="n">
        <f aca="false">COUNTIFS(逐對結果!$A$2:$A$1951,$A13,逐對結果!$D$2:$D$1951,$C13,逐對結果!$E$2:$E$1951,$D13,逐對結果!$H$2:$H$1951,1,逐對結果!$J$2:$J$1951,1)</f>
        <v>98</v>
      </c>
      <c r="J13" s="8" t="n">
        <f aca="false">IF(H13=0,"",I13/H13)</f>
        <v>0.98</v>
      </c>
      <c r="K13" s="7" t="n">
        <v>0.06819922257</v>
      </c>
      <c r="L13" s="7" t="n">
        <v>0.567646212197547</v>
      </c>
      <c r="M13" s="2" t="s">
        <v>179</v>
      </c>
      <c r="N13" s="7" t="n">
        <v>2.775542</v>
      </c>
    </row>
    <row r="14" customFormat="false" ht="15" hidden="false" customHeight="false" outlineLevel="0" collapsed="false">
      <c r="A14" s="5" t="s">
        <v>4</v>
      </c>
      <c r="B14" s="2" t="s">
        <v>84</v>
      </c>
      <c r="C14" s="5" t="s">
        <v>85</v>
      </c>
      <c r="D14" s="5" t="s">
        <v>85</v>
      </c>
      <c r="E14" s="2" t="n">
        <f aca="false">COUNTIFS(逐對結果!$A$2:$A$1951,$A14,逐對結果!$D$2:$D$1951,$C14,逐對結果!$E$2:$E$1951,$D14)</f>
        <v>150</v>
      </c>
      <c r="F14" s="2" t="n">
        <f aca="false">COUNTIFS(逐對結果!$A$2:$A$1951,$A14,逐對結果!$D$2:$D$1951,$C14,逐對結果!$E$2:$E$1951,$D14,逐對結果!$J$2:$J$1951,1)</f>
        <v>150</v>
      </c>
      <c r="G14" s="8" t="n">
        <f aca="false">IF(E14=0,"",F14/E14)</f>
        <v>1</v>
      </c>
      <c r="H14" s="2" t="n">
        <f aca="false">COUNTIFS(逐對結果!$A$2:$A$1951,$A14,逐對結果!$D$2:$D$1951,$C14,逐對結果!$E$2:$E$1951,$D14,逐對結果!$H$2:$H$1951,1)</f>
        <v>100</v>
      </c>
      <c r="I14" s="2" t="n">
        <f aca="false">COUNTIFS(逐對結果!$A$2:$A$1951,$A14,逐對結果!$D$2:$D$1951,$C14,逐對結果!$E$2:$E$1951,$D14,逐對結果!$H$2:$H$1951,1,逐對結果!$J$2:$J$1951,1)</f>
        <v>100</v>
      </c>
      <c r="J14" s="8" t="n">
        <f aca="false">IF(H14=0,"",I14/H14)</f>
        <v>1</v>
      </c>
      <c r="K14" s="7" t="n">
        <v>0.0718790949272575</v>
      </c>
      <c r="L14" s="7" t="n">
        <v>0</v>
      </c>
      <c r="M14" s="2" t="s">
        <v>179</v>
      </c>
      <c r="N14" s="2"/>
    </row>
  </sheetData>
  <autoFilter ref="A1:N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7" min="5" style="0" width="14"/>
  </cols>
  <sheetData>
    <row r="1" customFormat="false" ht="31.5" hidden="false" customHeight="true" outlineLevel="0" collapsed="false">
      <c r="A1" s="1" t="s">
        <v>35</v>
      </c>
      <c r="B1" s="1" t="s">
        <v>38</v>
      </c>
      <c r="C1" s="6" t="s">
        <v>39</v>
      </c>
      <c r="D1" s="6" t="s">
        <v>40</v>
      </c>
      <c r="E1" s="1" t="s">
        <v>169</v>
      </c>
      <c r="F1" s="1" t="s">
        <v>170</v>
      </c>
      <c r="G1" s="1" t="s">
        <v>171</v>
      </c>
    </row>
    <row r="2" customFormat="false" ht="15" hidden="false" customHeight="false" outlineLevel="0" collapsed="false">
      <c r="A2" s="5" t="s">
        <v>4</v>
      </c>
      <c r="B2" s="5" t="s">
        <v>57</v>
      </c>
      <c r="C2" s="5" t="s">
        <v>58</v>
      </c>
      <c r="D2" s="2" t="n">
        <v>11</v>
      </c>
      <c r="E2" s="2" t="n">
        <v>15</v>
      </c>
      <c r="F2" s="2" t="n">
        <v>11</v>
      </c>
      <c r="G2" s="8" t="n">
        <v>0.733333333333333</v>
      </c>
    </row>
    <row r="3" customFormat="false" ht="15" hidden="false" customHeight="false" outlineLevel="0" collapsed="false">
      <c r="A3" s="5" t="s">
        <v>4</v>
      </c>
      <c r="B3" s="5" t="s">
        <v>57</v>
      </c>
      <c r="C3" s="5" t="s">
        <v>58</v>
      </c>
      <c r="D3" s="2" t="n">
        <v>12</v>
      </c>
      <c r="E3" s="2" t="n">
        <v>15</v>
      </c>
      <c r="F3" s="2" t="n">
        <v>13</v>
      </c>
      <c r="G3" s="8" t="n">
        <v>0.866666666666667</v>
      </c>
    </row>
    <row r="4" customFormat="false" ht="15" hidden="false" customHeight="false" outlineLevel="0" collapsed="false">
      <c r="A4" s="5" t="s">
        <v>4</v>
      </c>
      <c r="B4" s="5" t="s">
        <v>57</v>
      </c>
      <c r="C4" s="5" t="s">
        <v>58</v>
      </c>
      <c r="D4" s="2" t="n">
        <v>13</v>
      </c>
      <c r="E4" s="2" t="n">
        <v>15</v>
      </c>
      <c r="F4" s="2" t="n">
        <v>10</v>
      </c>
      <c r="G4" s="8" t="n">
        <v>0.666666666666667</v>
      </c>
    </row>
    <row r="5" customFormat="false" ht="15" hidden="false" customHeight="false" outlineLevel="0" collapsed="false">
      <c r="A5" s="5" t="s">
        <v>4</v>
      </c>
      <c r="B5" s="5" t="s">
        <v>57</v>
      </c>
      <c r="C5" s="5" t="s">
        <v>58</v>
      </c>
      <c r="D5" s="2" t="n">
        <v>14</v>
      </c>
      <c r="E5" s="2" t="n">
        <v>15</v>
      </c>
      <c r="F5" s="2" t="n">
        <v>9</v>
      </c>
      <c r="G5" s="8" t="n">
        <v>0.6</v>
      </c>
    </row>
    <row r="6" customFormat="false" ht="15" hidden="false" customHeight="false" outlineLevel="0" collapsed="false">
      <c r="A6" s="5" t="s">
        <v>4</v>
      </c>
      <c r="B6" s="5" t="s">
        <v>57</v>
      </c>
      <c r="C6" s="5" t="s">
        <v>58</v>
      </c>
      <c r="D6" s="2" t="n">
        <v>15</v>
      </c>
      <c r="E6" s="2" t="n">
        <v>15</v>
      </c>
      <c r="F6" s="2" t="n">
        <v>14</v>
      </c>
      <c r="G6" s="8" t="n">
        <v>0.933333333333333</v>
      </c>
    </row>
    <row r="7" customFormat="false" ht="15" hidden="false" customHeight="false" outlineLevel="0" collapsed="false">
      <c r="A7" s="5" t="s">
        <v>4</v>
      </c>
      <c r="B7" s="5" t="s">
        <v>57</v>
      </c>
      <c r="C7" s="5" t="s">
        <v>58</v>
      </c>
      <c r="D7" s="2" t="n">
        <v>16</v>
      </c>
      <c r="E7" s="2" t="n">
        <v>15</v>
      </c>
      <c r="F7" s="2" t="n">
        <v>13</v>
      </c>
      <c r="G7" s="8" t="n">
        <v>0.866666666666667</v>
      </c>
    </row>
    <row r="8" customFormat="false" ht="15" hidden="false" customHeight="false" outlineLevel="0" collapsed="false">
      <c r="A8" s="5" t="s">
        <v>4</v>
      </c>
      <c r="B8" s="5" t="s">
        <v>57</v>
      </c>
      <c r="C8" s="5" t="s">
        <v>58</v>
      </c>
      <c r="D8" s="2" t="n">
        <v>17</v>
      </c>
      <c r="E8" s="2" t="n">
        <v>15</v>
      </c>
      <c r="F8" s="2" t="n">
        <v>11</v>
      </c>
      <c r="G8" s="8" t="n">
        <v>0.733333333333333</v>
      </c>
    </row>
    <row r="9" customFormat="false" ht="15" hidden="false" customHeight="false" outlineLevel="0" collapsed="false">
      <c r="A9" s="5" t="s">
        <v>4</v>
      </c>
      <c r="B9" s="5" t="s">
        <v>57</v>
      </c>
      <c r="C9" s="5" t="s">
        <v>58</v>
      </c>
      <c r="D9" s="2" t="n">
        <v>18</v>
      </c>
      <c r="E9" s="2" t="n">
        <v>15</v>
      </c>
      <c r="F9" s="2" t="n">
        <v>13</v>
      </c>
      <c r="G9" s="8" t="n">
        <v>0.866666666666667</v>
      </c>
    </row>
    <row r="10" customFormat="false" ht="15" hidden="false" customHeight="false" outlineLevel="0" collapsed="false">
      <c r="A10" s="5" t="s">
        <v>4</v>
      </c>
      <c r="B10" s="5" t="s">
        <v>57</v>
      </c>
      <c r="C10" s="5" t="s">
        <v>58</v>
      </c>
      <c r="D10" s="2" t="n">
        <v>19</v>
      </c>
      <c r="E10" s="2" t="n">
        <v>15</v>
      </c>
      <c r="F10" s="2" t="n">
        <v>13</v>
      </c>
      <c r="G10" s="8" t="n">
        <v>0.866666666666667</v>
      </c>
    </row>
    <row r="11" customFormat="false" ht="15" hidden="false" customHeight="false" outlineLevel="0" collapsed="false">
      <c r="A11" s="5" t="s">
        <v>4</v>
      </c>
      <c r="B11" s="5" t="s">
        <v>57</v>
      </c>
      <c r="C11" s="5" t="s">
        <v>58</v>
      </c>
      <c r="D11" s="2" t="n">
        <v>20</v>
      </c>
      <c r="E11" s="2" t="n">
        <v>15</v>
      </c>
      <c r="F11" s="2" t="n">
        <v>11</v>
      </c>
      <c r="G11" s="8" t="n">
        <v>0.733333333333333</v>
      </c>
    </row>
    <row r="12" customFormat="false" ht="15" hidden="false" customHeight="false" outlineLevel="0" collapsed="false">
      <c r="A12" s="5" t="s">
        <v>4</v>
      </c>
      <c r="B12" s="5" t="s">
        <v>57</v>
      </c>
      <c r="C12" s="5" t="s">
        <v>62</v>
      </c>
      <c r="D12" s="2" t="n">
        <v>11</v>
      </c>
      <c r="E12" s="2" t="n">
        <v>15</v>
      </c>
      <c r="F12" s="2" t="n">
        <v>13</v>
      </c>
      <c r="G12" s="8" t="n">
        <v>0.866666666666667</v>
      </c>
    </row>
    <row r="13" customFormat="false" ht="15" hidden="false" customHeight="false" outlineLevel="0" collapsed="false">
      <c r="A13" s="5" t="s">
        <v>4</v>
      </c>
      <c r="B13" s="5" t="s">
        <v>57</v>
      </c>
      <c r="C13" s="5" t="s">
        <v>62</v>
      </c>
      <c r="D13" s="2" t="n">
        <v>12</v>
      </c>
      <c r="E13" s="2" t="n">
        <v>15</v>
      </c>
      <c r="F13" s="2" t="n">
        <v>13</v>
      </c>
      <c r="G13" s="8" t="n">
        <v>0.866666666666667</v>
      </c>
    </row>
    <row r="14" customFormat="false" ht="15" hidden="false" customHeight="false" outlineLevel="0" collapsed="false">
      <c r="A14" s="5" t="s">
        <v>4</v>
      </c>
      <c r="B14" s="5" t="s">
        <v>57</v>
      </c>
      <c r="C14" s="5" t="s">
        <v>62</v>
      </c>
      <c r="D14" s="2" t="n">
        <v>13</v>
      </c>
      <c r="E14" s="2" t="n">
        <v>15</v>
      </c>
      <c r="F14" s="2" t="n">
        <v>10</v>
      </c>
      <c r="G14" s="8" t="n">
        <v>0.666666666666667</v>
      </c>
    </row>
    <row r="15" customFormat="false" ht="15" hidden="false" customHeight="false" outlineLevel="0" collapsed="false">
      <c r="A15" s="5" t="s">
        <v>4</v>
      </c>
      <c r="B15" s="5" t="s">
        <v>57</v>
      </c>
      <c r="C15" s="5" t="s">
        <v>62</v>
      </c>
      <c r="D15" s="2" t="n">
        <v>14</v>
      </c>
      <c r="E15" s="2" t="n">
        <v>15</v>
      </c>
      <c r="F15" s="2" t="n">
        <v>10</v>
      </c>
      <c r="G15" s="8" t="n">
        <v>0.666666666666667</v>
      </c>
    </row>
    <row r="16" customFormat="false" ht="15" hidden="false" customHeight="false" outlineLevel="0" collapsed="false">
      <c r="A16" s="5" t="s">
        <v>4</v>
      </c>
      <c r="B16" s="5" t="s">
        <v>57</v>
      </c>
      <c r="C16" s="5" t="s">
        <v>62</v>
      </c>
      <c r="D16" s="2" t="n">
        <v>15</v>
      </c>
      <c r="E16" s="2" t="n">
        <v>15</v>
      </c>
      <c r="F16" s="2" t="n">
        <v>14</v>
      </c>
      <c r="G16" s="8" t="n">
        <v>0.933333333333333</v>
      </c>
    </row>
    <row r="17" customFormat="false" ht="15" hidden="false" customHeight="false" outlineLevel="0" collapsed="false">
      <c r="A17" s="5" t="s">
        <v>4</v>
      </c>
      <c r="B17" s="5" t="s">
        <v>57</v>
      </c>
      <c r="C17" s="5" t="s">
        <v>62</v>
      </c>
      <c r="D17" s="2" t="n">
        <v>16</v>
      </c>
      <c r="E17" s="2" t="n">
        <v>15</v>
      </c>
      <c r="F17" s="2" t="n">
        <v>13</v>
      </c>
      <c r="G17" s="8" t="n">
        <v>0.866666666666667</v>
      </c>
    </row>
    <row r="18" customFormat="false" ht="15" hidden="false" customHeight="false" outlineLevel="0" collapsed="false">
      <c r="A18" s="5" t="s">
        <v>4</v>
      </c>
      <c r="B18" s="5" t="s">
        <v>57</v>
      </c>
      <c r="C18" s="5" t="s">
        <v>62</v>
      </c>
      <c r="D18" s="2" t="n">
        <v>17</v>
      </c>
      <c r="E18" s="2" t="n">
        <v>15</v>
      </c>
      <c r="F18" s="2" t="n">
        <v>11</v>
      </c>
      <c r="G18" s="8" t="n">
        <v>0.733333333333333</v>
      </c>
    </row>
    <row r="19" customFormat="false" ht="15" hidden="false" customHeight="false" outlineLevel="0" collapsed="false">
      <c r="A19" s="5" t="s">
        <v>4</v>
      </c>
      <c r="B19" s="5" t="s">
        <v>57</v>
      </c>
      <c r="C19" s="5" t="s">
        <v>62</v>
      </c>
      <c r="D19" s="2" t="n">
        <v>18</v>
      </c>
      <c r="E19" s="2" t="n">
        <v>15</v>
      </c>
      <c r="F19" s="2" t="n">
        <v>13</v>
      </c>
      <c r="G19" s="8" t="n">
        <v>0.866666666666667</v>
      </c>
    </row>
    <row r="20" customFormat="false" ht="15" hidden="false" customHeight="false" outlineLevel="0" collapsed="false">
      <c r="A20" s="5" t="s">
        <v>4</v>
      </c>
      <c r="B20" s="5" t="s">
        <v>57</v>
      </c>
      <c r="C20" s="5" t="s">
        <v>62</v>
      </c>
      <c r="D20" s="2" t="n">
        <v>19</v>
      </c>
      <c r="E20" s="2" t="n">
        <v>15</v>
      </c>
      <c r="F20" s="2" t="n">
        <v>14</v>
      </c>
      <c r="G20" s="8" t="n">
        <v>0.933333333333333</v>
      </c>
    </row>
    <row r="21" customFormat="false" ht="15" hidden="false" customHeight="false" outlineLevel="0" collapsed="false">
      <c r="A21" s="5" t="s">
        <v>4</v>
      </c>
      <c r="B21" s="5" t="s">
        <v>57</v>
      </c>
      <c r="C21" s="5" t="s">
        <v>62</v>
      </c>
      <c r="D21" s="2" t="n">
        <v>20</v>
      </c>
      <c r="E21" s="2" t="n">
        <v>15</v>
      </c>
      <c r="F21" s="2" t="n">
        <v>12</v>
      </c>
      <c r="G21" s="8" t="n">
        <v>0.8</v>
      </c>
    </row>
    <row r="22" customFormat="false" ht="15" hidden="false" customHeight="false" outlineLevel="0" collapsed="false">
      <c r="A22" s="5" t="s">
        <v>4</v>
      </c>
      <c r="B22" s="5" t="s">
        <v>77</v>
      </c>
      <c r="C22" s="5" t="s">
        <v>58</v>
      </c>
      <c r="D22" s="2" t="n">
        <v>11</v>
      </c>
      <c r="E22" s="2" t="n">
        <v>15</v>
      </c>
      <c r="F22" s="2" t="n">
        <v>12</v>
      </c>
      <c r="G22" s="8" t="n">
        <v>0.8</v>
      </c>
    </row>
    <row r="23" customFormat="false" ht="15" hidden="false" customHeight="false" outlineLevel="0" collapsed="false">
      <c r="A23" s="5" t="s">
        <v>4</v>
      </c>
      <c r="B23" s="5" t="s">
        <v>77</v>
      </c>
      <c r="C23" s="5" t="s">
        <v>58</v>
      </c>
      <c r="D23" s="2" t="n">
        <v>12</v>
      </c>
      <c r="E23" s="2" t="n">
        <v>15</v>
      </c>
      <c r="F23" s="2" t="n">
        <v>13</v>
      </c>
      <c r="G23" s="8" t="n">
        <v>0.866666666666667</v>
      </c>
    </row>
    <row r="24" customFormat="false" ht="15" hidden="false" customHeight="false" outlineLevel="0" collapsed="false">
      <c r="A24" s="5" t="s">
        <v>4</v>
      </c>
      <c r="B24" s="5" t="s">
        <v>77</v>
      </c>
      <c r="C24" s="5" t="s">
        <v>58</v>
      </c>
      <c r="D24" s="2" t="n">
        <v>13</v>
      </c>
      <c r="E24" s="2" t="n">
        <v>15</v>
      </c>
      <c r="F24" s="2" t="n">
        <v>15</v>
      </c>
      <c r="G24" s="8" t="n">
        <v>1</v>
      </c>
    </row>
    <row r="25" customFormat="false" ht="15" hidden="false" customHeight="false" outlineLevel="0" collapsed="false">
      <c r="A25" s="5" t="s">
        <v>4</v>
      </c>
      <c r="B25" s="5" t="s">
        <v>77</v>
      </c>
      <c r="C25" s="5" t="s">
        <v>58</v>
      </c>
      <c r="D25" s="2" t="n">
        <v>14</v>
      </c>
      <c r="E25" s="2" t="n">
        <v>15</v>
      </c>
      <c r="F25" s="2" t="n">
        <v>11</v>
      </c>
      <c r="G25" s="8" t="n">
        <v>0.733333333333333</v>
      </c>
    </row>
    <row r="26" customFormat="false" ht="15" hidden="false" customHeight="false" outlineLevel="0" collapsed="false">
      <c r="A26" s="5" t="s">
        <v>4</v>
      </c>
      <c r="B26" s="5" t="s">
        <v>77</v>
      </c>
      <c r="C26" s="5" t="s">
        <v>58</v>
      </c>
      <c r="D26" s="2" t="n">
        <v>15</v>
      </c>
      <c r="E26" s="2" t="n">
        <v>15</v>
      </c>
      <c r="F26" s="2" t="n">
        <v>14</v>
      </c>
      <c r="G26" s="8" t="n">
        <v>0.933333333333333</v>
      </c>
    </row>
    <row r="27" customFormat="false" ht="15" hidden="false" customHeight="false" outlineLevel="0" collapsed="false">
      <c r="A27" s="5" t="s">
        <v>4</v>
      </c>
      <c r="B27" s="5" t="s">
        <v>77</v>
      </c>
      <c r="C27" s="5" t="s">
        <v>58</v>
      </c>
      <c r="D27" s="2" t="n">
        <v>16</v>
      </c>
      <c r="E27" s="2" t="n">
        <v>15</v>
      </c>
      <c r="F27" s="2" t="n">
        <v>14</v>
      </c>
      <c r="G27" s="8" t="n">
        <v>0.933333333333333</v>
      </c>
    </row>
    <row r="28" customFormat="false" ht="15" hidden="false" customHeight="false" outlineLevel="0" collapsed="false">
      <c r="A28" s="5" t="s">
        <v>4</v>
      </c>
      <c r="B28" s="5" t="s">
        <v>77</v>
      </c>
      <c r="C28" s="5" t="s">
        <v>58</v>
      </c>
      <c r="D28" s="2" t="n">
        <v>17</v>
      </c>
      <c r="E28" s="2" t="n">
        <v>15</v>
      </c>
      <c r="F28" s="2" t="n">
        <v>15</v>
      </c>
      <c r="G28" s="8" t="n">
        <v>1</v>
      </c>
    </row>
    <row r="29" customFormat="false" ht="15" hidden="false" customHeight="false" outlineLevel="0" collapsed="false">
      <c r="A29" s="5" t="s">
        <v>4</v>
      </c>
      <c r="B29" s="5" t="s">
        <v>77</v>
      </c>
      <c r="C29" s="5" t="s">
        <v>58</v>
      </c>
      <c r="D29" s="2" t="n">
        <v>18</v>
      </c>
      <c r="E29" s="2" t="n">
        <v>15</v>
      </c>
      <c r="F29" s="2" t="n">
        <v>14</v>
      </c>
      <c r="G29" s="8" t="n">
        <v>0.933333333333333</v>
      </c>
    </row>
    <row r="30" customFormat="false" ht="15" hidden="false" customHeight="false" outlineLevel="0" collapsed="false">
      <c r="A30" s="5" t="s">
        <v>4</v>
      </c>
      <c r="B30" s="5" t="s">
        <v>77</v>
      </c>
      <c r="C30" s="5" t="s">
        <v>58</v>
      </c>
      <c r="D30" s="2" t="n">
        <v>19</v>
      </c>
      <c r="E30" s="2" t="n">
        <v>15</v>
      </c>
      <c r="F30" s="2" t="n">
        <v>14</v>
      </c>
      <c r="G30" s="8" t="n">
        <v>0.933333333333333</v>
      </c>
    </row>
    <row r="31" customFormat="false" ht="15" hidden="false" customHeight="false" outlineLevel="0" collapsed="false">
      <c r="A31" s="5" t="s">
        <v>4</v>
      </c>
      <c r="B31" s="5" t="s">
        <v>77</v>
      </c>
      <c r="C31" s="5" t="s">
        <v>58</v>
      </c>
      <c r="D31" s="2" t="n">
        <v>20</v>
      </c>
      <c r="E31" s="2" t="n">
        <v>15</v>
      </c>
      <c r="F31" s="2" t="n">
        <v>13</v>
      </c>
      <c r="G31" s="8" t="n">
        <v>0.866666666666667</v>
      </c>
    </row>
    <row r="32" customFormat="false" ht="15" hidden="false" customHeight="false" outlineLevel="0" collapsed="false">
      <c r="A32" s="5" t="s">
        <v>4</v>
      </c>
      <c r="B32" s="5" t="s">
        <v>77</v>
      </c>
      <c r="C32" s="5" t="s">
        <v>62</v>
      </c>
      <c r="D32" s="2" t="n">
        <v>11</v>
      </c>
      <c r="E32" s="2" t="n">
        <v>15</v>
      </c>
      <c r="F32" s="2" t="n">
        <v>14</v>
      </c>
      <c r="G32" s="8" t="n">
        <v>0.933333333333333</v>
      </c>
    </row>
    <row r="33" customFormat="false" ht="15" hidden="false" customHeight="false" outlineLevel="0" collapsed="false">
      <c r="A33" s="5" t="s">
        <v>4</v>
      </c>
      <c r="B33" s="5" t="s">
        <v>77</v>
      </c>
      <c r="C33" s="5" t="s">
        <v>62</v>
      </c>
      <c r="D33" s="2" t="n">
        <v>12</v>
      </c>
      <c r="E33" s="2" t="n">
        <v>15</v>
      </c>
      <c r="F33" s="2" t="n">
        <v>14</v>
      </c>
      <c r="G33" s="8" t="n">
        <v>0.933333333333333</v>
      </c>
    </row>
    <row r="34" customFormat="false" ht="15" hidden="false" customHeight="false" outlineLevel="0" collapsed="false">
      <c r="A34" s="5" t="s">
        <v>4</v>
      </c>
      <c r="B34" s="5" t="s">
        <v>77</v>
      </c>
      <c r="C34" s="5" t="s">
        <v>62</v>
      </c>
      <c r="D34" s="2" t="n">
        <v>13</v>
      </c>
      <c r="E34" s="2" t="n">
        <v>15</v>
      </c>
      <c r="F34" s="2" t="n">
        <v>15</v>
      </c>
      <c r="G34" s="8" t="n">
        <v>1</v>
      </c>
    </row>
    <row r="35" customFormat="false" ht="15" hidden="false" customHeight="false" outlineLevel="0" collapsed="false">
      <c r="A35" s="5" t="s">
        <v>4</v>
      </c>
      <c r="B35" s="5" t="s">
        <v>77</v>
      </c>
      <c r="C35" s="5" t="s">
        <v>62</v>
      </c>
      <c r="D35" s="2" t="n">
        <v>14</v>
      </c>
      <c r="E35" s="2" t="n">
        <v>15</v>
      </c>
      <c r="F35" s="2" t="n">
        <v>13</v>
      </c>
      <c r="G35" s="8" t="n">
        <v>0.866666666666667</v>
      </c>
    </row>
    <row r="36" customFormat="false" ht="15" hidden="false" customHeight="false" outlineLevel="0" collapsed="false">
      <c r="A36" s="5" t="s">
        <v>4</v>
      </c>
      <c r="B36" s="5" t="s">
        <v>77</v>
      </c>
      <c r="C36" s="5" t="s">
        <v>62</v>
      </c>
      <c r="D36" s="2" t="n">
        <v>15</v>
      </c>
      <c r="E36" s="2" t="n">
        <v>15</v>
      </c>
      <c r="F36" s="2" t="n">
        <v>14</v>
      </c>
      <c r="G36" s="8" t="n">
        <v>0.933333333333333</v>
      </c>
    </row>
    <row r="37" customFormat="false" ht="15" hidden="false" customHeight="false" outlineLevel="0" collapsed="false">
      <c r="A37" s="5" t="s">
        <v>4</v>
      </c>
      <c r="B37" s="5" t="s">
        <v>77</v>
      </c>
      <c r="C37" s="5" t="s">
        <v>62</v>
      </c>
      <c r="D37" s="2" t="n">
        <v>16</v>
      </c>
      <c r="E37" s="2" t="n">
        <v>15</v>
      </c>
      <c r="F37" s="2" t="n">
        <v>14</v>
      </c>
      <c r="G37" s="8" t="n">
        <v>0.933333333333333</v>
      </c>
    </row>
    <row r="38" customFormat="false" ht="15" hidden="false" customHeight="false" outlineLevel="0" collapsed="false">
      <c r="A38" s="5" t="s">
        <v>4</v>
      </c>
      <c r="B38" s="5" t="s">
        <v>77</v>
      </c>
      <c r="C38" s="5" t="s">
        <v>62</v>
      </c>
      <c r="D38" s="2" t="n">
        <v>17</v>
      </c>
      <c r="E38" s="2" t="n">
        <v>15</v>
      </c>
      <c r="F38" s="2" t="n">
        <v>15</v>
      </c>
      <c r="G38" s="8" t="n">
        <v>1</v>
      </c>
    </row>
    <row r="39" customFormat="false" ht="15" hidden="false" customHeight="false" outlineLevel="0" collapsed="false">
      <c r="A39" s="5" t="s">
        <v>4</v>
      </c>
      <c r="B39" s="5" t="s">
        <v>77</v>
      </c>
      <c r="C39" s="5" t="s">
        <v>62</v>
      </c>
      <c r="D39" s="2" t="n">
        <v>18</v>
      </c>
      <c r="E39" s="2" t="n">
        <v>15</v>
      </c>
      <c r="F39" s="2" t="n">
        <v>14</v>
      </c>
      <c r="G39" s="8" t="n">
        <v>0.933333333333333</v>
      </c>
    </row>
    <row r="40" customFormat="false" ht="15" hidden="false" customHeight="false" outlineLevel="0" collapsed="false">
      <c r="A40" s="5" t="s">
        <v>4</v>
      </c>
      <c r="B40" s="5" t="s">
        <v>77</v>
      </c>
      <c r="C40" s="5" t="s">
        <v>62</v>
      </c>
      <c r="D40" s="2" t="n">
        <v>19</v>
      </c>
      <c r="E40" s="2" t="n">
        <v>15</v>
      </c>
      <c r="F40" s="2" t="n">
        <v>15</v>
      </c>
      <c r="G40" s="8" t="n">
        <v>1</v>
      </c>
    </row>
    <row r="41" customFormat="false" ht="15" hidden="false" customHeight="false" outlineLevel="0" collapsed="false">
      <c r="A41" s="5" t="s">
        <v>4</v>
      </c>
      <c r="B41" s="5" t="s">
        <v>77</v>
      </c>
      <c r="C41" s="5" t="s">
        <v>62</v>
      </c>
      <c r="D41" s="2" t="n">
        <v>20</v>
      </c>
      <c r="E41" s="2" t="n">
        <v>15</v>
      </c>
      <c r="F41" s="2" t="n">
        <v>14</v>
      </c>
      <c r="G41" s="8" t="n">
        <v>0.933333333333333</v>
      </c>
    </row>
    <row r="42" customFormat="false" ht="15" hidden="false" customHeight="false" outlineLevel="0" collapsed="false">
      <c r="A42" s="5" t="s">
        <v>4</v>
      </c>
      <c r="B42" s="5" t="s">
        <v>78</v>
      </c>
      <c r="C42" s="5" t="s">
        <v>58</v>
      </c>
      <c r="D42" s="2" t="n">
        <v>11</v>
      </c>
      <c r="E42" s="2" t="n">
        <v>15</v>
      </c>
      <c r="F42" s="2" t="n">
        <v>11</v>
      </c>
      <c r="G42" s="8" t="n">
        <v>0.733333333333333</v>
      </c>
    </row>
    <row r="43" customFormat="false" ht="15" hidden="false" customHeight="false" outlineLevel="0" collapsed="false">
      <c r="A43" s="5" t="s">
        <v>4</v>
      </c>
      <c r="B43" s="5" t="s">
        <v>78</v>
      </c>
      <c r="C43" s="5" t="s">
        <v>58</v>
      </c>
      <c r="D43" s="2" t="n">
        <v>12</v>
      </c>
      <c r="E43" s="2" t="n">
        <v>15</v>
      </c>
      <c r="F43" s="2" t="n">
        <v>11</v>
      </c>
      <c r="G43" s="8" t="n">
        <v>0.733333333333333</v>
      </c>
    </row>
    <row r="44" customFormat="false" ht="15" hidden="false" customHeight="false" outlineLevel="0" collapsed="false">
      <c r="A44" s="5" t="s">
        <v>4</v>
      </c>
      <c r="B44" s="5" t="s">
        <v>78</v>
      </c>
      <c r="C44" s="5" t="s">
        <v>58</v>
      </c>
      <c r="D44" s="2" t="n">
        <v>13</v>
      </c>
      <c r="E44" s="2" t="n">
        <v>15</v>
      </c>
      <c r="F44" s="2" t="n">
        <v>10</v>
      </c>
      <c r="G44" s="8" t="n">
        <v>0.666666666666667</v>
      </c>
    </row>
    <row r="45" customFormat="false" ht="15" hidden="false" customHeight="false" outlineLevel="0" collapsed="false">
      <c r="A45" s="5" t="s">
        <v>4</v>
      </c>
      <c r="B45" s="5" t="s">
        <v>78</v>
      </c>
      <c r="C45" s="5" t="s">
        <v>58</v>
      </c>
      <c r="D45" s="2" t="n">
        <v>14</v>
      </c>
      <c r="E45" s="2" t="n">
        <v>15</v>
      </c>
      <c r="F45" s="2" t="n">
        <v>11</v>
      </c>
      <c r="G45" s="8" t="n">
        <v>0.733333333333333</v>
      </c>
    </row>
    <row r="46" customFormat="false" ht="15" hidden="false" customHeight="false" outlineLevel="0" collapsed="false">
      <c r="A46" s="5" t="s">
        <v>4</v>
      </c>
      <c r="B46" s="5" t="s">
        <v>78</v>
      </c>
      <c r="C46" s="5" t="s">
        <v>58</v>
      </c>
      <c r="D46" s="2" t="n">
        <v>15</v>
      </c>
      <c r="E46" s="2" t="n">
        <v>15</v>
      </c>
      <c r="F46" s="2" t="n">
        <v>11</v>
      </c>
      <c r="G46" s="8" t="n">
        <v>0.733333333333333</v>
      </c>
    </row>
    <row r="47" customFormat="false" ht="15" hidden="false" customHeight="false" outlineLevel="0" collapsed="false">
      <c r="A47" s="5" t="s">
        <v>4</v>
      </c>
      <c r="B47" s="5" t="s">
        <v>78</v>
      </c>
      <c r="C47" s="5" t="s">
        <v>58</v>
      </c>
      <c r="D47" s="2" t="n">
        <v>16</v>
      </c>
      <c r="E47" s="2" t="n">
        <v>15</v>
      </c>
      <c r="F47" s="2" t="n">
        <v>11</v>
      </c>
      <c r="G47" s="8" t="n">
        <v>0.733333333333333</v>
      </c>
    </row>
    <row r="48" customFormat="false" ht="15" hidden="false" customHeight="false" outlineLevel="0" collapsed="false">
      <c r="A48" s="5" t="s">
        <v>4</v>
      </c>
      <c r="B48" s="5" t="s">
        <v>78</v>
      </c>
      <c r="C48" s="5" t="s">
        <v>58</v>
      </c>
      <c r="D48" s="2" t="n">
        <v>17</v>
      </c>
      <c r="E48" s="2" t="n">
        <v>15</v>
      </c>
      <c r="F48" s="2" t="n">
        <v>15</v>
      </c>
      <c r="G48" s="8" t="n">
        <v>1</v>
      </c>
    </row>
    <row r="49" customFormat="false" ht="15" hidden="false" customHeight="false" outlineLevel="0" collapsed="false">
      <c r="A49" s="5" t="s">
        <v>4</v>
      </c>
      <c r="B49" s="5" t="s">
        <v>78</v>
      </c>
      <c r="C49" s="5" t="s">
        <v>58</v>
      </c>
      <c r="D49" s="2" t="n">
        <v>18</v>
      </c>
      <c r="E49" s="2" t="n">
        <v>15</v>
      </c>
      <c r="F49" s="2" t="n">
        <v>10</v>
      </c>
      <c r="G49" s="8" t="n">
        <v>0.666666666666667</v>
      </c>
    </row>
    <row r="50" customFormat="false" ht="15" hidden="false" customHeight="false" outlineLevel="0" collapsed="false">
      <c r="A50" s="5" t="s">
        <v>4</v>
      </c>
      <c r="B50" s="5" t="s">
        <v>78</v>
      </c>
      <c r="C50" s="5" t="s">
        <v>58</v>
      </c>
      <c r="D50" s="2" t="n">
        <v>19</v>
      </c>
      <c r="E50" s="2" t="n">
        <v>15</v>
      </c>
      <c r="F50" s="2" t="n">
        <v>14</v>
      </c>
      <c r="G50" s="8" t="n">
        <v>0.933333333333333</v>
      </c>
    </row>
    <row r="51" customFormat="false" ht="15" hidden="false" customHeight="false" outlineLevel="0" collapsed="false">
      <c r="A51" s="5" t="s">
        <v>4</v>
      </c>
      <c r="B51" s="5" t="s">
        <v>78</v>
      </c>
      <c r="C51" s="5" t="s">
        <v>58</v>
      </c>
      <c r="D51" s="2" t="n">
        <v>20</v>
      </c>
      <c r="E51" s="2" t="n">
        <v>15</v>
      </c>
      <c r="F51" s="2" t="n">
        <v>9</v>
      </c>
      <c r="G51" s="8" t="n">
        <v>0.6</v>
      </c>
    </row>
    <row r="52" customFormat="false" ht="15" hidden="false" customHeight="false" outlineLevel="0" collapsed="false">
      <c r="A52" s="5" t="s">
        <v>4</v>
      </c>
      <c r="B52" s="5" t="s">
        <v>78</v>
      </c>
      <c r="C52" s="5" t="s">
        <v>62</v>
      </c>
      <c r="D52" s="2" t="n">
        <v>11</v>
      </c>
      <c r="E52" s="2" t="n">
        <v>15</v>
      </c>
      <c r="F52" s="2" t="n">
        <v>10</v>
      </c>
      <c r="G52" s="8" t="n">
        <v>0.666666666666667</v>
      </c>
    </row>
    <row r="53" customFormat="false" ht="15" hidden="false" customHeight="false" outlineLevel="0" collapsed="false">
      <c r="A53" s="5" t="s">
        <v>4</v>
      </c>
      <c r="B53" s="5" t="s">
        <v>78</v>
      </c>
      <c r="C53" s="5" t="s">
        <v>62</v>
      </c>
      <c r="D53" s="2" t="n">
        <v>12</v>
      </c>
      <c r="E53" s="2" t="n">
        <v>15</v>
      </c>
      <c r="F53" s="2" t="n">
        <v>11</v>
      </c>
      <c r="G53" s="8" t="n">
        <v>0.733333333333333</v>
      </c>
    </row>
    <row r="54" customFormat="false" ht="15" hidden="false" customHeight="false" outlineLevel="0" collapsed="false">
      <c r="A54" s="5" t="s">
        <v>4</v>
      </c>
      <c r="B54" s="5" t="s">
        <v>78</v>
      </c>
      <c r="C54" s="5" t="s">
        <v>62</v>
      </c>
      <c r="D54" s="2" t="n">
        <v>13</v>
      </c>
      <c r="E54" s="2" t="n">
        <v>15</v>
      </c>
      <c r="F54" s="2" t="n">
        <v>11</v>
      </c>
      <c r="G54" s="8" t="n">
        <v>0.733333333333333</v>
      </c>
    </row>
    <row r="55" customFormat="false" ht="15" hidden="false" customHeight="false" outlineLevel="0" collapsed="false">
      <c r="A55" s="5" t="s">
        <v>4</v>
      </c>
      <c r="B55" s="5" t="s">
        <v>78</v>
      </c>
      <c r="C55" s="5" t="s">
        <v>62</v>
      </c>
      <c r="D55" s="2" t="n">
        <v>14</v>
      </c>
      <c r="E55" s="2" t="n">
        <v>15</v>
      </c>
      <c r="F55" s="2" t="n">
        <v>12</v>
      </c>
      <c r="G55" s="8" t="n">
        <v>0.8</v>
      </c>
    </row>
    <row r="56" customFormat="false" ht="15" hidden="false" customHeight="false" outlineLevel="0" collapsed="false">
      <c r="A56" s="5" t="s">
        <v>4</v>
      </c>
      <c r="B56" s="5" t="s">
        <v>78</v>
      </c>
      <c r="C56" s="5" t="s">
        <v>62</v>
      </c>
      <c r="D56" s="2" t="n">
        <v>15</v>
      </c>
      <c r="E56" s="2" t="n">
        <v>15</v>
      </c>
      <c r="F56" s="2" t="n">
        <v>11</v>
      </c>
      <c r="G56" s="8" t="n">
        <v>0.733333333333333</v>
      </c>
    </row>
    <row r="57" customFormat="false" ht="15" hidden="false" customHeight="false" outlineLevel="0" collapsed="false">
      <c r="A57" s="5" t="s">
        <v>4</v>
      </c>
      <c r="B57" s="5" t="s">
        <v>78</v>
      </c>
      <c r="C57" s="5" t="s">
        <v>62</v>
      </c>
      <c r="D57" s="2" t="n">
        <v>16</v>
      </c>
      <c r="E57" s="2" t="n">
        <v>15</v>
      </c>
      <c r="F57" s="2" t="n">
        <v>12</v>
      </c>
      <c r="G57" s="8" t="n">
        <v>0.8</v>
      </c>
    </row>
    <row r="58" customFormat="false" ht="15" hidden="false" customHeight="false" outlineLevel="0" collapsed="false">
      <c r="A58" s="5" t="s">
        <v>4</v>
      </c>
      <c r="B58" s="5" t="s">
        <v>78</v>
      </c>
      <c r="C58" s="5" t="s">
        <v>62</v>
      </c>
      <c r="D58" s="2" t="n">
        <v>17</v>
      </c>
      <c r="E58" s="2" t="n">
        <v>15</v>
      </c>
      <c r="F58" s="2" t="n">
        <v>15</v>
      </c>
      <c r="G58" s="8" t="n">
        <v>1</v>
      </c>
    </row>
    <row r="59" customFormat="false" ht="15" hidden="false" customHeight="false" outlineLevel="0" collapsed="false">
      <c r="A59" s="5" t="s">
        <v>4</v>
      </c>
      <c r="B59" s="5" t="s">
        <v>78</v>
      </c>
      <c r="C59" s="5" t="s">
        <v>62</v>
      </c>
      <c r="D59" s="2" t="n">
        <v>18</v>
      </c>
      <c r="E59" s="2" t="n">
        <v>15</v>
      </c>
      <c r="F59" s="2" t="n">
        <v>10</v>
      </c>
      <c r="G59" s="8" t="n">
        <v>0.666666666666667</v>
      </c>
    </row>
    <row r="60" customFormat="false" ht="15" hidden="false" customHeight="false" outlineLevel="0" collapsed="false">
      <c r="A60" s="5" t="s">
        <v>4</v>
      </c>
      <c r="B60" s="5" t="s">
        <v>78</v>
      </c>
      <c r="C60" s="5" t="s">
        <v>62</v>
      </c>
      <c r="D60" s="2" t="n">
        <v>19</v>
      </c>
      <c r="E60" s="2" t="n">
        <v>15</v>
      </c>
      <c r="F60" s="2" t="n">
        <v>14</v>
      </c>
      <c r="G60" s="8" t="n">
        <v>0.933333333333333</v>
      </c>
    </row>
    <row r="61" customFormat="false" ht="15" hidden="false" customHeight="false" outlineLevel="0" collapsed="false">
      <c r="A61" s="5" t="s">
        <v>4</v>
      </c>
      <c r="B61" s="5" t="s">
        <v>78</v>
      </c>
      <c r="C61" s="5" t="s">
        <v>62</v>
      </c>
      <c r="D61" s="2" t="n">
        <v>20</v>
      </c>
      <c r="E61" s="2" t="n">
        <v>15</v>
      </c>
      <c r="F61" s="2" t="n">
        <v>9</v>
      </c>
      <c r="G61" s="8" t="n">
        <v>0.6</v>
      </c>
    </row>
    <row r="62" customFormat="false" ht="15" hidden="false" customHeight="false" outlineLevel="0" collapsed="false">
      <c r="A62" s="5" t="s">
        <v>4</v>
      </c>
      <c r="B62" s="5" t="s">
        <v>80</v>
      </c>
      <c r="C62" s="5" t="s">
        <v>58</v>
      </c>
      <c r="D62" s="2" t="n">
        <v>11</v>
      </c>
      <c r="E62" s="2" t="n">
        <v>15</v>
      </c>
      <c r="F62" s="2" t="n">
        <v>12</v>
      </c>
      <c r="G62" s="8" t="n">
        <v>0.8</v>
      </c>
    </row>
    <row r="63" customFormat="false" ht="15" hidden="false" customHeight="false" outlineLevel="0" collapsed="false">
      <c r="A63" s="5" t="s">
        <v>4</v>
      </c>
      <c r="B63" s="5" t="s">
        <v>80</v>
      </c>
      <c r="C63" s="5" t="s">
        <v>58</v>
      </c>
      <c r="D63" s="2" t="n">
        <v>12</v>
      </c>
      <c r="E63" s="2" t="n">
        <v>15</v>
      </c>
      <c r="F63" s="2" t="n">
        <v>12</v>
      </c>
      <c r="G63" s="8" t="n">
        <v>0.8</v>
      </c>
    </row>
    <row r="64" customFormat="false" ht="15" hidden="false" customHeight="false" outlineLevel="0" collapsed="false">
      <c r="A64" s="5" t="s">
        <v>4</v>
      </c>
      <c r="B64" s="5" t="s">
        <v>80</v>
      </c>
      <c r="C64" s="5" t="s">
        <v>58</v>
      </c>
      <c r="D64" s="2" t="n">
        <v>13</v>
      </c>
      <c r="E64" s="2" t="n">
        <v>15</v>
      </c>
      <c r="F64" s="2" t="n">
        <v>14</v>
      </c>
      <c r="G64" s="8" t="n">
        <v>0.933333333333333</v>
      </c>
    </row>
    <row r="65" customFormat="false" ht="15" hidden="false" customHeight="false" outlineLevel="0" collapsed="false">
      <c r="A65" s="5" t="s">
        <v>4</v>
      </c>
      <c r="B65" s="5" t="s">
        <v>80</v>
      </c>
      <c r="C65" s="5" t="s">
        <v>58</v>
      </c>
      <c r="D65" s="2" t="n">
        <v>14</v>
      </c>
      <c r="E65" s="2" t="n">
        <v>15</v>
      </c>
      <c r="F65" s="2" t="n">
        <v>13</v>
      </c>
      <c r="G65" s="8" t="n">
        <v>0.866666666666667</v>
      </c>
    </row>
    <row r="66" customFormat="false" ht="15" hidden="false" customHeight="false" outlineLevel="0" collapsed="false">
      <c r="A66" s="5" t="s">
        <v>4</v>
      </c>
      <c r="B66" s="5" t="s">
        <v>80</v>
      </c>
      <c r="C66" s="5" t="s">
        <v>58</v>
      </c>
      <c r="D66" s="2" t="n">
        <v>15</v>
      </c>
      <c r="E66" s="2" t="n">
        <v>15</v>
      </c>
      <c r="F66" s="2" t="n">
        <v>13</v>
      </c>
      <c r="G66" s="8" t="n">
        <v>0.866666666666667</v>
      </c>
    </row>
    <row r="67" customFormat="false" ht="15" hidden="false" customHeight="false" outlineLevel="0" collapsed="false">
      <c r="A67" s="5" t="s">
        <v>4</v>
      </c>
      <c r="B67" s="5" t="s">
        <v>80</v>
      </c>
      <c r="C67" s="5" t="s">
        <v>58</v>
      </c>
      <c r="D67" s="2" t="n">
        <v>16</v>
      </c>
      <c r="E67" s="2" t="n">
        <v>15</v>
      </c>
      <c r="F67" s="2" t="n">
        <v>12</v>
      </c>
      <c r="G67" s="8" t="n">
        <v>0.8</v>
      </c>
    </row>
    <row r="68" customFormat="false" ht="15" hidden="false" customHeight="false" outlineLevel="0" collapsed="false">
      <c r="A68" s="5" t="s">
        <v>4</v>
      </c>
      <c r="B68" s="5" t="s">
        <v>80</v>
      </c>
      <c r="C68" s="5" t="s">
        <v>58</v>
      </c>
      <c r="D68" s="2" t="n">
        <v>17</v>
      </c>
      <c r="E68" s="2" t="n">
        <v>15</v>
      </c>
      <c r="F68" s="2" t="n">
        <v>13</v>
      </c>
      <c r="G68" s="8" t="n">
        <v>0.866666666666667</v>
      </c>
    </row>
    <row r="69" customFormat="false" ht="15" hidden="false" customHeight="false" outlineLevel="0" collapsed="false">
      <c r="A69" s="5" t="s">
        <v>4</v>
      </c>
      <c r="B69" s="5" t="s">
        <v>80</v>
      </c>
      <c r="C69" s="5" t="s">
        <v>58</v>
      </c>
      <c r="D69" s="2" t="n">
        <v>18</v>
      </c>
      <c r="E69" s="2" t="n">
        <v>15</v>
      </c>
      <c r="F69" s="2" t="n">
        <v>14</v>
      </c>
      <c r="G69" s="8" t="n">
        <v>0.933333333333333</v>
      </c>
    </row>
    <row r="70" customFormat="false" ht="15" hidden="false" customHeight="false" outlineLevel="0" collapsed="false">
      <c r="A70" s="5" t="s">
        <v>4</v>
      </c>
      <c r="B70" s="5" t="s">
        <v>80</v>
      </c>
      <c r="C70" s="5" t="s">
        <v>58</v>
      </c>
      <c r="D70" s="2" t="n">
        <v>19</v>
      </c>
      <c r="E70" s="2" t="n">
        <v>15</v>
      </c>
      <c r="F70" s="2" t="n">
        <v>15</v>
      </c>
      <c r="G70" s="8" t="n">
        <v>1</v>
      </c>
    </row>
    <row r="71" customFormat="false" ht="15" hidden="false" customHeight="false" outlineLevel="0" collapsed="false">
      <c r="A71" s="5" t="s">
        <v>4</v>
      </c>
      <c r="B71" s="5" t="s">
        <v>80</v>
      </c>
      <c r="C71" s="5" t="s">
        <v>58</v>
      </c>
      <c r="D71" s="2" t="n">
        <v>20</v>
      </c>
      <c r="E71" s="2" t="n">
        <v>15</v>
      </c>
      <c r="F71" s="2" t="n">
        <v>13</v>
      </c>
      <c r="G71" s="8" t="n">
        <v>0.866666666666667</v>
      </c>
    </row>
    <row r="72" customFormat="false" ht="15" hidden="false" customHeight="false" outlineLevel="0" collapsed="false">
      <c r="A72" s="5" t="s">
        <v>4</v>
      </c>
      <c r="B72" s="5" t="s">
        <v>80</v>
      </c>
      <c r="C72" s="5" t="s">
        <v>62</v>
      </c>
      <c r="D72" s="2" t="n">
        <v>11</v>
      </c>
      <c r="E72" s="2" t="n">
        <v>15</v>
      </c>
      <c r="F72" s="2" t="n">
        <v>12</v>
      </c>
      <c r="G72" s="8" t="n">
        <v>0.8</v>
      </c>
    </row>
    <row r="73" customFormat="false" ht="15" hidden="false" customHeight="false" outlineLevel="0" collapsed="false">
      <c r="A73" s="5" t="s">
        <v>4</v>
      </c>
      <c r="B73" s="5" t="s">
        <v>80</v>
      </c>
      <c r="C73" s="5" t="s">
        <v>62</v>
      </c>
      <c r="D73" s="2" t="n">
        <v>12</v>
      </c>
      <c r="E73" s="2" t="n">
        <v>15</v>
      </c>
      <c r="F73" s="2" t="n">
        <v>12</v>
      </c>
      <c r="G73" s="8" t="n">
        <v>0.8</v>
      </c>
    </row>
    <row r="74" customFormat="false" ht="15" hidden="false" customHeight="false" outlineLevel="0" collapsed="false">
      <c r="A74" s="5" t="s">
        <v>4</v>
      </c>
      <c r="B74" s="5" t="s">
        <v>80</v>
      </c>
      <c r="C74" s="5" t="s">
        <v>62</v>
      </c>
      <c r="D74" s="2" t="n">
        <v>13</v>
      </c>
      <c r="E74" s="2" t="n">
        <v>15</v>
      </c>
      <c r="F74" s="2" t="n">
        <v>13</v>
      </c>
      <c r="G74" s="8" t="n">
        <v>0.866666666666667</v>
      </c>
    </row>
    <row r="75" customFormat="false" ht="15" hidden="false" customHeight="false" outlineLevel="0" collapsed="false">
      <c r="A75" s="5" t="s">
        <v>4</v>
      </c>
      <c r="B75" s="5" t="s">
        <v>80</v>
      </c>
      <c r="C75" s="5" t="s">
        <v>62</v>
      </c>
      <c r="D75" s="2" t="n">
        <v>14</v>
      </c>
      <c r="E75" s="2" t="n">
        <v>15</v>
      </c>
      <c r="F75" s="2" t="n">
        <v>13</v>
      </c>
      <c r="G75" s="8" t="n">
        <v>0.866666666666667</v>
      </c>
    </row>
    <row r="76" customFormat="false" ht="15" hidden="false" customHeight="false" outlineLevel="0" collapsed="false">
      <c r="A76" s="5" t="s">
        <v>4</v>
      </c>
      <c r="B76" s="5" t="s">
        <v>80</v>
      </c>
      <c r="C76" s="5" t="s">
        <v>62</v>
      </c>
      <c r="D76" s="2" t="n">
        <v>15</v>
      </c>
      <c r="E76" s="2" t="n">
        <v>15</v>
      </c>
      <c r="F76" s="2" t="n">
        <v>13</v>
      </c>
      <c r="G76" s="8" t="n">
        <v>0.866666666666667</v>
      </c>
    </row>
    <row r="77" customFormat="false" ht="15" hidden="false" customHeight="false" outlineLevel="0" collapsed="false">
      <c r="A77" s="5" t="s">
        <v>4</v>
      </c>
      <c r="B77" s="5" t="s">
        <v>80</v>
      </c>
      <c r="C77" s="5" t="s">
        <v>62</v>
      </c>
      <c r="D77" s="2" t="n">
        <v>16</v>
      </c>
      <c r="E77" s="2" t="n">
        <v>15</v>
      </c>
      <c r="F77" s="2" t="n">
        <v>13</v>
      </c>
      <c r="G77" s="8" t="n">
        <v>0.866666666666667</v>
      </c>
    </row>
    <row r="78" customFormat="false" ht="15" hidden="false" customHeight="false" outlineLevel="0" collapsed="false">
      <c r="A78" s="5" t="s">
        <v>4</v>
      </c>
      <c r="B78" s="5" t="s">
        <v>80</v>
      </c>
      <c r="C78" s="5" t="s">
        <v>62</v>
      </c>
      <c r="D78" s="2" t="n">
        <v>17</v>
      </c>
      <c r="E78" s="2" t="n">
        <v>15</v>
      </c>
      <c r="F78" s="2" t="n">
        <v>12</v>
      </c>
      <c r="G78" s="8" t="n">
        <v>0.8</v>
      </c>
    </row>
    <row r="79" customFormat="false" ht="15" hidden="false" customHeight="false" outlineLevel="0" collapsed="false">
      <c r="A79" s="5" t="s">
        <v>4</v>
      </c>
      <c r="B79" s="5" t="s">
        <v>80</v>
      </c>
      <c r="C79" s="5" t="s">
        <v>62</v>
      </c>
      <c r="D79" s="2" t="n">
        <v>18</v>
      </c>
      <c r="E79" s="2" t="n">
        <v>15</v>
      </c>
      <c r="F79" s="2" t="n">
        <v>15</v>
      </c>
      <c r="G79" s="8" t="n">
        <v>1</v>
      </c>
    </row>
    <row r="80" customFormat="false" ht="15" hidden="false" customHeight="false" outlineLevel="0" collapsed="false">
      <c r="A80" s="5" t="s">
        <v>4</v>
      </c>
      <c r="B80" s="5" t="s">
        <v>80</v>
      </c>
      <c r="C80" s="5" t="s">
        <v>62</v>
      </c>
      <c r="D80" s="2" t="n">
        <v>19</v>
      </c>
      <c r="E80" s="2" t="n">
        <v>15</v>
      </c>
      <c r="F80" s="2" t="n">
        <v>14</v>
      </c>
      <c r="G80" s="8" t="n">
        <v>0.933333333333333</v>
      </c>
    </row>
    <row r="81" customFormat="false" ht="15" hidden="false" customHeight="false" outlineLevel="0" collapsed="false">
      <c r="A81" s="5" t="s">
        <v>4</v>
      </c>
      <c r="B81" s="5" t="s">
        <v>80</v>
      </c>
      <c r="C81" s="5" t="s">
        <v>62</v>
      </c>
      <c r="D81" s="2" t="n">
        <v>20</v>
      </c>
      <c r="E81" s="2" t="n">
        <v>15</v>
      </c>
      <c r="F81" s="2" t="n">
        <v>13</v>
      </c>
      <c r="G81" s="8" t="n">
        <v>0.866666666666667</v>
      </c>
    </row>
    <row r="82" customFormat="false" ht="15" hidden="false" customHeight="false" outlineLevel="0" collapsed="false">
      <c r="A82" s="5" t="s">
        <v>4</v>
      </c>
      <c r="B82" s="5" t="s">
        <v>81</v>
      </c>
      <c r="C82" s="5" t="s">
        <v>58</v>
      </c>
      <c r="D82" s="2" t="n">
        <v>11</v>
      </c>
      <c r="E82" s="2" t="n">
        <v>15</v>
      </c>
      <c r="F82" s="2" t="n">
        <v>10</v>
      </c>
      <c r="G82" s="8" t="n">
        <v>0.666666666666667</v>
      </c>
    </row>
    <row r="83" customFormat="false" ht="15" hidden="false" customHeight="false" outlineLevel="0" collapsed="false">
      <c r="A83" s="5" t="s">
        <v>4</v>
      </c>
      <c r="B83" s="5" t="s">
        <v>81</v>
      </c>
      <c r="C83" s="5" t="s">
        <v>58</v>
      </c>
      <c r="D83" s="2" t="n">
        <v>12</v>
      </c>
      <c r="E83" s="2" t="n">
        <v>15</v>
      </c>
      <c r="F83" s="2" t="n">
        <v>13</v>
      </c>
      <c r="G83" s="8" t="n">
        <v>0.866666666666667</v>
      </c>
    </row>
    <row r="84" customFormat="false" ht="15" hidden="false" customHeight="false" outlineLevel="0" collapsed="false">
      <c r="A84" s="5" t="s">
        <v>4</v>
      </c>
      <c r="B84" s="5" t="s">
        <v>81</v>
      </c>
      <c r="C84" s="5" t="s">
        <v>58</v>
      </c>
      <c r="D84" s="2" t="n">
        <v>13</v>
      </c>
      <c r="E84" s="2" t="n">
        <v>15</v>
      </c>
      <c r="F84" s="2" t="n">
        <v>12</v>
      </c>
      <c r="G84" s="8" t="n">
        <v>0.8</v>
      </c>
    </row>
    <row r="85" customFormat="false" ht="15" hidden="false" customHeight="false" outlineLevel="0" collapsed="false">
      <c r="A85" s="5" t="s">
        <v>4</v>
      </c>
      <c r="B85" s="5" t="s">
        <v>81</v>
      </c>
      <c r="C85" s="5" t="s">
        <v>58</v>
      </c>
      <c r="D85" s="2" t="n">
        <v>14</v>
      </c>
      <c r="E85" s="2" t="n">
        <v>15</v>
      </c>
      <c r="F85" s="2" t="n">
        <v>11</v>
      </c>
      <c r="G85" s="8" t="n">
        <v>0.733333333333333</v>
      </c>
    </row>
    <row r="86" customFormat="false" ht="15" hidden="false" customHeight="false" outlineLevel="0" collapsed="false">
      <c r="A86" s="5" t="s">
        <v>4</v>
      </c>
      <c r="B86" s="5" t="s">
        <v>81</v>
      </c>
      <c r="C86" s="5" t="s">
        <v>58</v>
      </c>
      <c r="D86" s="2" t="n">
        <v>15</v>
      </c>
      <c r="E86" s="2" t="n">
        <v>15</v>
      </c>
      <c r="F86" s="2" t="n">
        <v>12</v>
      </c>
      <c r="G86" s="8" t="n">
        <v>0.8</v>
      </c>
    </row>
    <row r="87" customFormat="false" ht="15" hidden="false" customHeight="false" outlineLevel="0" collapsed="false">
      <c r="A87" s="5" t="s">
        <v>4</v>
      </c>
      <c r="B87" s="5" t="s">
        <v>81</v>
      </c>
      <c r="C87" s="5" t="s">
        <v>58</v>
      </c>
      <c r="D87" s="2" t="n">
        <v>16</v>
      </c>
      <c r="E87" s="2" t="n">
        <v>15</v>
      </c>
      <c r="F87" s="2" t="n">
        <v>10</v>
      </c>
      <c r="G87" s="8" t="n">
        <v>0.666666666666667</v>
      </c>
    </row>
    <row r="88" customFormat="false" ht="15" hidden="false" customHeight="false" outlineLevel="0" collapsed="false">
      <c r="A88" s="5" t="s">
        <v>4</v>
      </c>
      <c r="B88" s="5" t="s">
        <v>81</v>
      </c>
      <c r="C88" s="5" t="s">
        <v>58</v>
      </c>
      <c r="D88" s="2" t="n">
        <v>17</v>
      </c>
      <c r="E88" s="2" t="n">
        <v>15</v>
      </c>
      <c r="F88" s="2" t="n">
        <v>12</v>
      </c>
      <c r="G88" s="8" t="n">
        <v>0.8</v>
      </c>
    </row>
    <row r="89" customFormat="false" ht="15" hidden="false" customHeight="false" outlineLevel="0" collapsed="false">
      <c r="A89" s="5" t="s">
        <v>4</v>
      </c>
      <c r="B89" s="5" t="s">
        <v>81</v>
      </c>
      <c r="C89" s="5" t="s">
        <v>58</v>
      </c>
      <c r="D89" s="2" t="n">
        <v>18</v>
      </c>
      <c r="E89" s="2" t="n">
        <v>15</v>
      </c>
      <c r="F89" s="2" t="n">
        <v>11</v>
      </c>
      <c r="G89" s="8" t="n">
        <v>0.733333333333333</v>
      </c>
    </row>
    <row r="90" customFormat="false" ht="15" hidden="false" customHeight="false" outlineLevel="0" collapsed="false">
      <c r="A90" s="5" t="s">
        <v>4</v>
      </c>
      <c r="B90" s="5" t="s">
        <v>81</v>
      </c>
      <c r="C90" s="5" t="s">
        <v>58</v>
      </c>
      <c r="D90" s="2" t="n">
        <v>19</v>
      </c>
      <c r="E90" s="2" t="n">
        <v>15</v>
      </c>
      <c r="F90" s="2" t="n">
        <v>14</v>
      </c>
      <c r="G90" s="8" t="n">
        <v>0.933333333333333</v>
      </c>
    </row>
    <row r="91" customFormat="false" ht="15" hidden="false" customHeight="false" outlineLevel="0" collapsed="false">
      <c r="A91" s="5" t="s">
        <v>4</v>
      </c>
      <c r="B91" s="5" t="s">
        <v>81</v>
      </c>
      <c r="C91" s="5" t="s">
        <v>58</v>
      </c>
      <c r="D91" s="2" t="n">
        <v>20</v>
      </c>
      <c r="E91" s="2" t="n">
        <v>15</v>
      </c>
      <c r="F91" s="2" t="n">
        <v>12</v>
      </c>
      <c r="G91" s="8" t="n">
        <v>0.8</v>
      </c>
    </row>
    <row r="92" customFormat="false" ht="15" hidden="false" customHeight="false" outlineLevel="0" collapsed="false">
      <c r="A92" s="5" t="s">
        <v>4</v>
      </c>
      <c r="B92" s="5" t="s">
        <v>81</v>
      </c>
      <c r="C92" s="5" t="s">
        <v>62</v>
      </c>
      <c r="D92" s="2" t="n">
        <v>11</v>
      </c>
      <c r="E92" s="2" t="n">
        <v>15</v>
      </c>
      <c r="F92" s="2" t="n">
        <v>12</v>
      </c>
      <c r="G92" s="8" t="n">
        <v>0.8</v>
      </c>
    </row>
    <row r="93" customFormat="false" ht="15" hidden="false" customHeight="false" outlineLevel="0" collapsed="false">
      <c r="A93" s="5" t="s">
        <v>4</v>
      </c>
      <c r="B93" s="5" t="s">
        <v>81</v>
      </c>
      <c r="C93" s="5" t="s">
        <v>62</v>
      </c>
      <c r="D93" s="2" t="n">
        <v>12</v>
      </c>
      <c r="E93" s="2" t="n">
        <v>15</v>
      </c>
      <c r="F93" s="2" t="n">
        <v>12</v>
      </c>
      <c r="G93" s="8" t="n">
        <v>0.8</v>
      </c>
    </row>
    <row r="94" customFormat="false" ht="15" hidden="false" customHeight="false" outlineLevel="0" collapsed="false">
      <c r="A94" s="5" t="s">
        <v>4</v>
      </c>
      <c r="B94" s="5" t="s">
        <v>81</v>
      </c>
      <c r="C94" s="5" t="s">
        <v>62</v>
      </c>
      <c r="D94" s="2" t="n">
        <v>13</v>
      </c>
      <c r="E94" s="2" t="n">
        <v>15</v>
      </c>
      <c r="F94" s="2" t="n">
        <v>12</v>
      </c>
      <c r="G94" s="8" t="n">
        <v>0.8</v>
      </c>
    </row>
    <row r="95" customFormat="false" ht="15" hidden="false" customHeight="false" outlineLevel="0" collapsed="false">
      <c r="A95" s="5" t="s">
        <v>4</v>
      </c>
      <c r="B95" s="5" t="s">
        <v>81</v>
      </c>
      <c r="C95" s="5" t="s">
        <v>62</v>
      </c>
      <c r="D95" s="2" t="n">
        <v>14</v>
      </c>
      <c r="E95" s="2" t="n">
        <v>15</v>
      </c>
      <c r="F95" s="2" t="n">
        <v>12</v>
      </c>
      <c r="G95" s="8" t="n">
        <v>0.8</v>
      </c>
    </row>
    <row r="96" customFormat="false" ht="15" hidden="false" customHeight="false" outlineLevel="0" collapsed="false">
      <c r="A96" s="5" t="s">
        <v>4</v>
      </c>
      <c r="B96" s="5" t="s">
        <v>81</v>
      </c>
      <c r="C96" s="5" t="s">
        <v>62</v>
      </c>
      <c r="D96" s="2" t="n">
        <v>15</v>
      </c>
      <c r="E96" s="2" t="n">
        <v>15</v>
      </c>
      <c r="F96" s="2" t="n">
        <v>13</v>
      </c>
      <c r="G96" s="8" t="n">
        <v>0.866666666666667</v>
      </c>
    </row>
    <row r="97" customFormat="false" ht="15" hidden="false" customHeight="false" outlineLevel="0" collapsed="false">
      <c r="A97" s="5" t="s">
        <v>4</v>
      </c>
      <c r="B97" s="5" t="s">
        <v>81</v>
      </c>
      <c r="C97" s="5" t="s">
        <v>62</v>
      </c>
      <c r="D97" s="2" t="n">
        <v>16</v>
      </c>
      <c r="E97" s="2" t="n">
        <v>15</v>
      </c>
      <c r="F97" s="2" t="n">
        <v>11</v>
      </c>
      <c r="G97" s="8" t="n">
        <v>0.733333333333333</v>
      </c>
    </row>
    <row r="98" customFormat="false" ht="15" hidden="false" customHeight="false" outlineLevel="0" collapsed="false">
      <c r="A98" s="5" t="s">
        <v>4</v>
      </c>
      <c r="B98" s="5" t="s">
        <v>81</v>
      </c>
      <c r="C98" s="5" t="s">
        <v>62</v>
      </c>
      <c r="D98" s="2" t="n">
        <v>17</v>
      </c>
      <c r="E98" s="2" t="n">
        <v>15</v>
      </c>
      <c r="F98" s="2" t="n">
        <v>12</v>
      </c>
      <c r="G98" s="8" t="n">
        <v>0.8</v>
      </c>
    </row>
    <row r="99" customFormat="false" ht="15" hidden="false" customHeight="false" outlineLevel="0" collapsed="false">
      <c r="A99" s="5" t="s">
        <v>4</v>
      </c>
      <c r="B99" s="5" t="s">
        <v>81</v>
      </c>
      <c r="C99" s="5" t="s">
        <v>62</v>
      </c>
      <c r="D99" s="2" t="n">
        <v>18</v>
      </c>
      <c r="E99" s="2" t="n">
        <v>15</v>
      </c>
      <c r="F99" s="2" t="n">
        <v>11</v>
      </c>
      <c r="G99" s="8" t="n">
        <v>0.733333333333333</v>
      </c>
    </row>
    <row r="100" customFormat="false" ht="15" hidden="false" customHeight="false" outlineLevel="0" collapsed="false">
      <c r="A100" s="5" t="s">
        <v>4</v>
      </c>
      <c r="B100" s="5" t="s">
        <v>81</v>
      </c>
      <c r="C100" s="5" t="s">
        <v>62</v>
      </c>
      <c r="D100" s="2" t="n">
        <v>19</v>
      </c>
      <c r="E100" s="2" t="n">
        <v>15</v>
      </c>
      <c r="F100" s="2" t="n">
        <v>14</v>
      </c>
      <c r="G100" s="8" t="n">
        <v>0.933333333333333</v>
      </c>
    </row>
    <row r="101" customFormat="false" ht="15" hidden="false" customHeight="false" outlineLevel="0" collapsed="false">
      <c r="A101" s="5" t="s">
        <v>4</v>
      </c>
      <c r="B101" s="5" t="s">
        <v>81</v>
      </c>
      <c r="C101" s="5" t="s">
        <v>62</v>
      </c>
      <c r="D101" s="2" t="n">
        <v>20</v>
      </c>
      <c r="E101" s="2" t="n">
        <v>15</v>
      </c>
      <c r="F101" s="2" t="n">
        <v>13</v>
      </c>
      <c r="G101" s="8" t="n">
        <v>0.866666666666667</v>
      </c>
    </row>
    <row r="102" customFormat="false" ht="15" hidden="false" customHeight="false" outlineLevel="0" collapsed="false">
      <c r="A102" s="5" t="s">
        <v>4</v>
      </c>
      <c r="B102" s="5" t="s">
        <v>83</v>
      </c>
      <c r="C102" s="5" t="s">
        <v>58</v>
      </c>
      <c r="D102" s="2" t="n">
        <v>11</v>
      </c>
      <c r="E102" s="2" t="n">
        <v>15</v>
      </c>
      <c r="F102" s="2" t="n">
        <v>14</v>
      </c>
      <c r="G102" s="8" t="n">
        <v>0.933333333333333</v>
      </c>
    </row>
    <row r="103" customFormat="false" ht="15" hidden="false" customHeight="false" outlineLevel="0" collapsed="false">
      <c r="A103" s="5" t="s">
        <v>4</v>
      </c>
      <c r="B103" s="5" t="s">
        <v>83</v>
      </c>
      <c r="C103" s="5" t="s">
        <v>58</v>
      </c>
      <c r="D103" s="2" t="n">
        <v>12</v>
      </c>
      <c r="E103" s="2" t="n">
        <v>15</v>
      </c>
      <c r="F103" s="2" t="n">
        <v>14</v>
      </c>
      <c r="G103" s="8" t="n">
        <v>0.933333333333333</v>
      </c>
    </row>
    <row r="104" customFormat="false" ht="15" hidden="false" customHeight="false" outlineLevel="0" collapsed="false">
      <c r="A104" s="5" t="s">
        <v>4</v>
      </c>
      <c r="B104" s="5" t="s">
        <v>83</v>
      </c>
      <c r="C104" s="5" t="s">
        <v>58</v>
      </c>
      <c r="D104" s="2" t="n">
        <v>13</v>
      </c>
      <c r="E104" s="2" t="n">
        <v>15</v>
      </c>
      <c r="F104" s="2" t="n">
        <v>14</v>
      </c>
      <c r="G104" s="8" t="n">
        <v>0.933333333333333</v>
      </c>
    </row>
    <row r="105" customFormat="false" ht="15" hidden="false" customHeight="false" outlineLevel="0" collapsed="false">
      <c r="A105" s="5" t="s">
        <v>4</v>
      </c>
      <c r="B105" s="5" t="s">
        <v>83</v>
      </c>
      <c r="C105" s="5" t="s">
        <v>58</v>
      </c>
      <c r="D105" s="2" t="n">
        <v>14</v>
      </c>
      <c r="E105" s="2" t="n">
        <v>15</v>
      </c>
      <c r="F105" s="2" t="n">
        <v>12</v>
      </c>
      <c r="G105" s="8" t="n">
        <v>0.8</v>
      </c>
    </row>
    <row r="106" customFormat="false" ht="15" hidden="false" customHeight="false" outlineLevel="0" collapsed="false">
      <c r="A106" s="5" t="s">
        <v>4</v>
      </c>
      <c r="B106" s="5" t="s">
        <v>83</v>
      </c>
      <c r="C106" s="5" t="s">
        <v>58</v>
      </c>
      <c r="D106" s="2" t="n">
        <v>15</v>
      </c>
      <c r="E106" s="2" t="n">
        <v>15</v>
      </c>
      <c r="F106" s="2" t="n">
        <v>15</v>
      </c>
      <c r="G106" s="8" t="n">
        <v>1</v>
      </c>
    </row>
    <row r="107" customFormat="false" ht="15" hidden="false" customHeight="false" outlineLevel="0" collapsed="false">
      <c r="A107" s="5" t="s">
        <v>4</v>
      </c>
      <c r="B107" s="5" t="s">
        <v>83</v>
      </c>
      <c r="C107" s="5" t="s">
        <v>58</v>
      </c>
      <c r="D107" s="2" t="n">
        <v>16</v>
      </c>
      <c r="E107" s="2" t="n">
        <v>15</v>
      </c>
      <c r="F107" s="2" t="n">
        <v>14</v>
      </c>
      <c r="G107" s="8" t="n">
        <v>0.933333333333333</v>
      </c>
    </row>
    <row r="108" customFormat="false" ht="15" hidden="false" customHeight="false" outlineLevel="0" collapsed="false">
      <c r="A108" s="5" t="s">
        <v>4</v>
      </c>
      <c r="B108" s="5" t="s">
        <v>83</v>
      </c>
      <c r="C108" s="5" t="s">
        <v>58</v>
      </c>
      <c r="D108" s="2" t="n">
        <v>17</v>
      </c>
      <c r="E108" s="2" t="n">
        <v>15</v>
      </c>
      <c r="F108" s="2" t="n">
        <v>14</v>
      </c>
      <c r="G108" s="8" t="n">
        <v>0.933333333333333</v>
      </c>
    </row>
    <row r="109" customFormat="false" ht="15" hidden="false" customHeight="false" outlineLevel="0" collapsed="false">
      <c r="A109" s="5" t="s">
        <v>4</v>
      </c>
      <c r="B109" s="5" t="s">
        <v>83</v>
      </c>
      <c r="C109" s="5" t="s">
        <v>58</v>
      </c>
      <c r="D109" s="2" t="n">
        <v>18</v>
      </c>
      <c r="E109" s="2" t="n">
        <v>15</v>
      </c>
      <c r="F109" s="2" t="n">
        <v>14</v>
      </c>
      <c r="G109" s="8" t="n">
        <v>0.933333333333333</v>
      </c>
    </row>
    <row r="110" customFormat="false" ht="15" hidden="false" customHeight="false" outlineLevel="0" collapsed="false">
      <c r="A110" s="5" t="s">
        <v>4</v>
      </c>
      <c r="B110" s="5" t="s">
        <v>83</v>
      </c>
      <c r="C110" s="5" t="s">
        <v>58</v>
      </c>
      <c r="D110" s="2" t="n">
        <v>19</v>
      </c>
      <c r="E110" s="2" t="n">
        <v>15</v>
      </c>
      <c r="F110" s="2" t="n">
        <v>14</v>
      </c>
      <c r="G110" s="8" t="n">
        <v>0.933333333333333</v>
      </c>
    </row>
    <row r="111" customFormat="false" ht="15" hidden="false" customHeight="false" outlineLevel="0" collapsed="false">
      <c r="A111" s="5" t="s">
        <v>4</v>
      </c>
      <c r="B111" s="5" t="s">
        <v>83</v>
      </c>
      <c r="C111" s="5" t="s">
        <v>58</v>
      </c>
      <c r="D111" s="2" t="n">
        <v>20</v>
      </c>
      <c r="E111" s="2" t="n">
        <v>15</v>
      </c>
      <c r="F111" s="2" t="n">
        <v>13</v>
      </c>
      <c r="G111" s="8" t="n">
        <v>0.866666666666667</v>
      </c>
    </row>
    <row r="112" customFormat="false" ht="15" hidden="false" customHeight="false" outlineLevel="0" collapsed="false">
      <c r="A112" s="5" t="s">
        <v>4</v>
      </c>
      <c r="B112" s="5" t="s">
        <v>83</v>
      </c>
      <c r="C112" s="5" t="s">
        <v>62</v>
      </c>
      <c r="D112" s="2" t="n">
        <v>11</v>
      </c>
      <c r="E112" s="2" t="n">
        <v>15</v>
      </c>
      <c r="F112" s="2" t="n">
        <v>14</v>
      </c>
      <c r="G112" s="8" t="n">
        <v>0.933333333333333</v>
      </c>
    </row>
    <row r="113" customFormat="false" ht="15" hidden="false" customHeight="false" outlineLevel="0" collapsed="false">
      <c r="A113" s="5" t="s">
        <v>4</v>
      </c>
      <c r="B113" s="5" t="s">
        <v>83</v>
      </c>
      <c r="C113" s="5" t="s">
        <v>62</v>
      </c>
      <c r="D113" s="2" t="n">
        <v>12</v>
      </c>
      <c r="E113" s="2" t="n">
        <v>15</v>
      </c>
      <c r="F113" s="2" t="n">
        <v>14</v>
      </c>
      <c r="G113" s="8" t="n">
        <v>0.933333333333333</v>
      </c>
    </row>
    <row r="114" customFormat="false" ht="15" hidden="false" customHeight="false" outlineLevel="0" collapsed="false">
      <c r="A114" s="5" t="s">
        <v>4</v>
      </c>
      <c r="B114" s="5" t="s">
        <v>83</v>
      </c>
      <c r="C114" s="5" t="s">
        <v>62</v>
      </c>
      <c r="D114" s="2" t="n">
        <v>13</v>
      </c>
      <c r="E114" s="2" t="n">
        <v>15</v>
      </c>
      <c r="F114" s="2" t="n">
        <v>14</v>
      </c>
      <c r="G114" s="8" t="n">
        <v>0.933333333333333</v>
      </c>
    </row>
    <row r="115" customFormat="false" ht="15" hidden="false" customHeight="false" outlineLevel="0" collapsed="false">
      <c r="A115" s="5" t="s">
        <v>4</v>
      </c>
      <c r="B115" s="5" t="s">
        <v>83</v>
      </c>
      <c r="C115" s="5" t="s">
        <v>62</v>
      </c>
      <c r="D115" s="2" t="n">
        <v>14</v>
      </c>
      <c r="E115" s="2" t="n">
        <v>15</v>
      </c>
      <c r="F115" s="2" t="n">
        <v>13</v>
      </c>
      <c r="G115" s="8" t="n">
        <v>0.866666666666667</v>
      </c>
    </row>
    <row r="116" customFormat="false" ht="15" hidden="false" customHeight="false" outlineLevel="0" collapsed="false">
      <c r="A116" s="5" t="s">
        <v>4</v>
      </c>
      <c r="B116" s="5" t="s">
        <v>83</v>
      </c>
      <c r="C116" s="5" t="s">
        <v>62</v>
      </c>
      <c r="D116" s="2" t="n">
        <v>15</v>
      </c>
      <c r="E116" s="2" t="n">
        <v>15</v>
      </c>
      <c r="F116" s="2" t="n">
        <v>15</v>
      </c>
      <c r="G116" s="8" t="n">
        <v>1</v>
      </c>
    </row>
    <row r="117" customFormat="false" ht="15" hidden="false" customHeight="false" outlineLevel="0" collapsed="false">
      <c r="A117" s="5" t="s">
        <v>4</v>
      </c>
      <c r="B117" s="5" t="s">
        <v>83</v>
      </c>
      <c r="C117" s="5" t="s">
        <v>62</v>
      </c>
      <c r="D117" s="2" t="n">
        <v>16</v>
      </c>
      <c r="E117" s="2" t="n">
        <v>15</v>
      </c>
      <c r="F117" s="2" t="n">
        <v>14</v>
      </c>
      <c r="G117" s="8" t="n">
        <v>0.933333333333333</v>
      </c>
    </row>
    <row r="118" customFormat="false" ht="15" hidden="false" customHeight="false" outlineLevel="0" collapsed="false">
      <c r="A118" s="5" t="s">
        <v>4</v>
      </c>
      <c r="B118" s="5" t="s">
        <v>83</v>
      </c>
      <c r="C118" s="5" t="s">
        <v>62</v>
      </c>
      <c r="D118" s="2" t="n">
        <v>17</v>
      </c>
      <c r="E118" s="2" t="n">
        <v>15</v>
      </c>
      <c r="F118" s="2" t="n">
        <v>14</v>
      </c>
      <c r="G118" s="8" t="n">
        <v>0.933333333333333</v>
      </c>
    </row>
    <row r="119" customFormat="false" ht="15" hidden="false" customHeight="false" outlineLevel="0" collapsed="false">
      <c r="A119" s="5" t="s">
        <v>4</v>
      </c>
      <c r="B119" s="5" t="s">
        <v>83</v>
      </c>
      <c r="C119" s="5" t="s">
        <v>62</v>
      </c>
      <c r="D119" s="2" t="n">
        <v>18</v>
      </c>
      <c r="E119" s="2" t="n">
        <v>15</v>
      </c>
      <c r="F119" s="2" t="n">
        <v>14</v>
      </c>
      <c r="G119" s="8" t="n">
        <v>0.933333333333333</v>
      </c>
    </row>
    <row r="120" customFormat="false" ht="15" hidden="false" customHeight="false" outlineLevel="0" collapsed="false">
      <c r="A120" s="5" t="s">
        <v>4</v>
      </c>
      <c r="B120" s="5" t="s">
        <v>83</v>
      </c>
      <c r="C120" s="5" t="s">
        <v>62</v>
      </c>
      <c r="D120" s="2" t="n">
        <v>19</v>
      </c>
      <c r="E120" s="2" t="n">
        <v>15</v>
      </c>
      <c r="F120" s="2" t="n">
        <v>15</v>
      </c>
      <c r="G120" s="8" t="n">
        <v>1</v>
      </c>
    </row>
    <row r="121" customFormat="false" ht="15" hidden="false" customHeight="false" outlineLevel="0" collapsed="false">
      <c r="A121" s="5" t="s">
        <v>4</v>
      </c>
      <c r="B121" s="5" t="s">
        <v>83</v>
      </c>
      <c r="C121" s="5" t="s">
        <v>62</v>
      </c>
      <c r="D121" s="2" t="n">
        <v>20</v>
      </c>
      <c r="E121" s="2" t="n">
        <v>15</v>
      </c>
      <c r="F121" s="2" t="n">
        <v>14</v>
      </c>
      <c r="G121" s="8" t="n">
        <v>0.933333333333333</v>
      </c>
    </row>
    <row r="122" customFormat="false" ht="15" hidden="false" customHeight="false" outlineLevel="0" collapsed="false">
      <c r="A122" s="5" t="s">
        <v>4</v>
      </c>
      <c r="B122" s="5" t="s">
        <v>85</v>
      </c>
      <c r="C122" s="5" t="s">
        <v>85</v>
      </c>
      <c r="D122" s="2" t="n">
        <v>11</v>
      </c>
      <c r="E122" s="2" t="n">
        <v>15</v>
      </c>
      <c r="F122" s="2" t="n">
        <v>15</v>
      </c>
      <c r="G122" s="8" t="n">
        <v>1</v>
      </c>
    </row>
    <row r="123" customFormat="false" ht="15" hidden="false" customHeight="false" outlineLevel="0" collapsed="false">
      <c r="A123" s="5" t="s">
        <v>4</v>
      </c>
      <c r="B123" s="5" t="s">
        <v>85</v>
      </c>
      <c r="C123" s="5" t="s">
        <v>85</v>
      </c>
      <c r="D123" s="2" t="n">
        <v>12</v>
      </c>
      <c r="E123" s="2" t="n">
        <v>15</v>
      </c>
      <c r="F123" s="2" t="n">
        <v>15</v>
      </c>
      <c r="G123" s="8" t="n">
        <v>1</v>
      </c>
    </row>
    <row r="124" customFormat="false" ht="15" hidden="false" customHeight="false" outlineLevel="0" collapsed="false">
      <c r="A124" s="5" t="s">
        <v>4</v>
      </c>
      <c r="B124" s="5" t="s">
        <v>85</v>
      </c>
      <c r="C124" s="5" t="s">
        <v>85</v>
      </c>
      <c r="D124" s="2" t="n">
        <v>13</v>
      </c>
      <c r="E124" s="2" t="n">
        <v>15</v>
      </c>
      <c r="F124" s="2" t="n">
        <v>15</v>
      </c>
      <c r="G124" s="8" t="n">
        <v>1</v>
      </c>
    </row>
    <row r="125" customFormat="false" ht="15" hidden="false" customHeight="false" outlineLevel="0" collapsed="false">
      <c r="A125" s="5" t="s">
        <v>4</v>
      </c>
      <c r="B125" s="5" t="s">
        <v>85</v>
      </c>
      <c r="C125" s="5" t="s">
        <v>85</v>
      </c>
      <c r="D125" s="2" t="n">
        <v>14</v>
      </c>
      <c r="E125" s="2" t="n">
        <v>15</v>
      </c>
      <c r="F125" s="2" t="n">
        <v>15</v>
      </c>
      <c r="G125" s="8" t="n">
        <v>1</v>
      </c>
    </row>
    <row r="126" customFormat="false" ht="15" hidden="false" customHeight="false" outlineLevel="0" collapsed="false">
      <c r="A126" s="5" t="s">
        <v>4</v>
      </c>
      <c r="B126" s="5" t="s">
        <v>85</v>
      </c>
      <c r="C126" s="5" t="s">
        <v>85</v>
      </c>
      <c r="D126" s="2" t="n">
        <v>15</v>
      </c>
      <c r="E126" s="2" t="n">
        <v>15</v>
      </c>
      <c r="F126" s="2" t="n">
        <v>15</v>
      </c>
      <c r="G126" s="8" t="n">
        <v>1</v>
      </c>
    </row>
    <row r="127" customFormat="false" ht="15" hidden="false" customHeight="false" outlineLevel="0" collapsed="false">
      <c r="A127" s="5" t="s">
        <v>4</v>
      </c>
      <c r="B127" s="5" t="s">
        <v>85</v>
      </c>
      <c r="C127" s="5" t="s">
        <v>85</v>
      </c>
      <c r="D127" s="2" t="n">
        <v>16</v>
      </c>
      <c r="E127" s="2" t="n">
        <v>15</v>
      </c>
      <c r="F127" s="2" t="n">
        <v>15</v>
      </c>
      <c r="G127" s="8" t="n">
        <v>1</v>
      </c>
    </row>
    <row r="128" customFormat="false" ht="15" hidden="false" customHeight="false" outlineLevel="0" collapsed="false">
      <c r="A128" s="5" t="s">
        <v>4</v>
      </c>
      <c r="B128" s="5" t="s">
        <v>85</v>
      </c>
      <c r="C128" s="5" t="s">
        <v>85</v>
      </c>
      <c r="D128" s="2" t="n">
        <v>17</v>
      </c>
      <c r="E128" s="2" t="n">
        <v>15</v>
      </c>
      <c r="F128" s="2" t="n">
        <v>15</v>
      </c>
      <c r="G128" s="8" t="n">
        <v>1</v>
      </c>
    </row>
    <row r="129" customFormat="false" ht="15" hidden="false" customHeight="false" outlineLevel="0" collapsed="false">
      <c r="A129" s="5" t="s">
        <v>4</v>
      </c>
      <c r="B129" s="5" t="s">
        <v>85</v>
      </c>
      <c r="C129" s="5" t="s">
        <v>85</v>
      </c>
      <c r="D129" s="2" t="n">
        <v>18</v>
      </c>
      <c r="E129" s="2" t="n">
        <v>15</v>
      </c>
      <c r="F129" s="2" t="n">
        <v>15</v>
      </c>
      <c r="G129" s="8" t="n">
        <v>1</v>
      </c>
    </row>
    <row r="130" customFormat="false" ht="15" hidden="false" customHeight="false" outlineLevel="0" collapsed="false">
      <c r="A130" s="5" t="s">
        <v>4</v>
      </c>
      <c r="B130" s="5" t="s">
        <v>85</v>
      </c>
      <c r="C130" s="5" t="s">
        <v>85</v>
      </c>
      <c r="D130" s="2" t="n">
        <v>19</v>
      </c>
      <c r="E130" s="2" t="n">
        <v>15</v>
      </c>
      <c r="F130" s="2" t="n">
        <v>15</v>
      </c>
      <c r="G130" s="8" t="n">
        <v>1</v>
      </c>
    </row>
    <row r="131" customFormat="false" ht="15" hidden="false" customHeight="false" outlineLevel="0" collapsed="false">
      <c r="A131" s="5" t="s">
        <v>4</v>
      </c>
      <c r="B131" s="5" t="s">
        <v>85</v>
      </c>
      <c r="C131" s="5" t="s">
        <v>85</v>
      </c>
      <c r="D131" s="2" t="n">
        <v>20</v>
      </c>
      <c r="E131" s="2" t="n">
        <v>15</v>
      </c>
      <c r="F131" s="2" t="n">
        <v>15</v>
      </c>
      <c r="G131" s="8" t="n">
        <v>1</v>
      </c>
    </row>
  </sheetData>
  <autoFilter ref="A1:G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10" min="9" style="0" width="18"/>
    <col collapsed="false" customWidth="true" hidden="false" outlineLevel="0" max="12" min="11" style="0" width="24"/>
  </cols>
  <sheetData>
    <row r="1" customFormat="false" ht="31.5" hidden="false" customHeight="true" outlineLevel="0" collapsed="false">
      <c r="A1" s="1" t="s">
        <v>35</v>
      </c>
      <c r="B1" s="1" t="s">
        <v>38</v>
      </c>
      <c r="C1" s="6" t="s">
        <v>39</v>
      </c>
      <c r="D1" s="6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6" t="s">
        <v>185</v>
      </c>
      <c r="J1" s="1" t="s">
        <v>186</v>
      </c>
      <c r="K1" s="6" t="s">
        <v>187</v>
      </c>
      <c r="L1" s="1" t="s">
        <v>188</v>
      </c>
    </row>
    <row r="2" customFormat="false" ht="15" hidden="false" customHeight="false" outlineLevel="0" collapsed="false">
      <c r="A2" s="5" t="s">
        <v>4</v>
      </c>
      <c r="B2" s="5" t="s">
        <v>57</v>
      </c>
      <c r="C2" s="5" t="s">
        <v>58</v>
      </c>
      <c r="D2" s="2" t="n">
        <v>0</v>
      </c>
      <c r="E2" s="2" t="n">
        <v>0</v>
      </c>
      <c r="F2" s="2" t="n">
        <v>0</v>
      </c>
      <c r="G2" s="2" t="n">
        <v>10</v>
      </c>
      <c r="H2" s="9" t="n">
        <v>1</v>
      </c>
      <c r="I2" s="9" t="n">
        <v>1</v>
      </c>
      <c r="J2" s="2" t="n">
        <v>118</v>
      </c>
      <c r="K2" s="7" t="n">
        <v>0.070338765815</v>
      </c>
      <c r="L2" s="7" t="n">
        <v>0.070338765815</v>
      </c>
    </row>
    <row r="3" customFormat="false" ht="15" hidden="false" customHeight="false" outlineLevel="0" collapsed="false">
      <c r="A3" s="5" t="s">
        <v>4</v>
      </c>
      <c r="B3" s="5" t="s">
        <v>57</v>
      </c>
      <c r="C3" s="5" t="s">
        <v>62</v>
      </c>
      <c r="D3" s="7" t="n">
        <v>0.5</v>
      </c>
      <c r="E3" s="2" t="n">
        <v>4</v>
      </c>
      <c r="F3" s="2" t="n">
        <v>0</v>
      </c>
      <c r="G3" s="2" t="n">
        <v>6</v>
      </c>
      <c r="H3" s="9" t="n">
        <v>0.125</v>
      </c>
      <c r="I3" s="9" t="n">
        <v>1</v>
      </c>
      <c r="J3" s="2" t="n">
        <v>118</v>
      </c>
      <c r="K3" s="7" t="n">
        <v>0.070338765815</v>
      </c>
      <c r="L3" s="7" t="n">
        <v>0.0712690441</v>
      </c>
    </row>
    <row r="4" customFormat="false" ht="15" hidden="false" customHeight="false" outlineLevel="0" collapsed="false">
      <c r="A4" s="5" t="s">
        <v>4</v>
      </c>
      <c r="B4" s="5" t="s">
        <v>77</v>
      </c>
      <c r="C4" s="5" t="s">
        <v>58</v>
      </c>
      <c r="D4" s="7" t="n">
        <v>1.7</v>
      </c>
      <c r="E4" s="2" t="n">
        <v>8</v>
      </c>
      <c r="F4" s="2" t="n">
        <v>0</v>
      </c>
      <c r="G4" s="2" t="n">
        <v>2</v>
      </c>
      <c r="H4" s="9" t="n">
        <v>0.0078125</v>
      </c>
      <c r="I4" s="9" t="n">
        <v>0.09375</v>
      </c>
      <c r="J4" s="2" t="n">
        <v>110</v>
      </c>
      <c r="K4" s="7" t="n">
        <v>0.069631568375</v>
      </c>
      <c r="L4" s="7" t="n">
        <v>0.07245507465</v>
      </c>
    </row>
    <row r="5" customFormat="false" ht="15" hidden="false" customHeight="false" outlineLevel="0" collapsed="false">
      <c r="A5" s="5" t="s">
        <v>4</v>
      </c>
      <c r="B5" s="5" t="s">
        <v>77</v>
      </c>
      <c r="C5" s="5" t="s">
        <v>62</v>
      </c>
      <c r="D5" s="7" t="n">
        <v>2.4</v>
      </c>
      <c r="E5" s="2" t="n">
        <v>9</v>
      </c>
      <c r="F5" s="2" t="n">
        <v>0</v>
      </c>
      <c r="G5" s="2" t="n">
        <v>1</v>
      </c>
      <c r="H5" s="9" t="n">
        <v>0.00390625</v>
      </c>
      <c r="I5" s="9" t="n">
        <v>0.046875</v>
      </c>
      <c r="J5" s="2" t="n">
        <v>111</v>
      </c>
      <c r="K5" s="7" t="n">
        <v>0.0698681366</v>
      </c>
      <c r="L5" s="7" t="n">
        <v>0.06613485056</v>
      </c>
    </row>
    <row r="6" customFormat="false" ht="15" hidden="false" customHeight="false" outlineLevel="0" collapsed="false">
      <c r="A6" s="5" t="s">
        <v>4</v>
      </c>
      <c r="B6" s="5" t="s">
        <v>78</v>
      </c>
      <c r="C6" s="5" t="s">
        <v>58</v>
      </c>
      <c r="D6" s="7" t="n">
        <v>-0.5</v>
      </c>
      <c r="E6" s="2" t="n">
        <v>3</v>
      </c>
      <c r="F6" s="2" t="n">
        <v>5</v>
      </c>
      <c r="G6" s="2" t="n">
        <v>2</v>
      </c>
      <c r="H6" s="9" t="n">
        <v>0.7265625</v>
      </c>
      <c r="I6" s="9" t="n">
        <v>1</v>
      </c>
      <c r="J6" s="2" t="n">
        <v>90</v>
      </c>
      <c r="K6" s="7" t="n">
        <v>0.06916246661</v>
      </c>
      <c r="L6" s="7" t="n">
        <v>0.077996585335</v>
      </c>
    </row>
    <row r="7" customFormat="false" ht="15" hidden="false" customHeight="false" outlineLevel="0" collapsed="false">
      <c r="A7" s="5" t="s">
        <v>4</v>
      </c>
      <c r="B7" s="5" t="s">
        <v>78</v>
      </c>
      <c r="C7" s="5" t="s">
        <v>62</v>
      </c>
      <c r="D7" s="7" t="n">
        <v>-0.3</v>
      </c>
      <c r="E7" s="2" t="n">
        <v>4</v>
      </c>
      <c r="F7" s="2" t="n">
        <v>6</v>
      </c>
      <c r="G7" s="2" t="n">
        <v>0</v>
      </c>
      <c r="H7" s="9" t="n">
        <v>0.75390625</v>
      </c>
      <c r="I7" s="9" t="n">
        <v>1</v>
      </c>
      <c r="J7" s="2" t="n">
        <v>92</v>
      </c>
      <c r="K7" s="7" t="n">
        <v>0.06857564414</v>
      </c>
      <c r="L7" s="7" t="n">
        <v>0.07179194857</v>
      </c>
    </row>
    <row r="8" customFormat="false" ht="15" hidden="false" customHeight="false" outlineLevel="0" collapsed="false">
      <c r="A8" s="5" t="s">
        <v>4</v>
      </c>
      <c r="B8" s="5" t="s">
        <v>80</v>
      </c>
      <c r="C8" s="5" t="s">
        <v>58</v>
      </c>
      <c r="D8" s="7" t="n">
        <v>1.3</v>
      </c>
      <c r="E8" s="2" t="n">
        <v>7</v>
      </c>
      <c r="F8" s="2" t="n">
        <v>3</v>
      </c>
      <c r="G8" s="2" t="n">
        <v>0</v>
      </c>
      <c r="H8" s="9" t="n">
        <v>0.34375</v>
      </c>
      <c r="I8" s="9" t="n">
        <v>1</v>
      </c>
      <c r="J8" s="2" t="n">
        <v>104</v>
      </c>
      <c r="K8" s="7" t="n">
        <v>0.070338765815</v>
      </c>
      <c r="L8" s="7" t="n">
        <v>0.07181352757</v>
      </c>
    </row>
    <row r="9" customFormat="false" ht="15" hidden="false" customHeight="false" outlineLevel="0" collapsed="false">
      <c r="A9" s="5" t="s">
        <v>4</v>
      </c>
      <c r="B9" s="5" t="s">
        <v>80</v>
      </c>
      <c r="C9" s="5" t="s">
        <v>62</v>
      </c>
      <c r="D9" s="7" t="n">
        <v>1.2</v>
      </c>
      <c r="E9" s="2" t="n">
        <v>7</v>
      </c>
      <c r="F9" s="2" t="n">
        <v>2</v>
      </c>
      <c r="G9" s="2" t="n">
        <v>1</v>
      </c>
      <c r="H9" s="9" t="n">
        <v>0.1796875</v>
      </c>
      <c r="I9" s="9" t="n">
        <v>1</v>
      </c>
      <c r="J9" s="2" t="n">
        <v>103</v>
      </c>
      <c r="K9" s="7" t="n">
        <v>0.06939500015</v>
      </c>
      <c r="L9" s="7" t="n">
        <v>0.06291835354</v>
      </c>
    </row>
    <row r="10" customFormat="false" ht="15" hidden="false" customHeight="false" outlineLevel="0" collapsed="false">
      <c r="A10" s="5" t="s">
        <v>4</v>
      </c>
      <c r="B10" s="5" t="s">
        <v>81</v>
      </c>
      <c r="C10" s="5" t="s">
        <v>58</v>
      </c>
      <c r="D10" s="7" t="n">
        <v>-0.1</v>
      </c>
      <c r="E10" s="2" t="n">
        <v>5</v>
      </c>
      <c r="F10" s="2" t="n">
        <v>4</v>
      </c>
      <c r="G10" s="2" t="n">
        <v>1</v>
      </c>
      <c r="H10" s="9" t="n">
        <v>1</v>
      </c>
      <c r="I10" s="9" t="n">
        <v>1</v>
      </c>
      <c r="J10" s="2" t="n">
        <v>101</v>
      </c>
      <c r="K10" s="7" t="n">
        <v>0.0698681366</v>
      </c>
      <c r="L10" s="7" t="n">
        <v>0.07432674774</v>
      </c>
    </row>
    <row r="11" customFormat="false" ht="15" hidden="false" customHeight="false" outlineLevel="0" collapsed="false">
      <c r="A11" s="5" t="s">
        <v>4</v>
      </c>
      <c r="B11" s="5" t="s">
        <v>81</v>
      </c>
      <c r="C11" s="5" t="s">
        <v>62</v>
      </c>
      <c r="D11" s="7" t="n">
        <v>0.4</v>
      </c>
      <c r="E11" s="2" t="n">
        <v>6</v>
      </c>
      <c r="F11" s="2" t="n">
        <v>4</v>
      </c>
      <c r="G11" s="2" t="n">
        <v>0</v>
      </c>
      <c r="H11" s="9" t="n">
        <v>0.75390625</v>
      </c>
      <c r="I11" s="9" t="n">
        <v>1</v>
      </c>
      <c r="J11" s="2" t="n">
        <v>104</v>
      </c>
      <c r="K11" s="7" t="n">
        <v>0.070338765815</v>
      </c>
      <c r="L11" s="7" t="n">
        <v>0.075780952055</v>
      </c>
    </row>
    <row r="12" customFormat="false" ht="15" hidden="false" customHeight="false" outlineLevel="0" collapsed="false">
      <c r="A12" s="5" t="s">
        <v>4</v>
      </c>
      <c r="B12" s="5" t="s">
        <v>83</v>
      </c>
      <c r="C12" s="5" t="s">
        <v>58</v>
      </c>
      <c r="D12" s="2" t="n">
        <v>2</v>
      </c>
      <c r="E12" s="2" t="n">
        <v>10</v>
      </c>
      <c r="F12" s="2" t="n">
        <v>0</v>
      </c>
      <c r="G12" s="2" t="n">
        <v>0</v>
      </c>
      <c r="H12" s="9" t="n">
        <v>0.001953125</v>
      </c>
      <c r="I12" s="9" t="n">
        <v>0.0234375</v>
      </c>
      <c r="J12" s="2" t="n">
        <v>114</v>
      </c>
      <c r="K12" s="7" t="n">
        <v>0.06991995287</v>
      </c>
      <c r="L12" s="7" t="n">
        <v>0.071780791775</v>
      </c>
    </row>
    <row r="13" customFormat="false" ht="15" hidden="false" customHeight="false" outlineLevel="0" collapsed="false">
      <c r="A13" s="5" t="s">
        <v>4</v>
      </c>
      <c r="B13" s="5" t="s">
        <v>83</v>
      </c>
      <c r="C13" s="5" t="s">
        <v>62</v>
      </c>
      <c r="D13" s="7" t="n">
        <v>2.3</v>
      </c>
      <c r="E13" s="2" t="n">
        <v>10</v>
      </c>
      <c r="F13" s="2" t="n">
        <v>0</v>
      </c>
      <c r="G13" s="2" t="n">
        <v>0</v>
      </c>
      <c r="H13" s="9" t="n">
        <v>0.001953125</v>
      </c>
      <c r="I13" s="9" t="n">
        <v>0.0234375</v>
      </c>
      <c r="J13" s="2" t="n">
        <v>114</v>
      </c>
      <c r="K13" s="7" t="n">
        <v>0.06991995287</v>
      </c>
      <c r="L13" s="7" t="n">
        <v>0.06604872082</v>
      </c>
    </row>
    <row r="14" customFormat="false" ht="15" hidden="false" customHeight="false" outlineLevel="0" collapsed="false">
      <c r="A14" s="5" t="s">
        <v>4</v>
      </c>
      <c r="B14" s="5" t="s">
        <v>85</v>
      </c>
      <c r="C14" s="5" t="s">
        <v>85</v>
      </c>
      <c r="D14" s="7" t="n">
        <v>3.2</v>
      </c>
      <c r="E14" s="2" t="n">
        <v>10</v>
      </c>
      <c r="F14" s="2" t="n">
        <v>0</v>
      </c>
      <c r="G14" s="2" t="n">
        <v>0</v>
      </c>
      <c r="H14" s="9" t="n">
        <v>0.001953125</v>
      </c>
      <c r="I14" s="9" t="n">
        <v>0.0234375</v>
      </c>
      <c r="J14" s="2" t="n">
        <v>118</v>
      </c>
      <c r="K14" s="7" t="n">
        <v>0.070338765815</v>
      </c>
      <c r="L14" s="7" t="n">
        <v>0.0696492538586337</v>
      </c>
    </row>
  </sheetData>
  <autoFilter ref="A1:L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7"/>
    <col collapsed="false" customWidth="true" hidden="false" outlineLevel="0" max="7" min="4" style="0" width="25"/>
  </cols>
  <sheetData>
    <row r="1" customFormat="false" ht="31.5" hidden="false" customHeight="true" outlineLevel="0" collapsed="false">
      <c r="A1" s="1" t="s">
        <v>37</v>
      </c>
      <c r="B1" s="1" t="s">
        <v>38</v>
      </c>
      <c r="C1" s="6" t="s">
        <v>39</v>
      </c>
      <c r="D1" s="6" t="s">
        <v>4</v>
      </c>
      <c r="E1" s="6" t="s">
        <v>189</v>
      </c>
      <c r="F1" s="6" t="s">
        <v>190</v>
      </c>
      <c r="G1" s="6" t="s">
        <v>191</v>
      </c>
    </row>
    <row r="2" customFormat="false" ht="15" hidden="false" customHeight="false" outlineLevel="0" collapsed="false">
      <c r="A2" s="2" t="s">
        <v>56</v>
      </c>
      <c r="B2" s="5" t="s">
        <v>57</v>
      </c>
      <c r="C2" s="5" t="s">
        <v>58</v>
      </c>
      <c r="D2" s="8" t="n">
        <f aca="false">資料集摘要!G2</f>
        <v>0.786666666666667</v>
      </c>
      <c r="E2" s="10" t="s">
        <v>192</v>
      </c>
      <c r="F2" s="10" t="s">
        <v>192</v>
      </c>
      <c r="G2" s="10" t="s">
        <v>192</v>
      </c>
    </row>
    <row r="3" customFormat="false" ht="15" hidden="false" customHeight="false" outlineLevel="0" collapsed="false">
      <c r="A3" s="2" t="s">
        <v>56</v>
      </c>
      <c r="B3" s="5" t="s">
        <v>57</v>
      </c>
      <c r="C3" s="5" t="s">
        <v>62</v>
      </c>
      <c r="D3" s="10" t="n">
        <f aca="false">資料集摘要!G3</f>
        <v>0.82</v>
      </c>
      <c r="E3" s="10" t="s">
        <v>192</v>
      </c>
      <c r="F3" s="10" t="s">
        <v>192</v>
      </c>
      <c r="G3" s="10" t="s">
        <v>192</v>
      </c>
    </row>
    <row r="4" customFormat="false" ht="15" hidden="false" customHeight="false" outlineLevel="0" collapsed="false">
      <c r="A4" s="2" t="s">
        <v>56</v>
      </c>
      <c r="B4" s="5" t="s">
        <v>77</v>
      </c>
      <c r="C4" s="5" t="s">
        <v>58</v>
      </c>
      <c r="D4" s="10" t="n">
        <f aca="false">資料集摘要!G4</f>
        <v>0.9</v>
      </c>
      <c r="E4" s="10" t="s">
        <v>192</v>
      </c>
      <c r="F4" s="10" t="s">
        <v>192</v>
      </c>
      <c r="G4" s="10" t="s">
        <v>192</v>
      </c>
    </row>
    <row r="5" customFormat="false" ht="15" hidden="false" customHeight="false" outlineLevel="0" collapsed="false">
      <c r="A5" s="2" t="s">
        <v>56</v>
      </c>
      <c r="B5" s="5" t="s">
        <v>77</v>
      </c>
      <c r="C5" s="5" t="s">
        <v>62</v>
      </c>
      <c r="D5" s="10" t="n">
        <f aca="false">資料集摘要!G5</f>
        <v>0.946666666666667</v>
      </c>
      <c r="E5" s="10" t="s">
        <v>192</v>
      </c>
      <c r="F5" s="10" t="s">
        <v>192</v>
      </c>
      <c r="G5" s="10" t="s">
        <v>192</v>
      </c>
    </row>
    <row r="6" customFormat="false" ht="15" hidden="false" customHeight="false" outlineLevel="0" collapsed="false">
      <c r="A6" s="2" t="s">
        <v>56</v>
      </c>
      <c r="B6" s="5" t="s">
        <v>78</v>
      </c>
      <c r="C6" s="5" t="s">
        <v>58</v>
      </c>
      <c r="D6" s="10" t="n">
        <f aca="false">資料集摘要!G6</f>
        <v>0.753333333333333</v>
      </c>
      <c r="E6" s="10" t="s">
        <v>192</v>
      </c>
      <c r="F6" s="10" t="s">
        <v>192</v>
      </c>
      <c r="G6" s="10" t="s">
        <v>192</v>
      </c>
    </row>
    <row r="7" customFormat="false" ht="15" hidden="false" customHeight="false" outlineLevel="0" collapsed="false">
      <c r="A7" s="2" t="s">
        <v>56</v>
      </c>
      <c r="B7" s="5" t="s">
        <v>78</v>
      </c>
      <c r="C7" s="5" t="s">
        <v>62</v>
      </c>
      <c r="D7" s="10" t="n">
        <f aca="false">資料集摘要!G7</f>
        <v>0.766666666666667</v>
      </c>
      <c r="E7" s="10" t="s">
        <v>192</v>
      </c>
      <c r="F7" s="10" t="s">
        <v>192</v>
      </c>
      <c r="G7" s="10" t="s">
        <v>192</v>
      </c>
    </row>
    <row r="8" customFormat="false" ht="15" hidden="false" customHeight="false" outlineLevel="0" collapsed="false">
      <c r="A8" s="2" t="s">
        <v>56</v>
      </c>
      <c r="B8" s="5" t="s">
        <v>80</v>
      </c>
      <c r="C8" s="5" t="s">
        <v>58</v>
      </c>
      <c r="D8" s="10" t="n">
        <f aca="false">資料集摘要!G8</f>
        <v>0.873333333333333</v>
      </c>
      <c r="E8" s="10" t="s">
        <v>192</v>
      </c>
      <c r="F8" s="10" t="s">
        <v>192</v>
      </c>
      <c r="G8" s="10" t="s">
        <v>192</v>
      </c>
    </row>
    <row r="9" customFormat="false" ht="15" hidden="false" customHeight="false" outlineLevel="0" collapsed="false">
      <c r="A9" s="2" t="s">
        <v>56</v>
      </c>
      <c r="B9" s="5" t="s">
        <v>80</v>
      </c>
      <c r="C9" s="5" t="s">
        <v>62</v>
      </c>
      <c r="D9" s="10" t="n">
        <f aca="false">資料集摘要!G9</f>
        <v>0.866666666666667</v>
      </c>
      <c r="E9" s="10" t="s">
        <v>192</v>
      </c>
      <c r="F9" s="10" t="s">
        <v>192</v>
      </c>
      <c r="G9" s="10" t="s">
        <v>192</v>
      </c>
    </row>
    <row r="10" customFormat="false" ht="15" hidden="false" customHeight="false" outlineLevel="0" collapsed="false">
      <c r="A10" s="2" t="s">
        <v>56</v>
      </c>
      <c r="B10" s="5" t="s">
        <v>81</v>
      </c>
      <c r="C10" s="5" t="s">
        <v>58</v>
      </c>
      <c r="D10" s="10" t="n">
        <f aca="false">資料集摘要!G10</f>
        <v>0.78</v>
      </c>
      <c r="E10" s="10" t="s">
        <v>192</v>
      </c>
      <c r="F10" s="10" t="s">
        <v>192</v>
      </c>
      <c r="G10" s="10" t="s">
        <v>192</v>
      </c>
    </row>
    <row r="11" customFormat="false" ht="15" hidden="false" customHeight="false" outlineLevel="0" collapsed="false">
      <c r="A11" s="2" t="s">
        <v>56</v>
      </c>
      <c r="B11" s="5" t="s">
        <v>81</v>
      </c>
      <c r="C11" s="5" t="s">
        <v>62</v>
      </c>
      <c r="D11" s="10" t="n">
        <f aca="false">資料集摘要!G11</f>
        <v>0.813333333333333</v>
      </c>
      <c r="E11" s="10" t="s">
        <v>192</v>
      </c>
      <c r="F11" s="10" t="s">
        <v>192</v>
      </c>
      <c r="G11" s="10" t="s">
        <v>192</v>
      </c>
    </row>
    <row r="12" customFormat="false" ht="15" hidden="false" customHeight="false" outlineLevel="0" collapsed="false">
      <c r="A12" s="2" t="s">
        <v>56</v>
      </c>
      <c r="B12" s="5" t="s">
        <v>83</v>
      </c>
      <c r="C12" s="5" t="s">
        <v>58</v>
      </c>
      <c r="D12" s="10" t="n">
        <f aca="false">資料集摘要!G12</f>
        <v>0.92</v>
      </c>
      <c r="E12" s="10" t="s">
        <v>192</v>
      </c>
      <c r="F12" s="10" t="s">
        <v>192</v>
      </c>
      <c r="G12" s="10" t="s">
        <v>192</v>
      </c>
    </row>
    <row r="13" customFormat="false" ht="15" hidden="false" customHeight="false" outlineLevel="0" collapsed="false">
      <c r="A13" s="2" t="s">
        <v>56</v>
      </c>
      <c r="B13" s="5" t="s">
        <v>83</v>
      </c>
      <c r="C13" s="5" t="s">
        <v>62</v>
      </c>
      <c r="D13" s="10" t="n">
        <f aca="false">資料集摘要!G13</f>
        <v>0.94</v>
      </c>
      <c r="E13" s="10" t="s">
        <v>192</v>
      </c>
      <c r="F13" s="10" t="s">
        <v>192</v>
      </c>
      <c r="G13" s="10" t="s">
        <v>192</v>
      </c>
    </row>
    <row r="14" customFormat="false" ht="15" hidden="false" customHeight="false" outlineLevel="0" collapsed="false">
      <c r="A14" s="2" t="s">
        <v>84</v>
      </c>
      <c r="B14" s="5" t="s">
        <v>85</v>
      </c>
      <c r="C14" s="5" t="s">
        <v>85</v>
      </c>
      <c r="D14" s="10" t="n">
        <f aca="false">資料集摘要!G14</f>
        <v>1</v>
      </c>
      <c r="E14" s="10" t="s">
        <v>192</v>
      </c>
      <c r="F14" s="10" t="s">
        <v>192</v>
      </c>
      <c r="G14" s="10" t="s">
        <v>192</v>
      </c>
    </row>
  </sheetData>
  <autoFilter ref="A1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1" min="9" style="0" width="14"/>
    <col collapsed="false" customWidth="true" hidden="false" outlineLevel="0" max="12" min="12" style="0" width="18"/>
    <col collapsed="false" customWidth="true" hidden="false" outlineLevel="0" max="13" min="13" style="0" width="25"/>
    <col collapsed="false" customWidth="true" hidden="false" outlineLevel="0" max="14" min="14" style="0" width="95"/>
  </cols>
  <sheetData>
    <row r="1" customFormat="false" ht="31.5" hidden="false" customHeight="true" outlineLevel="0" collapsed="false">
      <c r="A1" s="1" t="s">
        <v>38</v>
      </c>
      <c r="B1" s="6" t="s">
        <v>39</v>
      </c>
      <c r="C1" s="1" t="s">
        <v>37</v>
      </c>
      <c r="D1" s="1" t="s">
        <v>193</v>
      </c>
      <c r="E1" s="6" t="s">
        <v>194</v>
      </c>
      <c r="F1" s="6" t="s">
        <v>195</v>
      </c>
      <c r="G1" s="6" t="s">
        <v>196</v>
      </c>
      <c r="H1" s="6" t="s">
        <v>197</v>
      </c>
      <c r="I1" s="6" t="s">
        <v>198</v>
      </c>
      <c r="J1" s="6" t="s">
        <v>199</v>
      </c>
      <c r="K1" s="1" t="s">
        <v>200</v>
      </c>
      <c r="L1" s="1" t="s">
        <v>201</v>
      </c>
      <c r="M1" s="1" t="s">
        <v>202</v>
      </c>
      <c r="N1" s="1" t="s">
        <v>203</v>
      </c>
    </row>
    <row r="2" customFormat="false" ht="15" hidden="false" customHeight="false" outlineLevel="0" collapsed="false">
      <c r="A2" s="5" t="s">
        <v>57</v>
      </c>
      <c r="B2" s="5" t="s">
        <v>58</v>
      </c>
      <c r="C2" s="2" t="s">
        <v>56</v>
      </c>
      <c r="D2" s="7" t="n">
        <v>0.05</v>
      </c>
      <c r="E2" s="2" t="n">
        <v>183</v>
      </c>
      <c r="F2" s="2" t="n">
        <v>10</v>
      </c>
      <c r="G2" s="2" t="n">
        <v>40</v>
      </c>
      <c r="H2" s="2" t="n">
        <v>3</v>
      </c>
      <c r="I2" s="7" t="n">
        <v>0.2</v>
      </c>
      <c r="J2" s="7" t="n">
        <v>0.9</v>
      </c>
      <c r="K2" s="7" t="n">
        <v>0.99</v>
      </c>
      <c r="L2" s="2" t="n">
        <v>1000</v>
      </c>
      <c r="M2" s="2"/>
      <c r="N2" s="2" t="s">
        <v>204</v>
      </c>
    </row>
    <row r="3" customFormat="false" ht="15" hidden="false" customHeight="false" outlineLevel="0" collapsed="false">
      <c r="A3" s="5" t="s">
        <v>57</v>
      </c>
      <c r="B3" s="5" t="s">
        <v>62</v>
      </c>
      <c r="C3" s="2" t="s">
        <v>56</v>
      </c>
      <c r="D3" s="7" t="n">
        <v>0.05</v>
      </c>
      <c r="E3" s="2" t="n">
        <v>183</v>
      </c>
      <c r="F3" s="2" t="n">
        <v>10</v>
      </c>
      <c r="G3" s="2" t="n">
        <v>40</v>
      </c>
      <c r="H3" s="2" t="n">
        <v>3</v>
      </c>
      <c r="I3" s="7" t="n">
        <v>0.2</v>
      </c>
      <c r="J3" s="7" t="n">
        <v>0.9</v>
      </c>
      <c r="K3" s="7" t="n">
        <v>0.99</v>
      </c>
      <c r="L3" s="2" t="n">
        <v>1000</v>
      </c>
      <c r="M3" s="7" t="n">
        <v>0.3</v>
      </c>
      <c r="N3" s="2" t="s">
        <v>204</v>
      </c>
    </row>
    <row r="4" customFormat="false" ht="15" hidden="false" customHeight="false" outlineLevel="0" collapsed="false">
      <c r="A4" s="5" t="s">
        <v>77</v>
      </c>
      <c r="B4" s="5" t="s">
        <v>58</v>
      </c>
      <c r="C4" s="2" t="s">
        <v>56</v>
      </c>
      <c r="D4" s="7" t="n">
        <v>0.1</v>
      </c>
      <c r="E4" s="2" t="n">
        <v>183</v>
      </c>
      <c r="F4" s="2" t="n">
        <v>10</v>
      </c>
      <c r="G4" s="2" t="n">
        <v>40</v>
      </c>
      <c r="H4" s="2" t="n">
        <v>3</v>
      </c>
      <c r="I4" s="7" t="n">
        <v>0.2</v>
      </c>
      <c r="J4" s="7" t="n">
        <v>0.9</v>
      </c>
      <c r="K4" s="7" t="n">
        <v>0.99</v>
      </c>
      <c r="L4" s="2" t="n">
        <v>1000</v>
      </c>
      <c r="M4" s="2"/>
      <c r="N4" s="2" t="s">
        <v>204</v>
      </c>
    </row>
    <row r="5" customFormat="false" ht="15" hidden="false" customHeight="false" outlineLevel="0" collapsed="false">
      <c r="A5" s="5" t="s">
        <v>77</v>
      </c>
      <c r="B5" s="5" t="s">
        <v>62</v>
      </c>
      <c r="C5" s="2" t="s">
        <v>56</v>
      </c>
      <c r="D5" s="7" t="n">
        <v>0.1</v>
      </c>
      <c r="E5" s="2" t="n">
        <v>183</v>
      </c>
      <c r="F5" s="2" t="n">
        <v>10</v>
      </c>
      <c r="G5" s="2" t="n">
        <v>40</v>
      </c>
      <c r="H5" s="2" t="n">
        <v>3</v>
      </c>
      <c r="I5" s="7" t="n">
        <v>0.2</v>
      </c>
      <c r="J5" s="7" t="n">
        <v>0.9</v>
      </c>
      <c r="K5" s="7" t="n">
        <v>0.99</v>
      </c>
      <c r="L5" s="2" t="n">
        <v>1000</v>
      </c>
      <c r="M5" s="7" t="n">
        <v>0.3</v>
      </c>
      <c r="N5" s="2" t="s">
        <v>204</v>
      </c>
    </row>
    <row r="6" customFormat="false" ht="15" hidden="false" customHeight="false" outlineLevel="0" collapsed="false">
      <c r="A6" s="5" t="s">
        <v>78</v>
      </c>
      <c r="B6" s="5" t="s">
        <v>58</v>
      </c>
      <c r="C6" s="2" t="s">
        <v>56</v>
      </c>
      <c r="D6" s="7" t="n">
        <v>0.05</v>
      </c>
      <c r="E6" s="2" t="n">
        <v>183</v>
      </c>
      <c r="F6" s="2" t="n">
        <v>10</v>
      </c>
      <c r="G6" s="2" t="n">
        <v>40</v>
      </c>
      <c r="H6" s="2" t="n">
        <v>3</v>
      </c>
      <c r="I6" s="7" t="n">
        <v>0.2</v>
      </c>
      <c r="J6" s="7" t="n">
        <v>0.85</v>
      </c>
      <c r="K6" s="7" t="n">
        <v>0.99</v>
      </c>
      <c r="L6" s="2" t="n">
        <v>1000</v>
      </c>
      <c r="M6" s="2"/>
      <c r="N6" s="2" t="s">
        <v>204</v>
      </c>
    </row>
    <row r="7" customFormat="false" ht="15" hidden="false" customHeight="false" outlineLevel="0" collapsed="false">
      <c r="A7" s="5" t="s">
        <v>78</v>
      </c>
      <c r="B7" s="5" t="s">
        <v>62</v>
      </c>
      <c r="C7" s="2" t="s">
        <v>56</v>
      </c>
      <c r="D7" s="7" t="n">
        <v>0.05</v>
      </c>
      <c r="E7" s="2" t="n">
        <v>183</v>
      </c>
      <c r="F7" s="2" t="n">
        <v>10</v>
      </c>
      <c r="G7" s="2" t="n">
        <v>40</v>
      </c>
      <c r="H7" s="2" t="n">
        <v>3</v>
      </c>
      <c r="I7" s="7" t="n">
        <v>0.2</v>
      </c>
      <c r="J7" s="7" t="n">
        <v>0.85</v>
      </c>
      <c r="K7" s="7" t="n">
        <v>0.99</v>
      </c>
      <c r="L7" s="2" t="n">
        <v>1000</v>
      </c>
      <c r="M7" s="7" t="n">
        <v>0.3</v>
      </c>
      <c r="N7" s="2" t="s">
        <v>204</v>
      </c>
    </row>
    <row r="8" customFormat="false" ht="15" hidden="false" customHeight="false" outlineLevel="0" collapsed="false">
      <c r="A8" s="5" t="s">
        <v>80</v>
      </c>
      <c r="B8" s="5" t="s">
        <v>58</v>
      </c>
      <c r="C8" s="2" t="s">
        <v>56</v>
      </c>
      <c r="D8" s="7" t="n">
        <v>0.1</v>
      </c>
      <c r="E8" s="2" t="n">
        <v>183</v>
      </c>
      <c r="F8" s="2" t="n">
        <v>10</v>
      </c>
      <c r="G8" s="2" t="n">
        <v>40</v>
      </c>
      <c r="H8" s="2" t="n">
        <v>3</v>
      </c>
      <c r="I8" s="7" t="n">
        <v>0.2</v>
      </c>
      <c r="J8" s="7" t="n">
        <v>0.85</v>
      </c>
      <c r="K8" s="7" t="n">
        <v>0.99</v>
      </c>
      <c r="L8" s="2" t="n">
        <v>1000</v>
      </c>
      <c r="M8" s="2"/>
      <c r="N8" s="2" t="s">
        <v>204</v>
      </c>
    </row>
    <row r="9" customFormat="false" ht="15" hidden="false" customHeight="false" outlineLevel="0" collapsed="false">
      <c r="A9" s="5" t="s">
        <v>80</v>
      </c>
      <c r="B9" s="5" t="s">
        <v>62</v>
      </c>
      <c r="C9" s="2" t="s">
        <v>56</v>
      </c>
      <c r="D9" s="7" t="n">
        <v>0.1</v>
      </c>
      <c r="E9" s="2" t="n">
        <v>183</v>
      </c>
      <c r="F9" s="2" t="n">
        <v>10</v>
      </c>
      <c r="G9" s="2" t="n">
        <v>40</v>
      </c>
      <c r="H9" s="2" t="n">
        <v>3</v>
      </c>
      <c r="I9" s="7" t="n">
        <v>0.2</v>
      </c>
      <c r="J9" s="7" t="n">
        <v>0.85</v>
      </c>
      <c r="K9" s="7" t="n">
        <v>0.99</v>
      </c>
      <c r="L9" s="2" t="n">
        <v>1000</v>
      </c>
      <c r="M9" s="7" t="n">
        <v>0.3</v>
      </c>
      <c r="N9" s="2" t="s">
        <v>204</v>
      </c>
    </row>
    <row r="10" customFormat="false" ht="15" hidden="false" customHeight="false" outlineLevel="0" collapsed="false">
      <c r="A10" s="5" t="s">
        <v>81</v>
      </c>
      <c r="B10" s="5" t="s">
        <v>58</v>
      </c>
      <c r="C10" s="2" t="s">
        <v>56</v>
      </c>
      <c r="D10" s="7" t="n">
        <v>0.05</v>
      </c>
      <c r="E10" s="2" t="n">
        <v>183</v>
      </c>
      <c r="F10" s="2" t="n">
        <v>10</v>
      </c>
      <c r="G10" s="2" t="n">
        <v>40</v>
      </c>
      <c r="H10" s="2" t="n">
        <v>3</v>
      </c>
      <c r="I10" s="7" t="n">
        <v>0.2</v>
      </c>
      <c r="J10" s="7" t="n">
        <v>0.9</v>
      </c>
      <c r="K10" s="7" t="n">
        <v>0.999</v>
      </c>
      <c r="L10" s="2" t="n">
        <v>3000</v>
      </c>
      <c r="M10" s="2"/>
      <c r="N10" s="2" t="s">
        <v>204</v>
      </c>
    </row>
    <row r="11" customFormat="false" ht="15" hidden="false" customHeight="false" outlineLevel="0" collapsed="false">
      <c r="A11" s="5" t="s">
        <v>81</v>
      </c>
      <c r="B11" s="5" t="s">
        <v>62</v>
      </c>
      <c r="C11" s="2" t="s">
        <v>56</v>
      </c>
      <c r="D11" s="7" t="n">
        <v>0.05</v>
      </c>
      <c r="E11" s="2" t="n">
        <v>183</v>
      </c>
      <c r="F11" s="2" t="n">
        <v>10</v>
      </c>
      <c r="G11" s="2" t="n">
        <v>40</v>
      </c>
      <c r="H11" s="2" t="n">
        <v>3</v>
      </c>
      <c r="I11" s="7" t="n">
        <v>0.2</v>
      </c>
      <c r="J11" s="7" t="n">
        <v>0.9</v>
      </c>
      <c r="K11" s="7" t="n">
        <v>0.999</v>
      </c>
      <c r="L11" s="2" t="n">
        <v>3000</v>
      </c>
      <c r="M11" s="7" t="n">
        <v>0.3</v>
      </c>
      <c r="N11" s="2" t="s">
        <v>204</v>
      </c>
    </row>
    <row r="12" customFormat="false" ht="15" hidden="false" customHeight="false" outlineLevel="0" collapsed="false">
      <c r="A12" s="5" t="s">
        <v>83</v>
      </c>
      <c r="B12" s="5" t="s">
        <v>58</v>
      </c>
      <c r="C12" s="2" t="s">
        <v>56</v>
      </c>
      <c r="D12" s="7" t="n">
        <v>0.1</v>
      </c>
      <c r="E12" s="2" t="n">
        <v>183</v>
      </c>
      <c r="F12" s="2" t="n">
        <v>10</v>
      </c>
      <c r="G12" s="2" t="n">
        <v>40</v>
      </c>
      <c r="H12" s="2" t="n">
        <v>3</v>
      </c>
      <c r="I12" s="7" t="n">
        <v>0.2</v>
      </c>
      <c r="J12" s="7" t="n">
        <v>0.9</v>
      </c>
      <c r="K12" s="7" t="n">
        <v>0.999</v>
      </c>
      <c r="L12" s="2" t="n">
        <v>3000</v>
      </c>
      <c r="M12" s="2"/>
      <c r="N12" s="2" t="s">
        <v>204</v>
      </c>
    </row>
    <row r="13" customFormat="false" ht="15" hidden="false" customHeight="false" outlineLevel="0" collapsed="false">
      <c r="A13" s="5" t="s">
        <v>83</v>
      </c>
      <c r="B13" s="5" t="s">
        <v>62</v>
      </c>
      <c r="C13" s="2" t="s">
        <v>56</v>
      </c>
      <c r="D13" s="7" t="n">
        <v>0.1</v>
      </c>
      <c r="E13" s="2" t="n">
        <v>183</v>
      </c>
      <c r="F13" s="2" t="n">
        <v>10</v>
      </c>
      <c r="G13" s="2" t="n">
        <v>40</v>
      </c>
      <c r="H13" s="2" t="n">
        <v>3</v>
      </c>
      <c r="I13" s="7" t="n">
        <v>0.2</v>
      </c>
      <c r="J13" s="7" t="n">
        <v>0.9</v>
      </c>
      <c r="K13" s="7" t="n">
        <v>0.999</v>
      </c>
      <c r="L13" s="2" t="n">
        <v>3000</v>
      </c>
      <c r="M13" s="7" t="n">
        <v>0.3</v>
      </c>
      <c r="N13" s="2" t="s">
        <v>204</v>
      </c>
    </row>
    <row r="14" customFormat="false" ht="15" hidden="false" customHeight="false" outlineLevel="0" collapsed="false">
      <c r="A14" s="5" t="s">
        <v>85</v>
      </c>
      <c r="B14" s="5" t="s">
        <v>85</v>
      </c>
      <c r="C14" s="2" t="s">
        <v>84</v>
      </c>
      <c r="D14" s="7" t="n">
        <v>0.05</v>
      </c>
      <c r="E14" s="2" t="n">
        <v>183</v>
      </c>
      <c r="F14" s="2" t="n">
        <v>10</v>
      </c>
      <c r="G14" s="2" t="n">
        <v>40</v>
      </c>
      <c r="H14" s="2" t="n">
        <v>3</v>
      </c>
      <c r="I14" s="7" t="n">
        <v>0.2</v>
      </c>
      <c r="J14" s="7" t="n">
        <v>0.9</v>
      </c>
      <c r="K14" s="7" t="n">
        <v>0.99</v>
      </c>
      <c r="L14" s="2" t="n">
        <v>1000</v>
      </c>
      <c r="M14" s="2"/>
      <c r="N14" s="2" t="s">
        <v>205</v>
      </c>
    </row>
  </sheetData>
  <autoFilter ref="A1:N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115"/>
  </cols>
  <sheetData>
    <row r="1" customFormat="false" ht="31.5" hidden="false" customHeight="true" outlineLevel="0" collapsed="false">
      <c r="A1" s="1" t="s">
        <v>35</v>
      </c>
      <c r="B1" s="1" t="s">
        <v>0</v>
      </c>
      <c r="C1" s="1" t="s">
        <v>1</v>
      </c>
    </row>
    <row r="2" customFormat="false" ht="15" hidden="false" customHeight="false" outlineLevel="0" collapsed="false">
      <c r="A2" s="5" t="s">
        <v>4</v>
      </c>
      <c r="B2" s="2" t="s">
        <v>206</v>
      </c>
      <c r="C2" s="11" t="b">
        <f aca="false">TRUE()</f>
        <v>1</v>
      </c>
    </row>
    <row r="3" customFormat="false" ht="15" hidden="false" customHeight="false" outlineLevel="0" collapsed="false">
      <c r="A3" s="5" t="s">
        <v>4</v>
      </c>
      <c r="B3" s="2" t="s">
        <v>177</v>
      </c>
      <c r="C3" s="4" t="s">
        <v>207</v>
      </c>
    </row>
    <row r="4" customFormat="false" ht="15" hidden="false" customHeight="false" outlineLevel="0" collapsed="false">
      <c r="A4" s="5" t="s">
        <v>4</v>
      </c>
      <c r="B4" s="2" t="s">
        <v>208</v>
      </c>
      <c r="C4" s="3" t="s">
        <v>55</v>
      </c>
    </row>
    <row r="5" customFormat="false" ht="15" hidden="false" customHeight="false" outlineLevel="0" collapsed="false">
      <c r="A5" s="5" t="s">
        <v>4</v>
      </c>
      <c r="B5" s="2" t="s">
        <v>209</v>
      </c>
      <c r="C5" s="4" t="n">
        <v>6</v>
      </c>
    </row>
    <row r="6" customFormat="false" ht="15" hidden="false" customHeight="false" outlineLevel="0" collapsed="false">
      <c r="A6" s="5" t="s">
        <v>4</v>
      </c>
      <c r="B6" s="2" t="s">
        <v>210</v>
      </c>
      <c r="C6" s="4" t="n">
        <v>121489966</v>
      </c>
    </row>
    <row r="7" customFormat="false" ht="36" hidden="false" customHeight="true" outlineLevel="0" collapsed="false">
      <c r="A7" s="5" t="s">
        <v>4</v>
      </c>
      <c r="B7" s="2" t="s">
        <v>211</v>
      </c>
      <c r="C7" s="3" t="s">
        <v>212</v>
      </c>
    </row>
    <row r="8" customFormat="false" ht="15" hidden="false" customHeight="false" outlineLevel="0" collapsed="false">
      <c r="A8" s="5" t="s">
        <v>4</v>
      </c>
      <c r="B8" s="2" t="s">
        <v>213</v>
      </c>
      <c r="C8" s="3" t="s">
        <v>214</v>
      </c>
    </row>
    <row r="9" customFormat="false" ht="15" hidden="false" customHeight="false" outlineLevel="0" collapsed="false">
      <c r="A9" s="5" t="s">
        <v>4</v>
      </c>
      <c r="B9" s="2" t="s">
        <v>215</v>
      </c>
      <c r="C9" s="3" t="s">
        <v>216</v>
      </c>
    </row>
    <row r="10" customFormat="false" ht="15" hidden="false" customHeight="false" outlineLevel="0" collapsed="false">
      <c r="A10" s="5" t="s">
        <v>189</v>
      </c>
      <c r="B10" s="2" t="s">
        <v>206</v>
      </c>
      <c r="C10" s="11" t="b">
        <f aca="false">FALSE()</f>
        <v>0</v>
      </c>
    </row>
    <row r="11" customFormat="false" ht="15" hidden="false" customHeight="false" outlineLevel="0" collapsed="false">
      <c r="A11" s="5" t="s">
        <v>189</v>
      </c>
      <c r="B11" s="2" t="s">
        <v>177</v>
      </c>
      <c r="C11" s="4" t="s">
        <v>217</v>
      </c>
    </row>
    <row r="12" customFormat="false" ht="15" hidden="false" customHeight="false" outlineLevel="0" collapsed="false">
      <c r="A12" s="5" t="s">
        <v>189</v>
      </c>
      <c r="B12" s="2" t="s">
        <v>208</v>
      </c>
      <c r="C12" s="4"/>
    </row>
    <row r="13" customFormat="false" ht="15" hidden="false" customHeight="false" outlineLevel="0" collapsed="false">
      <c r="A13" s="5" t="s">
        <v>189</v>
      </c>
      <c r="B13" s="2" t="s">
        <v>211</v>
      </c>
      <c r="C13" s="3" t="s">
        <v>218</v>
      </c>
    </row>
    <row r="14" customFormat="false" ht="15" hidden="false" customHeight="false" outlineLevel="0" collapsed="false">
      <c r="A14" s="5" t="s">
        <v>189</v>
      </c>
      <c r="B14" s="2" t="s">
        <v>219</v>
      </c>
      <c r="C14" s="3" t="s">
        <v>220</v>
      </c>
    </row>
    <row r="15" customFormat="false" ht="15" hidden="false" customHeight="false" outlineLevel="0" collapsed="false">
      <c r="A15" s="5" t="s">
        <v>189</v>
      </c>
      <c r="B15" s="2" t="s">
        <v>215</v>
      </c>
      <c r="C15" s="3" t="s">
        <v>221</v>
      </c>
    </row>
    <row r="16" customFormat="false" ht="15" hidden="false" customHeight="false" outlineLevel="0" collapsed="false">
      <c r="A16" s="5" t="s">
        <v>190</v>
      </c>
      <c r="B16" s="2" t="s">
        <v>206</v>
      </c>
      <c r="C16" s="11" t="b">
        <f aca="false">FALSE()</f>
        <v>0</v>
      </c>
    </row>
    <row r="17" customFormat="false" ht="15" hidden="false" customHeight="false" outlineLevel="0" collapsed="false">
      <c r="A17" s="5" t="s">
        <v>190</v>
      </c>
      <c r="B17" s="2" t="s">
        <v>177</v>
      </c>
      <c r="C17" s="4" t="s">
        <v>222</v>
      </c>
    </row>
    <row r="18" customFormat="false" ht="15" hidden="false" customHeight="false" outlineLevel="0" collapsed="false">
      <c r="A18" s="5" t="s">
        <v>190</v>
      </c>
      <c r="B18" s="2" t="s">
        <v>208</v>
      </c>
      <c r="C18" s="3" t="s">
        <v>223</v>
      </c>
    </row>
    <row r="19" customFormat="false" ht="15" hidden="false" customHeight="false" outlineLevel="0" collapsed="false">
      <c r="A19" s="5" t="s">
        <v>190</v>
      </c>
      <c r="B19" s="2" t="s">
        <v>211</v>
      </c>
      <c r="C19" s="3" t="s">
        <v>224</v>
      </c>
    </row>
    <row r="20" customFormat="false" ht="15" hidden="false" customHeight="false" outlineLevel="0" collapsed="false">
      <c r="A20" s="5" t="s">
        <v>190</v>
      </c>
      <c r="B20" s="2" t="s">
        <v>219</v>
      </c>
      <c r="C20" s="3" t="s">
        <v>225</v>
      </c>
    </row>
    <row r="21" customFormat="false" ht="15" hidden="false" customHeight="false" outlineLevel="0" collapsed="false">
      <c r="A21" s="5" t="s">
        <v>190</v>
      </c>
      <c r="B21" s="2" t="s">
        <v>215</v>
      </c>
      <c r="C21" s="3" t="s">
        <v>226</v>
      </c>
    </row>
    <row r="22" customFormat="false" ht="15" hidden="false" customHeight="false" outlineLevel="0" collapsed="false">
      <c r="A22" s="5" t="s">
        <v>190</v>
      </c>
      <c r="B22" s="2" t="s">
        <v>227</v>
      </c>
      <c r="C22" s="3" t="s">
        <v>228</v>
      </c>
    </row>
    <row r="23" customFormat="false" ht="36" hidden="false" customHeight="true" outlineLevel="0" collapsed="false">
      <c r="A23" s="5" t="s">
        <v>190</v>
      </c>
      <c r="B23" s="2" t="s">
        <v>229</v>
      </c>
      <c r="C23" s="4" t="s">
        <v>230</v>
      </c>
    </row>
    <row r="24" customFormat="false" ht="15" hidden="false" customHeight="false" outlineLevel="0" collapsed="false">
      <c r="A24" s="5" t="s">
        <v>191</v>
      </c>
      <c r="B24" s="2" t="s">
        <v>206</v>
      </c>
      <c r="C24" s="11" t="b">
        <f aca="false">FALSE()</f>
        <v>0</v>
      </c>
    </row>
    <row r="25" customFormat="false" ht="15" hidden="false" customHeight="false" outlineLevel="0" collapsed="false">
      <c r="A25" s="5" t="s">
        <v>191</v>
      </c>
      <c r="B25" s="2" t="s">
        <v>231</v>
      </c>
      <c r="C25" s="11" t="b">
        <f aca="false">TRUE()</f>
        <v>1</v>
      </c>
    </row>
    <row r="26" customFormat="false" ht="15" hidden="false" customHeight="false" outlineLevel="0" collapsed="false">
      <c r="A26" s="5" t="s">
        <v>191</v>
      </c>
      <c r="B26" s="2" t="s">
        <v>232</v>
      </c>
      <c r="C26" s="11" t="b">
        <f aca="false">TRUE()</f>
        <v>1</v>
      </c>
    </row>
    <row r="27" customFormat="false" ht="15" hidden="false" customHeight="false" outlineLevel="0" collapsed="false">
      <c r="A27" s="5" t="s">
        <v>191</v>
      </c>
      <c r="B27" s="2" t="s">
        <v>177</v>
      </c>
      <c r="C27" s="4" t="s">
        <v>233</v>
      </c>
    </row>
    <row r="28" customFormat="false" ht="15" hidden="false" customHeight="false" outlineLevel="0" collapsed="false">
      <c r="A28" s="5" t="s">
        <v>191</v>
      </c>
      <c r="B28" s="2" t="s">
        <v>208</v>
      </c>
      <c r="C28" s="3" t="s">
        <v>234</v>
      </c>
    </row>
    <row r="29" customFormat="false" ht="15" hidden="false" customHeight="false" outlineLevel="0" collapsed="false">
      <c r="A29" s="5" t="s">
        <v>191</v>
      </c>
      <c r="B29" s="2" t="s">
        <v>210</v>
      </c>
      <c r="C29" s="4" t="n">
        <v>37777514</v>
      </c>
    </row>
    <row r="30" customFormat="false" ht="36" hidden="false" customHeight="true" outlineLevel="0" collapsed="false">
      <c r="A30" s="5" t="s">
        <v>191</v>
      </c>
      <c r="B30" s="2" t="s">
        <v>211</v>
      </c>
      <c r="C30" s="3" t="s">
        <v>235</v>
      </c>
    </row>
    <row r="31" customFormat="false" ht="36" hidden="false" customHeight="true" outlineLevel="0" collapsed="false">
      <c r="A31" s="5" t="s">
        <v>191</v>
      </c>
      <c r="B31" s="2" t="s">
        <v>219</v>
      </c>
      <c r="C31" s="3" t="s">
        <v>236</v>
      </c>
    </row>
    <row r="32" customFormat="false" ht="15" hidden="false" customHeight="false" outlineLevel="0" collapsed="false">
      <c r="A32" s="5" t="s">
        <v>191</v>
      </c>
      <c r="B32" s="2" t="s">
        <v>237</v>
      </c>
      <c r="C32" s="3" t="s">
        <v>238</v>
      </c>
    </row>
    <row r="33" customFormat="false" ht="15" hidden="false" customHeight="false" outlineLevel="0" collapsed="false">
      <c r="A33" s="5" t="s">
        <v>191</v>
      </c>
      <c r="B33" s="2" t="s">
        <v>215</v>
      </c>
      <c r="C33" s="3" t="s">
        <v>239</v>
      </c>
    </row>
    <row r="34" customFormat="false" ht="15" hidden="false" customHeight="false" outlineLevel="0" collapsed="false">
      <c r="A34" s="5" t="s">
        <v>191</v>
      </c>
      <c r="B34" s="2" t="s">
        <v>227</v>
      </c>
      <c r="C34" s="3" t="s">
        <v>240</v>
      </c>
    </row>
    <row r="35" customFormat="false" ht="33" hidden="false" customHeight="true" outlineLevel="0" collapsed="false">
      <c r="A35" s="5" t="s">
        <v>191</v>
      </c>
      <c r="B35" s="2" t="s">
        <v>229</v>
      </c>
      <c r="C35" s="4" t="s">
        <v>241</v>
      </c>
    </row>
  </sheetData>
  <autoFilter ref="A1:C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7"/>
    <col collapsed="false" customWidth="true" hidden="false" outlineLevel="0" max="7" min="7" style="0" width="95"/>
  </cols>
  <sheetData>
    <row r="1" customFormat="false" ht="31.5" hidden="false" customHeight="true" outlineLevel="0" collapsed="false">
      <c r="A1" s="1" t="s">
        <v>242</v>
      </c>
      <c r="B1" s="6" t="s">
        <v>39</v>
      </c>
      <c r="C1" s="6" t="s">
        <v>243</v>
      </c>
      <c r="D1" s="6" t="s">
        <v>244</v>
      </c>
      <c r="E1" s="6" t="s">
        <v>245</v>
      </c>
      <c r="F1" s="6" t="s">
        <v>246</v>
      </c>
      <c r="G1" s="1" t="s">
        <v>247</v>
      </c>
    </row>
    <row r="2" customFormat="false" ht="15" hidden="false" customHeight="false" outlineLevel="0" collapsed="false">
      <c r="A2" s="5" t="s">
        <v>60</v>
      </c>
      <c r="B2" s="5" t="s">
        <v>58</v>
      </c>
      <c r="C2" s="2" t="n">
        <v>63</v>
      </c>
      <c r="D2" s="2" t="n">
        <v>75</v>
      </c>
      <c r="E2" s="2" t="n">
        <v>63</v>
      </c>
      <c r="F2" s="2" t="n">
        <v>75</v>
      </c>
      <c r="G2" s="5" t="s">
        <v>248</v>
      </c>
    </row>
    <row r="3" customFormat="false" ht="15" hidden="false" customHeight="false" outlineLevel="0" collapsed="false">
      <c r="A3" s="5" t="s">
        <v>60</v>
      </c>
      <c r="B3" s="5" t="s">
        <v>62</v>
      </c>
      <c r="C3" s="2" t="n">
        <v>61</v>
      </c>
      <c r="D3" s="2" t="n">
        <v>75</v>
      </c>
      <c r="E3" s="2" t="n">
        <v>65</v>
      </c>
      <c r="F3" s="2" t="n">
        <v>75</v>
      </c>
      <c r="G3" s="5" t="s">
        <v>248</v>
      </c>
    </row>
    <row r="4" customFormat="false" ht="15" hidden="false" customHeight="false" outlineLevel="0" collapsed="false">
      <c r="A4" s="5" t="s">
        <v>249</v>
      </c>
      <c r="B4" s="5" t="s">
        <v>58</v>
      </c>
      <c r="C4" s="2" t="n">
        <v>64</v>
      </c>
      <c r="D4" s="2" t="n">
        <v>75</v>
      </c>
      <c r="E4" s="2" t="n">
        <v>62</v>
      </c>
      <c r="F4" s="2" t="n">
        <v>75</v>
      </c>
      <c r="G4" s="5" t="s">
        <v>250</v>
      </c>
    </row>
    <row r="5" customFormat="false" ht="15" hidden="false" customHeight="false" outlineLevel="0" collapsed="false">
      <c r="A5" s="5" t="s">
        <v>249</v>
      </c>
      <c r="B5" s="5" t="s">
        <v>62</v>
      </c>
      <c r="C5" s="2" t="n">
        <v>67</v>
      </c>
      <c r="D5" s="2" t="n">
        <v>75</v>
      </c>
      <c r="E5" s="2" t="n">
        <v>65</v>
      </c>
      <c r="F5" s="2" t="n">
        <v>75</v>
      </c>
      <c r="G5" s="5" t="s">
        <v>250</v>
      </c>
    </row>
    <row r="6" customFormat="false" ht="15" hidden="false" customHeight="false" outlineLevel="0" collapsed="false">
      <c r="A6" s="5" t="s">
        <v>251</v>
      </c>
      <c r="B6" s="5" t="s">
        <v>58</v>
      </c>
      <c r="C6" s="2" t="n">
        <v>68</v>
      </c>
      <c r="D6" s="2" t="n">
        <v>75</v>
      </c>
      <c r="E6" s="2" t="n">
        <v>67</v>
      </c>
      <c r="F6" s="2" t="n">
        <v>75</v>
      </c>
      <c r="G6" s="5" t="s">
        <v>252</v>
      </c>
    </row>
    <row r="7" customFormat="false" ht="15" hidden="false" customHeight="false" outlineLevel="0" collapsed="false">
      <c r="A7" s="5" t="s">
        <v>251</v>
      </c>
      <c r="B7" s="5" t="s">
        <v>62</v>
      </c>
      <c r="C7" s="2" t="n">
        <v>70</v>
      </c>
      <c r="D7" s="2" t="n">
        <v>75</v>
      </c>
      <c r="E7" s="2" t="n">
        <v>69</v>
      </c>
      <c r="F7" s="2" t="n">
        <v>75</v>
      </c>
      <c r="G7" s="5" t="s">
        <v>252</v>
      </c>
    </row>
    <row r="8" customFormat="false" ht="15" hidden="false" customHeight="false" outlineLevel="0" collapsed="false">
      <c r="A8" s="5" t="s">
        <v>253</v>
      </c>
      <c r="B8" s="5" t="s">
        <v>58</v>
      </c>
      <c r="C8" s="2" t="n">
        <v>62</v>
      </c>
      <c r="D8" s="2" t="n">
        <v>75</v>
      </c>
      <c r="E8" s="2" t="n">
        <v>59</v>
      </c>
      <c r="F8" s="2" t="n">
        <v>75</v>
      </c>
      <c r="G8" s="5" t="s">
        <v>254</v>
      </c>
    </row>
    <row r="9" customFormat="false" ht="15" hidden="false" customHeight="false" outlineLevel="0" collapsed="false">
      <c r="A9" s="5" t="s">
        <v>253</v>
      </c>
      <c r="B9" s="5" t="s">
        <v>62</v>
      </c>
      <c r="C9" s="2" t="n">
        <v>63</v>
      </c>
      <c r="D9" s="2" t="n">
        <v>75</v>
      </c>
      <c r="E9" s="2" t="n">
        <v>63</v>
      </c>
      <c r="F9" s="2" t="n">
        <v>75</v>
      </c>
      <c r="G9" s="5" t="s">
        <v>254</v>
      </c>
    </row>
    <row r="10" customFormat="false" ht="15" hidden="false" customHeight="false" outlineLevel="0" collapsed="false">
      <c r="A10" s="5" t="s">
        <v>255</v>
      </c>
      <c r="B10" s="5" t="s">
        <v>58</v>
      </c>
      <c r="C10" s="2" t="n">
        <v>52</v>
      </c>
      <c r="D10" s="2" t="n">
        <v>75</v>
      </c>
      <c r="E10" s="2" t="n">
        <v>57</v>
      </c>
      <c r="F10" s="2" t="n">
        <v>75</v>
      </c>
      <c r="G10" s="5" t="s">
        <v>256</v>
      </c>
    </row>
    <row r="11" customFormat="false" ht="15" hidden="false" customHeight="false" outlineLevel="0" collapsed="false">
      <c r="A11" s="5" t="s">
        <v>255</v>
      </c>
      <c r="B11" s="5" t="s">
        <v>62</v>
      </c>
      <c r="C11" s="2" t="n">
        <v>50</v>
      </c>
      <c r="D11" s="2" t="n">
        <v>75</v>
      </c>
      <c r="E11" s="2" t="n">
        <v>57</v>
      </c>
      <c r="F11" s="2" t="n">
        <v>75</v>
      </c>
      <c r="G11" s="5" t="s">
        <v>256</v>
      </c>
    </row>
    <row r="12" customFormat="false" ht="15" hidden="false" customHeight="false" outlineLevel="0" collapsed="false">
      <c r="A12" s="5" t="s">
        <v>257</v>
      </c>
      <c r="B12" s="5" t="s">
        <v>58</v>
      </c>
      <c r="C12" s="2" t="n">
        <v>62</v>
      </c>
      <c r="D12" s="2" t="n">
        <v>75</v>
      </c>
      <c r="E12" s="2" t="n">
        <v>64</v>
      </c>
      <c r="F12" s="2" t="n">
        <v>75</v>
      </c>
      <c r="G12" s="5" t="s">
        <v>258</v>
      </c>
    </row>
    <row r="13" customFormat="false" ht="15" hidden="false" customHeight="false" outlineLevel="0" collapsed="false">
      <c r="A13" s="5" t="s">
        <v>257</v>
      </c>
      <c r="B13" s="5" t="s">
        <v>62</v>
      </c>
      <c r="C13" s="2" t="n">
        <v>60</v>
      </c>
      <c r="D13" s="2" t="n">
        <v>75</v>
      </c>
      <c r="E13" s="2" t="n">
        <v>65</v>
      </c>
      <c r="F13" s="2" t="n">
        <v>75</v>
      </c>
      <c r="G13" s="5" t="s">
        <v>258</v>
      </c>
    </row>
    <row r="14" customFormat="false" ht="15" hidden="false" customHeight="false" outlineLevel="0" collapsed="false">
      <c r="A14" s="5" t="s">
        <v>259</v>
      </c>
      <c r="B14" s="5" t="s">
        <v>58</v>
      </c>
      <c r="C14" s="2" t="n">
        <v>58</v>
      </c>
      <c r="D14" s="2" t="n">
        <v>75</v>
      </c>
      <c r="E14" s="2" t="n">
        <v>54</v>
      </c>
      <c r="F14" s="2" t="n">
        <v>75</v>
      </c>
      <c r="G14" s="5" t="s">
        <v>260</v>
      </c>
    </row>
    <row r="15" customFormat="false" ht="15" hidden="false" customHeight="false" outlineLevel="0" collapsed="false">
      <c r="A15" s="5" t="s">
        <v>259</v>
      </c>
      <c r="B15" s="5" t="s">
        <v>62</v>
      </c>
      <c r="C15" s="2" t="n">
        <v>57</v>
      </c>
      <c r="D15" s="2" t="n">
        <v>75</v>
      </c>
      <c r="E15" s="2" t="n">
        <v>58</v>
      </c>
      <c r="F15" s="2" t="n">
        <v>75</v>
      </c>
      <c r="G15" s="5" t="s">
        <v>260</v>
      </c>
    </row>
    <row r="16" customFormat="false" ht="15" hidden="false" customHeight="false" outlineLevel="0" collapsed="false">
      <c r="A16" s="5" t="s">
        <v>261</v>
      </c>
      <c r="B16" s="5" t="s">
        <v>58</v>
      </c>
      <c r="C16" s="2" t="n">
        <v>60</v>
      </c>
      <c r="D16" s="2" t="n">
        <v>75</v>
      </c>
      <c r="E16" s="2" t="n">
        <v>63</v>
      </c>
      <c r="F16" s="2" t="n">
        <v>75</v>
      </c>
      <c r="G16" s="5" t="s">
        <v>262</v>
      </c>
    </row>
    <row r="17" customFormat="false" ht="15" hidden="false" customHeight="false" outlineLevel="0" collapsed="false">
      <c r="A17" s="5" t="s">
        <v>261</v>
      </c>
      <c r="B17" s="5" t="s">
        <v>62</v>
      </c>
      <c r="C17" s="2" t="n">
        <v>60</v>
      </c>
      <c r="D17" s="2" t="n">
        <v>75</v>
      </c>
      <c r="E17" s="2" t="n">
        <v>64</v>
      </c>
      <c r="F17" s="2" t="n">
        <v>75</v>
      </c>
      <c r="G17" s="5" t="s">
        <v>262</v>
      </c>
    </row>
    <row r="18" customFormat="false" ht="15" hidden="false" customHeight="false" outlineLevel="0" collapsed="false">
      <c r="A18" s="5" t="s">
        <v>263</v>
      </c>
      <c r="B18" s="5" t="s">
        <v>58</v>
      </c>
      <c r="C18" s="2" t="n">
        <v>58</v>
      </c>
      <c r="D18" s="2" t="n">
        <v>75</v>
      </c>
      <c r="E18" s="2" t="n">
        <v>63</v>
      </c>
      <c r="F18" s="2" t="n">
        <v>75</v>
      </c>
      <c r="G18" s="5" t="s">
        <v>264</v>
      </c>
    </row>
    <row r="19" customFormat="false" ht="15" hidden="false" customHeight="false" outlineLevel="0" collapsed="false">
      <c r="A19" s="5" t="s">
        <v>263</v>
      </c>
      <c r="B19" s="5" t="s">
        <v>62</v>
      </c>
      <c r="C19" s="2" t="n">
        <v>58</v>
      </c>
      <c r="D19" s="2" t="n">
        <v>75</v>
      </c>
      <c r="E19" s="2" t="n">
        <v>65</v>
      </c>
      <c r="F19" s="2" t="n">
        <v>75</v>
      </c>
      <c r="G19" s="5" t="s">
        <v>264</v>
      </c>
    </row>
  </sheetData>
  <autoFilter ref="A1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25"/>
    <col collapsed="false" customWidth="true" hidden="false" outlineLevel="0" max="7" min="7" style="0" width="90"/>
  </cols>
  <sheetData>
    <row r="1" customFormat="false" ht="31.5" hidden="false" customHeight="true" outlineLevel="0" collapsed="false">
      <c r="A1" s="1" t="s">
        <v>242</v>
      </c>
      <c r="B1" s="1" t="s">
        <v>265</v>
      </c>
      <c r="C1" s="6" t="s">
        <v>266</v>
      </c>
      <c r="D1" s="1" t="s">
        <v>267</v>
      </c>
      <c r="E1" s="1" t="s">
        <v>268</v>
      </c>
      <c r="F1" s="6" t="s">
        <v>269</v>
      </c>
      <c r="G1" s="1" t="s">
        <v>270</v>
      </c>
    </row>
    <row r="2" customFormat="false" ht="15" hidden="false" customHeight="false" outlineLevel="0" collapsed="false">
      <c r="A2" s="5" t="s">
        <v>60</v>
      </c>
      <c r="B2" s="5" t="s">
        <v>163</v>
      </c>
      <c r="C2" s="2" t="n">
        <v>10</v>
      </c>
      <c r="D2" s="7" t="n">
        <v>54.6</v>
      </c>
      <c r="E2" s="7" t="n">
        <v>1.89736659610103</v>
      </c>
      <c r="F2" s="7" t="n">
        <v>165.344</v>
      </c>
      <c r="G2" s="2" t="s">
        <v>271</v>
      </c>
    </row>
    <row r="3" customFormat="false" ht="15" hidden="false" customHeight="false" outlineLevel="0" collapsed="false">
      <c r="A3" s="5" t="s">
        <v>60</v>
      </c>
      <c r="B3" s="5" t="s">
        <v>164</v>
      </c>
      <c r="C3" s="2" t="n">
        <v>10</v>
      </c>
      <c r="D3" s="7" t="n">
        <v>58.7</v>
      </c>
      <c r="E3" s="7" t="n">
        <v>1.56702123647242</v>
      </c>
      <c r="F3" s="7" t="n">
        <v>175.509</v>
      </c>
      <c r="G3" s="2" t="s">
        <v>271</v>
      </c>
    </row>
    <row r="4" customFormat="false" ht="15" hidden="false" customHeight="false" outlineLevel="0" collapsed="false">
      <c r="A4" s="5" t="s">
        <v>60</v>
      </c>
      <c r="B4" s="5" t="s">
        <v>165</v>
      </c>
      <c r="C4" s="2" t="n">
        <v>10</v>
      </c>
      <c r="D4" s="7" t="n">
        <v>48.8</v>
      </c>
      <c r="E4" s="7" t="n">
        <v>2.20100986922922</v>
      </c>
      <c r="F4" s="7" t="n">
        <v>167.032</v>
      </c>
      <c r="G4" s="2" t="s">
        <v>271</v>
      </c>
    </row>
    <row r="5" customFormat="false" ht="15" hidden="false" customHeight="false" outlineLevel="0" collapsed="false">
      <c r="A5" s="5" t="s">
        <v>60</v>
      </c>
      <c r="B5" s="5" t="s">
        <v>166</v>
      </c>
      <c r="C5" s="2" t="n">
        <v>10</v>
      </c>
      <c r="D5" s="7" t="n">
        <v>55</v>
      </c>
      <c r="E5" s="7" t="n">
        <v>1.9436506316151</v>
      </c>
      <c r="F5" s="7" t="n">
        <v>163.289</v>
      </c>
      <c r="G5" s="2" t="s">
        <v>271</v>
      </c>
    </row>
    <row r="6" customFormat="false" ht="15" hidden="false" customHeight="false" outlineLevel="0" collapsed="false">
      <c r="A6" s="5" t="s">
        <v>60</v>
      </c>
      <c r="B6" s="5" t="s">
        <v>167</v>
      </c>
      <c r="C6" s="2" t="n">
        <v>10</v>
      </c>
      <c r="D6" s="7" t="n">
        <v>84.8</v>
      </c>
      <c r="E6" s="7" t="n">
        <v>4.56557164487038</v>
      </c>
      <c r="F6" s="7" t="n">
        <v>191.872</v>
      </c>
      <c r="G6" s="2" t="s">
        <v>271</v>
      </c>
    </row>
    <row r="7" customFormat="false" ht="15" hidden="false" customHeight="false" outlineLevel="0" collapsed="false">
      <c r="A7" s="5" t="s">
        <v>60</v>
      </c>
      <c r="B7" s="5" t="s">
        <v>168</v>
      </c>
      <c r="C7" s="2" t="n">
        <v>10</v>
      </c>
      <c r="D7" s="7" t="n">
        <v>86.5</v>
      </c>
      <c r="E7" s="7" t="n">
        <v>3.77859468291821</v>
      </c>
      <c r="F7" s="7" t="n">
        <v>195.476</v>
      </c>
      <c r="G7" s="2" t="s">
        <v>271</v>
      </c>
    </row>
    <row r="8" customFormat="false" ht="15" hidden="false" customHeight="false" outlineLevel="0" collapsed="false">
      <c r="A8" s="5" t="s">
        <v>79</v>
      </c>
      <c r="B8" s="5" t="s">
        <v>163</v>
      </c>
      <c r="C8" s="2" t="n">
        <v>10</v>
      </c>
      <c r="D8" s="7" t="n">
        <v>58.5</v>
      </c>
      <c r="E8" s="7" t="n">
        <v>2.12132034355964</v>
      </c>
      <c r="F8" s="7" t="n">
        <v>182.206</v>
      </c>
      <c r="G8" s="2" t="s">
        <v>271</v>
      </c>
    </row>
    <row r="9" customFormat="false" ht="15" hidden="false" customHeight="false" outlineLevel="0" collapsed="false">
      <c r="A9" s="5" t="s">
        <v>79</v>
      </c>
      <c r="B9" s="5" t="s">
        <v>164</v>
      </c>
      <c r="C9" s="2" t="n">
        <v>10</v>
      </c>
      <c r="D9" s="7" t="n">
        <v>64.4</v>
      </c>
      <c r="E9" s="7" t="n">
        <v>2.54732975660571</v>
      </c>
      <c r="F9" s="7" t="n">
        <v>187.691</v>
      </c>
      <c r="G9" s="2" t="s">
        <v>271</v>
      </c>
    </row>
    <row r="10" customFormat="false" ht="15" hidden="false" customHeight="false" outlineLevel="0" collapsed="false">
      <c r="A10" s="5" t="s">
        <v>79</v>
      </c>
      <c r="B10" s="5" t="s">
        <v>165</v>
      </c>
      <c r="C10" s="2" t="n">
        <v>10</v>
      </c>
      <c r="D10" s="7" t="n">
        <v>52.8</v>
      </c>
      <c r="E10" s="7" t="n">
        <v>2.14993539954628</v>
      </c>
      <c r="F10" s="7" t="n">
        <v>173.797</v>
      </c>
      <c r="G10" s="2" t="s">
        <v>271</v>
      </c>
    </row>
    <row r="11" customFormat="false" ht="15" hidden="false" customHeight="false" outlineLevel="0" collapsed="false">
      <c r="A11" s="5" t="s">
        <v>79</v>
      </c>
      <c r="B11" s="5" t="s">
        <v>166</v>
      </c>
      <c r="C11" s="2" t="n">
        <v>10</v>
      </c>
      <c r="D11" s="7" t="n">
        <v>59.3</v>
      </c>
      <c r="E11" s="7" t="n">
        <v>2.5407785333546</v>
      </c>
      <c r="F11" s="7" t="n">
        <v>182.631</v>
      </c>
      <c r="G11" s="2" t="s">
        <v>271</v>
      </c>
    </row>
    <row r="12" customFormat="false" ht="15" hidden="false" customHeight="false" outlineLevel="0" collapsed="false">
      <c r="A12" s="5" t="s">
        <v>79</v>
      </c>
      <c r="B12" s="5" t="s">
        <v>167</v>
      </c>
      <c r="C12" s="2" t="n">
        <v>10</v>
      </c>
      <c r="D12" s="7" t="n">
        <v>83.3</v>
      </c>
      <c r="E12" s="7" t="n">
        <v>2.62678510731274</v>
      </c>
      <c r="F12" s="7" t="n">
        <v>217.172</v>
      </c>
      <c r="G12" s="2" t="s">
        <v>271</v>
      </c>
    </row>
    <row r="13" customFormat="false" ht="15" hidden="false" customHeight="false" outlineLevel="0" collapsed="false">
      <c r="A13" s="5" t="s">
        <v>79</v>
      </c>
      <c r="B13" s="5" t="s">
        <v>168</v>
      </c>
      <c r="C13" s="2" t="n">
        <v>10</v>
      </c>
      <c r="D13" s="7" t="n">
        <v>95.2</v>
      </c>
      <c r="E13" s="7" t="n">
        <v>2.82055944017416</v>
      </c>
      <c r="F13" s="7" t="n">
        <v>233.816</v>
      </c>
      <c r="G13" s="2" t="s">
        <v>271</v>
      </c>
    </row>
    <row r="14" customFormat="false" ht="15" hidden="false" customHeight="false" outlineLevel="0" collapsed="false">
      <c r="A14" s="5" t="s">
        <v>82</v>
      </c>
      <c r="B14" s="5" t="s">
        <v>163</v>
      </c>
      <c r="C14" s="2" t="n">
        <v>10</v>
      </c>
      <c r="D14" s="7" t="n">
        <v>54.7</v>
      </c>
      <c r="E14" s="7" t="n">
        <v>1.94650684275419</v>
      </c>
      <c r="F14" s="7" t="n">
        <v>177.508</v>
      </c>
      <c r="G14" s="2" t="s">
        <v>271</v>
      </c>
    </row>
    <row r="15" customFormat="false" ht="15" hidden="false" customHeight="false" outlineLevel="0" collapsed="false">
      <c r="A15" s="5" t="s">
        <v>82</v>
      </c>
      <c r="B15" s="5" t="s">
        <v>164</v>
      </c>
      <c r="C15" s="2" t="n">
        <v>10</v>
      </c>
      <c r="D15" s="7" t="n">
        <v>58.8</v>
      </c>
      <c r="E15" s="7" t="n">
        <v>2.44040069569642</v>
      </c>
      <c r="F15" s="7" t="n">
        <v>185.215</v>
      </c>
      <c r="G15" s="2" t="s">
        <v>271</v>
      </c>
    </row>
    <row r="16" customFormat="false" ht="15" hidden="false" customHeight="false" outlineLevel="0" collapsed="false">
      <c r="A16" s="5" t="s">
        <v>82</v>
      </c>
      <c r="B16" s="5" t="s">
        <v>165</v>
      </c>
      <c r="C16" s="2" t="n">
        <v>10</v>
      </c>
      <c r="D16" s="7" t="n">
        <v>48.4</v>
      </c>
      <c r="E16" s="7" t="n">
        <v>2.59058123036339</v>
      </c>
      <c r="F16" s="7" t="n">
        <v>168.588</v>
      </c>
      <c r="G16" s="2" t="s">
        <v>271</v>
      </c>
    </row>
    <row r="17" customFormat="false" ht="15" hidden="false" customHeight="false" outlineLevel="0" collapsed="false">
      <c r="A17" s="5" t="s">
        <v>82</v>
      </c>
      <c r="B17" s="5" t="s">
        <v>166</v>
      </c>
      <c r="C17" s="2" t="n">
        <v>10</v>
      </c>
      <c r="D17" s="7" t="n">
        <v>55.1</v>
      </c>
      <c r="E17" s="7" t="n">
        <v>3.03498123735734</v>
      </c>
      <c r="F17" s="7" t="n">
        <v>175.901</v>
      </c>
      <c r="G17" s="2" t="s">
        <v>271</v>
      </c>
    </row>
    <row r="18" customFormat="false" ht="15" hidden="false" customHeight="false" outlineLevel="0" collapsed="false">
      <c r="A18" s="5" t="s">
        <v>82</v>
      </c>
      <c r="B18" s="5" t="s">
        <v>167</v>
      </c>
      <c r="C18" s="2" t="n">
        <v>10</v>
      </c>
      <c r="D18" s="7" t="n">
        <v>85.3</v>
      </c>
      <c r="E18" s="7" t="n">
        <v>3.33499958354154</v>
      </c>
      <c r="F18" s="7" t="n">
        <v>162.064</v>
      </c>
      <c r="G18" s="2" t="s">
        <v>271</v>
      </c>
    </row>
    <row r="19" customFormat="false" ht="15" hidden="false" customHeight="false" outlineLevel="0" collapsed="false">
      <c r="A19" s="5" t="s">
        <v>82</v>
      </c>
      <c r="B19" s="5" t="s">
        <v>168</v>
      </c>
      <c r="C19" s="2" t="n">
        <v>10</v>
      </c>
      <c r="D19" s="7" t="n">
        <v>86.6</v>
      </c>
      <c r="E19" s="7" t="n">
        <v>2.83627298482435</v>
      </c>
      <c r="F19" s="7" t="n">
        <v>172.708</v>
      </c>
      <c r="G19" s="2" t="s">
        <v>271</v>
      </c>
    </row>
  </sheetData>
  <autoFilter ref="A1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7"/>
    <col collapsed="false" customWidth="true" hidden="false" outlineLevel="0" max="6" min="6" style="0" width="16"/>
    <col collapsed="false" customWidth="true" hidden="false" outlineLevel="0" max="7" min="7" style="0" width="19"/>
  </cols>
  <sheetData>
    <row r="1" customFormat="false" ht="31.5" hidden="false" customHeight="true" outlineLevel="0" collapsed="false">
      <c r="A1" s="6" t="s">
        <v>40</v>
      </c>
      <c r="B1" s="6" t="s">
        <v>41</v>
      </c>
      <c r="C1" s="1" t="s">
        <v>272</v>
      </c>
      <c r="D1" s="1" t="s">
        <v>273</v>
      </c>
      <c r="E1" s="6" t="s">
        <v>274</v>
      </c>
      <c r="F1" s="6" t="s">
        <v>275</v>
      </c>
      <c r="G1" s="1" t="s">
        <v>276</v>
      </c>
    </row>
    <row r="2" customFormat="false" ht="15" hidden="false" customHeight="false" outlineLevel="0" collapsed="false">
      <c r="A2" s="2" t="n">
        <v>11</v>
      </c>
      <c r="B2" s="5" t="s">
        <v>59</v>
      </c>
      <c r="C2" s="2" t="n">
        <v>1</v>
      </c>
      <c r="D2" s="7" t="n">
        <v>5.50997445781135</v>
      </c>
      <c r="E2" s="2" t="n">
        <v>23</v>
      </c>
      <c r="F2" s="7" t="n">
        <v>0.418181818181818</v>
      </c>
      <c r="G2" s="7" t="n">
        <v>0.0745594628763907</v>
      </c>
    </row>
    <row r="3" customFormat="false" ht="15" hidden="false" customHeight="false" outlineLevel="0" collapsed="false">
      <c r="A3" s="2" t="n">
        <v>11</v>
      </c>
      <c r="B3" s="5" t="s">
        <v>63</v>
      </c>
      <c r="C3" s="2" t="n">
        <v>0</v>
      </c>
      <c r="D3" s="7" t="n">
        <v>2.33389150059438</v>
      </c>
      <c r="E3" s="2" t="n">
        <v>16</v>
      </c>
      <c r="F3" s="7" t="n">
        <v>0.313725490196078</v>
      </c>
      <c r="G3" s="7" t="n">
        <v>0.115074601448221</v>
      </c>
    </row>
    <row r="4" customFormat="false" ht="15" hidden="false" customHeight="false" outlineLevel="0" collapsed="false">
      <c r="A4" s="2" t="n">
        <v>11</v>
      </c>
      <c r="B4" s="5" t="s">
        <v>64</v>
      </c>
      <c r="C4" s="2" t="n">
        <v>0</v>
      </c>
      <c r="D4" s="7" t="n">
        <v>1.94154172450612</v>
      </c>
      <c r="E4" s="2" t="n">
        <v>15</v>
      </c>
      <c r="F4" s="7" t="n">
        <v>0.277777777777778</v>
      </c>
      <c r="G4" s="7" t="n">
        <v>0.114606084127632</v>
      </c>
    </row>
    <row r="5" customFormat="false" ht="15" hidden="false" customHeight="false" outlineLevel="0" collapsed="false">
      <c r="A5" s="2" t="n">
        <v>11</v>
      </c>
      <c r="B5" s="5" t="s">
        <v>65</v>
      </c>
      <c r="C5" s="2" t="n">
        <v>0</v>
      </c>
      <c r="D5" s="7" t="n">
        <v>1.05212092940268</v>
      </c>
      <c r="E5" s="2" t="n">
        <v>12</v>
      </c>
      <c r="F5" s="7" t="n">
        <v>0.218181818181818</v>
      </c>
      <c r="G5" s="7" t="n">
        <v>0.148847993135944</v>
      </c>
    </row>
    <row r="6" customFormat="false" ht="15" hidden="false" customHeight="false" outlineLevel="0" collapsed="false">
      <c r="A6" s="2" t="n">
        <v>11</v>
      </c>
      <c r="B6" s="5" t="s">
        <v>66</v>
      </c>
      <c r="C6" s="2" t="n">
        <v>0</v>
      </c>
      <c r="D6" s="7" t="n">
        <v>0</v>
      </c>
      <c r="E6" s="2" t="n">
        <v>0</v>
      </c>
      <c r="F6" s="7" t="n">
        <v>0</v>
      </c>
      <c r="G6" s="2"/>
    </row>
    <row r="7" customFormat="false" ht="15" hidden="false" customHeight="false" outlineLevel="0" collapsed="false">
      <c r="A7" s="2" t="n">
        <v>11</v>
      </c>
      <c r="B7" s="5" t="s">
        <v>67</v>
      </c>
      <c r="C7" s="2" t="n">
        <v>0</v>
      </c>
      <c r="D7" s="7" t="n">
        <v>1.3198618721031</v>
      </c>
      <c r="E7" s="2" t="n">
        <v>12</v>
      </c>
      <c r="F7" s="7" t="n">
        <v>0.235294117647059</v>
      </c>
      <c r="G7" s="7" t="n">
        <v>0.113926129047551</v>
      </c>
    </row>
    <row r="8" customFormat="false" ht="15" hidden="false" customHeight="false" outlineLevel="0" collapsed="false">
      <c r="A8" s="2" t="n">
        <v>11</v>
      </c>
      <c r="B8" s="5" t="s">
        <v>68</v>
      </c>
      <c r="C8" s="2" t="n">
        <v>0</v>
      </c>
      <c r="D8" s="7" t="n">
        <v>0</v>
      </c>
      <c r="E8" s="2" t="n">
        <v>0</v>
      </c>
      <c r="F8" s="7" t="n">
        <v>0</v>
      </c>
      <c r="G8" s="2"/>
    </row>
    <row r="9" customFormat="false" ht="15" hidden="false" customHeight="false" outlineLevel="0" collapsed="false">
      <c r="A9" s="2" t="n">
        <v>11</v>
      </c>
      <c r="B9" s="5" t="s">
        <v>69</v>
      </c>
      <c r="C9" s="2" t="n">
        <v>1</v>
      </c>
      <c r="D9" s="7" t="n">
        <v>4.36648656456353</v>
      </c>
      <c r="E9" s="2" t="n">
        <v>22</v>
      </c>
      <c r="F9" s="7" t="n">
        <v>0.385964912280702</v>
      </c>
      <c r="G9" s="7" t="n">
        <v>0.0944636252653675</v>
      </c>
    </row>
    <row r="10" customFormat="false" ht="15" hidden="false" customHeight="false" outlineLevel="0" collapsed="false">
      <c r="A10" s="2" t="n">
        <v>11</v>
      </c>
      <c r="B10" s="5" t="s">
        <v>70</v>
      </c>
      <c r="C10" s="2" t="n">
        <v>0</v>
      </c>
      <c r="D10" s="7" t="n">
        <v>0</v>
      </c>
      <c r="E10" s="2" t="n">
        <v>12</v>
      </c>
      <c r="F10" s="7" t="n">
        <v>0.210526315789474</v>
      </c>
      <c r="G10" s="7" t="n">
        <v>0.236327981907764</v>
      </c>
    </row>
    <row r="11" customFormat="false" ht="15" hidden="false" customHeight="false" outlineLevel="0" collapsed="false">
      <c r="A11" s="2" t="n">
        <v>11</v>
      </c>
      <c r="B11" s="5" t="s">
        <v>71</v>
      </c>
      <c r="C11" s="2" t="n">
        <v>1</v>
      </c>
      <c r="D11" s="7" t="n">
        <v>4.69611300355947</v>
      </c>
      <c r="E11" s="2" t="n">
        <v>21</v>
      </c>
      <c r="F11" s="7" t="n">
        <v>0.411764705882353</v>
      </c>
      <c r="G11" s="7" t="n">
        <v>0.0841322561227823</v>
      </c>
    </row>
    <row r="12" customFormat="false" ht="15" hidden="false" customHeight="false" outlineLevel="0" collapsed="false">
      <c r="A12" s="2" t="n">
        <v>11</v>
      </c>
      <c r="B12" s="5" t="s">
        <v>72</v>
      </c>
      <c r="C12" s="2" t="n">
        <v>0</v>
      </c>
      <c r="D12" s="7" t="n">
        <v>4.06081105689798</v>
      </c>
      <c r="E12" s="2" t="n">
        <v>20</v>
      </c>
      <c r="F12" s="7" t="n">
        <v>0.392156862745098</v>
      </c>
      <c r="G12" s="7" t="n">
        <v>0.0931421370018942</v>
      </c>
    </row>
    <row r="13" customFormat="false" ht="15" hidden="false" customHeight="false" outlineLevel="0" collapsed="false">
      <c r="A13" s="2" t="n">
        <v>11</v>
      </c>
      <c r="B13" s="5" t="s">
        <v>74</v>
      </c>
      <c r="C13" s="2" t="n">
        <v>1</v>
      </c>
      <c r="D13" s="7" t="n">
        <v>7.24176366443577</v>
      </c>
      <c r="E13" s="2" t="n">
        <v>29</v>
      </c>
      <c r="F13" s="7" t="n">
        <v>0.537037037037037</v>
      </c>
      <c r="G13" s="7" t="n">
        <v>0.115059131942654</v>
      </c>
    </row>
    <row r="14" customFormat="false" ht="15" hidden="false" customHeight="false" outlineLevel="0" collapsed="false">
      <c r="A14" s="2" t="n">
        <v>11</v>
      </c>
      <c r="B14" s="5" t="s">
        <v>75</v>
      </c>
      <c r="C14" s="2" t="n">
        <v>1</v>
      </c>
      <c r="D14" s="7" t="n">
        <v>3.69232609091728</v>
      </c>
      <c r="E14" s="2" t="n">
        <v>21</v>
      </c>
      <c r="F14" s="7" t="n">
        <v>0.388888888888889</v>
      </c>
      <c r="G14" s="7" t="n">
        <v>0.121179453427902</v>
      </c>
    </row>
    <row r="15" customFormat="false" ht="15" hidden="false" customHeight="false" outlineLevel="0" collapsed="false">
      <c r="A15" s="2" t="n">
        <v>11</v>
      </c>
      <c r="B15" s="5" t="s">
        <v>76</v>
      </c>
      <c r="C15" s="2" t="n">
        <v>0</v>
      </c>
      <c r="D15" s="7" t="n">
        <v>3.42342939777366</v>
      </c>
      <c r="E15" s="2" t="n">
        <v>26</v>
      </c>
      <c r="F15" s="7" t="n">
        <v>0.325</v>
      </c>
      <c r="G15" s="7" t="n">
        <v>0.146828516618314</v>
      </c>
    </row>
    <row r="16" customFormat="false" ht="15" hidden="false" customHeight="false" outlineLevel="0" collapsed="false">
      <c r="A16" s="2" t="n">
        <v>12</v>
      </c>
      <c r="B16" s="5" t="s">
        <v>59</v>
      </c>
      <c r="C16" s="2" t="n">
        <v>1</v>
      </c>
      <c r="D16" s="7" t="n">
        <v>6.46756427754435</v>
      </c>
      <c r="E16" s="2" t="n">
        <v>25</v>
      </c>
      <c r="F16" s="7" t="n">
        <v>0.462962962962963</v>
      </c>
      <c r="G16" s="7" t="n">
        <v>0.0789556868303533</v>
      </c>
    </row>
    <row r="17" customFormat="false" ht="15" hidden="false" customHeight="false" outlineLevel="0" collapsed="false">
      <c r="A17" s="2" t="n">
        <v>12</v>
      </c>
      <c r="B17" s="5" t="s">
        <v>63</v>
      </c>
      <c r="C17" s="2" t="n">
        <v>0</v>
      </c>
      <c r="D17" s="7" t="n">
        <v>4.53313750504781</v>
      </c>
      <c r="E17" s="2" t="n">
        <v>20</v>
      </c>
      <c r="F17" s="7" t="n">
        <v>0.425531914893617</v>
      </c>
      <c r="G17" s="7" t="n">
        <v>0.0877427783383019</v>
      </c>
    </row>
    <row r="18" customFormat="false" ht="15" hidden="false" customHeight="false" outlineLevel="0" collapsed="false">
      <c r="A18" s="2" t="n">
        <v>12</v>
      </c>
      <c r="B18" s="5" t="s">
        <v>64</v>
      </c>
      <c r="C18" s="2" t="n">
        <v>0</v>
      </c>
      <c r="D18" s="7" t="n">
        <v>2.48561908757672</v>
      </c>
      <c r="E18" s="2" t="n">
        <v>15</v>
      </c>
      <c r="F18" s="7" t="n">
        <v>0.277777777777778</v>
      </c>
      <c r="G18" s="7" t="n">
        <v>0.0676309410195605</v>
      </c>
    </row>
    <row r="19" customFormat="false" ht="15" hidden="false" customHeight="false" outlineLevel="0" collapsed="false">
      <c r="A19" s="2" t="n">
        <v>12</v>
      </c>
      <c r="B19" s="5" t="s">
        <v>65</v>
      </c>
      <c r="C19" s="2" t="n">
        <v>0</v>
      </c>
      <c r="D19" s="7" t="n">
        <v>2.43853163166105</v>
      </c>
      <c r="E19" s="2" t="n">
        <v>16</v>
      </c>
      <c r="F19" s="7" t="n">
        <v>0.296296296296296</v>
      </c>
      <c r="G19" s="7" t="n">
        <v>0.0944096471494817</v>
      </c>
    </row>
    <row r="20" customFormat="false" ht="15" hidden="false" customHeight="false" outlineLevel="0" collapsed="false">
      <c r="A20" s="2" t="n">
        <v>12</v>
      </c>
      <c r="B20" s="5" t="s">
        <v>66</v>
      </c>
      <c r="C20" s="2" t="n">
        <v>0</v>
      </c>
      <c r="D20" s="7" t="n">
        <v>0.884432402589531</v>
      </c>
      <c r="E20" s="2" t="n">
        <v>10</v>
      </c>
      <c r="F20" s="7" t="n">
        <v>0.185185185185185</v>
      </c>
      <c r="G20" s="7" t="n">
        <v>0.109383085290613</v>
      </c>
    </row>
    <row r="21" customFormat="false" ht="15" hidden="false" customHeight="false" outlineLevel="0" collapsed="false">
      <c r="A21" s="2" t="n">
        <v>12</v>
      </c>
      <c r="B21" s="5" t="s">
        <v>67</v>
      </c>
      <c r="C21" s="2" t="n">
        <v>1</v>
      </c>
      <c r="D21" s="7" t="n">
        <v>6.15170127795971</v>
      </c>
      <c r="E21" s="2" t="n">
        <v>25</v>
      </c>
      <c r="F21" s="7" t="n">
        <v>0.531914893617021</v>
      </c>
      <c r="G21" s="7" t="n">
        <v>0.116165768452852</v>
      </c>
    </row>
    <row r="22" customFormat="false" ht="15" hidden="false" customHeight="false" outlineLevel="0" collapsed="false">
      <c r="A22" s="2" t="n">
        <v>12</v>
      </c>
      <c r="B22" s="5" t="s">
        <v>68</v>
      </c>
      <c r="C22" s="2" t="n">
        <v>0</v>
      </c>
      <c r="D22" s="7" t="n">
        <v>3.22596011451646</v>
      </c>
      <c r="E22" s="2" t="n">
        <v>20</v>
      </c>
      <c r="F22" s="7" t="n">
        <v>0.350877192982456</v>
      </c>
      <c r="G22" s="7" t="n">
        <v>0.117533497332189</v>
      </c>
    </row>
    <row r="23" customFormat="false" ht="15" hidden="false" customHeight="false" outlineLevel="0" collapsed="false">
      <c r="A23" s="2" t="n">
        <v>12</v>
      </c>
      <c r="B23" s="5" t="s">
        <v>69</v>
      </c>
      <c r="C23" s="2" t="n">
        <v>0</v>
      </c>
      <c r="D23" s="7" t="n">
        <v>4.65814906973286</v>
      </c>
      <c r="E23" s="2" t="n">
        <v>22</v>
      </c>
      <c r="F23" s="7" t="n">
        <v>0.372881355932203</v>
      </c>
      <c r="G23" s="7" t="n">
        <v>0.0761083577984106</v>
      </c>
    </row>
    <row r="24" customFormat="false" ht="15" hidden="false" customHeight="false" outlineLevel="0" collapsed="false">
      <c r="A24" s="2" t="n">
        <v>12</v>
      </c>
      <c r="B24" s="5" t="s">
        <v>71</v>
      </c>
      <c r="C24" s="2" t="n">
        <v>0</v>
      </c>
      <c r="D24" s="7" t="n">
        <v>4.09610565786242</v>
      </c>
      <c r="E24" s="2" t="n">
        <v>19</v>
      </c>
      <c r="F24" s="7" t="n">
        <v>0.404255319148936</v>
      </c>
      <c r="G24" s="7" t="n">
        <v>0.0875159408812247</v>
      </c>
    </row>
    <row r="25" customFormat="false" ht="15" hidden="false" customHeight="false" outlineLevel="0" collapsed="false">
      <c r="A25" s="2" t="n">
        <v>12</v>
      </c>
      <c r="B25" s="5" t="s">
        <v>72</v>
      </c>
      <c r="C25" s="2" t="n">
        <v>1</v>
      </c>
      <c r="D25" s="7" t="n">
        <v>5.21467527360706</v>
      </c>
      <c r="E25" s="2" t="n">
        <v>22</v>
      </c>
      <c r="F25" s="7" t="n">
        <v>0.468085106382979</v>
      </c>
      <c r="G25" s="7" t="n">
        <v>0.0974786885109789</v>
      </c>
    </row>
    <row r="26" customFormat="false" ht="15" hidden="false" customHeight="false" outlineLevel="0" collapsed="false">
      <c r="A26" s="2" t="n">
        <v>12</v>
      </c>
      <c r="B26" s="5" t="s">
        <v>74</v>
      </c>
      <c r="C26" s="2" t="n">
        <v>1</v>
      </c>
      <c r="D26" s="7" t="n">
        <v>9.27781322038578</v>
      </c>
      <c r="E26" s="2" t="n">
        <v>31</v>
      </c>
      <c r="F26" s="7" t="n">
        <v>0.543859649122807</v>
      </c>
      <c r="G26" s="7" t="n">
        <v>0.0817200747883343</v>
      </c>
    </row>
    <row r="27" customFormat="false" ht="15" hidden="false" customHeight="false" outlineLevel="0" collapsed="false">
      <c r="A27" s="2" t="n">
        <v>12</v>
      </c>
      <c r="B27" s="5" t="s">
        <v>75</v>
      </c>
      <c r="C27" s="2" t="n">
        <v>0</v>
      </c>
      <c r="D27" s="7" t="n">
        <v>5.12755962776863</v>
      </c>
      <c r="E27" s="2" t="n">
        <v>26</v>
      </c>
      <c r="F27" s="7" t="n">
        <v>0.456140350877193</v>
      </c>
      <c r="G27" s="7" t="n">
        <v>0.131292271250837</v>
      </c>
    </row>
    <row r="28" customFormat="false" ht="15" hidden="false" customHeight="false" outlineLevel="0" collapsed="false">
      <c r="A28" s="2" t="n">
        <v>12</v>
      </c>
      <c r="B28" s="5" t="s">
        <v>76</v>
      </c>
      <c r="C28" s="2" t="n">
        <v>1</v>
      </c>
      <c r="D28" s="7" t="n">
        <v>6.50723104987599</v>
      </c>
      <c r="E28" s="2" t="n">
        <v>30</v>
      </c>
      <c r="F28" s="7" t="n">
        <v>0.365853658536585</v>
      </c>
      <c r="G28" s="7" t="n">
        <v>0.0686678968669282</v>
      </c>
    </row>
    <row r="29" customFormat="false" ht="15" hidden="false" customHeight="false" outlineLevel="0" collapsed="false">
      <c r="A29" s="2" t="n">
        <v>13</v>
      </c>
      <c r="B29" s="5" t="s">
        <v>59</v>
      </c>
      <c r="C29" s="2" t="n">
        <v>1</v>
      </c>
      <c r="D29" s="7" t="n">
        <v>6.64904662566122</v>
      </c>
      <c r="E29" s="2" t="n">
        <v>25</v>
      </c>
      <c r="F29" s="7" t="n">
        <v>0.462962962962963</v>
      </c>
      <c r="G29" s="7" t="n">
        <v>0.074071182316654</v>
      </c>
    </row>
    <row r="30" customFormat="false" ht="15" hidden="false" customHeight="false" outlineLevel="0" collapsed="false">
      <c r="A30" s="2" t="n">
        <v>13</v>
      </c>
      <c r="B30" s="5" t="s">
        <v>63</v>
      </c>
      <c r="C30" s="2" t="n">
        <v>0</v>
      </c>
      <c r="D30" s="7" t="n">
        <v>6.00959109700148</v>
      </c>
      <c r="E30" s="2" t="n">
        <v>23</v>
      </c>
      <c r="F30" s="7" t="n">
        <v>0.469387755102041</v>
      </c>
      <c r="G30" s="7" t="n">
        <v>0.0796448076597695</v>
      </c>
    </row>
    <row r="31" customFormat="false" ht="15" hidden="false" customHeight="false" outlineLevel="0" collapsed="false">
      <c r="A31" s="2" t="n">
        <v>13</v>
      </c>
      <c r="B31" s="5" t="s">
        <v>64</v>
      </c>
      <c r="C31" s="2" t="n">
        <v>0</v>
      </c>
      <c r="D31" s="7" t="n">
        <v>2.30405989049752</v>
      </c>
      <c r="E31" s="2" t="n">
        <v>15</v>
      </c>
      <c r="F31" s="7" t="n">
        <v>0.277777777777778</v>
      </c>
      <c r="G31" s="7" t="n">
        <v>0.0808402066218404</v>
      </c>
    </row>
    <row r="32" customFormat="false" ht="15" hidden="false" customHeight="false" outlineLevel="0" collapsed="false">
      <c r="A32" s="2" t="n">
        <v>13</v>
      </c>
      <c r="B32" s="5" t="s">
        <v>65</v>
      </c>
      <c r="C32" s="2" t="n">
        <v>0</v>
      </c>
      <c r="D32" s="7" t="n">
        <v>3.36407805273435</v>
      </c>
      <c r="E32" s="2" t="n">
        <v>18</v>
      </c>
      <c r="F32" s="7" t="n">
        <v>0.333333333333333</v>
      </c>
      <c r="G32" s="7" t="n">
        <v>0.078354958058216</v>
      </c>
    </row>
    <row r="33" customFormat="false" ht="15" hidden="false" customHeight="false" outlineLevel="0" collapsed="false">
      <c r="A33" s="2" t="n">
        <v>13</v>
      </c>
      <c r="B33" s="5" t="s">
        <v>67</v>
      </c>
      <c r="C33" s="2" t="n">
        <v>1</v>
      </c>
      <c r="D33" s="7" t="n">
        <v>7.03995500139151</v>
      </c>
      <c r="E33" s="2" t="n">
        <v>25</v>
      </c>
      <c r="F33" s="7" t="n">
        <v>0.510204081632653</v>
      </c>
      <c r="G33" s="7" t="n">
        <v>0.0811815848012547</v>
      </c>
    </row>
    <row r="34" customFormat="false" ht="15" hidden="false" customHeight="false" outlineLevel="0" collapsed="false">
      <c r="A34" s="2" t="n">
        <v>13</v>
      </c>
      <c r="B34" s="5" t="s">
        <v>68</v>
      </c>
      <c r="C34" s="2" t="n">
        <v>0</v>
      </c>
      <c r="D34" s="7" t="n">
        <v>2.94089067981885</v>
      </c>
      <c r="E34" s="2" t="n">
        <v>18</v>
      </c>
      <c r="F34" s="7" t="n">
        <v>0.321428571428572</v>
      </c>
      <c r="G34" s="7" t="n">
        <v>0.0967334020750026</v>
      </c>
    </row>
    <row r="35" customFormat="false" ht="15" hidden="false" customHeight="false" outlineLevel="0" collapsed="false">
      <c r="A35" s="2" t="n">
        <v>13</v>
      </c>
      <c r="B35" s="5" t="s">
        <v>69</v>
      </c>
      <c r="C35" s="2" t="n">
        <v>0</v>
      </c>
      <c r="D35" s="7" t="n">
        <v>0</v>
      </c>
      <c r="E35" s="2" t="n">
        <v>0</v>
      </c>
      <c r="F35" s="7" t="n">
        <v>0</v>
      </c>
      <c r="G35" s="2"/>
    </row>
    <row r="36" customFormat="false" ht="15" hidden="false" customHeight="false" outlineLevel="0" collapsed="false">
      <c r="A36" s="2" t="n">
        <v>13</v>
      </c>
      <c r="B36" s="5" t="s">
        <v>70</v>
      </c>
      <c r="C36" s="2" t="n">
        <v>0</v>
      </c>
      <c r="D36" s="7" t="n">
        <v>0.955732608953644</v>
      </c>
      <c r="E36" s="2" t="n">
        <v>11</v>
      </c>
      <c r="F36" s="7" t="n">
        <v>0.189655172413793</v>
      </c>
      <c r="G36" s="7" t="n">
        <v>0.118283532130995</v>
      </c>
    </row>
    <row r="37" customFormat="false" ht="15" hidden="false" customHeight="false" outlineLevel="0" collapsed="false">
      <c r="A37" s="2" t="n">
        <v>13</v>
      </c>
      <c r="B37" s="5" t="s">
        <v>71</v>
      </c>
      <c r="C37" s="2" t="n">
        <v>1</v>
      </c>
      <c r="D37" s="7" t="n">
        <v>4.48555051808592</v>
      </c>
      <c r="E37" s="2" t="n">
        <v>20</v>
      </c>
      <c r="F37" s="7" t="n">
        <v>0.408163265306123</v>
      </c>
      <c r="G37" s="7" t="n">
        <v>0.0819902657033474</v>
      </c>
    </row>
    <row r="38" customFormat="false" ht="15" hidden="false" customHeight="false" outlineLevel="0" collapsed="false">
      <c r="A38" s="2" t="n">
        <v>13</v>
      </c>
      <c r="B38" s="5" t="s">
        <v>74</v>
      </c>
      <c r="C38" s="2" t="n">
        <v>1</v>
      </c>
      <c r="D38" s="7" t="n">
        <v>8.13150272606005</v>
      </c>
      <c r="E38" s="2" t="n">
        <v>30</v>
      </c>
      <c r="F38" s="7" t="n">
        <v>0.535714285714286</v>
      </c>
      <c r="G38" s="7" t="n">
        <v>0.0976440162766279</v>
      </c>
    </row>
    <row r="39" customFormat="false" ht="15" hidden="false" customHeight="false" outlineLevel="0" collapsed="false">
      <c r="A39" s="2" t="n">
        <v>13</v>
      </c>
      <c r="B39" s="5" t="s">
        <v>75</v>
      </c>
      <c r="C39" s="2" t="n">
        <v>1</v>
      </c>
      <c r="D39" s="7" t="n">
        <v>5.38842406801972</v>
      </c>
      <c r="E39" s="2" t="n">
        <v>25</v>
      </c>
      <c r="F39" s="7" t="n">
        <v>0.446428571428572</v>
      </c>
      <c r="G39" s="7" t="n">
        <v>0.107123903850721</v>
      </c>
    </row>
    <row r="40" customFormat="false" ht="15" hidden="false" customHeight="false" outlineLevel="0" collapsed="false">
      <c r="A40" s="2" t="n">
        <v>13</v>
      </c>
      <c r="B40" s="5" t="s">
        <v>76</v>
      </c>
      <c r="C40" s="2" t="n">
        <v>0</v>
      </c>
      <c r="D40" s="7" t="n">
        <v>4.91400382843528</v>
      </c>
      <c r="E40" s="2" t="n">
        <v>28</v>
      </c>
      <c r="F40" s="7" t="n">
        <v>0.337349397590361</v>
      </c>
      <c r="G40" s="7" t="n">
        <v>0.0922217292113479</v>
      </c>
    </row>
    <row r="41" customFormat="false" ht="15" hidden="false" customHeight="false" outlineLevel="0" collapsed="false">
      <c r="A41" s="2" t="n">
        <v>14</v>
      </c>
      <c r="B41" s="5" t="s">
        <v>63</v>
      </c>
      <c r="C41" s="2" t="n">
        <v>1</v>
      </c>
      <c r="D41" s="7" t="n">
        <v>2.94466559979916</v>
      </c>
      <c r="E41" s="2" t="n">
        <v>18</v>
      </c>
      <c r="F41" s="7" t="n">
        <v>0.346153846153846</v>
      </c>
      <c r="G41" s="7" t="n">
        <v>0.111595137702366</v>
      </c>
    </row>
    <row r="42" customFormat="false" ht="15" hidden="false" customHeight="false" outlineLevel="0" collapsed="false">
      <c r="A42" s="2" t="n">
        <v>14</v>
      </c>
      <c r="B42" s="5" t="s">
        <v>65</v>
      </c>
      <c r="C42" s="2" t="n">
        <v>0</v>
      </c>
      <c r="D42" s="7" t="n">
        <v>0</v>
      </c>
      <c r="E42" s="2" t="n">
        <v>0</v>
      </c>
      <c r="F42" s="7" t="n">
        <v>0</v>
      </c>
      <c r="G42" s="2"/>
    </row>
    <row r="43" customFormat="false" ht="15" hidden="false" customHeight="false" outlineLevel="0" collapsed="false">
      <c r="A43" s="2" t="n">
        <v>14</v>
      </c>
      <c r="B43" s="5" t="s">
        <v>66</v>
      </c>
      <c r="C43" s="2" t="n">
        <v>0</v>
      </c>
      <c r="D43" s="7" t="n">
        <v>0.427016096602018</v>
      </c>
      <c r="E43" s="2" t="n">
        <v>7</v>
      </c>
      <c r="F43" s="7" t="n">
        <v>0.132075471698113</v>
      </c>
      <c r="G43" s="7" t="n">
        <v>0.116509004986868</v>
      </c>
    </row>
    <row r="44" customFormat="false" ht="15" hidden="false" customHeight="false" outlineLevel="0" collapsed="false">
      <c r="A44" s="2" t="n">
        <v>14</v>
      </c>
      <c r="B44" s="5" t="s">
        <v>67</v>
      </c>
      <c r="C44" s="2" t="n">
        <v>1</v>
      </c>
      <c r="D44" s="7" t="n">
        <v>5.76051981463574</v>
      </c>
      <c r="E44" s="2" t="n">
        <v>26</v>
      </c>
      <c r="F44" s="7" t="n">
        <v>0.5</v>
      </c>
      <c r="G44" s="7" t="n">
        <v>0.125674078352633</v>
      </c>
    </row>
    <row r="45" customFormat="false" ht="15" hidden="false" customHeight="false" outlineLevel="0" collapsed="false">
      <c r="A45" s="2" t="n">
        <v>14</v>
      </c>
      <c r="B45" s="5" t="s">
        <v>68</v>
      </c>
      <c r="C45" s="2" t="n">
        <v>0</v>
      </c>
      <c r="D45" s="7" t="n">
        <v>1.59148115466306</v>
      </c>
      <c r="E45" s="2" t="n">
        <v>13</v>
      </c>
      <c r="F45" s="7" t="n">
        <v>0.220338983050848</v>
      </c>
      <c r="G45" s="7" t="n">
        <v>0.0799837070811846</v>
      </c>
    </row>
    <row r="46" customFormat="false" ht="15" hidden="false" customHeight="false" outlineLevel="0" collapsed="false">
      <c r="A46" s="2" t="n">
        <v>14</v>
      </c>
      <c r="B46" s="5" t="s">
        <v>71</v>
      </c>
      <c r="C46" s="2" t="n">
        <v>0</v>
      </c>
      <c r="D46" s="7" t="n">
        <v>4.92907767793829</v>
      </c>
      <c r="E46" s="2" t="n">
        <v>22</v>
      </c>
      <c r="F46" s="7" t="n">
        <v>0.423076923076923</v>
      </c>
      <c r="G46" s="7" t="n">
        <v>0.0888323316419205</v>
      </c>
    </row>
    <row r="47" customFormat="false" ht="15" hidden="false" customHeight="false" outlineLevel="0" collapsed="false">
      <c r="A47" s="2" t="n">
        <v>14</v>
      </c>
      <c r="B47" s="5" t="s">
        <v>72</v>
      </c>
      <c r="C47" s="2" t="n">
        <v>1</v>
      </c>
      <c r="D47" s="7" t="n">
        <v>5.66022899177635</v>
      </c>
      <c r="E47" s="2" t="n">
        <v>25</v>
      </c>
      <c r="F47" s="7" t="n">
        <v>0.480769230769231</v>
      </c>
      <c r="G47" s="7" t="n">
        <v>0.11234530946881</v>
      </c>
    </row>
    <row r="48" customFormat="false" ht="15" hidden="false" customHeight="false" outlineLevel="0" collapsed="false">
      <c r="A48" s="2" t="n">
        <v>14</v>
      </c>
      <c r="B48" s="5" t="s">
        <v>73</v>
      </c>
      <c r="C48" s="2" t="n">
        <v>0</v>
      </c>
      <c r="D48" s="7" t="n">
        <v>2.25837581203902</v>
      </c>
      <c r="E48" s="2" t="n">
        <v>13</v>
      </c>
      <c r="F48" s="7" t="n">
        <v>0.25</v>
      </c>
      <c r="G48" s="7" t="n">
        <v>0.0439087322258238</v>
      </c>
    </row>
    <row r="49" customFormat="false" ht="15" hidden="false" customHeight="false" outlineLevel="0" collapsed="false">
      <c r="A49" s="2" t="n">
        <v>14</v>
      </c>
      <c r="B49" s="5" t="s">
        <v>74</v>
      </c>
      <c r="C49" s="2" t="n">
        <v>1</v>
      </c>
      <c r="D49" s="7" t="n">
        <v>10.1681097269586</v>
      </c>
      <c r="E49" s="2" t="n">
        <v>30</v>
      </c>
      <c r="F49" s="7" t="n">
        <v>0.508474576271186</v>
      </c>
      <c r="G49" s="7" t="n">
        <v>0.0500203842971149</v>
      </c>
    </row>
    <row r="50" customFormat="false" ht="15" hidden="false" customHeight="false" outlineLevel="0" collapsed="false">
      <c r="A50" s="2" t="n">
        <v>14</v>
      </c>
      <c r="B50" s="5" t="s">
        <v>75</v>
      </c>
      <c r="C50" s="2" t="n">
        <v>1</v>
      </c>
      <c r="D50" s="7" t="n">
        <v>6.41988508013207</v>
      </c>
      <c r="E50" s="2" t="n">
        <v>27</v>
      </c>
      <c r="F50" s="7" t="n">
        <v>0.457627118644068</v>
      </c>
      <c r="G50" s="7" t="n">
        <v>0.0924634483197891</v>
      </c>
    </row>
    <row r="51" customFormat="false" ht="15" hidden="false" customHeight="false" outlineLevel="0" collapsed="false">
      <c r="A51" s="2" t="n">
        <v>14</v>
      </c>
      <c r="B51" s="5" t="s">
        <v>76</v>
      </c>
      <c r="C51" s="2" t="n">
        <v>0</v>
      </c>
      <c r="D51" s="7" t="n">
        <v>3.51381619689078</v>
      </c>
      <c r="E51" s="2" t="n">
        <v>26</v>
      </c>
      <c r="F51" s="7" t="n">
        <v>0.292134831460674</v>
      </c>
      <c r="G51" s="7" t="n">
        <v>0.116161153355103</v>
      </c>
    </row>
    <row r="52" customFormat="false" ht="15" hidden="false" customHeight="false" outlineLevel="0" collapsed="false">
      <c r="A52" s="2" t="n">
        <v>15</v>
      </c>
      <c r="B52" s="5" t="s">
        <v>59</v>
      </c>
      <c r="C52" s="2" t="n">
        <v>0</v>
      </c>
      <c r="D52" s="7" t="n">
        <v>4.25824792550407</v>
      </c>
      <c r="E52" s="2" t="n">
        <v>22</v>
      </c>
      <c r="F52" s="7" t="n">
        <v>0.407407407407407</v>
      </c>
      <c r="G52" s="7" t="n">
        <v>0.110484760863283</v>
      </c>
    </row>
    <row r="53" customFormat="false" ht="15" hidden="false" customHeight="false" outlineLevel="0" collapsed="false">
      <c r="A53" s="2" t="n">
        <v>15</v>
      </c>
      <c r="B53" s="5" t="s">
        <v>63</v>
      </c>
      <c r="C53" s="2" t="n">
        <v>1</v>
      </c>
      <c r="D53" s="7" t="n">
        <v>7.61935006479941</v>
      </c>
      <c r="E53" s="2" t="n">
        <v>23</v>
      </c>
      <c r="F53" s="7" t="n">
        <v>0.5</v>
      </c>
      <c r="G53" s="7" t="n">
        <v>0.0509315086220907</v>
      </c>
    </row>
    <row r="54" customFormat="false" ht="15" hidden="false" customHeight="false" outlineLevel="0" collapsed="false">
      <c r="A54" s="2" t="n">
        <v>15</v>
      </c>
      <c r="B54" s="5" t="s">
        <v>65</v>
      </c>
      <c r="C54" s="2" t="n">
        <v>0</v>
      </c>
      <c r="D54" s="7" t="n">
        <v>1.4137504475249</v>
      </c>
      <c r="E54" s="2" t="n">
        <v>12</v>
      </c>
      <c r="F54" s="7" t="n">
        <v>0.222222222222222</v>
      </c>
      <c r="G54" s="7" t="n">
        <v>0.0886235771903933</v>
      </c>
    </row>
    <row r="55" customFormat="false" ht="15" hidden="false" customHeight="false" outlineLevel="0" collapsed="false">
      <c r="A55" s="2" t="n">
        <v>15</v>
      </c>
      <c r="B55" s="5" t="s">
        <v>66</v>
      </c>
      <c r="C55" s="2" t="n">
        <v>0</v>
      </c>
      <c r="D55" s="7" t="n">
        <v>1.27807227786913</v>
      </c>
      <c r="E55" s="2" t="n">
        <v>12</v>
      </c>
      <c r="F55" s="7" t="n">
        <v>0.222222222222222</v>
      </c>
      <c r="G55" s="7" t="n">
        <v>0.108647563431441</v>
      </c>
    </row>
    <row r="56" customFormat="false" ht="15" hidden="false" customHeight="false" outlineLevel="0" collapsed="false">
      <c r="A56" s="2" t="n">
        <v>15</v>
      </c>
      <c r="B56" s="5" t="s">
        <v>67</v>
      </c>
      <c r="C56" s="2" t="n">
        <v>1</v>
      </c>
      <c r="D56" s="7" t="n">
        <v>8.23603980280923</v>
      </c>
      <c r="E56" s="2" t="n">
        <v>25</v>
      </c>
      <c r="F56" s="7" t="n">
        <v>0.543478260869565</v>
      </c>
      <c r="G56" s="7" t="n">
        <v>0.0649695344734099</v>
      </c>
    </row>
    <row r="57" customFormat="false" ht="15" hidden="false" customHeight="false" outlineLevel="0" collapsed="false">
      <c r="A57" s="2" t="n">
        <v>15</v>
      </c>
      <c r="B57" s="5" t="s">
        <v>68</v>
      </c>
      <c r="C57" s="2" t="n">
        <v>0</v>
      </c>
      <c r="D57" s="7" t="n">
        <v>3.08289069051099</v>
      </c>
      <c r="E57" s="2" t="n">
        <v>18</v>
      </c>
      <c r="F57" s="7" t="n">
        <v>0.339622641509434</v>
      </c>
      <c r="G57" s="7" t="n">
        <v>0.0982946578672415</v>
      </c>
    </row>
    <row r="58" customFormat="false" ht="15" hidden="false" customHeight="false" outlineLevel="0" collapsed="false">
      <c r="A58" s="2" t="n">
        <v>15</v>
      </c>
      <c r="B58" s="5" t="s">
        <v>69</v>
      </c>
      <c r="C58" s="2" t="n">
        <v>0</v>
      </c>
      <c r="D58" s="7" t="n">
        <v>0</v>
      </c>
      <c r="E58" s="2" t="n">
        <v>0</v>
      </c>
      <c r="F58" s="7" t="n">
        <v>0</v>
      </c>
      <c r="G58" s="2"/>
    </row>
    <row r="59" customFormat="false" ht="15" hidden="false" customHeight="false" outlineLevel="0" collapsed="false">
      <c r="A59" s="2" t="n">
        <v>15</v>
      </c>
      <c r="B59" s="5" t="s">
        <v>70</v>
      </c>
      <c r="C59" s="2" t="n">
        <v>0</v>
      </c>
      <c r="D59" s="7" t="n">
        <v>3.11495108282282</v>
      </c>
      <c r="E59" s="2" t="n">
        <v>20</v>
      </c>
      <c r="F59" s="7" t="n">
        <v>0.327868852459016</v>
      </c>
      <c r="G59" s="7" t="n">
        <v>0.110513002446187</v>
      </c>
    </row>
    <row r="60" customFormat="false" ht="15" hidden="false" customHeight="false" outlineLevel="0" collapsed="false">
      <c r="A60" s="2" t="n">
        <v>15</v>
      </c>
      <c r="B60" s="5" t="s">
        <v>71</v>
      </c>
      <c r="C60" s="2" t="n">
        <v>0</v>
      </c>
      <c r="D60" s="7" t="n">
        <v>4.13995633968285</v>
      </c>
      <c r="E60" s="2" t="n">
        <v>19</v>
      </c>
      <c r="F60" s="7" t="n">
        <v>0.41304347826087</v>
      </c>
      <c r="G60" s="7" t="n">
        <v>0.0895630157190913</v>
      </c>
    </row>
    <row r="61" customFormat="false" ht="15" hidden="false" customHeight="false" outlineLevel="0" collapsed="false">
      <c r="A61" s="2" t="n">
        <v>15</v>
      </c>
      <c r="B61" s="5" t="s">
        <v>72</v>
      </c>
      <c r="C61" s="2" t="n">
        <v>1</v>
      </c>
      <c r="D61" s="7" t="n">
        <v>4.51923002025735</v>
      </c>
      <c r="E61" s="2" t="n">
        <v>21</v>
      </c>
      <c r="F61" s="7" t="n">
        <v>0.456521739130435</v>
      </c>
      <c r="G61" s="7" t="n">
        <v>0.112136945425787</v>
      </c>
    </row>
    <row r="62" customFormat="false" ht="15" hidden="false" customHeight="false" outlineLevel="0" collapsed="false">
      <c r="A62" s="2" t="n">
        <v>15</v>
      </c>
      <c r="B62" s="5" t="s">
        <v>73</v>
      </c>
      <c r="C62" s="2" t="n">
        <v>0</v>
      </c>
      <c r="D62" s="7" t="n">
        <v>3.73749337202123</v>
      </c>
      <c r="E62" s="2" t="n">
        <v>19</v>
      </c>
      <c r="F62" s="7" t="n">
        <v>0.41304347826087</v>
      </c>
      <c r="G62" s="7" t="n">
        <v>0.109975652283563</v>
      </c>
    </row>
    <row r="63" customFormat="false" ht="15" hidden="false" customHeight="false" outlineLevel="0" collapsed="false">
      <c r="A63" s="2" t="n">
        <v>15</v>
      </c>
      <c r="B63" s="5" t="s">
        <v>74</v>
      </c>
      <c r="C63" s="2" t="n">
        <v>1</v>
      </c>
      <c r="D63" s="7" t="n">
        <v>9.95189798999027</v>
      </c>
      <c r="E63" s="2" t="n">
        <v>31</v>
      </c>
      <c r="F63" s="7" t="n">
        <v>0.584905660377359</v>
      </c>
      <c r="G63" s="7" t="n">
        <v>0.0821971596768331</v>
      </c>
    </row>
    <row r="64" customFormat="false" ht="15" hidden="false" customHeight="false" outlineLevel="0" collapsed="false">
      <c r="A64" s="2" t="n">
        <v>15</v>
      </c>
      <c r="B64" s="5" t="s">
        <v>75</v>
      </c>
      <c r="C64" s="2" t="n">
        <v>0</v>
      </c>
      <c r="D64" s="7" t="n">
        <v>0</v>
      </c>
      <c r="E64" s="2" t="n">
        <v>15</v>
      </c>
      <c r="F64" s="7" t="n">
        <v>0.283018867924528</v>
      </c>
      <c r="G64" s="7" t="n">
        <v>0.197836917247329</v>
      </c>
    </row>
    <row r="65" customFormat="false" ht="15" hidden="false" customHeight="false" outlineLevel="0" collapsed="false">
      <c r="A65" s="2" t="n">
        <v>15</v>
      </c>
      <c r="B65" s="5" t="s">
        <v>76</v>
      </c>
      <c r="C65" s="2" t="n">
        <v>1</v>
      </c>
      <c r="D65" s="7" t="n">
        <v>6.74602434641375</v>
      </c>
      <c r="E65" s="2" t="n">
        <v>31</v>
      </c>
      <c r="F65" s="7" t="n">
        <v>0.364705882352941</v>
      </c>
      <c r="G65" s="7" t="n">
        <v>0.0675932634152364</v>
      </c>
    </row>
    <row r="66" customFormat="false" ht="15" hidden="false" customHeight="false" outlineLevel="0" collapsed="false">
      <c r="A66" s="2" t="n">
        <v>16</v>
      </c>
      <c r="B66" s="5" t="s">
        <v>59</v>
      </c>
      <c r="C66" s="2" t="n">
        <v>1</v>
      </c>
      <c r="D66" s="7" t="n">
        <v>6.23487483110087</v>
      </c>
      <c r="E66" s="2" t="n">
        <v>24</v>
      </c>
      <c r="F66" s="7" t="n">
        <v>0.428571428571429</v>
      </c>
      <c r="G66" s="7" t="n">
        <v>0.0649706620316896</v>
      </c>
    </row>
    <row r="67" customFormat="false" ht="15" hidden="false" customHeight="false" outlineLevel="0" collapsed="false">
      <c r="A67" s="2" t="n">
        <v>16</v>
      </c>
      <c r="B67" s="5" t="s">
        <v>63</v>
      </c>
      <c r="C67" s="2" t="n">
        <v>0</v>
      </c>
      <c r="D67" s="7" t="n">
        <v>4.84422570847653</v>
      </c>
      <c r="E67" s="2" t="n">
        <v>20</v>
      </c>
      <c r="F67" s="7" t="n">
        <v>0.425531914893617</v>
      </c>
      <c r="G67" s="7" t="n">
        <v>0.0756862460595146</v>
      </c>
    </row>
    <row r="68" customFormat="false" ht="15" hidden="false" customHeight="false" outlineLevel="0" collapsed="false">
      <c r="A68" s="2" t="n">
        <v>16</v>
      </c>
      <c r="B68" s="5" t="s">
        <v>64</v>
      </c>
      <c r="C68" s="2" t="n">
        <v>0</v>
      </c>
      <c r="D68" s="7" t="n">
        <v>1.81797010324365</v>
      </c>
      <c r="E68" s="2" t="n">
        <v>14</v>
      </c>
      <c r="F68" s="7" t="n">
        <v>0.264150943396226</v>
      </c>
      <c r="G68" s="7" t="n">
        <v>0.103419913283994</v>
      </c>
    </row>
    <row r="69" customFormat="false" ht="15" hidden="false" customHeight="false" outlineLevel="0" collapsed="false">
      <c r="A69" s="2" t="n">
        <v>16</v>
      </c>
      <c r="B69" s="5" t="s">
        <v>65</v>
      </c>
      <c r="C69" s="2" t="n">
        <v>0</v>
      </c>
      <c r="D69" s="7" t="n">
        <v>2.62947235551703</v>
      </c>
      <c r="E69" s="2" t="n">
        <v>16</v>
      </c>
      <c r="F69" s="7" t="n">
        <v>0.285714285714286</v>
      </c>
      <c r="G69" s="7" t="n">
        <v>0.0738534562585162</v>
      </c>
    </row>
    <row r="70" customFormat="false" ht="15" hidden="false" customHeight="false" outlineLevel="0" collapsed="false">
      <c r="A70" s="2" t="n">
        <v>16</v>
      </c>
      <c r="B70" s="5" t="s">
        <v>67</v>
      </c>
      <c r="C70" s="2" t="n">
        <v>1</v>
      </c>
      <c r="D70" s="7" t="n">
        <v>6.34312436660879</v>
      </c>
      <c r="E70" s="2" t="n">
        <v>23</v>
      </c>
      <c r="F70" s="7" t="n">
        <v>0.48936170212766</v>
      </c>
      <c r="G70" s="7" t="n">
        <v>0.0774412497441474</v>
      </c>
    </row>
    <row r="71" customFormat="false" ht="15" hidden="false" customHeight="false" outlineLevel="0" collapsed="false">
      <c r="A71" s="2" t="n">
        <v>16</v>
      </c>
      <c r="B71" s="5" t="s">
        <v>68</v>
      </c>
      <c r="C71" s="2" t="n">
        <v>0</v>
      </c>
      <c r="D71" s="7" t="n">
        <v>3.17295832435727</v>
      </c>
      <c r="E71" s="2" t="n">
        <v>20</v>
      </c>
      <c r="F71" s="7" t="n">
        <v>0.377358490566038</v>
      </c>
      <c r="G71" s="7" t="n">
        <v>0.137859090470391</v>
      </c>
    </row>
    <row r="72" customFormat="false" ht="15" hidden="false" customHeight="false" outlineLevel="0" collapsed="false">
      <c r="A72" s="2" t="n">
        <v>16</v>
      </c>
      <c r="B72" s="5" t="s">
        <v>70</v>
      </c>
      <c r="C72" s="2" t="n">
        <v>0</v>
      </c>
      <c r="D72" s="7" t="n">
        <v>2.9407974070201</v>
      </c>
      <c r="E72" s="2" t="n">
        <v>19</v>
      </c>
      <c r="F72" s="7" t="n">
        <v>0.327586206896552</v>
      </c>
      <c r="G72" s="7" t="n">
        <v>0.111647967186607</v>
      </c>
    </row>
    <row r="73" customFormat="false" ht="15" hidden="false" customHeight="false" outlineLevel="0" collapsed="false">
      <c r="A73" s="2" t="n">
        <v>16</v>
      </c>
      <c r="B73" s="5" t="s">
        <v>71</v>
      </c>
      <c r="C73" s="2" t="n">
        <v>1</v>
      </c>
      <c r="D73" s="7" t="n">
        <v>4.28643389608611</v>
      </c>
      <c r="E73" s="2" t="n">
        <v>20</v>
      </c>
      <c r="F73" s="7" t="n">
        <v>0.425531914893617</v>
      </c>
      <c r="G73" s="7" t="n">
        <v>0.0985482222330152</v>
      </c>
    </row>
    <row r="74" customFormat="false" ht="15" hidden="false" customHeight="false" outlineLevel="0" collapsed="false">
      <c r="A74" s="2" t="n">
        <v>16</v>
      </c>
      <c r="B74" s="5" t="s">
        <v>72</v>
      </c>
      <c r="C74" s="2" t="n">
        <v>0</v>
      </c>
      <c r="D74" s="7" t="n">
        <v>4.24109759693552</v>
      </c>
      <c r="E74" s="2" t="n">
        <v>21</v>
      </c>
      <c r="F74" s="7" t="n">
        <v>0.446808510638298</v>
      </c>
      <c r="G74" s="7" t="n">
        <v>0.121239396381354</v>
      </c>
    </row>
    <row r="75" customFormat="false" ht="15" hidden="false" customHeight="false" outlineLevel="0" collapsed="false">
      <c r="A75" s="2" t="n">
        <v>16</v>
      </c>
      <c r="B75" s="5" t="s">
        <v>73</v>
      </c>
      <c r="C75" s="2" t="n">
        <v>0</v>
      </c>
      <c r="D75" s="7" t="n">
        <v>3.0251969198853</v>
      </c>
      <c r="E75" s="2" t="n">
        <v>18</v>
      </c>
      <c r="F75" s="7" t="n">
        <v>0.382978723404255</v>
      </c>
      <c r="G75" s="7" t="n">
        <v>0.127873332012316</v>
      </c>
    </row>
    <row r="76" customFormat="false" ht="15" hidden="false" customHeight="false" outlineLevel="0" collapsed="false">
      <c r="A76" s="2" t="n">
        <v>16</v>
      </c>
      <c r="B76" s="5" t="s">
        <v>74</v>
      </c>
      <c r="C76" s="2" t="n">
        <v>0</v>
      </c>
      <c r="D76" s="7" t="n">
        <v>5.53182015929758</v>
      </c>
      <c r="E76" s="2" t="n">
        <v>27</v>
      </c>
      <c r="F76" s="7" t="n">
        <v>0.509433962264151</v>
      </c>
      <c r="G76" s="7" t="n">
        <v>0.148647218908842</v>
      </c>
    </row>
    <row r="77" customFormat="false" ht="15" hidden="false" customHeight="false" outlineLevel="0" collapsed="false">
      <c r="A77" s="2" t="n">
        <v>16</v>
      </c>
      <c r="B77" s="5" t="s">
        <v>75</v>
      </c>
      <c r="C77" s="2" t="n">
        <v>1</v>
      </c>
      <c r="D77" s="7" t="n">
        <v>7.14828263006269</v>
      </c>
      <c r="E77" s="2" t="n">
        <v>26</v>
      </c>
      <c r="F77" s="7" t="n">
        <v>0.490566037735849</v>
      </c>
      <c r="G77" s="7" t="n">
        <v>0.0784305075948041</v>
      </c>
    </row>
    <row r="78" customFormat="false" ht="15" hidden="false" customHeight="false" outlineLevel="0" collapsed="false">
      <c r="A78" s="2" t="n">
        <v>16</v>
      </c>
      <c r="B78" s="5" t="s">
        <v>76</v>
      </c>
      <c r="C78" s="2" t="n">
        <v>1</v>
      </c>
      <c r="D78" s="7" t="n">
        <v>6.52399812042227</v>
      </c>
      <c r="E78" s="2" t="n">
        <v>33</v>
      </c>
      <c r="F78" s="7" t="n">
        <v>0.43421052631579</v>
      </c>
      <c r="G78" s="7" t="n">
        <v>0.119634449672306</v>
      </c>
    </row>
    <row r="79" customFormat="false" ht="15" hidden="false" customHeight="false" outlineLevel="0" collapsed="false">
      <c r="A79" s="2" t="n">
        <v>17</v>
      </c>
      <c r="B79" s="5" t="s">
        <v>59</v>
      </c>
      <c r="C79" s="2" t="n">
        <v>0</v>
      </c>
      <c r="D79" s="7" t="n">
        <v>3.17950313859158</v>
      </c>
      <c r="E79" s="2" t="n">
        <v>20</v>
      </c>
      <c r="F79" s="7" t="n">
        <v>0.344827586206897</v>
      </c>
      <c r="G79" s="7" t="n">
        <v>0.116906586454665</v>
      </c>
    </row>
    <row r="80" customFormat="false" ht="15" hidden="false" customHeight="false" outlineLevel="0" collapsed="false">
      <c r="A80" s="2" t="n">
        <v>17</v>
      </c>
      <c r="B80" s="5" t="s">
        <v>63</v>
      </c>
      <c r="C80" s="2" t="n">
        <v>1</v>
      </c>
      <c r="D80" s="7" t="n">
        <v>4.52943117710456</v>
      </c>
      <c r="E80" s="2" t="n">
        <v>20</v>
      </c>
      <c r="F80" s="7" t="n">
        <v>0.434782608695652</v>
      </c>
      <c r="G80" s="7" t="n">
        <v>0.0919811083093163</v>
      </c>
    </row>
    <row r="81" customFormat="false" ht="15" hidden="false" customHeight="false" outlineLevel="0" collapsed="false">
      <c r="A81" s="2" t="n">
        <v>17</v>
      </c>
      <c r="B81" s="5" t="s">
        <v>64</v>
      </c>
      <c r="C81" s="2" t="n">
        <v>0</v>
      </c>
      <c r="D81" s="7" t="n">
        <v>1.67220087150143</v>
      </c>
      <c r="E81" s="2" t="n">
        <v>14</v>
      </c>
      <c r="F81" s="7" t="n">
        <v>0.254545454545455</v>
      </c>
      <c r="G81" s="7" t="n">
        <v>0.11311054337848</v>
      </c>
    </row>
    <row r="82" customFormat="false" ht="15" hidden="false" customHeight="false" outlineLevel="0" collapsed="false">
      <c r="A82" s="2" t="n">
        <v>17</v>
      </c>
      <c r="B82" s="5" t="s">
        <v>66</v>
      </c>
      <c r="C82" s="2" t="n">
        <v>0</v>
      </c>
      <c r="D82" s="7" t="n">
        <v>1.01649711838685</v>
      </c>
      <c r="E82" s="2" t="n">
        <v>11</v>
      </c>
      <c r="F82" s="7" t="n">
        <v>0.189655172413793</v>
      </c>
      <c r="G82" s="7" t="n">
        <v>0.10523490512816</v>
      </c>
    </row>
    <row r="83" customFormat="false" ht="15" hidden="false" customHeight="false" outlineLevel="0" collapsed="false">
      <c r="A83" s="2" t="n">
        <v>17</v>
      </c>
      <c r="B83" s="5" t="s">
        <v>67</v>
      </c>
      <c r="C83" s="2" t="n">
        <v>1</v>
      </c>
      <c r="D83" s="7" t="n">
        <v>6.00764075067263</v>
      </c>
      <c r="E83" s="2" t="n">
        <v>23</v>
      </c>
      <c r="F83" s="7" t="n">
        <v>0.5</v>
      </c>
      <c r="G83" s="7" t="n">
        <v>0.0914228975611173</v>
      </c>
    </row>
    <row r="84" customFormat="false" ht="15" hidden="false" customHeight="false" outlineLevel="0" collapsed="false">
      <c r="A84" s="2" t="n">
        <v>17</v>
      </c>
      <c r="B84" s="5" t="s">
        <v>68</v>
      </c>
      <c r="C84" s="2" t="n">
        <v>0</v>
      </c>
      <c r="D84" s="7" t="n">
        <v>0</v>
      </c>
      <c r="E84" s="2" t="n">
        <v>0</v>
      </c>
      <c r="F84" s="7" t="n">
        <v>0</v>
      </c>
      <c r="G84" s="2"/>
    </row>
    <row r="85" customFormat="false" ht="15" hidden="false" customHeight="false" outlineLevel="0" collapsed="false">
      <c r="A85" s="2" t="n">
        <v>17</v>
      </c>
      <c r="B85" s="5" t="s">
        <v>69</v>
      </c>
      <c r="C85" s="2" t="n">
        <v>0</v>
      </c>
      <c r="D85" s="7" t="n">
        <v>0</v>
      </c>
      <c r="E85" s="2" t="n">
        <v>0</v>
      </c>
      <c r="F85" s="7" t="n">
        <v>0</v>
      </c>
      <c r="G85" s="2"/>
    </row>
    <row r="86" customFormat="false" ht="15" hidden="false" customHeight="false" outlineLevel="0" collapsed="false">
      <c r="A86" s="2" t="n">
        <v>17</v>
      </c>
      <c r="B86" s="5" t="s">
        <v>71</v>
      </c>
      <c r="C86" s="2" t="n">
        <v>0</v>
      </c>
      <c r="D86" s="7" t="n">
        <v>3.80541646945768</v>
      </c>
      <c r="E86" s="2" t="n">
        <v>18</v>
      </c>
      <c r="F86" s="7" t="n">
        <v>0.391304347826087</v>
      </c>
      <c r="G86" s="7" t="n">
        <v>0.0850908650183392</v>
      </c>
    </row>
    <row r="87" customFormat="false" ht="15" hidden="false" customHeight="false" outlineLevel="0" collapsed="false">
      <c r="A87" s="2" t="n">
        <v>17</v>
      </c>
      <c r="B87" s="5" t="s">
        <v>72</v>
      </c>
      <c r="C87" s="2" t="n">
        <v>1</v>
      </c>
      <c r="D87" s="7" t="n">
        <v>4.04259872689165</v>
      </c>
      <c r="E87" s="2" t="n">
        <v>21</v>
      </c>
      <c r="F87" s="7" t="n">
        <v>0.456521739130435</v>
      </c>
      <c r="G87" s="7" t="n">
        <v>0.137148358504296</v>
      </c>
    </row>
    <row r="88" customFormat="false" ht="15" hidden="false" customHeight="false" outlineLevel="0" collapsed="false">
      <c r="A88" s="2" t="n">
        <v>17</v>
      </c>
      <c r="B88" s="5" t="s">
        <v>74</v>
      </c>
      <c r="C88" s="2" t="n">
        <v>1</v>
      </c>
      <c r="D88" s="7" t="n">
        <v>11.5705260076434</v>
      </c>
      <c r="E88" s="2" t="n">
        <v>33</v>
      </c>
      <c r="F88" s="7" t="n">
        <v>0.6</v>
      </c>
      <c r="G88" s="7" t="n">
        <v>0.0711244587058553</v>
      </c>
    </row>
    <row r="89" customFormat="false" ht="15" hidden="false" customHeight="false" outlineLevel="0" collapsed="false">
      <c r="A89" s="2" t="n">
        <v>17</v>
      </c>
      <c r="B89" s="5" t="s">
        <v>75</v>
      </c>
      <c r="C89" s="2" t="n">
        <v>1</v>
      </c>
      <c r="D89" s="7" t="n">
        <v>6.1826377375918</v>
      </c>
      <c r="E89" s="2" t="n">
        <v>24</v>
      </c>
      <c r="F89" s="7" t="n">
        <v>0.436363636363636</v>
      </c>
      <c r="G89" s="7" t="n">
        <v>0.0693893078847364</v>
      </c>
    </row>
    <row r="90" customFormat="false" ht="15" hidden="false" customHeight="false" outlineLevel="0" collapsed="false">
      <c r="A90" s="2" t="n">
        <v>17</v>
      </c>
      <c r="B90" s="5" t="s">
        <v>76</v>
      </c>
      <c r="C90" s="2" t="n">
        <v>0</v>
      </c>
      <c r="D90" s="7" t="n">
        <v>3.91846034176724</v>
      </c>
      <c r="E90" s="2" t="n">
        <v>27</v>
      </c>
      <c r="F90" s="7" t="n">
        <v>0.303370786516854</v>
      </c>
      <c r="G90" s="7" t="n">
        <v>0.109036471510157</v>
      </c>
    </row>
    <row r="91" customFormat="false" ht="15" hidden="false" customHeight="false" outlineLevel="0" collapsed="false">
      <c r="A91" s="2" t="n">
        <v>18</v>
      </c>
      <c r="B91" s="5" t="s">
        <v>59</v>
      </c>
      <c r="C91" s="2" t="n">
        <v>1</v>
      </c>
      <c r="D91" s="7" t="n">
        <v>6.04040498755332</v>
      </c>
      <c r="E91" s="2" t="n">
        <v>24</v>
      </c>
      <c r="F91" s="7" t="n">
        <v>0.428571428571429</v>
      </c>
      <c r="G91" s="7" t="n">
        <v>0.0702818653204334</v>
      </c>
    </row>
    <row r="92" customFormat="false" ht="15" hidden="false" customHeight="false" outlineLevel="0" collapsed="false">
      <c r="A92" s="2" t="n">
        <v>18</v>
      </c>
      <c r="B92" s="5" t="s">
        <v>63</v>
      </c>
      <c r="C92" s="2" t="n">
        <v>0</v>
      </c>
      <c r="D92" s="7" t="n">
        <v>5.83210351998615</v>
      </c>
      <c r="E92" s="2" t="n">
        <v>23</v>
      </c>
      <c r="F92" s="7" t="n">
        <v>0.450980392156863</v>
      </c>
      <c r="G92" s="7" t="n">
        <v>0.0778526218552526</v>
      </c>
    </row>
    <row r="93" customFormat="false" ht="15" hidden="false" customHeight="false" outlineLevel="0" collapsed="false">
      <c r="A93" s="2" t="n">
        <v>18</v>
      </c>
      <c r="B93" s="5" t="s">
        <v>64</v>
      </c>
      <c r="C93" s="2" t="n">
        <v>0</v>
      </c>
      <c r="D93" s="7" t="n">
        <v>2.35654587409931</v>
      </c>
      <c r="E93" s="2" t="n">
        <v>15</v>
      </c>
      <c r="F93" s="7" t="n">
        <v>0.283018867924528</v>
      </c>
      <c r="G93" s="7" t="n">
        <v>0.0801485413684346</v>
      </c>
    </row>
    <row r="94" customFormat="false" ht="15" hidden="false" customHeight="false" outlineLevel="0" collapsed="false">
      <c r="A94" s="2" t="n">
        <v>18</v>
      </c>
      <c r="B94" s="5" t="s">
        <v>65</v>
      </c>
      <c r="C94" s="2" t="n">
        <v>0</v>
      </c>
      <c r="D94" s="7" t="n">
        <v>0</v>
      </c>
      <c r="E94" s="2" t="n">
        <v>0</v>
      </c>
      <c r="F94" s="7" t="n">
        <v>0</v>
      </c>
      <c r="G94" s="2"/>
    </row>
    <row r="95" customFormat="false" ht="15" hidden="false" customHeight="false" outlineLevel="0" collapsed="false">
      <c r="A95" s="2" t="n">
        <v>18</v>
      </c>
      <c r="B95" s="5" t="s">
        <v>66</v>
      </c>
      <c r="C95" s="2" t="n">
        <v>0</v>
      </c>
      <c r="D95" s="7" t="n">
        <v>0.922183683859718</v>
      </c>
      <c r="E95" s="2" t="n">
        <v>10</v>
      </c>
      <c r="F95" s="7" t="n">
        <v>0.178571428571429</v>
      </c>
      <c r="G95" s="7" t="n">
        <v>0.0936397614670797</v>
      </c>
    </row>
    <row r="96" customFormat="false" ht="15" hidden="false" customHeight="false" outlineLevel="0" collapsed="false">
      <c r="A96" s="2" t="n">
        <v>18</v>
      </c>
      <c r="B96" s="5" t="s">
        <v>67</v>
      </c>
      <c r="C96" s="2" t="n">
        <v>1</v>
      </c>
      <c r="D96" s="7" t="n">
        <v>6.1729168896865</v>
      </c>
      <c r="E96" s="2" t="n">
        <v>24</v>
      </c>
      <c r="F96" s="7" t="n">
        <v>0.470588235294118</v>
      </c>
      <c r="G96" s="7" t="n">
        <v>0.082962412241912</v>
      </c>
    </row>
    <row r="97" customFormat="false" ht="15" hidden="false" customHeight="false" outlineLevel="0" collapsed="false">
      <c r="A97" s="2" t="n">
        <v>18</v>
      </c>
      <c r="B97" s="5" t="s">
        <v>68</v>
      </c>
      <c r="C97" s="2" t="n">
        <v>0</v>
      </c>
      <c r="D97" s="7" t="n">
        <v>2.67312281518505</v>
      </c>
      <c r="E97" s="2" t="n">
        <v>18</v>
      </c>
      <c r="F97" s="7" t="n">
        <v>0.339622641509434</v>
      </c>
      <c r="G97" s="7" t="n">
        <v>0.128691607899304</v>
      </c>
    </row>
    <row r="98" customFormat="false" ht="15" hidden="false" customHeight="false" outlineLevel="0" collapsed="false">
      <c r="A98" s="2" t="n">
        <v>18</v>
      </c>
      <c r="B98" s="5" t="s">
        <v>70</v>
      </c>
      <c r="C98" s="2" t="n">
        <v>1</v>
      </c>
      <c r="D98" s="7" t="n">
        <v>2.69718580647462</v>
      </c>
      <c r="E98" s="2" t="n">
        <v>18</v>
      </c>
      <c r="F98" s="7" t="n">
        <v>0.3</v>
      </c>
      <c r="G98" s="7" t="n">
        <v>0.100208676281673</v>
      </c>
    </row>
    <row r="99" customFormat="false" ht="15" hidden="false" customHeight="false" outlineLevel="0" collapsed="false">
      <c r="A99" s="2" t="n">
        <v>18</v>
      </c>
      <c r="B99" s="5" t="s">
        <v>72</v>
      </c>
      <c r="C99" s="2" t="n">
        <v>0</v>
      </c>
      <c r="D99" s="7" t="n">
        <v>0</v>
      </c>
      <c r="E99" s="2" t="n">
        <v>22</v>
      </c>
      <c r="F99" s="7" t="n">
        <v>0.431372549019608</v>
      </c>
      <c r="G99" s="7" t="n">
        <v>0.151355999023932</v>
      </c>
    </row>
    <row r="100" customFormat="false" ht="15" hidden="false" customHeight="false" outlineLevel="0" collapsed="false">
      <c r="A100" s="2" t="n">
        <v>18</v>
      </c>
      <c r="B100" s="5" t="s">
        <v>73</v>
      </c>
      <c r="C100" s="2" t="n">
        <v>0</v>
      </c>
      <c r="D100" s="7" t="n">
        <v>0</v>
      </c>
      <c r="E100" s="2" t="n">
        <v>0</v>
      </c>
      <c r="F100" s="7" t="n">
        <v>0</v>
      </c>
      <c r="G100" s="2"/>
    </row>
    <row r="101" customFormat="false" ht="15" hidden="false" customHeight="false" outlineLevel="0" collapsed="false">
      <c r="A101" s="2" t="n">
        <v>18</v>
      </c>
      <c r="B101" s="5" t="s">
        <v>74</v>
      </c>
      <c r="C101" s="2" t="n">
        <v>1</v>
      </c>
      <c r="D101" s="7" t="n">
        <v>8.19855254299959</v>
      </c>
      <c r="E101" s="2" t="n">
        <v>29</v>
      </c>
      <c r="F101" s="7" t="n">
        <v>0.547169811320755</v>
      </c>
      <c r="G101" s="7" t="n">
        <v>0.0935454392111063</v>
      </c>
    </row>
    <row r="102" customFormat="false" ht="15" hidden="false" customHeight="false" outlineLevel="0" collapsed="false">
      <c r="A102" s="2" t="n">
        <v>18</v>
      </c>
      <c r="B102" s="5" t="s">
        <v>75</v>
      </c>
      <c r="C102" s="2" t="n">
        <v>0</v>
      </c>
      <c r="D102" s="7" t="n">
        <v>4.77889100790279</v>
      </c>
      <c r="E102" s="2" t="n">
        <v>23</v>
      </c>
      <c r="F102" s="7" t="n">
        <v>0.433962264150943</v>
      </c>
      <c r="G102" s="7" t="n">
        <v>0.108858751098655</v>
      </c>
    </row>
    <row r="103" customFormat="false" ht="15" hidden="false" customHeight="false" outlineLevel="0" collapsed="false">
      <c r="A103" s="2" t="n">
        <v>18</v>
      </c>
      <c r="B103" s="5" t="s">
        <v>76</v>
      </c>
      <c r="C103" s="2" t="n">
        <v>1</v>
      </c>
      <c r="D103" s="7" t="n">
        <v>5.1653387690872</v>
      </c>
      <c r="E103" s="2" t="n">
        <v>28</v>
      </c>
      <c r="F103" s="7" t="n">
        <v>0.354430379746835</v>
      </c>
      <c r="G103" s="7" t="n">
        <v>0.0921277785748241</v>
      </c>
    </row>
    <row r="104" customFormat="false" ht="15" hidden="false" customHeight="false" outlineLevel="0" collapsed="false">
      <c r="A104" s="2" t="n">
        <v>19</v>
      </c>
      <c r="B104" s="5" t="s">
        <v>59</v>
      </c>
      <c r="C104" s="2" t="n">
        <v>1</v>
      </c>
      <c r="D104" s="7" t="n">
        <v>5.96107641376312</v>
      </c>
      <c r="E104" s="2" t="n">
        <v>25</v>
      </c>
      <c r="F104" s="7" t="n">
        <v>0.454545454545455</v>
      </c>
      <c r="G104" s="7" t="n">
        <v>0.0906306105622074</v>
      </c>
    </row>
    <row r="105" customFormat="false" ht="15" hidden="false" customHeight="false" outlineLevel="0" collapsed="false">
      <c r="A105" s="2" t="n">
        <v>19</v>
      </c>
      <c r="B105" s="5" t="s">
        <v>63</v>
      </c>
      <c r="C105" s="2" t="n">
        <v>1</v>
      </c>
      <c r="D105" s="7" t="n">
        <v>5.17549346907133</v>
      </c>
      <c r="E105" s="2" t="n">
        <v>21</v>
      </c>
      <c r="F105" s="7" t="n">
        <v>0.428571428571429</v>
      </c>
      <c r="G105" s="7" t="n">
        <v>0.0738964613477701</v>
      </c>
    </row>
    <row r="106" customFormat="false" ht="15" hidden="false" customHeight="false" outlineLevel="0" collapsed="false">
      <c r="A106" s="2" t="n">
        <v>19</v>
      </c>
      <c r="B106" s="5" t="s">
        <v>64</v>
      </c>
      <c r="C106" s="2" t="n">
        <v>0</v>
      </c>
      <c r="D106" s="7" t="n">
        <v>1.98044048467877</v>
      </c>
      <c r="E106" s="2" t="n">
        <v>15</v>
      </c>
      <c r="F106" s="7" t="n">
        <v>0.272727272727273</v>
      </c>
      <c r="G106" s="7" t="n">
        <v>0.106565616213034</v>
      </c>
    </row>
    <row r="107" customFormat="false" ht="15" hidden="false" customHeight="false" outlineLevel="0" collapsed="false">
      <c r="A107" s="2" t="n">
        <v>19</v>
      </c>
      <c r="B107" s="5" t="s">
        <v>65</v>
      </c>
      <c r="C107" s="2" t="n">
        <v>0</v>
      </c>
      <c r="D107" s="7" t="n">
        <v>3.04782769097155</v>
      </c>
      <c r="E107" s="2" t="n">
        <v>18</v>
      </c>
      <c r="F107" s="7" t="n">
        <v>0.327272727272727</v>
      </c>
      <c r="G107" s="7" t="n">
        <v>0.0932822222319024</v>
      </c>
    </row>
    <row r="108" customFormat="false" ht="15" hidden="false" customHeight="false" outlineLevel="0" collapsed="false">
      <c r="A108" s="2" t="n">
        <v>19</v>
      </c>
      <c r="B108" s="5" t="s">
        <v>67</v>
      </c>
      <c r="C108" s="2" t="n">
        <v>0</v>
      </c>
      <c r="D108" s="7" t="n">
        <v>0</v>
      </c>
      <c r="E108" s="2" t="n">
        <v>14</v>
      </c>
      <c r="F108" s="7" t="n">
        <v>0.285714285714286</v>
      </c>
      <c r="G108" s="7" t="n">
        <v>0.21745683689662</v>
      </c>
    </row>
    <row r="109" customFormat="false" ht="15" hidden="false" customHeight="false" outlineLevel="0" collapsed="false">
      <c r="A109" s="2" t="n">
        <v>19</v>
      </c>
      <c r="B109" s="5" t="s">
        <v>68</v>
      </c>
      <c r="C109" s="2" t="n">
        <v>0</v>
      </c>
      <c r="D109" s="7" t="n">
        <v>3.36143704966197</v>
      </c>
      <c r="E109" s="2" t="n">
        <v>20</v>
      </c>
      <c r="F109" s="7" t="n">
        <v>0.363636363636364</v>
      </c>
      <c r="G109" s="7" t="n">
        <v>0.116357681708144</v>
      </c>
    </row>
    <row r="110" customFormat="false" ht="15" hidden="false" customHeight="false" outlineLevel="0" collapsed="false">
      <c r="A110" s="2" t="n">
        <v>19</v>
      </c>
      <c r="B110" s="5" t="s">
        <v>69</v>
      </c>
      <c r="C110" s="2" t="n">
        <v>0</v>
      </c>
      <c r="D110" s="7" t="n">
        <v>3.3227316502956</v>
      </c>
      <c r="E110" s="2" t="n">
        <v>20</v>
      </c>
      <c r="F110" s="7" t="n">
        <v>0.350877192982456</v>
      </c>
      <c r="G110" s="7" t="n">
        <v>0.111198032168045</v>
      </c>
    </row>
    <row r="111" customFormat="false" ht="15" hidden="false" customHeight="false" outlineLevel="0" collapsed="false">
      <c r="A111" s="2" t="n">
        <v>19</v>
      </c>
      <c r="B111" s="5" t="s">
        <v>70</v>
      </c>
      <c r="C111" s="2" t="n">
        <v>0</v>
      </c>
      <c r="D111" s="7" t="n">
        <v>0.35277950672492</v>
      </c>
      <c r="E111" s="2" t="n">
        <v>7</v>
      </c>
      <c r="F111" s="7" t="n">
        <v>0.12280701754386</v>
      </c>
      <c r="G111" s="7" t="n">
        <v>0.143678872048917</v>
      </c>
    </row>
    <row r="112" customFormat="false" ht="15" hidden="false" customHeight="false" outlineLevel="0" collapsed="false">
      <c r="A112" s="2" t="n">
        <v>19</v>
      </c>
      <c r="B112" s="5" t="s">
        <v>71</v>
      </c>
      <c r="C112" s="2" t="n">
        <v>0</v>
      </c>
      <c r="D112" s="7" t="n">
        <v>4.68663941536645</v>
      </c>
      <c r="E112" s="2" t="n">
        <v>20</v>
      </c>
      <c r="F112" s="7" t="n">
        <v>0.408163265306123</v>
      </c>
      <c r="G112" s="7" t="n">
        <v>0.0741816381127362</v>
      </c>
    </row>
    <row r="113" customFormat="false" ht="15" hidden="false" customHeight="false" outlineLevel="0" collapsed="false">
      <c r="A113" s="2" t="n">
        <v>19</v>
      </c>
      <c r="B113" s="5" t="s">
        <v>72</v>
      </c>
      <c r="C113" s="2" t="n">
        <v>1</v>
      </c>
      <c r="D113" s="7" t="n">
        <v>6.14568265332431</v>
      </c>
      <c r="E113" s="2" t="n">
        <v>24</v>
      </c>
      <c r="F113" s="7" t="n">
        <v>0.489795918367347</v>
      </c>
      <c r="G113" s="7" t="n">
        <v>0.091274146484895</v>
      </c>
    </row>
    <row r="114" customFormat="false" ht="15" hidden="false" customHeight="false" outlineLevel="0" collapsed="false">
      <c r="A114" s="2" t="n">
        <v>19</v>
      </c>
      <c r="B114" s="5" t="s">
        <v>73</v>
      </c>
      <c r="C114" s="2" t="n">
        <v>0</v>
      </c>
      <c r="D114" s="7" t="n">
        <v>4.27153446283418</v>
      </c>
      <c r="E114" s="2" t="n">
        <v>19</v>
      </c>
      <c r="F114" s="7" t="n">
        <v>0.387755102040816</v>
      </c>
      <c r="G114" s="7" t="n">
        <v>0.0724754184445287</v>
      </c>
    </row>
    <row r="115" customFormat="false" ht="15" hidden="false" customHeight="false" outlineLevel="0" collapsed="false">
      <c r="A115" s="2" t="n">
        <v>19</v>
      </c>
      <c r="B115" s="5" t="s">
        <v>74</v>
      </c>
      <c r="C115" s="2" t="n">
        <v>1</v>
      </c>
      <c r="D115" s="7" t="n">
        <v>9.14448429513662</v>
      </c>
      <c r="E115" s="2" t="n">
        <v>30</v>
      </c>
      <c r="F115" s="7" t="n">
        <v>0.545454545454545</v>
      </c>
      <c r="G115" s="7" t="n">
        <v>0.0789454258491008</v>
      </c>
    </row>
    <row r="116" customFormat="false" ht="15" hidden="false" customHeight="false" outlineLevel="0" collapsed="false">
      <c r="A116" s="2" t="n">
        <v>19</v>
      </c>
      <c r="B116" s="5" t="s">
        <v>75</v>
      </c>
      <c r="C116" s="2" t="n">
        <v>1</v>
      </c>
      <c r="D116" s="7" t="n">
        <v>5.72608609418622</v>
      </c>
      <c r="E116" s="2" t="n">
        <v>24</v>
      </c>
      <c r="F116" s="7" t="n">
        <v>0.436363636363636</v>
      </c>
      <c r="G116" s="7" t="n">
        <v>0.0828950368622711</v>
      </c>
    </row>
    <row r="117" customFormat="false" ht="15" hidden="false" customHeight="false" outlineLevel="0" collapsed="false">
      <c r="A117" s="2" t="n">
        <v>19</v>
      </c>
      <c r="B117" s="5" t="s">
        <v>76</v>
      </c>
      <c r="C117" s="2" t="n">
        <v>0</v>
      </c>
      <c r="D117" s="7" t="n">
        <v>4.88123489965107</v>
      </c>
      <c r="E117" s="2" t="n">
        <v>27</v>
      </c>
      <c r="F117" s="7" t="n">
        <v>0.317647058823529</v>
      </c>
      <c r="G117" s="7" t="n">
        <v>0.0757028859407764</v>
      </c>
    </row>
    <row r="118" customFormat="false" ht="15" hidden="false" customHeight="false" outlineLevel="0" collapsed="false">
      <c r="A118" s="2" t="n">
        <v>20</v>
      </c>
      <c r="B118" s="5" t="s">
        <v>59</v>
      </c>
      <c r="C118" s="2" t="n">
        <v>1</v>
      </c>
      <c r="D118" s="7" t="n">
        <v>6.80020426780736</v>
      </c>
      <c r="E118" s="2" t="n">
        <v>24</v>
      </c>
      <c r="F118" s="7" t="n">
        <v>0.470588235294118</v>
      </c>
      <c r="G118" s="7" t="n">
        <v>0.0660849763076377</v>
      </c>
    </row>
    <row r="119" customFormat="false" ht="15" hidden="false" customHeight="false" outlineLevel="0" collapsed="false">
      <c r="A119" s="2" t="n">
        <v>20</v>
      </c>
      <c r="B119" s="5" t="s">
        <v>63</v>
      </c>
      <c r="C119" s="2" t="n">
        <v>1</v>
      </c>
      <c r="D119" s="7" t="n">
        <v>4.30336888131867</v>
      </c>
      <c r="E119" s="2" t="n">
        <v>21</v>
      </c>
      <c r="F119" s="7" t="n">
        <v>0.42</v>
      </c>
      <c r="G119" s="7" t="n">
        <v>0.104955704315483</v>
      </c>
    </row>
    <row r="120" customFormat="false" ht="15" hidden="false" customHeight="false" outlineLevel="0" collapsed="false">
      <c r="A120" s="2" t="n">
        <v>20</v>
      </c>
      <c r="B120" s="5" t="s">
        <v>64</v>
      </c>
      <c r="C120" s="2" t="n">
        <v>0</v>
      </c>
      <c r="D120" s="7" t="n">
        <v>1.8300883945639</v>
      </c>
      <c r="E120" s="2" t="n">
        <v>14</v>
      </c>
      <c r="F120" s="7" t="n">
        <v>0.274509803921569</v>
      </c>
      <c r="G120" s="7" t="n">
        <v>0.109997356757063</v>
      </c>
    </row>
    <row r="121" customFormat="false" ht="15" hidden="false" customHeight="false" outlineLevel="0" collapsed="false">
      <c r="A121" s="2" t="n">
        <v>20</v>
      </c>
      <c r="B121" s="5" t="s">
        <v>66</v>
      </c>
      <c r="C121" s="2" t="n">
        <v>0</v>
      </c>
      <c r="D121" s="7" t="n">
        <v>0</v>
      </c>
      <c r="E121" s="2" t="n">
        <v>0</v>
      </c>
      <c r="F121" s="7" t="n">
        <v>0</v>
      </c>
      <c r="G121" s="2"/>
    </row>
    <row r="122" customFormat="false" ht="15" hidden="false" customHeight="false" outlineLevel="0" collapsed="false">
      <c r="A122" s="2" t="n">
        <v>20</v>
      </c>
      <c r="B122" s="5" t="s">
        <v>67</v>
      </c>
      <c r="C122" s="2" t="n">
        <v>0</v>
      </c>
      <c r="D122" s="7" t="n">
        <v>1.33694110441741</v>
      </c>
      <c r="E122" s="2" t="n">
        <v>12</v>
      </c>
      <c r="F122" s="7" t="n">
        <v>0.24</v>
      </c>
      <c r="G122" s="7" t="n">
        <v>0.115417118262288</v>
      </c>
    </row>
    <row r="123" customFormat="false" ht="15" hidden="false" customHeight="false" outlineLevel="0" collapsed="false">
      <c r="A123" s="2" t="n">
        <v>20</v>
      </c>
      <c r="B123" s="5" t="s">
        <v>68</v>
      </c>
      <c r="C123" s="2" t="n">
        <v>0</v>
      </c>
      <c r="D123" s="7" t="n">
        <v>2.72436176782523</v>
      </c>
      <c r="E123" s="2" t="n">
        <v>19</v>
      </c>
      <c r="F123" s="7" t="n">
        <v>0.345454545454546</v>
      </c>
      <c r="G123" s="7" t="n">
        <v>0.140923817135927</v>
      </c>
    </row>
    <row r="124" customFormat="false" ht="15" hidden="false" customHeight="false" outlineLevel="0" collapsed="false">
      <c r="A124" s="2" t="n">
        <v>20</v>
      </c>
      <c r="B124" s="5" t="s">
        <v>69</v>
      </c>
      <c r="C124" s="2" t="n">
        <v>1</v>
      </c>
      <c r="D124" s="7" t="n">
        <v>3.728629553563</v>
      </c>
      <c r="E124" s="2" t="n">
        <v>22</v>
      </c>
      <c r="F124" s="7" t="n">
        <v>0.385964912280702</v>
      </c>
      <c r="G124" s="7" t="n">
        <v>0.127730536064153</v>
      </c>
    </row>
    <row r="125" customFormat="false" ht="15" hidden="false" customHeight="false" outlineLevel="0" collapsed="false">
      <c r="A125" s="2" t="n">
        <v>20</v>
      </c>
      <c r="B125" s="5" t="s">
        <v>70</v>
      </c>
      <c r="C125" s="2" t="n">
        <v>0</v>
      </c>
      <c r="D125" s="7" t="n">
        <v>0</v>
      </c>
      <c r="E125" s="2" t="n">
        <v>7</v>
      </c>
      <c r="F125" s="7" t="n">
        <v>0.12280701754386</v>
      </c>
      <c r="G125" s="7" t="n">
        <v>0.169877728760229</v>
      </c>
    </row>
    <row r="126" customFormat="false" ht="15" hidden="false" customHeight="false" outlineLevel="0" collapsed="false">
      <c r="A126" s="2" t="n">
        <v>20</v>
      </c>
      <c r="B126" s="5" t="s">
        <v>71</v>
      </c>
      <c r="C126" s="2" t="n">
        <v>0</v>
      </c>
      <c r="D126" s="7" t="n">
        <v>3.53951782357365</v>
      </c>
      <c r="E126" s="2" t="n">
        <v>19</v>
      </c>
      <c r="F126" s="7" t="n">
        <v>0.38</v>
      </c>
      <c r="G126" s="7" t="n">
        <v>0.103982586326134</v>
      </c>
    </row>
    <row r="127" customFormat="false" ht="15" hidden="false" customHeight="false" outlineLevel="0" collapsed="false">
      <c r="A127" s="2" t="n">
        <v>20</v>
      </c>
      <c r="B127" s="5" t="s">
        <v>72</v>
      </c>
      <c r="C127" s="2" t="n">
        <v>0</v>
      </c>
      <c r="D127" s="7" t="n">
        <v>2.7244702651294</v>
      </c>
      <c r="E127" s="2" t="n">
        <v>17</v>
      </c>
      <c r="F127" s="7" t="n">
        <v>0.34</v>
      </c>
      <c r="G127" s="7" t="n">
        <v>0.112151333563021</v>
      </c>
    </row>
    <row r="128" customFormat="false" ht="15" hidden="false" customHeight="false" outlineLevel="0" collapsed="false">
      <c r="A128" s="2" t="n">
        <v>20</v>
      </c>
      <c r="B128" s="5" t="s">
        <v>73</v>
      </c>
      <c r="C128" s="2" t="n">
        <v>0</v>
      </c>
      <c r="D128" s="7" t="n">
        <v>0</v>
      </c>
      <c r="E128" s="2" t="n">
        <v>0</v>
      </c>
      <c r="F128" s="7" t="n">
        <v>0</v>
      </c>
      <c r="G128" s="2"/>
    </row>
    <row r="129" customFormat="false" ht="15" hidden="false" customHeight="false" outlineLevel="0" collapsed="false">
      <c r="A129" s="2" t="n">
        <v>20</v>
      </c>
      <c r="B129" s="5" t="s">
        <v>74</v>
      </c>
      <c r="C129" s="2" t="n">
        <v>1</v>
      </c>
      <c r="D129" s="7" t="n">
        <v>9.14168186573079</v>
      </c>
      <c r="E129" s="2" t="n">
        <v>31</v>
      </c>
      <c r="F129" s="7" t="n">
        <v>0.563636363636364</v>
      </c>
      <c r="G129" s="7" t="n">
        <v>0.0911325238545751</v>
      </c>
    </row>
    <row r="130" customFormat="false" ht="15" hidden="false" customHeight="false" outlineLevel="0" collapsed="false">
      <c r="A130" s="2" t="n">
        <v>20</v>
      </c>
      <c r="B130" s="5" t="s">
        <v>75</v>
      </c>
      <c r="C130" s="2" t="n">
        <v>1</v>
      </c>
      <c r="D130" s="7" t="n">
        <v>3.68931857350484</v>
      </c>
      <c r="E130" s="2" t="n">
        <v>22</v>
      </c>
      <c r="F130" s="7" t="n">
        <v>0.4</v>
      </c>
      <c r="G130" s="7" t="n">
        <v>0.138526433125021</v>
      </c>
    </row>
    <row r="131" customFormat="false" ht="15" hidden="false" customHeight="false" outlineLevel="0" collapsed="false">
      <c r="A131" s="2" t="n">
        <v>20</v>
      </c>
      <c r="B131" s="5" t="s">
        <v>76</v>
      </c>
      <c r="C131" s="2" t="n">
        <v>0</v>
      </c>
      <c r="D131" s="7" t="n">
        <v>0</v>
      </c>
      <c r="E131" s="2" t="n">
        <v>0</v>
      </c>
      <c r="F131" s="7" t="n">
        <v>0</v>
      </c>
      <c r="G131" s="2"/>
    </row>
  </sheetData>
  <autoFilter ref="A1:G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8" min="6" style="0" width="15"/>
    <col collapsed="false" customWidth="true" hidden="false" outlineLevel="0" max="9" min="9" style="0" width="20"/>
    <col collapsed="false" customWidth="true" hidden="false" outlineLevel="0" max="11" min="10" style="0" width="22"/>
  </cols>
  <sheetData>
    <row r="1" customFormat="false" ht="31.5" hidden="false" customHeight="true" outlineLevel="0" collapsed="false">
      <c r="A1" s="1" t="s">
        <v>277</v>
      </c>
      <c r="B1" s="6" t="s">
        <v>278</v>
      </c>
      <c r="C1" s="1" t="s">
        <v>279</v>
      </c>
      <c r="D1" s="1" t="s">
        <v>280</v>
      </c>
      <c r="E1" s="6" t="s">
        <v>40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</row>
    <row r="2" customFormat="false" ht="15" hidden="false" customHeight="false" outlineLevel="0" collapsed="false">
      <c r="A2" s="5" t="s">
        <v>287</v>
      </c>
      <c r="B2" s="2" t="n">
        <v>1</v>
      </c>
      <c r="C2" s="12" t="b">
        <f aca="false">TRUE()</f>
        <v>1</v>
      </c>
      <c r="D2" s="5" t="s">
        <v>60</v>
      </c>
      <c r="E2" s="2" t="n">
        <v>11</v>
      </c>
      <c r="F2" s="2" t="n">
        <v>51</v>
      </c>
      <c r="G2" s="2" t="n">
        <v>44</v>
      </c>
      <c r="H2" s="2" t="n">
        <v>40</v>
      </c>
      <c r="I2" s="10" t="n">
        <v>0.784313725490196</v>
      </c>
      <c r="J2" s="7" t="n">
        <v>0.0353924144415155</v>
      </c>
      <c r="K2" s="7" t="n">
        <v>0.0313527681902182</v>
      </c>
    </row>
    <row r="3" customFormat="false" ht="15" hidden="false" customHeight="false" outlineLevel="0" collapsed="false">
      <c r="A3" s="5" t="s">
        <v>287</v>
      </c>
      <c r="B3" s="2" t="n">
        <v>1</v>
      </c>
      <c r="C3" s="12" t="b">
        <f aca="false">TRUE()</f>
        <v>1</v>
      </c>
      <c r="D3" s="5" t="s">
        <v>60</v>
      </c>
      <c r="E3" s="2" t="n">
        <v>12</v>
      </c>
      <c r="F3" s="2" t="n">
        <v>51</v>
      </c>
      <c r="G3" s="2" t="n">
        <v>41</v>
      </c>
      <c r="H3" s="2" t="n">
        <v>39</v>
      </c>
      <c r="I3" s="10" t="n">
        <v>0.764705882352941</v>
      </c>
      <c r="J3" s="7" t="n">
        <v>0.0346638287793057</v>
      </c>
      <c r="K3" s="7" t="n">
        <v>0.0309614276156625</v>
      </c>
    </row>
    <row r="4" customFormat="false" ht="15" hidden="false" customHeight="false" outlineLevel="0" collapsed="false">
      <c r="A4" s="5" t="s">
        <v>287</v>
      </c>
      <c r="B4" s="2" t="n">
        <v>1</v>
      </c>
      <c r="C4" s="12" t="b">
        <f aca="false">TRUE()</f>
        <v>1</v>
      </c>
      <c r="D4" s="5" t="s">
        <v>60</v>
      </c>
      <c r="E4" s="2" t="n">
        <v>13</v>
      </c>
      <c r="F4" s="2" t="n">
        <v>51</v>
      </c>
      <c r="G4" s="2" t="n">
        <v>42</v>
      </c>
      <c r="H4" s="2" t="n">
        <v>39</v>
      </c>
      <c r="I4" s="10" t="n">
        <v>0.764705882352941</v>
      </c>
      <c r="J4" s="7" t="n">
        <v>0.0352963861010568</v>
      </c>
      <c r="K4" s="7" t="n">
        <v>0.032442718751671</v>
      </c>
    </row>
    <row r="5" customFormat="false" ht="15" hidden="false" customHeight="false" outlineLevel="0" collapsed="false">
      <c r="A5" s="5" t="s">
        <v>287</v>
      </c>
      <c r="B5" s="2" t="n">
        <v>1</v>
      </c>
      <c r="C5" s="12" t="b">
        <f aca="false">TRUE()</f>
        <v>1</v>
      </c>
      <c r="D5" s="5" t="s">
        <v>60</v>
      </c>
      <c r="E5" s="2" t="n">
        <v>14</v>
      </c>
      <c r="F5" s="2" t="n">
        <v>51</v>
      </c>
      <c r="G5" s="2" t="n">
        <v>43</v>
      </c>
      <c r="H5" s="2" t="n">
        <v>39</v>
      </c>
      <c r="I5" s="10" t="n">
        <v>0.764705882352941</v>
      </c>
      <c r="J5" s="7" t="n">
        <v>0.0380209422724116</v>
      </c>
      <c r="K5" s="7" t="n">
        <v>0.0309614276156625</v>
      </c>
    </row>
    <row r="6" customFormat="false" ht="15" hidden="false" customHeight="false" outlineLevel="0" collapsed="false">
      <c r="A6" s="5" t="s">
        <v>287</v>
      </c>
      <c r="B6" s="2" t="n">
        <v>1</v>
      </c>
      <c r="C6" s="12" t="b">
        <f aca="false">TRUE()</f>
        <v>1</v>
      </c>
      <c r="D6" s="5" t="s">
        <v>60</v>
      </c>
      <c r="E6" s="2" t="n">
        <v>15</v>
      </c>
      <c r="F6" s="2" t="n">
        <v>51</v>
      </c>
      <c r="G6" s="2" t="n">
        <v>43</v>
      </c>
      <c r="H6" s="2" t="n">
        <v>39</v>
      </c>
      <c r="I6" s="10" t="n">
        <v>0.764705882352941</v>
      </c>
      <c r="J6" s="7" t="n">
        <v>0.0361755158735566</v>
      </c>
      <c r="K6" s="7" t="n">
        <v>0.0310220889045205</v>
      </c>
    </row>
    <row r="7" customFormat="false" ht="15" hidden="false" customHeight="false" outlineLevel="0" collapsed="false">
      <c r="A7" s="5" t="s">
        <v>287</v>
      </c>
      <c r="B7" s="2" t="n">
        <v>1</v>
      </c>
      <c r="C7" s="12" t="b">
        <f aca="false">TRUE()</f>
        <v>1</v>
      </c>
      <c r="D7" s="5" t="s">
        <v>60</v>
      </c>
      <c r="E7" s="2" t="n">
        <v>16</v>
      </c>
      <c r="F7" s="2" t="n">
        <v>51</v>
      </c>
      <c r="G7" s="2" t="n">
        <v>43</v>
      </c>
      <c r="H7" s="2" t="n">
        <v>40</v>
      </c>
      <c r="I7" s="10" t="n">
        <v>0.784313725490196</v>
      </c>
      <c r="J7" s="7" t="n">
        <v>0.0360420344875258</v>
      </c>
      <c r="K7" s="7" t="n">
        <v>0.0337021721880385</v>
      </c>
    </row>
    <row r="8" customFormat="false" ht="15" hidden="false" customHeight="false" outlineLevel="0" collapsed="false">
      <c r="A8" s="5" t="s">
        <v>287</v>
      </c>
      <c r="B8" s="2" t="n">
        <v>1</v>
      </c>
      <c r="C8" s="12" t="b">
        <f aca="false">TRUE()</f>
        <v>1</v>
      </c>
      <c r="D8" s="5" t="s">
        <v>60</v>
      </c>
      <c r="E8" s="2" t="n">
        <v>17</v>
      </c>
      <c r="F8" s="2" t="n">
        <v>51</v>
      </c>
      <c r="G8" s="2" t="n">
        <v>44</v>
      </c>
      <c r="H8" s="2" t="n">
        <v>40</v>
      </c>
      <c r="I8" s="10" t="n">
        <v>0.784313725490196</v>
      </c>
      <c r="J8" s="7" t="n">
        <v>0.0344845762624393</v>
      </c>
      <c r="K8" s="7" t="n">
        <v>0.0307255161372341</v>
      </c>
    </row>
    <row r="9" customFormat="false" ht="15" hidden="false" customHeight="false" outlineLevel="0" collapsed="false">
      <c r="A9" s="5" t="s">
        <v>287</v>
      </c>
      <c r="B9" s="2" t="n">
        <v>1</v>
      </c>
      <c r="C9" s="12" t="b">
        <f aca="false">TRUE()</f>
        <v>1</v>
      </c>
      <c r="D9" s="5" t="s">
        <v>60</v>
      </c>
      <c r="E9" s="2" t="n">
        <v>18</v>
      </c>
      <c r="F9" s="2" t="n">
        <v>51</v>
      </c>
      <c r="G9" s="2" t="n">
        <v>42</v>
      </c>
      <c r="H9" s="2" t="n">
        <v>40</v>
      </c>
      <c r="I9" s="10" t="n">
        <v>0.784313725490196</v>
      </c>
      <c r="J9" s="7" t="n">
        <v>0.0345116828045228</v>
      </c>
      <c r="K9" s="7" t="n">
        <v>0.0317145889154419</v>
      </c>
    </row>
    <row r="10" customFormat="false" ht="15" hidden="false" customHeight="false" outlineLevel="0" collapsed="false">
      <c r="A10" s="5" t="s">
        <v>287</v>
      </c>
      <c r="B10" s="2" t="n">
        <v>1</v>
      </c>
      <c r="C10" s="12" t="b">
        <f aca="false">TRUE()</f>
        <v>1</v>
      </c>
      <c r="D10" s="5" t="s">
        <v>60</v>
      </c>
      <c r="E10" s="2" t="n">
        <v>19</v>
      </c>
      <c r="F10" s="2" t="n">
        <v>51</v>
      </c>
      <c r="G10" s="2" t="n">
        <v>44</v>
      </c>
      <c r="H10" s="2" t="n">
        <v>39</v>
      </c>
      <c r="I10" s="10" t="n">
        <v>0.764705882352941</v>
      </c>
      <c r="J10" s="7" t="n">
        <v>0.0356821258134111</v>
      </c>
      <c r="K10" s="7" t="n">
        <v>0.0309614276156625</v>
      </c>
    </row>
    <row r="11" customFormat="false" ht="15" hidden="false" customHeight="false" outlineLevel="0" collapsed="false">
      <c r="A11" s="5" t="s">
        <v>287</v>
      </c>
      <c r="B11" s="2" t="n">
        <v>1</v>
      </c>
      <c r="C11" s="12" t="b">
        <f aca="false">TRUE()</f>
        <v>1</v>
      </c>
      <c r="D11" s="5" t="s">
        <v>60</v>
      </c>
      <c r="E11" s="2" t="n">
        <v>20</v>
      </c>
      <c r="F11" s="2" t="n">
        <v>51</v>
      </c>
      <c r="G11" s="2" t="n">
        <v>44</v>
      </c>
      <c r="H11" s="2" t="n">
        <v>40</v>
      </c>
      <c r="I11" s="10" t="n">
        <v>0.784313725490196</v>
      </c>
      <c r="J11" s="7" t="n">
        <v>0.0350839030040843</v>
      </c>
      <c r="K11" s="7" t="n">
        <v>0.0301817441795313</v>
      </c>
    </row>
    <row r="12" customFormat="false" ht="15" hidden="false" customHeight="false" outlineLevel="0" collapsed="false">
      <c r="A12" s="5" t="s">
        <v>287</v>
      </c>
      <c r="B12" s="2" t="n">
        <v>2</v>
      </c>
      <c r="C12" s="12" t="b">
        <f aca="false">FALSE()</f>
        <v>0</v>
      </c>
      <c r="D12" s="5" t="s">
        <v>60</v>
      </c>
      <c r="E12" s="2" t="n">
        <v>11</v>
      </c>
      <c r="F12" s="2" t="n">
        <v>84</v>
      </c>
      <c r="G12" s="2" t="n">
        <v>34</v>
      </c>
      <c r="H12" s="2" t="n">
        <v>33</v>
      </c>
      <c r="I12" s="10" t="n">
        <v>0.392857142857143</v>
      </c>
      <c r="J12" s="7" t="n">
        <v>0.0665286427265002</v>
      </c>
      <c r="K12" s="7" t="n">
        <v>0.0584126698585156</v>
      </c>
    </row>
    <row r="13" customFormat="false" ht="15" hidden="false" customHeight="false" outlineLevel="0" collapsed="false">
      <c r="A13" s="5" t="s">
        <v>287</v>
      </c>
      <c r="B13" s="2" t="n">
        <v>2</v>
      </c>
      <c r="C13" s="12" t="b">
        <f aca="false">FALSE()</f>
        <v>0</v>
      </c>
      <c r="D13" s="5" t="s">
        <v>60</v>
      </c>
      <c r="E13" s="2" t="n">
        <v>12</v>
      </c>
      <c r="F13" s="2" t="n">
        <v>84</v>
      </c>
      <c r="G13" s="2" t="n">
        <v>36</v>
      </c>
      <c r="H13" s="2" t="n">
        <v>35</v>
      </c>
      <c r="I13" s="10" t="n">
        <v>0.416666666666667</v>
      </c>
      <c r="J13" s="7" t="n">
        <v>0.0641411056076477</v>
      </c>
      <c r="K13" s="7" t="n">
        <v>0.0597013400184609</v>
      </c>
    </row>
    <row r="14" customFormat="false" ht="15" hidden="false" customHeight="false" outlineLevel="0" collapsed="false">
      <c r="A14" s="5" t="s">
        <v>287</v>
      </c>
      <c r="B14" s="2" t="n">
        <v>2</v>
      </c>
      <c r="C14" s="12" t="b">
        <f aca="false">FALSE()</f>
        <v>0</v>
      </c>
      <c r="D14" s="5" t="s">
        <v>60</v>
      </c>
      <c r="E14" s="2" t="n">
        <v>13</v>
      </c>
      <c r="F14" s="2" t="n">
        <v>84</v>
      </c>
      <c r="G14" s="2" t="n">
        <v>37</v>
      </c>
      <c r="H14" s="2" t="n">
        <v>36</v>
      </c>
      <c r="I14" s="10" t="n">
        <v>0.428571428571429</v>
      </c>
      <c r="J14" s="7" t="n">
        <v>0.0673621699802229</v>
      </c>
      <c r="K14" s="7" t="n">
        <v>0.0584013124337776</v>
      </c>
    </row>
    <row r="15" customFormat="false" ht="15" hidden="false" customHeight="false" outlineLevel="0" collapsed="false">
      <c r="A15" s="5" t="s">
        <v>287</v>
      </c>
      <c r="B15" s="2" t="n">
        <v>2</v>
      </c>
      <c r="C15" s="12" t="b">
        <f aca="false">FALSE()</f>
        <v>0</v>
      </c>
      <c r="D15" s="5" t="s">
        <v>60</v>
      </c>
      <c r="E15" s="2" t="n">
        <v>14</v>
      </c>
      <c r="F15" s="2" t="n">
        <v>84</v>
      </c>
      <c r="G15" s="2" t="n">
        <v>37</v>
      </c>
      <c r="H15" s="2" t="n">
        <v>36</v>
      </c>
      <c r="I15" s="10" t="n">
        <v>0.428571428571429</v>
      </c>
      <c r="J15" s="7" t="n">
        <v>0.0646464293935352</v>
      </c>
      <c r="K15" s="7" t="n">
        <v>0.0570439018587305</v>
      </c>
    </row>
    <row r="16" customFormat="false" ht="15" hidden="false" customHeight="false" outlineLevel="0" collapsed="false">
      <c r="A16" s="5" t="s">
        <v>287</v>
      </c>
      <c r="B16" s="2" t="n">
        <v>2</v>
      </c>
      <c r="C16" s="12" t="b">
        <f aca="false">FALSE()</f>
        <v>0</v>
      </c>
      <c r="D16" s="5" t="s">
        <v>60</v>
      </c>
      <c r="E16" s="2" t="n">
        <v>15</v>
      </c>
      <c r="F16" s="2" t="n">
        <v>84</v>
      </c>
      <c r="G16" s="2" t="n">
        <v>34</v>
      </c>
      <c r="H16" s="2" t="n">
        <v>34</v>
      </c>
      <c r="I16" s="10" t="n">
        <v>0.404761904761905</v>
      </c>
      <c r="J16" s="7" t="n">
        <v>0.0648760311036727</v>
      </c>
      <c r="K16" s="7" t="n">
        <v>0.0554533804216187</v>
      </c>
    </row>
    <row r="17" customFormat="false" ht="15" hidden="false" customHeight="false" outlineLevel="0" collapsed="false">
      <c r="A17" s="5" t="s">
        <v>287</v>
      </c>
      <c r="B17" s="2" t="n">
        <v>2</v>
      </c>
      <c r="C17" s="12" t="b">
        <f aca="false">FALSE()</f>
        <v>0</v>
      </c>
      <c r="D17" s="5" t="s">
        <v>60</v>
      </c>
      <c r="E17" s="2" t="n">
        <v>16</v>
      </c>
      <c r="F17" s="2" t="n">
        <v>84</v>
      </c>
      <c r="G17" s="2" t="n">
        <v>37</v>
      </c>
      <c r="H17" s="2" t="n">
        <v>36</v>
      </c>
      <c r="I17" s="10" t="n">
        <v>0.428571428571429</v>
      </c>
      <c r="J17" s="7" t="n">
        <v>0.0642712978103151</v>
      </c>
      <c r="K17" s="7" t="n">
        <v>0.0541573597563669</v>
      </c>
    </row>
    <row r="18" customFormat="false" ht="15" hidden="false" customHeight="false" outlineLevel="0" collapsed="false">
      <c r="A18" s="5" t="s">
        <v>287</v>
      </c>
      <c r="B18" s="2" t="n">
        <v>2</v>
      </c>
      <c r="C18" s="12" t="b">
        <f aca="false">FALSE()</f>
        <v>0</v>
      </c>
      <c r="D18" s="5" t="s">
        <v>60</v>
      </c>
      <c r="E18" s="2" t="n">
        <v>17</v>
      </c>
      <c r="F18" s="2" t="n">
        <v>84</v>
      </c>
      <c r="G18" s="2" t="n">
        <v>36</v>
      </c>
      <c r="H18" s="2" t="n">
        <v>35</v>
      </c>
      <c r="I18" s="10" t="n">
        <v>0.416666666666667</v>
      </c>
      <c r="J18" s="7" t="n">
        <v>0.0632326904603714</v>
      </c>
      <c r="K18" s="7" t="n">
        <v>0.0566083032778765</v>
      </c>
    </row>
    <row r="19" customFormat="false" ht="15" hidden="false" customHeight="false" outlineLevel="0" collapsed="false">
      <c r="A19" s="5" t="s">
        <v>287</v>
      </c>
      <c r="B19" s="2" t="n">
        <v>2</v>
      </c>
      <c r="C19" s="12" t="b">
        <f aca="false">FALSE()</f>
        <v>0</v>
      </c>
      <c r="D19" s="5" t="s">
        <v>60</v>
      </c>
      <c r="E19" s="2" t="n">
        <v>18</v>
      </c>
      <c r="F19" s="2" t="n">
        <v>84</v>
      </c>
      <c r="G19" s="2" t="n">
        <v>36</v>
      </c>
      <c r="H19" s="2" t="n">
        <v>36</v>
      </c>
      <c r="I19" s="10" t="n">
        <v>0.428571428571429</v>
      </c>
      <c r="J19" s="7" t="n">
        <v>0.065965230740646</v>
      </c>
      <c r="K19" s="7" t="n">
        <v>0.0534240485503249</v>
      </c>
    </row>
    <row r="20" customFormat="false" ht="15" hidden="false" customHeight="false" outlineLevel="0" collapsed="false">
      <c r="A20" s="5" t="s">
        <v>287</v>
      </c>
      <c r="B20" s="2" t="n">
        <v>2</v>
      </c>
      <c r="C20" s="12" t="b">
        <f aca="false">FALSE()</f>
        <v>0</v>
      </c>
      <c r="D20" s="5" t="s">
        <v>60</v>
      </c>
      <c r="E20" s="2" t="n">
        <v>19</v>
      </c>
      <c r="F20" s="2" t="n">
        <v>84</v>
      </c>
      <c r="G20" s="2" t="n">
        <v>36</v>
      </c>
      <c r="H20" s="2" t="n">
        <v>35</v>
      </c>
      <c r="I20" s="10" t="n">
        <v>0.416666666666667</v>
      </c>
      <c r="J20" s="7" t="n">
        <v>0.0643933536943061</v>
      </c>
      <c r="K20" s="7" t="n">
        <v>0.0549268604600695</v>
      </c>
    </row>
    <row r="21" customFormat="false" ht="15" hidden="false" customHeight="false" outlineLevel="0" collapsed="false">
      <c r="A21" s="5" t="s">
        <v>287</v>
      </c>
      <c r="B21" s="2" t="n">
        <v>2</v>
      </c>
      <c r="C21" s="12" t="b">
        <f aca="false">FALSE()</f>
        <v>0</v>
      </c>
      <c r="D21" s="5" t="s">
        <v>60</v>
      </c>
      <c r="E21" s="2" t="n">
        <v>20</v>
      </c>
      <c r="F21" s="2" t="n">
        <v>84</v>
      </c>
      <c r="G21" s="2" t="n">
        <v>34</v>
      </c>
      <c r="H21" s="2" t="n">
        <v>33</v>
      </c>
      <c r="I21" s="10" t="n">
        <v>0.392857142857143</v>
      </c>
      <c r="J21" s="7" t="n">
        <v>0.0667808877576284</v>
      </c>
      <c r="K21" s="7" t="n">
        <v>0.062423393051003</v>
      </c>
    </row>
    <row r="22" customFormat="false" ht="15" hidden="false" customHeight="false" outlineLevel="0" collapsed="false">
      <c r="A22" s="5" t="s">
        <v>287</v>
      </c>
      <c r="B22" s="2" t="n">
        <v>3</v>
      </c>
      <c r="C22" s="12" t="b">
        <f aca="false">TRUE()</f>
        <v>1</v>
      </c>
      <c r="D22" s="5" t="s">
        <v>60</v>
      </c>
      <c r="E22" s="2" t="n">
        <v>11</v>
      </c>
      <c r="F22" s="2" t="n">
        <v>148</v>
      </c>
      <c r="G22" s="2" t="n">
        <v>60</v>
      </c>
      <c r="H22" s="2" t="n">
        <v>60</v>
      </c>
      <c r="I22" s="10" t="n">
        <v>0.405405405405405</v>
      </c>
      <c r="J22" s="7" t="n">
        <v>0.0847630402946945</v>
      </c>
      <c r="K22" s="7" t="n">
        <v>0.036738894556764</v>
      </c>
    </row>
    <row r="23" customFormat="false" ht="15" hidden="false" customHeight="false" outlineLevel="0" collapsed="false">
      <c r="A23" s="5" t="s">
        <v>287</v>
      </c>
      <c r="B23" s="2" t="n">
        <v>3</v>
      </c>
      <c r="C23" s="12" t="b">
        <f aca="false">TRUE()</f>
        <v>1</v>
      </c>
      <c r="D23" s="5" t="s">
        <v>60</v>
      </c>
      <c r="E23" s="2" t="n">
        <v>12</v>
      </c>
      <c r="F23" s="2" t="n">
        <v>148</v>
      </c>
      <c r="G23" s="2" t="n">
        <v>59</v>
      </c>
      <c r="H23" s="2" t="n">
        <v>58</v>
      </c>
      <c r="I23" s="10" t="n">
        <v>0.391891891891892</v>
      </c>
      <c r="J23" s="7" t="n">
        <v>0.0829710543627653</v>
      </c>
      <c r="K23" s="7" t="n">
        <v>0.0419436326189505</v>
      </c>
    </row>
    <row r="24" customFormat="false" ht="15" hidden="false" customHeight="false" outlineLevel="0" collapsed="false">
      <c r="A24" s="5" t="s">
        <v>287</v>
      </c>
      <c r="B24" s="2" t="n">
        <v>3</v>
      </c>
      <c r="C24" s="12" t="b">
        <f aca="false">TRUE()</f>
        <v>1</v>
      </c>
      <c r="D24" s="5" t="s">
        <v>60</v>
      </c>
      <c r="E24" s="2" t="n">
        <v>13</v>
      </c>
      <c r="F24" s="2" t="n">
        <v>148</v>
      </c>
      <c r="G24" s="2" t="n">
        <v>59</v>
      </c>
      <c r="H24" s="2" t="n">
        <v>58</v>
      </c>
      <c r="I24" s="10" t="n">
        <v>0.391891891891892</v>
      </c>
      <c r="J24" s="7" t="n">
        <v>0.082244254594428</v>
      </c>
      <c r="K24" s="7" t="n">
        <v>0.0392759348126306</v>
      </c>
    </row>
    <row r="25" customFormat="false" ht="15" hidden="false" customHeight="false" outlineLevel="0" collapsed="false">
      <c r="A25" s="5" t="s">
        <v>287</v>
      </c>
      <c r="B25" s="2" t="n">
        <v>3</v>
      </c>
      <c r="C25" s="12" t="b">
        <f aca="false">TRUE()</f>
        <v>1</v>
      </c>
      <c r="D25" s="5" t="s">
        <v>60</v>
      </c>
      <c r="E25" s="2" t="n">
        <v>14</v>
      </c>
      <c r="F25" s="2" t="n">
        <v>148</v>
      </c>
      <c r="G25" s="2" t="n">
        <v>61</v>
      </c>
      <c r="H25" s="2" t="n">
        <v>59</v>
      </c>
      <c r="I25" s="10" t="n">
        <v>0.398648648648649</v>
      </c>
      <c r="J25" s="7" t="n">
        <v>0.0869969315648253</v>
      </c>
      <c r="K25" s="7" t="n">
        <v>0.0368012228057705</v>
      </c>
    </row>
    <row r="26" customFormat="false" ht="15" hidden="false" customHeight="false" outlineLevel="0" collapsed="false">
      <c r="A26" s="5" t="s">
        <v>287</v>
      </c>
      <c r="B26" s="2" t="n">
        <v>3</v>
      </c>
      <c r="C26" s="12" t="b">
        <f aca="false">TRUE()</f>
        <v>1</v>
      </c>
      <c r="D26" s="5" t="s">
        <v>60</v>
      </c>
      <c r="E26" s="2" t="n">
        <v>15</v>
      </c>
      <c r="F26" s="2" t="n">
        <v>148</v>
      </c>
      <c r="G26" s="2" t="n">
        <v>63</v>
      </c>
      <c r="H26" s="2" t="n">
        <v>61</v>
      </c>
      <c r="I26" s="10" t="n">
        <v>0.412162162162162</v>
      </c>
      <c r="J26" s="7" t="n">
        <v>0.0803813778286946</v>
      </c>
      <c r="K26" s="7" t="n">
        <v>0.0366324992322392</v>
      </c>
    </row>
    <row r="27" customFormat="false" ht="15" hidden="false" customHeight="false" outlineLevel="0" collapsed="false">
      <c r="A27" s="5" t="s">
        <v>287</v>
      </c>
      <c r="B27" s="2" t="n">
        <v>3</v>
      </c>
      <c r="C27" s="12" t="b">
        <f aca="false">TRUE()</f>
        <v>1</v>
      </c>
      <c r="D27" s="5" t="s">
        <v>60</v>
      </c>
      <c r="E27" s="2" t="n">
        <v>16</v>
      </c>
      <c r="F27" s="2" t="n">
        <v>148</v>
      </c>
      <c r="G27" s="2" t="n">
        <v>59</v>
      </c>
      <c r="H27" s="2" t="n">
        <v>58</v>
      </c>
      <c r="I27" s="10" t="n">
        <v>0.391891891891892</v>
      </c>
      <c r="J27" s="7" t="n">
        <v>0.0799308224611154</v>
      </c>
      <c r="K27" s="7" t="n">
        <v>0.0307699004755558</v>
      </c>
    </row>
    <row r="28" customFormat="false" ht="15" hidden="false" customHeight="false" outlineLevel="0" collapsed="false">
      <c r="A28" s="5" t="s">
        <v>287</v>
      </c>
      <c r="B28" s="2" t="n">
        <v>3</v>
      </c>
      <c r="C28" s="12" t="b">
        <f aca="false">TRUE()</f>
        <v>1</v>
      </c>
      <c r="D28" s="5" t="s">
        <v>60</v>
      </c>
      <c r="E28" s="2" t="n">
        <v>17</v>
      </c>
      <c r="F28" s="2" t="n">
        <v>148</v>
      </c>
      <c r="G28" s="2" t="n">
        <v>59</v>
      </c>
      <c r="H28" s="2" t="n">
        <v>58</v>
      </c>
      <c r="I28" s="10" t="n">
        <v>0.391891891891892</v>
      </c>
      <c r="J28" s="7" t="n">
        <v>0.0830256233817671</v>
      </c>
      <c r="K28" s="7" t="n">
        <v>0.0355513543386059</v>
      </c>
    </row>
    <row r="29" customFormat="false" ht="15" hidden="false" customHeight="false" outlineLevel="0" collapsed="false">
      <c r="A29" s="5" t="s">
        <v>287</v>
      </c>
      <c r="B29" s="2" t="n">
        <v>3</v>
      </c>
      <c r="C29" s="12" t="b">
        <f aca="false">TRUE()</f>
        <v>1</v>
      </c>
      <c r="D29" s="5" t="s">
        <v>60</v>
      </c>
      <c r="E29" s="2" t="n">
        <v>18</v>
      </c>
      <c r="F29" s="2" t="n">
        <v>148</v>
      </c>
      <c r="G29" s="2" t="n">
        <v>56</v>
      </c>
      <c r="H29" s="2" t="n">
        <v>55</v>
      </c>
      <c r="I29" s="10" t="n">
        <v>0.371621621621622</v>
      </c>
      <c r="J29" s="7" t="n">
        <v>0.0850951125612875</v>
      </c>
      <c r="K29" s="7" t="n">
        <v>0.0359200501113234</v>
      </c>
    </row>
    <row r="30" customFormat="false" ht="15" hidden="false" customHeight="false" outlineLevel="0" collapsed="false">
      <c r="A30" s="5" t="s">
        <v>287</v>
      </c>
      <c r="B30" s="2" t="n">
        <v>3</v>
      </c>
      <c r="C30" s="12" t="b">
        <f aca="false">TRUE()</f>
        <v>1</v>
      </c>
      <c r="D30" s="5" t="s">
        <v>60</v>
      </c>
      <c r="E30" s="2" t="n">
        <v>19</v>
      </c>
      <c r="F30" s="2" t="n">
        <v>148</v>
      </c>
      <c r="G30" s="2" t="n">
        <v>61</v>
      </c>
      <c r="H30" s="2" t="n">
        <v>60</v>
      </c>
      <c r="I30" s="10" t="n">
        <v>0.405405405405405</v>
      </c>
      <c r="J30" s="7" t="n">
        <v>0.0911430066799789</v>
      </c>
      <c r="K30" s="7" t="n">
        <v>0.0426259791061191</v>
      </c>
    </row>
    <row r="31" customFormat="false" ht="15" hidden="false" customHeight="false" outlineLevel="0" collapsed="false">
      <c r="A31" s="5" t="s">
        <v>287</v>
      </c>
      <c r="B31" s="2" t="n">
        <v>3</v>
      </c>
      <c r="C31" s="12" t="b">
        <f aca="false">TRUE()</f>
        <v>1</v>
      </c>
      <c r="D31" s="5" t="s">
        <v>60</v>
      </c>
      <c r="E31" s="2" t="n">
        <v>20</v>
      </c>
      <c r="F31" s="2" t="n">
        <v>148</v>
      </c>
      <c r="G31" s="2" t="n">
        <v>58</v>
      </c>
      <c r="H31" s="2" t="n">
        <v>57</v>
      </c>
      <c r="I31" s="10" t="n">
        <v>0.385135135135135</v>
      </c>
      <c r="J31" s="7" t="n">
        <v>0.0861551782357979</v>
      </c>
      <c r="K31" s="7" t="n">
        <v>0.0402448754501737</v>
      </c>
    </row>
    <row r="32" customFormat="false" ht="15" hidden="false" customHeight="false" outlineLevel="0" collapsed="false">
      <c r="A32" s="5" t="s">
        <v>287</v>
      </c>
      <c r="B32" s="2" t="n">
        <v>4</v>
      </c>
      <c r="C32" s="12" t="b">
        <f aca="false">FALSE()</f>
        <v>0</v>
      </c>
      <c r="D32" s="5" t="s">
        <v>60</v>
      </c>
      <c r="E32" s="2" t="n">
        <v>11</v>
      </c>
      <c r="F32" s="2" t="n">
        <v>78</v>
      </c>
      <c r="G32" s="2" t="n">
        <v>36</v>
      </c>
      <c r="H32" s="2" t="n">
        <v>32</v>
      </c>
      <c r="I32" s="10" t="n">
        <v>0.41025641025641</v>
      </c>
      <c r="J32" s="7" t="n">
        <v>0.0582330071780602</v>
      </c>
      <c r="K32" s="7" t="n">
        <v>0.042607397262065</v>
      </c>
    </row>
    <row r="33" customFormat="false" ht="15" hidden="false" customHeight="false" outlineLevel="0" collapsed="false">
      <c r="A33" s="5" t="s">
        <v>287</v>
      </c>
      <c r="B33" s="2" t="n">
        <v>4</v>
      </c>
      <c r="C33" s="12" t="b">
        <f aca="false">FALSE()</f>
        <v>0</v>
      </c>
      <c r="D33" s="5" t="s">
        <v>60</v>
      </c>
      <c r="E33" s="2" t="n">
        <v>12</v>
      </c>
      <c r="F33" s="2" t="n">
        <v>78</v>
      </c>
      <c r="G33" s="2" t="n">
        <v>37</v>
      </c>
      <c r="H33" s="2" t="n">
        <v>32</v>
      </c>
      <c r="I33" s="10" t="n">
        <v>0.41025641025641</v>
      </c>
      <c r="J33" s="7" t="n">
        <v>0.0576840478382021</v>
      </c>
      <c r="K33" s="7" t="n">
        <v>0.0422586616370101</v>
      </c>
    </row>
    <row r="34" customFormat="false" ht="15" hidden="false" customHeight="false" outlineLevel="0" collapsed="false">
      <c r="A34" s="5" t="s">
        <v>287</v>
      </c>
      <c r="B34" s="2" t="n">
        <v>4</v>
      </c>
      <c r="C34" s="12" t="b">
        <f aca="false">FALSE()</f>
        <v>0</v>
      </c>
      <c r="D34" s="5" t="s">
        <v>60</v>
      </c>
      <c r="E34" s="2" t="n">
        <v>13</v>
      </c>
      <c r="F34" s="2" t="n">
        <v>78</v>
      </c>
      <c r="G34" s="2" t="n">
        <v>34</v>
      </c>
      <c r="H34" s="2" t="n">
        <v>32</v>
      </c>
      <c r="I34" s="10" t="n">
        <v>0.41025641025641</v>
      </c>
      <c r="J34" s="7" t="n">
        <v>0.0599439999082477</v>
      </c>
      <c r="K34" s="7" t="n">
        <v>0.0432438176007669</v>
      </c>
    </row>
    <row r="35" customFormat="false" ht="15" hidden="false" customHeight="false" outlineLevel="0" collapsed="false">
      <c r="A35" s="5" t="s">
        <v>287</v>
      </c>
      <c r="B35" s="2" t="n">
        <v>4</v>
      </c>
      <c r="C35" s="12" t="b">
        <f aca="false">FALSE()</f>
        <v>0</v>
      </c>
      <c r="D35" s="5" t="s">
        <v>60</v>
      </c>
      <c r="E35" s="2" t="n">
        <v>14</v>
      </c>
      <c r="F35" s="2" t="n">
        <v>78</v>
      </c>
      <c r="G35" s="2" t="n">
        <v>38</v>
      </c>
      <c r="H35" s="2" t="n">
        <v>34</v>
      </c>
      <c r="I35" s="10" t="n">
        <v>0.435897435897436</v>
      </c>
      <c r="J35" s="7" t="n">
        <v>0.0861177374637906</v>
      </c>
      <c r="K35" s="7" t="n">
        <v>0.0421074512507638</v>
      </c>
    </row>
    <row r="36" customFormat="false" ht="15" hidden="false" customHeight="false" outlineLevel="0" collapsed="false">
      <c r="A36" s="5" t="s">
        <v>287</v>
      </c>
      <c r="B36" s="2" t="n">
        <v>4</v>
      </c>
      <c r="C36" s="12" t="b">
        <f aca="false">FALSE()</f>
        <v>0</v>
      </c>
      <c r="D36" s="5" t="s">
        <v>60</v>
      </c>
      <c r="E36" s="2" t="n">
        <v>15</v>
      </c>
      <c r="F36" s="2" t="n">
        <v>78</v>
      </c>
      <c r="G36" s="2" t="n">
        <v>37</v>
      </c>
      <c r="H36" s="2" t="n">
        <v>32</v>
      </c>
      <c r="I36" s="10" t="n">
        <v>0.41025641025641</v>
      </c>
      <c r="J36" s="7" t="n">
        <v>0.0540792069560936</v>
      </c>
      <c r="K36" s="7" t="n">
        <v>0.0407144342440094</v>
      </c>
    </row>
    <row r="37" customFormat="false" ht="15" hidden="false" customHeight="false" outlineLevel="0" collapsed="false">
      <c r="A37" s="5" t="s">
        <v>287</v>
      </c>
      <c r="B37" s="2" t="n">
        <v>4</v>
      </c>
      <c r="C37" s="12" t="b">
        <f aca="false">FALSE()</f>
        <v>0</v>
      </c>
      <c r="D37" s="5" t="s">
        <v>60</v>
      </c>
      <c r="E37" s="2" t="n">
        <v>16</v>
      </c>
      <c r="F37" s="2" t="n">
        <v>78</v>
      </c>
      <c r="G37" s="2" t="n">
        <v>36</v>
      </c>
      <c r="H37" s="2" t="n">
        <v>33</v>
      </c>
      <c r="I37" s="10" t="n">
        <v>0.423076923076923</v>
      </c>
      <c r="J37" s="7" t="n">
        <v>0.0589845074677421</v>
      </c>
      <c r="K37" s="7" t="n">
        <v>0.042990696668001</v>
      </c>
    </row>
    <row r="38" customFormat="false" ht="15" hidden="false" customHeight="false" outlineLevel="0" collapsed="false">
      <c r="A38" s="5" t="s">
        <v>287</v>
      </c>
      <c r="B38" s="2" t="n">
        <v>4</v>
      </c>
      <c r="C38" s="12" t="b">
        <f aca="false">FALSE()</f>
        <v>0</v>
      </c>
      <c r="D38" s="5" t="s">
        <v>60</v>
      </c>
      <c r="E38" s="2" t="n">
        <v>17</v>
      </c>
      <c r="F38" s="2" t="n">
        <v>78</v>
      </c>
      <c r="G38" s="2" t="n">
        <v>38</v>
      </c>
      <c r="H38" s="2" t="n">
        <v>33</v>
      </c>
      <c r="I38" s="10" t="n">
        <v>0.423076923076923</v>
      </c>
      <c r="J38" s="7" t="n">
        <v>0.0602052449139734</v>
      </c>
      <c r="K38" s="7" t="n">
        <v>0.0405099987657366</v>
      </c>
    </row>
    <row r="39" customFormat="false" ht="15" hidden="false" customHeight="false" outlineLevel="0" collapsed="false">
      <c r="A39" s="5" t="s">
        <v>287</v>
      </c>
      <c r="B39" s="2" t="n">
        <v>4</v>
      </c>
      <c r="C39" s="12" t="b">
        <f aca="false">FALSE()</f>
        <v>0</v>
      </c>
      <c r="D39" s="5" t="s">
        <v>60</v>
      </c>
      <c r="E39" s="2" t="n">
        <v>18</v>
      </c>
      <c r="F39" s="2" t="n">
        <v>78</v>
      </c>
      <c r="G39" s="2" t="n">
        <v>36</v>
      </c>
      <c r="H39" s="2" t="n">
        <v>32</v>
      </c>
      <c r="I39" s="10" t="n">
        <v>0.41025641025641</v>
      </c>
      <c r="J39" s="7" t="n">
        <v>0.0608112988062251</v>
      </c>
      <c r="K39" s="7" t="n">
        <v>0.038288126305102</v>
      </c>
    </row>
    <row r="40" customFormat="false" ht="15" hidden="false" customHeight="false" outlineLevel="0" collapsed="false">
      <c r="A40" s="5" t="s">
        <v>287</v>
      </c>
      <c r="B40" s="2" t="n">
        <v>4</v>
      </c>
      <c r="C40" s="12" t="b">
        <f aca="false">FALSE()</f>
        <v>0</v>
      </c>
      <c r="D40" s="5" t="s">
        <v>60</v>
      </c>
      <c r="E40" s="2" t="n">
        <v>19</v>
      </c>
      <c r="F40" s="2" t="n">
        <v>78</v>
      </c>
      <c r="G40" s="2" t="n">
        <v>38</v>
      </c>
      <c r="H40" s="2" t="n">
        <v>33</v>
      </c>
      <c r="I40" s="10" t="n">
        <v>0.423076923076923</v>
      </c>
      <c r="J40" s="7" t="n">
        <v>0.10027278098298</v>
      </c>
      <c r="K40" s="7" t="n">
        <v>0.0426985948246544</v>
      </c>
    </row>
    <row r="41" customFormat="false" ht="15" hidden="false" customHeight="false" outlineLevel="0" collapsed="false">
      <c r="A41" s="5" t="s">
        <v>287</v>
      </c>
      <c r="B41" s="2" t="n">
        <v>4</v>
      </c>
      <c r="C41" s="12" t="b">
        <f aca="false">FALSE()</f>
        <v>0</v>
      </c>
      <c r="D41" s="5" t="s">
        <v>60</v>
      </c>
      <c r="E41" s="2" t="n">
        <v>20</v>
      </c>
      <c r="F41" s="2" t="n">
        <v>78</v>
      </c>
      <c r="G41" s="2" t="n">
        <v>38</v>
      </c>
      <c r="H41" s="2" t="n">
        <v>33</v>
      </c>
      <c r="I41" s="10" t="n">
        <v>0.423076923076923</v>
      </c>
      <c r="J41" s="7" t="n">
        <v>0.0563987776570745</v>
      </c>
      <c r="K41" s="7" t="n">
        <v>0.0320131223094531</v>
      </c>
    </row>
    <row r="42" customFormat="false" ht="15" hidden="false" customHeight="false" outlineLevel="0" collapsed="false">
      <c r="A42" s="5" t="s">
        <v>287</v>
      </c>
      <c r="B42" s="2" t="n">
        <v>5</v>
      </c>
      <c r="C42" s="12" t="b">
        <f aca="false">TRUE()</f>
        <v>1</v>
      </c>
      <c r="D42" s="5" t="s">
        <v>60</v>
      </c>
      <c r="E42" s="2" t="n">
        <v>11</v>
      </c>
      <c r="F42" s="2" t="n">
        <v>131</v>
      </c>
      <c r="G42" s="2" t="n">
        <v>23</v>
      </c>
      <c r="H42" s="2" t="n">
        <v>20</v>
      </c>
      <c r="I42" s="10" t="n">
        <v>0.152671755725191</v>
      </c>
      <c r="J42" s="7" t="n">
        <v>0.103737377545415</v>
      </c>
      <c r="K42" s="7" t="n">
        <v>0.0687011075621381</v>
      </c>
    </row>
    <row r="43" customFormat="false" ht="15" hidden="false" customHeight="false" outlineLevel="0" collapsed="false">
      <c r="A43" s="5" t="s">
        <v>287</v>
      </c>
      <c r="B43" s="2" t="n">
        <v>5</v>
      </c>
      <c r="C43" s="12" t="b">
        <f aca="false">TRUE()</f>
        <v>1</v>
      </c>
      <c r="D43" s="5" t="s">
        <v>60</v>
      </c>
      <c r="E43" s="2" t="n">
        <v>12</v>
      </c>
      <c r="F43" s="2" t="n">
        <v>131</v>
      </c>
      <c r="G43" s="2" t="n">
        <v>22</v>
      </c>
      <c r="H43" s="2" t="n">
        <v>18</v>
      </c>
      <c r="I43" s="10" t="n">
        <v>0.137404580152672</v>
      </c>
      <c r="J43" s="7" t="n">
        <v>0.105775257031123</v>
      </c>
      <c r="K43" s="7" t="n">
        <v>0.0676616410195881</v>
      </c>
    </row>
    <row r="44" customFormat="false" ht="15" hidden="false" customHeight="false" outlineLevel="0" collapsed="false">
      <c r="A44" s="5" t="s">
        <v>287</v>
      </c>
      <c r="B44" s="2" t="n">
        <v>5</v>
      </c>
      <c r="C44" s="12" t="b">
        <f aca="false">TRUE()</f>
        <v>1</v>
      </c>
      <c r="D44" s="5" t="s">
        <v>60</v>
      </c>
      <c r="E44" s="2" t="n">
        <v>13</v>
      </c>
      <c r="F44" s="2" t="n">
        <v>131</v>
      </c>
      <c r="G44" s="2" t="n">
        <v>25</v>
      </c>
      <c r="H44" s="2" t="n">
        <v>22</v>
      </c>
      <c r="I44" s="10" t="n">
        <v>0.16793893129771</v>
      </c>
      <c r="J44" s="7" t="n">
        <v>0.103757985453914</v>
      </c>
      <c r="K44" s="7" t="n">
        <v>0.0781346511710477</v>
      </c>
    </row>
    <row r="45" customFormat="false" ht="15" hidden="false" customHeight="false" outlineLevel="0" collapsed="false">
      <c r="A45" s="5" t="s">
        <v>287</v>
      </c>
      <c r="B45" s="2" t="n">
        <v>5</v>
      </c>
      <c r="C45" s="12" t="b">
        <f aca="false">TRUE()</f>
        <v>1</v>
      </c>
      <c r="D45" s="5" t="s">
        <v>60</v>
      </c>
      <c r="E45" s="2" t="n">
        <v>14</v>
      </c>
      <c r="F45" s="2" t="n">
        <v>131</v>
      </c>
      <c r="G45" s="2" t="n">
        <v>22</v>
      </c>
      <c r="H45" s="2" t="n">
        <v>19</v>
      </c>
      <c r="I45" s="10" t="n">
        <v>0.145038167938931</v>
      </c>
      <c r="J45" s="7" t="n">
        <v>0.107590916266932</v>
      </c>
      <c r="K45" s="7" t="n">
        <v>0.0647364657669851</v>
      </c>
    </row>
    <row r="46" customFormat="false" ht="15" hidden="false" customHeight="false" outlineLevel="0" collapsed="false">
      <c r="A46" s="5" t="s">
        <v>287</v>
      </c>
      <c r="B46" s="2" t="n">
        <v>5</v>
      </c>
      <c r="C46" s="12" t="b">
        <f aca="false">TRUE()</f>
        <v>1</v>
      </c>
      <c r="D46" s="5" t="s">
        <v>60</v>
      </c>
      <c r="E46" s="2" t="n">
        <v>15</v>
      </c>
      <c r="F46" s="2" t="n">
        <v>131</v>
      </c>
      <c r="G46" s="2" t="n">
        <v>22</v>
      </c>
      <c r="H46" s="2" t="n">
        <v>19</v>
      </c>
      <c r="I46" s="10" t="n">
        <v>0.145038167938931</v>
      </c>
      <c r="J46" s="7" t="n">
        <v>0.109103630119548</v>
      </c>
      <c r="K46" s="7" t="n">
        <v>0.0688750317604281</v>
      </c>
    </row>
    <row r="47" customFormat="false" ht="15" hidden="false" customHeight="false" outlineLevel="0" collapsed="false">
      <c r="A47" s="5" t="s">
        <v>287</v>
      </c>
      <c r="B47" s="2" t="n">
        <v>5</v>
      </c>
      <c r="C47" s="12" t="b">
        <f aca="false">TRUE()</f>
        <v>1</v>
      </c>
      <c r="D47" s="5" t="s">
        <v>60</v>
      </c>
      <c r="E47" s="2" t="n">
        <v>16</v>
      </c>
      <c r="F47" s="2" t="n">
        <v>131</v>
      </c>
      <c r="G47" s="2" t="n">
        <v>21</v>
      </c>
      <c r="H47" s="2" t="n">
        <v>19</v>
      </c>
      <c r="I47" s="10" t="n">
        <v>0.145038167938931</v>
      </c>
      <c r="J47" s="7" t="n">
        <v>0.10586567208645</v>
      </c>
      <c r="K47" s="7" t="n">
        <v>0.0635573756538134</v>
      </c>
    </row>
    <row r="48" customFormat="false" ht="15" hidden="false" customHeight="false" outlineLevel="0" collapsed="false">
      <c r="A48" s="5" t="s">
        <v>287</v>
      </c>
      <c r="B48" s="2" t="n">
        <v>5</v>
      </c>
      <c r="C48" s="12" t="b">
        <f aca="false">TRUE()</f>
        <v>1</v>
      </c>
      <c r="D48" s="5" t="s">
        <v>60</v>
      </c>
      <c r="E48" s="2" t="n">
        <v>17</v>
      </c>
      <c r="F48" s="2" t="n">
        <v>131</v>
      </c>
      <c r="G48" s="2" t="n">
        <v>23</v>
      </c>
      <c r="H48" s="2" t="n">
        <v>19</v>
      </c>
      <c r="I48" s="10" t="n">
        <v>0.145038167938931</v>
      </c>
      <c r="J48" s="7" t="n">
        <v>0.0998634804963361</v>
      </c>
      <c r="K48" s="7" t="n">
        <v>0.0693732657440897</v>
      </c>
    </row>
    <row r="49" customFormat="false" ht="15" hidden="false" customHeight="false" outlineLevel="0" collapsed="false">
      <c r="A49" s="5" t="s">
        <v>287</v>
      </c>
      <c r="B49" s="2" t="n">
        <v>5</v>
      </c>
      <c r="C49" s="12" t="b">
        <f aca="false">TRUE()</f>
        <v>1</v>
      </c>
      <c r="D49" s="5" t="s">
        <v>60</v>
      </c>
      <c r="E49" s="2" t="n">
        <v>18</v>
      </c>
      <c r="F49" s="2" t="n">
        <v>131</v>
      </c>
      <c r="G49" s="2" t="n">
        <v>21</v>
      </c>
      <c r="H49" s="2" t="n">
        <v>18</v>
      </c>
      <c r="I49" s="10" t="n">
        <v>0.137404580152672</v>
      </c>
      <c r="J49" s="7" t="n">
        <v>0.074709325611555</v>
      </c>
      <c r="K49" s="7" t="n">
        <v>0.064405008404259</v>
      </c>
    </row>
    <row r="50" customFormat="false" ht="15" hidden="false" customHeight="false" outlineLevel="0" collapsed="false">
      <c r="A50" s="5" t="s">
        <v>287</v>
      </c>
      <c r="B50" s="2" t="n">
        <v>5</v>
      </c>
      <c r="C50" s="12" t="b">
        <f aca="false">TRUE()</f>
        <v>1</v>
      </c>
      <c r="D50" s="5" t="s">
        <v>60</v>
      </c>
      <c r="E50" s="2" t="n">
        <v>19</v>
      </c>
      <c r="F50" s="2" t="n">
        <v>131</v>
      </c>
      <c r="G50" s="2" t="n">
        <v>19</v>
      </c>
      <c r="H50" s="2" t="n">
        <v>17</v>
      </c>
      <c r="I50" s="10" t="n">
        <v>0.129770992366412</v>
      </c>
      <c r="J50" s="7" t="n">
        <v>0.0713669473669048</v>
      </c>
      <c r="K50" s="7" t="n">
        <v>0.0594938652299547</v>
      </c>
    </row>
    <row r="51" customFormat="false" ht="15" hidden="false" customHeight="false" outlineLevel="0" collapsed="false">
      <c r="A51" s="5" t="s">
        <v>287</v>
      </c>
      <c r="B51" s="2" t="n">
        <v>5</v>
      </c>
      <c r="C51" s="12" t="b">
        <f aca="false">TRUE()</f>
        <v>1</v>
      </c>
      <c r="D51" s="5" t="s">
        <v>60</v>
      </c>
      <c r="E51" s="2" t="n">
        <v>20</v>
      </c>
      <c r="F51" s="2" t="n">
        <v>131</v>
      </c>
      <c r="G51" s="2" t="n">
        <v>22</v>
      </c>
      <c r="H51" s="2" t="n">
        <v>19</v>
      </c>
      <c r="I51" s="10" t="n">
        <v>0.145038167938931</v>
      </c>
      <c r="J51" s="7" t="n">
        <v>0.118046204156633</v>
      </c>
      <c r="K51" s="7" t="n">
        <v>0.0627415332933457</v>
      </c>
    </row>
    <row r="52" customFormat="false" ht="15" hidden="false" customHeight="false" outlineLevel="0" collapsed="false">
      <c r="A52" s="5" t="s">
        <v>287</v>
      </c>
      <c r="B52" s="2" t="n">
        <v>6</v>
      </c>
      <c r="C52" s="12" t="b">
        <f aca="false">FALSE()</f>
        <v>0</v>
      </c>
      <c r="D52" s="5" t="s">
        <v>60</v>
      </c>
      <c r="E52" s="2" t="n">
        <v>11</v>
      </c>
      <c r="F52" s="2" t="n">
        <v>236</v>
      </c>
      <c r="G52" s="2" t="n">
        <v>41</v>
      </c>
      <c r="H52" s="2" t="n">
        <v>37</v>
      </c>
      <c r="I52" s="10" t="n">
        <v>0.156779661016949</v>
      </c>
      <c r="J52" s="7" t="n">
        <v>0.0683203186903131</v>
      </c>
      <c r="K52" s="7" t="n">
        <v>0.051965854173678</v>
      </c>
    </row>
    <row r="53" customFormat="false" ht="15" hidden="false" customHeight="false" outlineLevel="0" collapsed="false">
      <c r="A53" s="5" t="s">
        <v>287</v>
      </c>
      <c r="B53" s="2" t="n">
        <v>6</v>
      </c>
      <c r="C53" s="12" t="b">
        <f aca="false">FALSE()</f>
        <v>0</v>
      </c>
      <c r="D53" s="5" t="s">
        <v>60</v>
      </c>
      <c r="E53" s="2" t="n">
        <v>12</v>
      </c>
      <c r="F53" s="2" t="n">
        <v>236</v>
      </c>
      <c r="G53" s="2" t="n">
        <v>41</v>
      </c>
      <c r="H53" s="2" t="n">
        <v>37</v>
      </c>
      <c r="I53" s="10" t="n">
        <v>0.156779661016949</v>
      </c>
      <c r="J53" s="7" t="n">
        <v>0.0576867332164788</v>
      </c>
      <c r="K53" s="7" t="n">
        <v>0.0393894655967806</v>
      </c>
    </row>
    <row r="54" customFormat="false" ht="15" hidden="false" customHeight="false" outlineLevel="0" collapsed="false">
      <c r="A54" s="5" t="s">
        <v>287</v>
      </c>
      <c r="B54" s="2" t="n">
        <v>6</v>
      </c>
      <c r="C54" s="12" t="b">
        <f aca="false">FALSE()</f>
        <v>0</v>
      </c>
      <c r="D54" s="5" t="s">
        <v>60</v>
      </c>
      <c r="E54" s="2" t="n">
        <v>13</v>
      </c>
      <c r="F54" s="2" t="n">
        <v>236</v>
      </c>
      <c r="G54" s="2" t="n">
        <v>40</v>
      </c>
      <c r="H54" s="2" t="n">
        <v>36</v>
      </c>
      <c r="I54" s="10" t="n">
        <v>0.152542372881356</v>
      </c>
      <c r="J54" s="7" t="n">
        <v>0.0680300954643525</v>
      </c>
      <c r="K54" s="7" t="n">
        <v>0.0442907529665361</v>
      </c>
    </row>
    <row r="55" customFormat="false" ht="15" hidden="false" customHeight="false" outlineLevel="0" collapsed="false">
      <c r="A55" s="5" t="s">
        <v>287</v>
      </c>
      <c r="B55" s="2" t="n">
        <v>6</v>
      </c>
      <c r="C55" s="12" t="b">
        <f aca="false">FALSE()</f>
        <v>0</v>
      </c>
      <c r="D55" s="5" t="s">
        <v>60</v>
      </c>
      <c r="E55" s="2" t="n">
        <v>14</v>
      </c>
      <c r="F55" s="2" t="n">
        <v>236</v>
      </c>
      <c r="G55" s="2" t="n">
        <v>40</v>
      </c>
      <c r="H55" s="2" t="n">
        <v>37</v>
      </c>
      <c r="I55" s="10" t="n">
        <v>0.156779661016949</v>
      </c>
      <c r="J55" s="7" t="n">
        <v>0.0606259020551449</v>
      </c>
      <c r="K55" s="7" t="n">
        <v>0.0461433635531707</v>
      </c>
    </row>
    <row r="56" customFormat="false" ht="15" hidden="false" customHeight="false" outlineLevel="0" collapsed="false">
      <c r="A56" s="5" t="s">
        <v>287</v>
      </c>
      <c r="B56" s="2" t="n">
        <v>6</v>
      </c>
      <c r="C56" s="12" t="b">
        <f aca="false">FALSE()</f>
        <v>0</v>
      </c>
      <c r="D56" s="5" t="s">
        <v>60</v>
      </c>
      <c r="E56" s="2" t="n">
        <v>15</v>
      </c>
      <c r="F56" s="2" t="n">
        <v>236</v>
      </c>
      <c r="G56" s="2" t="n">
        <v>38</v>
      </c>
      <c r="H56" s="2" t="n">
        <v>34</v>
      </c>
      <c r="I56" s="10" t="n">
        <v>0.14406779661017</v>
      </c>
      <c r="J56" s="7" t="n">
        <v>0.0581090556879149</v>
      </c>
      <c r="K56" s="7" t="n">
        <v>0.0402408172828741</v>
      </c>
    </row>
    <row r="57" customFormat="false" ht="15" hidden="false" customHeight="false" outlineLevel="0" collapsed="false">
      <c r="A57" s="5" t="s">
        <v>287</v>
      </c>
      <c r="B57" s="2" t="n">
        <v>6</v>
      </c>
      <c r="C57" s="12" t="b">
        <f aca="false">FALSE()</f>
        <v>0</v>
      </c>
      <c r="D57" s="5" t="s">
        <v>60</v>
      </c>
      <c r="E57" s="2" t="n">
        <v>16</v>
      </c>
      <c r="F57" s="2" t="n">
        <v>236</v>
      </c>
      <c r="G57" s="2" t="n">
        <v>42</v>
      </c>
      <c r="H57" s="2" t="n">
        <v>38</v>
      </c>
      <c r="I57" s="10" t="n">
        <v>0.161016949152542</v>
      </c>
      <c r="J57" s="7" t="n">
        <v>0.0697815293763706</v>
      </c>
      <c r="K57" s="7" t="n">
        <v>0.0501390935022026</v>
      </c>
    </row>
    <row r="58" customFormat="false" ht="15" hidden="false" customHeight="false" outlineLevel="0" collapsed="false">
      <c r="A58" s="5" t="s">
        <v>287</v>
      </c>
      <c r="B58" s="2" t="n">
        <v>6</v>
      </c>
      <c r="C58" s="12" t="b">
        <f aca="false">FALSE()</f>
        <v>0</v>
      </c>
      <c r="D58" s="5" t="s">
        <v>60</v>
      </c>
      <c r="E58" s="2" t="n">
        <v>17</v>
      </c>
      <c r="F58" s="2" t="n">
        <v>236</v>
      </c>
      <c r="G58" s="2" t="n">
        <v>41</v>
      </c>
      <c r="H58" s="2" t="n">
        <v>37</v>
      </c>
      <c r="I58" s="10" t="n">
        <v>0.156779661016949</v>
      </c>
      <c r="J58" s="7" t="n">
        <v>0.0680957295164564</v>
      </c>
      <c r="K58" s="7" t="n">
        <v>0.0532768242296781</v>
      </c>
    </row>
    <row r="59" customFormat="false" ht="15" hidden="false" customHeight="false" outlineLevel="0" collapsed="false">
      <c r="A59" s="5" t="s">
        <v>287</v>
      </c>
      <c r="B59" s="2" t="n">
        <v>6</v>
      </c>
      <c r="C59" s="12" t="b">
        <f aca="false">FALSE()</f>
        <v>0</v>
      </c>
      <c r="D59" s="5" t="s">
        <v>60</v>
      </c>
      <c r="E59" s="2" t="n">
        <v>18</v>
      </c>
      <c r="F59" s="2" t="n">
        <v>236</v>
      </c>
      <c r="G59" s="2" t="n">
        <v>38</v>
      </c>
      <c r="H59" s="2" t="n">
        <v>34</v>
      </c>
      <c r="I59" s="10" t="n">
        <v>0.14406779661017</v>
      </c>
      <c r="J59" s="7" t="n">
        <v>0.0697815562182109</v>
      </c>
      <c r="K59" s="7" t="n">
        <v>0.0539825210281065</v>
      </c>
    </row>
    <row r="60" customFormat="false" ht="15" hidden="false" customHeight="false" outlineLevel="0" collapsed="false">
      <c r="A60" s="5" t="s">
        <v>287</v>
      </c>
      <c r="B60" s="2" t="n">
        <v>6</v>
      </c>
      <c r="C60" s="12" t="b">
        <f aca="false">FALSE()</f>
        <v>0</v>
      </c>
      <c r="D60" s="5" t="s">
        <v>60</v>
      </c>
      <c r="E60" s="2" t="n">
        <v>19</v>
      </c>
      <c r="F60" s="2" t="n">
        <v>236</v>
      </c>
      <c r="G60" s="2" t="n">
        <v>41</v>
      </c>
      <c r="H60" s="2" t="n">
        <v>36</v>
      </c>
      <c r="I60" s="10" t="n">
        <v>0.152542372881356</v>
      </c>
      <c r="J60" s="7" t="n">
        <v>0.0658636259419587</v>
      </c>
      <c r="K60" s="7" t="n">
        <v>0.0510080861078981</v>
      </c>
    </row>
    <row r="61" customFormat="false" ht="15" hidden="false" customHeight="false" outlineLevel="0" collapsed="false">
      <c r="A61" s="5" t="s">
        <v>287</v>
      </c>
      <c r="B61" s="2" t="n">
        <v>6</v>
      </c>
      <c r="C61" s="12" t="b">
        <f aca="false">FALSE()</f>
        <v>0</v>
      </c>
      <c r="D61" s="5" t="s">
        <v>60</v>
      </c>
      <c r="E61" s="2" t="n">
        <v>20</v>
      </c>
      <c r="F61" s="2" t="n">
        <v>236</v>
      </c>
      <c r="G61" s="2" t="n">
        <v>38</v>
      </c>
      <c r="H61" s="2" t="n">
        <v>34</v>
      </c>
      <c r="I61" s="10" t="n">
        <v>0.14406779661017</v>
      </c>
      <c r="J61" s="7" t="n">
        <v>0.063835696725818</v>
      </c>
      <c r="K61" s="7" t="n">
        <v>0.0473802117068078</v>
      </c>
    </row>
    <row r="62" customFormat="false" ht="15" hidden="false" customHeight="false" outlineLevel="0" collapsed="false">
      <c r="A62" s="5" t="s">
        <v>287</v>
      </c>
      <c r="B62" s="2" t="n">
        <v>1</v>
      </c>
      <c r="C62" s="12" t="b">
        <f aca="false">TRUE()</f>
        <v>1</v>
      </c>
      <c r="D62" s="5" t="s">
        <v>79</v>
      </c>
      <c r="E62" s="2" t="n">
        <v>11</v>
      </c>
      <c r="F62" s="2" t="n">
        <v>51</v>
      </c>
      <c r="G62" s="2" t="n">
        <v>43</v>
      </c>
      <c r="H62" s="2" t="n">
        <v>38</v>
      </c>
      <c r="I62" s="10" t="n">
        <v>0.745098039215686</v>
      </c>
      <c r="J62" s="7" t="n">
        <v>0.0373585648602974</v>
      </c>
      <c r="K62" s="7" t="n">
        <v>0.0304506365873565</v>
      </c>
    </row>
    <row r="63" customFormat="false" ht="15" hidden="false" customHeight="false" outlineLevel="0" collapsed="false">
      <c r="A63" s="5" t="s">
        <v>287</v>
      </c>
      <c r="B63" s="2" t="n">
        <v>1</v>
      </c>
      <c r="C63" s="12" t="b">
        <f aca="false">TRUE()</f>
        <v>1</v>
      </c>
      <c r="D63" s="5" t="s">
        <v>79</v>
      </c>
      <c r="E63" s="2" t="n">
        <v>12</v>
      </c>
      <c r="F63" s="2" t="n">
        <v>51</v>
      </c>
      <c r="G63" s="2" t="n">
        <v>43</v>
      </c>
      <c r="H63" s="2" t="n">
        <v>38</v>
      </c>
      <c r="I63" s="10" t="n">
        <v>0.745098039215686</v>
      </c>
      <c r="J63" s="7" t="n">
        <v>0.0344523393140513</v>
      </c>
      <c r="K63" s="7" t="n">
        <v>0.0310113954810165</v>
      </c>
    </row>
    <row r="64" customFormat="false" ht="15" hidden="false" customHeight="false" outlineLevel="0" collapsed="false">
      <c r="A64" s="5" t="s">
        <v>287</v>
      </c>
      <c r="B64" s="2" t="n">
        <v>1</v>
      </c>
      <c r="C64" s="12" t="b">
        <f aca="false">TRUE()</f>
        <v>1</v>
      </c>
      <c r="D64" s="5" t="s">
        <v>79</v>
      </c>
      <c r="E64" s="2" t="n">
        <v>13</v>
      </c>
      <c r="F64" s="2" t="n">
        <v>51</v>
      </c>
      <c r="G64" s="2" t="n">
        <v>42</v>
      </c>
      <c r="H64" s="2" t="n">
        <v>38</v>
      </c>
      <c r="I64" s="10" t="n">
        <v>0.745098039215686</v>
      </c>
      <c r="J64" s="7" t="n">
        <v>0.0383673518008544</v>
      </c>
      <c r="K64" s="7" t="n">
        <v>0.0361771601026896</v>
      </c>
    </row>
    <row r="65" customFormat="false" ht="15" hidden="false" customHeight="false" outlineLevel="0" collapsed="false">
      <c r="A65" s="5" t="s">
        <v>287</v>
      </c>
      <c r="B65" s="2" t="n">
        <v>1</v>
      </c>
      <c r="C65" s="12" t="b">
        <f aca="false">TRUE()</f>
        <v>1</v>
      </c>
      <c r="D65" s="5" t="s">
        <v>79</v>
      </c>
      <c r="E65" s="2" t="n">
        <v>14</v>
      </c>
      <c r="F65" s="2" t="n">
        <v>51</v>
      </c>
      <c r="G65" s="2" t="n">
        <v>44</v>
      </c>
      <c r="H65" s="2" t="n">
        <v>39</v>
      </c>
      <c r="I65" s="10" t="n">
        <v>0.764705882352941</v>
      </c>
      <c r="J65" s="7" t="n">
        <v>0.0363001589316293</v>
      </c>
      <c r="K65" s="7" t="n">
        <v>0.0322386414105787</v>
      </c>
    </row>
    <row r="66" customFormat="false" ht="15" hidden="false" customHeight="false" outlineLevel="0" collapsed="false">
      <c r="A66" s="5" t="s">
        <v>287</v>
      </c>
      <c r="B66" s="2" t="n">
        <v>1</v>
      </c>
      <c r="C66" s="12" t="b">
        <f aca="false">TRUE()</f>
        <v>1</v>
      </c>
      <c r="D66" s="5" t="s">
        <v>79</v>
      </c>
      <c r="E66" s="2" t="n">
        <v>15</v>
      </c>
      <c r="F66" s="2" t="n">
        <v>51</v>
      </c>
      <c r="G66" s="2" t="n">
        <v>40</v>
      </c>
      <c r="H66" s="2" t="n">
        <v>37</v>
      </c>
      <c r="I66" s="10" t="n">
        <v>0.725490196078431</v>
      </c>
      <c r="J66" s="7" t="n">
        <v>0.0346558641346443</v>
      </c>
      <c r="K66" s="7" t="n">
        <v>0.0323785422772564</v>
      </c>
    </row>
    <row r="67" customFormat="false" ht="15" hidden="false" customHeight="false" outlineLevel="0" collapsed="false">
      <c r="A67" s="5" t="s">
        <v>287</v>
      </c>
      <c r="B67" s="2" t="n">
        <v>1</v>
      </c>
      <c r="C67" s="12" t="b">
        <f aca="false">TRUE()</f>
        <v>1</v>
      </c>
      <c r="D67" s="5" t="s">
        <v>79</v>
      </c>
      <c r="E67" s="2" t="n">
        <v>16</v>
      </c>
      <c r="F67" s="2" t="n">
        <v>51</v>
      </c>
      <c r="G67" s="2" t="n">
        <v>42</v>
      </c>
      <c r="H67" s="2" t="n">
        <v>38</v>
      </c>
      <c r="I67" s="10" t="n">
        <v>0.745098039215686</v>
      </c>
      <c r="J67" s="7" t="n">
        <v>0.0360040348616067</v>
      </c>
      <c r="K67" s="7" t="n">
        <v>0.0308214442616602</v>
      </c>
    </row>
    <row r="68" customFormat="false" ht="15" hidden="false" customHeight="false" outlineLevel="0" collapsed="false">
      <c r="A68" s="5" t="s">
        <v>287</v>
      </c>
      <c r="B68" s="2" t="n">
        <v>1</v>
      </c>
      <c r="C68" s="12" t="b">
        <f aca="false">TRUE()</f>
        <v>1</v>
      </c>
      <c r="D68" s="5" t="s">
        <v>79</v>
      </c>
      <c r="E68" s="2" t="n">
        <v>17</v>
      </c>
      <c r="F68" s="2" t="n">
        <v>51</v>
      </c>
      <c r="G68" s="2" t="n">
        <v>41</v>
      </c>
      <c r="H68" s="2" t="n">
        <v>38</v>
      </c>
      <c r="I68" s="10" t="n">
        <v>0.745098039215686</v>
      </c>
      <c r="J68" s="7" t="n">
        <v>0.0350503134605699</v>
      </c>
      <c r="K68" s="7" t="n">
        <v>0.0263584725583341</v>
      </c>
    </row>
    <row r="69" customFormat="false" ht="15" hidden="false" customHeight="false" outlineLevel="0" collapsed="false">
      <c r="A69" s="5" t="s">
        <v>287</v>
      </c>
      <c r="B69" s="2" t="n">
        <v>1</v>
      </c>
      <c r="C69" s="12" t="b">
        <f aca="false">TRUE()</f>
        <v>1</v>
      </c>
      <c r="D69" s="5" t="s">
        <v>79</v>
      </c>
      <c r="E69" s="2" t="n">
        <v>18</v>
      </c>
      <c r="F69" s="2" t="n">
        <v>51</v>
      </c>
      <c r="G69" s="2" t="n">
        <v>42</v>
      </c>
      <c r="H69" s="2" t="n">
        <v>39</v>
      </c>
      <c r="I69" s="10" t="n">
        <v>0.764705882352941</v>
      </c>
      <c r="J69" s="7" t="n">
        <v>0.0356727612813461</v>
      </c>
      <c r="K69" s="7" t="n">
        <v>0.0318427385756949</v>
      </c>
    </row>
    <row r="70" customFormat="false" ht="15" hidden="false" customHeight="false" outlineLevel="0" collapsed="false">
      <c r="A70" s="5" t="s">
        <v>287</v>
      </c>
      <c r="B70" s="2" t="n">
        <v>1</v>
      </c>
      <c r="C70" s="12" t="b">
        <f aca="false">TRUE()</f>
        <v>1</v>
      </c>
      <c r="D70" s="5" t="s">
        <v>79</v>
      </c>
      <c r="E70" s="2" t="n">
        <v>19</v>
      </c>
      <c r="F70" s="2" t="n">
        <v>51</v>
      </c>
      <c r="G70" s="2" t="n">
        <v>42</v>
      </c>
      <c r="H70" s="2" t="n">
        <v>38</v>
      </c>
      <c r="I70" s="10" t="n">
        <v>0.745098039215686</v>
      </c>
      <c r="J70" s="7" t="n">
        <v>0.0367375256307999</v>
      </c>
      <c r="K70" s="7" t="n">
        <v>0.0324919408606621</v>
      </c>
    </row>
    <row r="71" customFormat="false" ht="15" hidden="false" customHeight="false" outlineLevel="0" collapsed="false">
      <c r="A71" s="5" t="s">
        <v>287</v>
      </c>
      <c r="B71" s="2" t="n">
        <v>1</v>
      </c>
      <c r="C71" s="12" t="b">
        <f aca="false">TRUE()</f>
        <v>1</v>
      </c>
      <c r="D71" s="5" t="s">
        <v>79</v>
      </c>
      <c r="E71" s="2" t="n">
        <v>20</v>
      </c>
      <c r="F71" s="2" t="n">
        <v>51</v>
      </c>
      <c r="G71" s="2" t="n">
        <v>41</v>
      </c>
      <c r="H71" s="2" t="n">
        <v>38</v>
      </c>
      <c r="I71" s="10" t="n">
        <v>0.745098039215686</v>
      </c>
      <c r="J71" s="7" t="n">
        <v>0.0349892803132918</v>
      </c>
      <c r="K71" s="7" t="n">
        <v>0.0317341668561524</v>
      </c>
    </row>
    <row r="72" customFormat="false" ht="15" hidden="false" customHeight="false" outlineLevel="0" collapsed="false">
      <c r="A72" s="5" t="s">
        <v>287</v>
      </c>
      <c r="B72" s="2" t="n">
        <v>2</v>
      </c>
      <c r="C72" s="12" t="b">
        <f aca="false">FALSE()</f>
        <v>0</v>
      </c>
      <c r="D72" s="5" t="s">
        <v>79</v>
      </c>
      <c r="E72" s="2" t="n">
        <v>11</v>
      </c>
      <c r="F72" s="2" t="n">
        <v>84</v>
      </c>
      <c r="G72" s="2" t="n">
        <v>32</v>
      </c>
      <c r="H72" s="2" t="n">
        <v>32</v>
      </c>
      <c r="I72" s="10" t="n">
        <v>0.380952380952381</v>
      </c>
      <c r="J72" s="7" t="n">
        <v>0.0686661488653617</v>
      </c>
      <c r="K72" s="7" t="n">
        <v>0.0628718905875055</v>
      </c>
    </row>
    <row r="73" customFormat="false" ht="15" hidden="false" customHeight="false" outlineLevel="0" collapsed="false">
      <c r="A73" s="5" t="s">
        <v>287</v>
      </c>
      <c r="B73" s="2" t="n">
        <v>2</v>
      </c>
      <c r="C73" s="12" t="b">
        <f aca="false">FALSE()</f>
        <v>0</v>
      </c>
      <c r="D73" s="5" t="s">
        <v>79</v>
      </c>
      <c r="E73" s="2" t="n">
        <v>12</v>
      </c>
      <c r="F73" s="2" t="n">
        <v>84</v>
      </c>
      <c r="G73" s="2" t="n">
        <v>32</v>
      </c>
      <c r="H73" s="2" t="n">
        <v>32</v>
      </c>
      <c r="I73" s="10" t="n">
        <v>0.380952380952381</v>
      </c>
      <c r="J73" s="7" t="n">
        <v>0.0687512772608626</v>
      </c>
      <c r="K73" s="7" t="n">
        <v>0.0614395077235281</v>
      </c>
    </row>
    <row r="74" customFormat="false" ht="15" hidden="false" customHeight="false" outlineLevel="0" collapsed="false">
      <c r="A74" s="5" t="s">
        <v>287</v>
      </c>
      <c r="B74" s="2" t="n">
        <v>2</v>
      </c>
      <c r="C74" s="12" t="b">
        <f aca="false">FALSE()</f>
        <v>0</v>
      </c>
      <c r="D74" s="5" t="s">
        <v>79</v>
      </c>
      <c r="E74" s="2" t="n">
        <v>13</v>
      </c>
      <c r="F74" s="2" t="n">
        <v>84</v>
      </c>
      <c r="G74" s="2" t="n">
        <v>31</v>
      </c>
      <c r="H74" s="2" t="n">
        <v>30</v>
      </c>
      <c r="I74" s="10" t="n">
        <v>0.357142857142857</v>
      </c>
      <c r="J74" s="7" t="n">
        <v>0.0684500133917688</v>
      </c>
      <c r="K74" s="7" t="n">
        <v>0.0575533046688</v>
      </c>
    </row>
    <row r="75" customFormat="false" ht="15" hidden="false" customHeight="false" outlineLevel="0" collapsed="false">
      <c r="A75" s="5" t="s">
        <v>287</v>
      </c>
      <c r="B75" s="2" t="n">
        <v>2</v>
      </c>
      <c r="C75" s="12" t="b">
        <f aca="false">FALSE()</f>
        <v>0</v>
      </c>
      <c r="D75" s="5" t="s">
        <v>79</v>
      </c>
      <c r="E75" s="2" t="n">
        <v>14</v>
      </c>
      <c r="F75" s="2" t="n">
        <v>84</v>
      </c>
      <c r="G75" s="2" t="n">
        <v>33</v>
      </c>
      <c r="H75" s="2" t="n">
        <v>32</v>
      </c>
      <c r="I75" s="10" t="n">
        <v>0.380952380952381</v>
      </c>
      <c r="J75" s="7" t="n">
        <v>0.0694481461235647</v>
      </c>
      <c r="K75" s="7" t="n">
        <v>0.0640657571683653</v>
      </c>
    </row>
    <row r="76" customFormat="false" ht="15" hidden="false" customHeight="false" outlineLevel="0" collapsed="false">
      <c r="A76" s="5" t="s">
        <v>287</v>
      </c>
      <c r="B76" s="2" t="n">
        <v>2</v>
      </c>
      <c r="C76" s="12" t="b">
        <f aca="false">FALSE()</f>
        <v>0</v>
      </c>
      <c r="D76" s="5" t="s">
        <v>79</v>
      </c>
      <c r="E76" s="2" t="n">
        <v>15</v>
      </c>
      <c r="F76" s="2" t="n">
        <v>84</v>
      </c>
      <c r="G76" s="2" t="n">
        <v>33</v>
      </c>
      <c r="H76" s="2" t="n">
        <v>32</v>
      </c>
      <c r="I76" s="10" t="n">
        <v>0.380952380952381</v>
      </c>
      <c r="J76" s="7" t="n">
        <v>0.0677024279476001</v>
      </c>
      <c r="K76" s="7" t="n">
        <v>0.0578594043447196</v>
      </c>
    </row>
    <row r="77" customFormat="false" ht="15" hidden="false" customHeight="false" outlineLevel="0" collapsed="false">
      <c r="A77" s="5" t="s">
        <v>287</v>
      </c>
      <c r="B77" s="2" t="n">
        <v>2</v>
      </c>
      <c r="C77" s="12" t="b">
        <f aca="false">FALSE()</f>
        <v>0</v>
      </c>
      <c r="D77" s="5" t="s">
        <v>79</v>
      </c>
      <c r="E77" s="2" t="n">
        <v>16</v>
      </c>
      <c r="F77" s="2" t="n">
        <v>84</v>
      </c>
      <c r="G77" s="2" t="n">
        <v>32</v>
      </c>
      <c r="H77" s="2" t="n">
        <v>31</v>
      </c>
      <c r="I77" s="10" t="n">
        <v>0.369047619047619</v>
      </c>
      <c r="J77" s="7" t="n">
        <v>0.0705003042775406</v>
      </c>
      <c r="K77" s="7" t="n">
        <v>0.0582513519156426</v>
      </c>
    </row>
    <row r="78" customFormat="false" ht="15" hidden="false" customHeight="false" outlineLevel="0" collapsed="false">
      <c r="A78" s="5" t="s">
        <v>287</v>
      </c>
      <c r="B78" s="2" t="n">
        <v>2</v>
      </c>
      <c r="C78" s="12" t="b">
        <f aca="false">FALSE()</f>
        <v>0</v>
      </c>
      <c r="D78" s="5" t="s">
        <v>79</v>
      </c>
      <c r="E78" s="2" t="n">
        <v>17</v>
      </c>
      <c r="F78" s="2" t="n">
        <v>84</v>
      </c>
      <c r="G78" s="2" t="n">
        <v>33</v>
      </c>
      <c r="H78" s="2" t="n">
        <v>32</v>
      </c>
      <c r="I78" s="10" t="n">
        <v>0.380952380952381</v>
      </c>
      <c r="J78" s="7" t="n">
        <v>0.0694166429071588</v>
      </c>
      <c r="K78" s="7" t="n">
        <v>0.0584502335231176</v>
      </c>
    </row>
    <row r="79" customFormat="false" ht="15" hidden="false" customHeight="false" outlineLevel="0" collapsed="false">
      <c r="A79" s="5" t="s">
        <v>287</v>
      </c>
      <c r="B79" s="2" t="n">
        <v>2</v>
      </c>
      <c r="C79" s="12" t="b">
        <f aca="false">FALSE()</f>
        <v>0</v>
      </c>
      <c r="D79" s="5" t="s">
        <v>79</v>
      </c>
      <c r="E79" s="2" t="n">
        <v>18</v>
      </c>
      <c r="F79" s="2" t="n">
        <v>84</v>
      </c>
      <c r="G79" s="2" t="n">
        <v>31</v>
      </c>
      <c r="H79" s="2" t="n">
        <v>30</v>
      </c>
      <c r="I79" s="10" t="n">
        <v>0.357142857142857</v>
      </c>
      <c r="J79" s="7" t="n">
        <v>0.0702352451883432</v>
      </c>
      <c r="K79" s="7" t="n">
        <v>0.0622452917680558</v>
      </c>
    </row>
    <row r="80" customFormat="false" ht="15" hidden="false" customHeight="false" outlineLevel="0" collapsed="false">
      <c r="A80" s="5" t="s">
        <v>287</v>
      </c>
      <c r="B80" s="2" t="n">
        <v>2</v>
      </c>
      <c r="C80" s="12" t="b">
        <f aca="false">FALSE()</f>
        <v>0</v>
      </c>
      <c r="D80" s="5" t="s">
        <v>79</v>
      </c>
      <c r="E80" s="2" t="n">
        <v>19</v>
      </c>
      <c r="F80" s="2" t="n">
        <v>84</v>
      </c>
      <c r="G80" s="2" t="n">
        <v>32</v>
      </c>
      <c r="H80" s="2" t="n">
        <v>31</v>
      </c>
      <c r="I80" s="10" t="n">
        <v>0.369047619047619</v>
      </c>
      <c r="J80" s="7" t="n">
        <v>0.0747015135658727</v>
      </c>
      <c r="K80" s="7" t="n">
        <v>0.0787772175187727</v>
      </c>
    </row>
    <row r="81" customFormat="false" ht="15" hidden="false" customHeight="false" outlineLevel="0" collapsed="false">
      <c r="A81" s="5" t="s">
        <v>287</v>
      </c>
      <c r="B81" s="2" t="n">
        <v>2</v>
      </c>
      <c r="C81" s="12" t="b">
        <f aca="false">FALSE()</f>
        <v>0</v>
      </c>
      <c r="D81" s="5" t="s">
        <v>79</v>
      </c>
      <c r="E81" s="2" t="n">
        <v>20</v>
      </c>
      <c r="F81" s="2" t="n">
        <v>84</v>
      </c>
      <c r="G81" s="2" t="n">
        <v>32</v>
      </c>
      <c r="H81" s="2" t="n">
        <v>31</v>
      </c>
      <c r="I81" s="10" t="n">
        <v>0.369047619047619</v>
      </c>
      <c r="J81" s="7" t="n">
        <v>0.0687344469210919</v>
      </c>
      <c r="K81" s="7" t="n">
        <v>0.0619109037246263</v>
      </c>
    </row>
    <row r="82" customFormat="false" ht="15" hidden="false" customHeight="false" outlineLevel="0" collapsed="false">
      <c r="A82" s="5" t="s">
        <v>287</v>
      </c>
      <c r="B82" s="2" t="n">
        <v>3</v>
      </c>
      <c r="C82" s="12" t="b">
        <f aca="false">TRUE()</f>
        <v>1</v>
      </c>
      <c r="D82" s="5" t="s">
        <v>79</v>
      </c>
      <c r="E82" s="2" t="n">
        <v>11</v>
      </c>
      <c r="F82" s="2" t="n">
        <v>148</v>
      </c>
      <c r="G82" s="2" t="n">
        <v>51</v>
      </c>
      <c r="H82" s="2" t="n">
        <v>48</v>
      </c>
      <c r="I82" s="10" t="n">
        <v>0.324324324324324</v>
      </c>
      <c r="J82" s="7" t="n">
        <v>0.0524261305711824</v>
      </c>
      <c r="K82" s="7" t="n">
        <v>0.0375452744558812</v>
      </c>
    </row>
    <row r="83" customFormat="false" ht="15" hidden="false" customHeight="false" outlineLevel="0" collapsed="false">
      <c r="A83" s="5" t="s">
        <v>287</v>
      </c>
      <c r="B83" s="2" t="n">
        <v>3</v>
      </c>
      <c r="C83" s="12" t="b">
        <f aca="false">TRUE()</f>
        <v>1</v>
      </c>
      <c r="D83" s="5" t="s">
        <v>79</v>
      </c>
      <c r="E83" s="2" t="n">
        <v>12</v>
      </c>
      <c r="F83" s="2" t="n">
        <v>148</v>
      </c>
      <c r="G83" s="2" t="n">
        <v>49</v>
      </c>
      <c r="H83" s="2" t="n">
        <v>47</v>
      </c>
      <c r="I83" s="10" t="n">
        <v>0.317567567567568</v>
      </c>
      <c r="J83" s="7" t="n">
        <v>0.0498465005493995</v>
      </c>
      <c r="K83" s="7" t="n">
        <v>0.0331798131399214</v>
      </c>
    </row>
    <row r="84" customFormat="false" ht="15" hidden="false" customHeight="false" outlineLevel="0" collapsed="false">
      <c r="A84" s="5" t="s">
        <v>287</v>
      </c>
      <c r="B84" s="2" t="n">
        <v>3</v>
      </c>
      <c r="C84" s="12" t="b">
        <f aca="false">TRUE()</f>
        <v>1</v>
      </c>
      <c r="D84" s="5" t="s">
        <v>79</v>
      </c>
      <c r="E84" s="2" t="n">
        <v>13</v>
      </c>
      <c r="F84" s="2" t="n">
        <v>148</v>
      </c>
      <c r="G84" s="2" t="n">
        <v>49</v>
      </c>
      <c r="H84" s="2" t="n">
        <v>47</v>
      </c>
      <c r="I84" s="10" t="n">
        <v>0.317567567567568</v>
      </c>
      <c r="J84" s="7" t="n">
        <v>0.0525763578450935</v>
      </c>
      <c r="K84" s="7" t="n">
        <v>0.0308462315364455</v>
      </c>
    </row>
    <row r="85" customFormat="false" ht="15" hidden="false" customHeight="false" outlineLevel="0" collapsed="false">
      <c r="A85" s="5" t="s">
        <v>287</v>
      </c>
      <c r="B85" s="2" t="n">
        <v>3</v>
      </c>
      <c r="C85" s="12" t="b">
        <f aca="false">TRUE()</f>
        <v>1</v>
      </c>
      <c r="D85" s="5" t="s">
        <v>79</v>
      </c>
      <c r="E85" s="2" t="n">
        <v>14</v>
      </c>
      <c r="F85" s="2" t="n">
        <v>148</v>
      </c>
      <c r="G85" s="2" t="n">
        <v>51</v>
      </c>
      <c r="H85" s="2" t="n">
        <v>47</v>
      </c>
      <c r="I85" s="10" t="n">
        <v>0.317567567567568</v>
      </c>
      <c r="J85" s="7" t="n">
        <v>0.0522444397937399</v>
      </c>
      <c r="K85" s="7" t="n">
        <v>0.0411876194990678</v>
      </c>
    </row>
    <row r="86" customFormat="false" ht="15" hidden="false" customHeight="false" outlineLevel="0" collapsed="false">
      <c r="A86" s="5" t="s">
        <v>287</v>
      </c>
      <c r="B86" s="2" t="n">
        <v>3</v>
      </c>
      <c r="C86" s="12" t="b">
        <f aca="false">TRUE()</f>
        <v>1</v>
      </c>
      <c r="D86" s="5" t="s">
        <v>79</v>
      </c>
      <c r="E86" s="2" t="n">
        <v>15</v>
      </c>
      <c r="F86" s="2" t="n">
        <v>148</v>
      </c>
      <c r="G86" s="2" t="n">
        <v>50</v>
      </c>
      <c r="H86" s="2" t="n">
        <v>47</v>
      </c>
      <c r="I86" s="10" t="n">
        <v>0.317567567567568</v>
      </c>
      <c r="J86" s="7" t="n">
        <v>0.0708289248523841</v>
      </c>
      <c r="K86" s="7" t="n">
        <v>0.0370681804247252</v>
      </c>
    </row>
    <row r="87" customFormat="false" ht="15" hidden="false" customHeight="false" outlineLevel="0" collapsed="false">
      <c r="A87" s="5" t="s">
        <v>287</v>
      </c>
      <c r="B87" s="2" t="n">
        <v>3</v>
      </c>
      <c r="C87" s="12" t="b">
        <f aca="false">TRUE()</f>
        <v>1</v>
      </c>
      <c r="D87" s="5" t="s">
        <v>79</v>
      </c>
      <c r="E87" s="2" t="n">
        <v>16</v>
      </c>
      <c r="F87" s="2" t="n">
        <v>148</v>
      </c>
      <c r="G87" s="2" t="n">
        <v>50</v>
      </c>
      <c r="H87" s="2" t="n">
        <v>47</v>
      </c>
      <c r="I87" s="10" t="n">
        <v>0.317567567567568</v>
      </c>
      <c r="J87" s="7" t="n">
        <v>0.0593139286142772</v>
      </c>
      <c r="K87" s="7" t="n">
        <v>0.0350035712463751</v>
      </c>
    </row>
    <row r="88" customFormat="false" ht="15" hidden="false" customHeight="false" outlineLevel="0" collapsed="false">
      <c r="A88" s="5" t="s">
        <v>287</v>
      </c>
      <c r="B88" s="2" t="n">
        <v>3</v>
      </c>
      <c r="C88" s="12" t="b">
        <f aca="false">TRUE()</f>
        <v>1</v>
      </c>
      <c r="D88" s="5" t="s">
        <v>79</v>
      </c>
      <c r="E88" s="2" t="n">
        <v>17</v>
      </c>
      <c r="F88" s="2" t="n">
        <v>148</v>
      </c>
      <c r="G88" s="2" t="n">
        <v>49</v>
      </c>
      <c r="H88" s="2" t="n">
        <v>45</v>
      </c>
      <c r="I88" s="10" t="n">
        <v>0.304054054054054</v>
      </c>
      <c r="J88" s="7" t="n">
        <v>0.0477889340979922</v>
      </c>
      <c r="K88" s="7" t="n">
        <v>0.0300521213893465</v>
      </c>
    </row>
    <row r="89" customFormat="false" ht="15" hidden="false" customHeight="false" outlineLevel="0" collapsed="false">
      <c r="A89" s="5" t="s">
        <v>287</v>
      </c>
      <c r="B89" s="2" t="n">
        <v>3</v>
      </c>
      <c r="C89" s="12" t="b">
        <f aca="false">TRUE()</f>
        <v>1</v>
      </c>
      <c r="D89" s="5" t="s">
        <v>79</v>
      </c>
      <c r="E89" s="2" t="n">
        <v>18</v>
      </c>
      <c r="F89" s="2" t="n">
        <v>148</v>
      </c>
      <c r="G89" s="2" t="n">
        <v>50</v>
      </c>
      <c r="H89" s="2" t="n">
        <v>47</v>
      </c>
      <c r="I89" s="10" t="n">
        <v>0.317567567567568</v>
      </c>
      <c r="J89" s="7" t="n">
        <v>0.0536622693233912</v>
      </c>
      <c r="K89" s="7" t="n">
        <v>0.0303863456177271</v>
      </c>
    </row>
    <row r="90" customFormat="false" ht="15" hidden="false" customHeight="false" outlineLevel="0" collapsed="false">
      <c r="A90" s="5" t="s">
        <v>287</v>
      </c>
      <c r="B90" s="2" t="n">
        <v>3</v>
      </c>
      <c r="C90" s="12" t="b">
        <f aca="false">TRUE()</f>
        <v>1</v>
      </c>
      <c r="D90" s="5" t="s">
        <v>79</v>
      </c>
      <c r="E90" s="2" t="n">
        <v>19</v>
      </c>
      <c r="F90" s="2" t="n">
        <v>148</v>
      </c>
      <c r="G90" s="2" t="n">
        <v>51</v>
      </c>
      <c r="H90" s="2" t="n">
        <v>47</v>
      </c>
      <c r="I90" s="10" t="n">
        <v>0.317567567567568</v>
      </c>
      <c r="J90" s="7" t="n">
        <v>0.0514712003754052</v>
      </c>
      <c r="K90" s="7" t="n">
        <v>0.032060099812696</v>
      </c>
    </row>
    <row r="91" customFormat="false" ht="15" hidden="false" customHeight="false" outlineLevel="0" collapsed="false">
      <c r="A91" s="5" t="s">
        <v>287</v>
      </c>
      <c r="B91" s="2" t="n">
        <v>3</v>
      </c>
      <c r="C91" s="12" t="b">
        <f aca="false">TRUE()</f>
        <v>1</v>
      </c>
      <c r="D91" s="5" t="s">
        <v>79</v>
      </c>
      <c r="E91" s="2" t="n">
        <v>20</v>
      </c>
      <c r="F91" s="2" t="n">
        <v>148</v>
      </c>
      <c r="G91" s="2" t="n">
        <v>54</v>
      </c>
      <c r="H91" s="2" t="n">
        <v>49</v>
      </c>
      <c r="I91" s="10" t="n">
        <v>0.331081081081081</v>
      </c>
      <c r="J91" s="7" t="n">
        <v>0.0530291564007144</v>
      </c>
      <c r="K91" s="7" t="n">
        <v>0.0381933240239704</v>
      </c>
    </row>
    <row r="92" customFormat="false" ht="15" hidden="false" customHeight="false" outlineLevel="0" collapsed="false">
      <c r="A92" s="5" t="s">
        <v>287</v>
      </c>
      <c r="B92" s="2" t="n">
        <v>4</v>
      </c>
      <c r="C92" s="12" t="b">
        <f aca="false">FALSE()</f>
        <v>0</v>
      </c>
      <c r="D92" s="5" t="s">
        <v>79</v>
      </c>
      <c r="E92" s="2" t="n">
        <v>11</v>
      </c>
      <c r="F92" s="2" t="n">
        <v>78</v>
      </c>
      <c r="G92" s="2" t="n">
        <v>37</v>
      </c>
      <c r="H92" s="2" t="n">
        <v>33</v>
      </c>
      <c r="I92" s="10" t="n">
        <v>0.423076923076923</v>
      </c>
      <c r="J92" s="7" t="n">
        <v>0.06704373742023</v>
      </c>
      <c r="K92" s="7" t="n">
        <v>0.0434495109293534</v>
      </c>
    </row>
    <row r="93" customFormat="false" ht="15" hidden="false" customHeight="false" outlineLevel="0" collapsed="false">
      <c r="A93" s="5" t="s">
        <v>287</v>
      </c>
      <c r="B93" s="2" t="n">
        <v>4</v>
      </c>
      <c r="C93" s="12" t="b">
        <f aca="false">FALSE()</f>
        <v>0</v>
      </c>
      <c r="D93" s="5" t="s">
        <v>79</v>
      </c>
      <c r="E93" s="2" t="n">
        <v>12</v>
      </c>
      <c r="F93" s="2" t="n">
        <v>78</v>
      </c>
      <c r="G93" s="2" t="n">
        <v>35</v>
      </c>
      <c r="H93" s="2" t="n">
        <v>31</v>
      </c>
      <c r="I93" s="10" t="n">
        <v>0.397435897435897</v>
      </c>
      <c r="J93" s="7" t="n">
        <v>0.0643512212581809</v>
      </c>
      <c r="K93" s="7" t="n">
        <v>0.0436867256726804</v>
      </c>
    </row>
    <row r="94" customFormat="false" ht="15" hidden="false" customHeight="false" outlineLevel="0" collapsed="false">
      <c r="A94" s="5" t="s">
        <v>287</v>
      </c>
      <c r="B94" s="2" t="n">
        <v>4</v>
      </c>
      <c r="C94" s="12" t="b">
        <f aca="false">FALSE()</f>
        <v>0</v>
      </c>
      <c r="D94" s="5" t="s">
        <v>79</v>
      </c>
      <c r="E94" s="2" t="n">
        <v>13</v>
      </c>
      <c r="F94" s="2" t="n">
        <v>78</v>
      </c>
      <c r="G94" s="2" t="n">
        <v>35</v>
      </c>
      <c r="H94" s="2" t="n">
        <v>31</v>
      </c>
      <c r="I94" s="10" t="n">
        <v>0.397435897435897</v>
      </c>
      <c r="J94" s="7" t="n">
        <v>0.0595169181694339</v>
      </c>
      <c r="K94" s="7" t="n">
        <v>0.040010123718879</v>
      </c>
    </row>
    <row r="95" customFormat="false" ht="15" hidden="false" customHeight="false" outlineLevel="0" collapsed="false">
      <c r="A95" s="5" t="s">
        <v>287</v>
      </c>
      <c r="B95" s="2" t="n">
        <v>4</v>
      </c>
      <c r="C95" s="12" t="b">
        <f aca="false">FALSE()</f>
        <v>0</v>
      </c>
      <c r="D95" s="5" t="s">
        <v>79</v>
      </c>
      <c r="E95" s="2" t="n">
        <v>14</v>
      </c>
      <c r="F95" s="2" t="n">
        <v>78</v>
      </c>
      <c r="G95" s="2" t="n">
        <v>33</v>
      </c>
      <c r="H95" s="2" t="n">
        <v>30</v>
      </c>
      <c r="I95" s="10" t="n">
        <v>0.384615384615385</v>
      </c>
      <c r="J95" s="7" t="n">
        <v>0.0636754374412405</v>
      </c>
      <c r="K95" s="7" t="n">
        <v>0.0376034788068805</v>
      </c>
    </row>
    <row r="96" customFormat="false" ht="15" hidden="false" customHeight="false" outlineLevel="0" collapsed="false">
      <c r="A96" s="5" t="s">
        <v>287</v>
      </c>
      <c r="B96" s="2" t="n">
        <v>4</v>
      </c>
      <c r="C96" s="12" t="b">
        <f aca="false">FALSE()</f>
        <v>0</v>
      </c>
      <c r="D96" s="5" t="s">
        <v>79</v>
      </c>
      <c r="E96" s="2" t="n">
        <v>15</v>
      </c>
      <c r="F96" s="2" t="n">
        <v>78</v>
      </c>
      <c r="G96" s="2" t="n">
        <v>39</v>
      </c>
      <c r="H96" s="2" t="n">
        <v>32</v>
      </c>
      <c r="I96" s="10" t="n">
        <v>0.41025641025641</v>
      </c>
      <c r="J96" s="7" t="n">
        <v>0.0641020816744668</v>
      </c>
      <c r="K96" s="7" t="n">
        <v>0.0396482057087957</v>
      </c>
    </row>
    <row r="97" customFormat="false" ht="15" hidden="false" customHeight="false" outlineLevel="0" collapsed="false">
      <c r="A97" s="5" t="s">
        <v>287</v>
      </c>
      <c r="B97" s="2" t="n">
        <v>4</v>
      </c>
      <c r="C97" s="12" t="b">
        <f aca="false">FALSE()</f>
        <v>0</v>
      </c>
      <c r="D97" s="5" t="s">
        <v>79</v>
      </c>
      <c r="E97" s="2" t="n">
        <v>16</v>
      </c>
      <c r="F97" s="2" t="n">
        <v>78</v>
      </c>
      <c r="G97" s="2" t="n">
        <v>36</v>
      </c>
      <c r="H97" s="2" t="n">
        <v>31</v>
      </c>
      <c r="I97" s="10" t="n">
        <v>0.397435897435897</v>
      </c>
      <c r="J97" s="7" t="n">
        <v>0.0624368351784168</v>
      </c>
      <c r="K97" s="7" t="n">
        <v>0.0395476927266313</v>
      </c>
    </row>
    <row r="98" customFormat="false" ht="15" hidden="false" customHeight="false" outlineLevel="0" collapsed="false">
      <c r="A98" s="5" t="s">
        <v>287</v>
      </c>
      <c r="B98" s="2" t="n">
        <v>4</v>
      </c>
      <c r="C98" s="12" t="b">
        <f aca="false">FALSE()</f>
        <v>0</v>
      </c>
      <c r="D98" s="5" t="s">
        <v>79</v>
      </c>
      <c r="E98" s="2" t="n">
        <v>17</v>
      </c>
      <c r="F98" s="2" t="n">
        <v>78</v>
      </c>
      <c r="G98" s="2" t="n">
        <v>37</v>
      </c>
      <c r="H98" s="2" t="n">
        <v>32</v>
      </c>
      <c r="I98" s="10" t="n">
        <v>0.41025641025641</v>
      </c>
      <c r="J98" s="7" t="n">
        <v>0.0717020004951048</v>
      </c>
      <c r="K98" s="7" t="n">
        <v>0.0427505584587154</v>
      </c>
    </row>
    <row r="99" customFormat="false" ht="15" hidden="false" customHeight="false" outlineLevel="0" collapsed="false">
      <c r="A99" s="5" t="s">
        <v>287</v>
      </c>
      <c r="B99" s="2" t="n">
        <v>4</v>
      </c>
      <c r="C99" s="12" t="b">
        <f aca="false">FALSE()</f>
        <v>0</v>
      </c>
      <c r="D99" s="5" t="s">
        <v>79</v>
      </c>
      <c r="E99" s="2" t="n">
        <v>18</v>
      </c>
      <c r="F99" s="2" t="n">
        <v>78</v>
      </c>
      <c r="G99" s="2" t="n">
        <v>36</v>
      </c>
      <c r="H99" s="2" t="n">
        <v>31</v>
      </c>
      <c r="I99" s="10" t="n">
        <v>0.397435897435897</v>
      </c>
      <c r="J99" s="7" t="n">
        <v>0.0644855872869428</v>
      </c>
      <c r="K99" s="7" t="n">
        <v>0.042162779794506</v>
      </c>
    </row>
    <row r="100" customFormat="false" ht="15" hidden="false" customHeight="false" outlineLevel="0" collapsed="false">
      <c r="A100" s="5" t="s">
        <v>287</v>
      </c>
      <c r="B100" s="2" t="n">
        <v>4</v>
      </c>
      <c r="C100" s="12" t="b">
        <f aca="false">FALSE()</f>
        <v>0</v>
      </c>
      <c r="D100" s="5" t="s">
        <v>79</v>
      </c>
      <c r="E100" s="2" t="n">
        <v>19</v>
      </c>
      <c r="F100" s="2" t="n">
        <v>78</v>
      </c>
      <c r="G100" s="2" t="n">
        <v>37</v>
      </c>
      <c r="H100" s="2" t="n">
        <v>31</v>
      </c>
      <c r="I100" s="10" t="n">
        <v>0.397435897435897</v>
      </c>
      <c r="J100" s="7" t="n">
        <v>0.0677072731596073</v>
      </c>
      <c r="K100" s="7" t="n">
        <v>0.0461504062820695</v>
      </c>
    </row>
    <row r="101" customFormat="false" ht="15" hidden="false" customHeight="false" outlineLevel="0" collapsed="false">
      <c r="A101" s="5" t="s">
        <v>287</v>
      </c>
      <c r="B101" s="2" t="n">
        <v>4</v>
      </c>
      <c r="C101" s="12" t="b">
        <f aca="false">FALSE()</f>
        <v>0</v>
      </c>
      <c r="D101" s="5" t="s">
        <v>79</v>
      </c>
      <c r="E101" s="2" t="n">
        <v>20</v>
      </c>
      <c r="F101" s="2" t="n">
        <v>78</v>
      </c>
      <c r="G101" s="2" t="n">
        <v>37</v>
      </c>
      <c r="H101" s="2" t="n">
        <v>32</v>
      </c>
      <c r="I101" s="10" t="n">
        <v>0.41025641025641</v>
      </c>
      <c r="J101" s="7" t="n">
        <v>0.0565610400364067</v>
      </c>
      <c r="K101" s="7" t="n">
        <v>0.0357110768000826</v>
      </c>
    </row>
    <row r="102" customFormat="false" ht="15" hidden="false" customHeight="false" outlineLevel="0" collapsed="false">
      <c r="A102" s="5" t="s">
        <v>287</v>
      </c>
      <c r="B102" s="2" t="n">
        <v>5</v>
      </c>
      <c r="C102" s="12" t="b">
        <f aca="false">TRUE()</f>
        <v>1</v>
      </c>
      <c r="D102" s="5" t="s">
        <v>79</v>
      </c>
      <c r="E102" s="2" t="n">
        <v>11</v>
      </c>
      <c r="F102" s="2" t="n">
        <v>131</v>
      </c>
      <c r="G102" s="2" t="n">
        <v>23</v>
      </c>
      <c r="H102" s="2" t="n">
        <v>16</v>
      </c>
      <c r="I102" s="10" t="n">
        <v>0.122137404580153</v>
      </c>
      <c r="J102" s="7" t="n">
        <v>0.107930452143962</v>
      </c>
      <c r="K102" s="7" t="n">
        <v>0.0752389527735316</v>
      </c>
    </row>
    <row r="103" customFormat="false" ht="15" hidden="false" customHeight="false" outlineLevel="0" collapsed="false">
      <c r="A103" s="5" t="s">
        <v>287</v>
      </c>
      <c r="B103" s="2" t="n">
        <v>5</v>
      </c>
      <c r="C103" s="12" t="b">
        <f aca="false">TRUE()</f>
        <v>1</v>
      </c>
      <c r="D103" s="5" t="s">
        <v>79</v>
      </c>
      <c r="E103" s="2" t="n">
        <v>12</v>
      </c>
      <c r="F103" s="2" t="n">
        <v>131</v>
      </c>
      <c r="G103" s="2" t="n">
        <v>19</v>
      </c>
      <c r="H103" s="2" t="n">
        <v>16</v>
      </c>
      <c r="I103" s="10" t="n">
        <v>0.122137404580153</v>
      </c>
      <c r="J103" s="7" t="n">
        <v>0.0684741557085591</v>
      </c>
      <c r="K103" s="7" t="n">
        <v>0.0666371093753325</v>
      </c>
    </row>
    <row r="104" customFormat="false" ht="15" hidden="false" customHeight="false" outlineLevel="0" collapsed="false">
      <c r="A104" s="5" t="s">
        <v>287</v>
      </c>
      <c r="B104" s="2" t="n">
        <v>5</v>
      </c>
      <c r="C104" s="12" t="b">
        <f aca="false">TRUE()</f>
        <v>1</v>
      </c>
      <c r="D104" s="5" t="s">
        <v>79</v>
      </c>
      <c r="E104" s="2" t="n">
        <v>13</v>
      </c>
      <c r="F104" s="2" t="n">
        <v>131</v>
      </c>
      <c r="G104" s="2" t="n">
        <v>19</v>
      </c>
      <c r="H104" s="2" t="n">
        <v>15</v>
      </c>
      <c r="I104" s="10" t="n">
        <v>0.114503816793893</v>
      </c>
      <c r="J104" s="7" t="n">
        <v>0.112037791243253</v>
      </c>
      <c r="K104" s="7" t="n">
        <v>0.0691278525632031</v>
      </c>
    </row>
    <row r="105" customFormat="false" ht="15" hidden="false" customHeight="false" outlineLevel="0" collapsed="false">
      <c r="A105" s="5" t="s">
        <v>287</v>
      </c>
      <c r="B105" s="2" t="n">
        <v>5</v>
      </c>
      <c r="C105" s="12" t="b">
        <f aca="false">TRUE()</f>
        <v>1</v>
      </c>
      <c r="D105" s="5" t="s">
        <v>79</v>
      </c>
      <c r="E105" s="2" t="n">
        <v>14</v>
      </c>
      <c r="F105" s="2" t="n">
        <v>131</v>
      </c>
      <c r="G105" s="2" t="n">
        <v>18</v>
      </c>
      <c r="H105" s="2" t="n">
        <v>14</v>
      </c>
      <c r="I105" s="10" t="n">
        <v>0.106870229007634</v>
      </c>
      <c r="J105" s="7" t="n">
        <v>0.0710763121078829</v>
      </c>
      <c r="K105" s="7" t="n">
        <v>0.0628741128587332</v>
      </c>
    </row>
    <row r="106" customFormat="false" ht="15" hidden="false" customHeight="false" outlineLevel="0" collapsed="false">
      <c r="A106" s="5" t="s">
        <v>287</v>
      </c>
      <c r="B106" s="2" t="n">
        <v>5</v>
      </c>
      <c r="C106" s="12" t="b">
        <f aca="false">TRUE()</f>
        <v>1</v>
      </c>
      <c r="D106" s="5" t="s">
        <v>79</v>
      </c>
      <c r="E106" s="2" t="n">
        <v>15</v>
      </c>
      <c r="F106" s="2" t="n">
        <v>131</v>
      </c>
      <c r="G106" s="2" t="n">
        <v>19</v>
      </c>
      <c r="H106" s="2" t="n">
        <v>15</v>
      </c>
      <c r="I106" s="10" t="n">
        <v>0.114503816793893</v>
      </c>
      <c r="J106" s="7" t="n">
        <v>0.127113872833246</v>
      </c>
      <c r="K106" s="7" t="n">
        <v>0.0751463904655437</v>
      </c>
    </row>
    <row r="107" customFormat="false" ht="15" hidden="false" customHeight="false" outlineLevel="0" collapsed="false">
      <c r="A107" s="5" t="s">
        <v>287</v>
      </c>
      <c r="B107" s="2" t="n">
        <v>5</v>
      </c>
      <c r="C107" s="12" t="b">
        <f aca="false">TRUE()</f>
        <v>1</v>
      </c>
      <c r="D107" s="5" t="s">
        <v>79</v>
      </c>
      <c r="E107" s="2" t="n">
        <v>16</v>
      </c>
      <c r="F107" s="2" t="n">
        <v>131</v>
      </c>
      <c r="G107" s="2" t="n">
        <v>20</v>
      </c>
      <c r="H107" s="2" t="n">
        <v>16</v>
      </c>
      <c r="I107" s="10" t="n">
        <v>0.122137404580153</v>
      </c>
      <c r="J107" s="7" t="n">
        <v>0.107524648337021</v>
      </c>
      <c r="K107" s="7" t="n">
        <v>0.0733414269817799</v>
      </c>
    </row>
    <row r="108" customFormat="false" ht="15" hidden="false" customHeight="false" outlineLevel="0" collapsed="false">
      <c r="A108" s="5" t="s">
        <v>287</v>
      </c>
      <c r="B108" s="2" t="n">
        <v>5</v>
      </c>
      <c r="C108" s="12" t="b">
        <f aca="false">TRUE()</f>
        <v>1</v>
      </c>
      <c r="D108" s="5" t="s">
        <v>79</v>
      </c>
      <c r="E108" s="2" t="n">
        <v>17</v>
      </c>
      <c r="F108" s="2" t="n">
        <v>131</v>
      </c>
      <c r="G108" s="2" t="n">
        <v>20</v>
      </c>
      <c r="H108" s="2" t="n">
        <v>16</v>
      </c>
      <c r="I108" s="10" t="n">
        <v>0.122137404580153</v>
      </c>
      <c r="J108" s="7" t="n">
        <v>0.122531689778604</v>
      </c>
      <c r="K108" s="7" t="n">
        <v>0.0761124333399206</v>
      </c>
    </row>
    <row r="109" customFormat="false" ht="15" hidden="false" customHeight="false" outlineLevel="0" collapsed="false">
      <c r="A109" s="5" t="s">
        <v>287</v>
      </c>
      <c r="B109" s="2" t="n">
        <v>5</v>
      </c>
      <c r="C109" s="12" t="b">
        <f aca="false">TRUE()</f>
        <v>1</v>
      </c>
      <c r="D109" s="5" t="s">
        <v>79</v>
      </c>
      <c r="E109" s="2" t="n">
        <v>18</v>
      </c>
      <c r="F109" s="2" t="n">
        <v>131</v>
      </c>
      <c r="G109" s="2" t="n">
        <v>21</v>
      </c>
      <c r="H109" s="2" t="n">
        <v>15</v>
      </c>
      <c r="I109" s="10" t="n">
        <v>0.114503816793893</v>
      </c>
      <c r="J109" s="7" t="n">
        <v>0.076879203950093</v>
      </c>
      <c r="K109" s="7" t="n">
        <v>0.0721483194537471</v>
      </c>
    </row>
    <row r="110" customFormat="false" ht="15" hidden="false" customHeight="false" outlineLevel="0" collapsed="false">
      <c r="A110" s="5" t="s">
        <v>287</v>
      </c>
      <c r="B110" s="2" t="n">
        <v>5</v>
      </c>
      <c r="C110" s="12" t="b">
        <f aca="false">TRUE()</f>
        <v>1</v>
      </c>
      <c r="D110" s="5" t="s">
        <v>79</v>
      </c>
      <c r="E110" s="2" t="n">
        <v>19</v>
      </c>
      <c r="F110" s="2" t="n">
        <v>131</v>
      </c>
      <c r="G110" s="2" t="n">
        <v>22</v>
      </c>
      <c r="H110" s="2" t="n">
        <v>17</v>
      </c>
      <c r="I110" s="10" t="n">
        <v>0.129770992366412</v>
      </c>
      <c r="J110" s="7" t="n">
        <v>0.104886089471893</v>
      </c>
      <c r="K110" s="7" t="n">
        <v>0.0750387233366877</v>
      </c>
    </row>
    <row r="111" customFormat="false" ht="15" hidden="false" customHeight="false" outlineLevel="0" collapsed="false">
      <c r="A111" s="5" t="s">
        <v>287</v>
      </c>
      <c r="B111" s="2" t="n">
        <v>5</v>
      </c>
      <c r="C111" s="12" t="b">
        <f aca="false">TRUE()</f>
        <v>1</v>
      </c>
      <c r="D111" s="5" t="s">
        <v>79</v>
      </c>
      <c r="E111" s="2" t="n">
        <v>20</v>
      </c>
      <c r="F111" s="2" t="n">
        <v>131</v>
      </c>
      <c r="G111" s="2" t="n">
        <v>19</v>
      </c>
      <c r="H111" s="2" t="n">
        <v>16</v>
      </c>
      <c r="I111" s="10" t="n">
        <v>0.122137404580153</v>
      </c>
      <c r="J111" s="7" t="n">
        <v>0.123163225030851</v>
      </c>
      <c r="K111" s="7" t="n">
        <v>0.0696533600660103</v>
      </c>
    </row>
    <row r="112" customFormat="false" ht="15" hidden="false" customHeight="false" outlineLevel="0" collapsed="false">
      <c r="A112" s="5" t="s">
        <v>287</v>
      </c>
      <c r="B112" s="2" t="n">
        <v>6</v>
      </c>
      <c r="C112" s="12" t="b">
        <f aca="false">FALSE()</f>
        <v>0</v>
      </c>
      <c r="D112" s="5" t="s">
        <v>79</v>
      </c>
      <c r="E112" s="2" t="n">
        <v>11</v>
      </c>
      <c r="F112" s="2" t="n">
        <v>236</v>
      </c>
      <c r="G112" s="2" t="n">
        <v>36</v>
      </c>
      <c r="H112" s="2" t="n">
        <v>32</v>
      </c>
      <c r="I112" s="10" t="n">
        <v>0.135593220338983</v>
      </c>
      <c r="J112" s="7" t="n">
        <v>0.0627518226826919</v>
      </c>
      <c r="K112" s="7" t="n">
        <v>0.0504372390826723</v>
      </c>
    </row>
    <row r="113" customFormat="false" ht="15" hidden="false" customHeight="false" outlineLevel="0" collapsed="false">
      <c r="A113" s="5" t="s">
        <v>287</v>
      </c>
      <c r="B113" s="2" t="n">
        <v>6</v>
      </c>
      <c r="C113" s="12" t="b">
        <f aca="false">FALSE()</f>
        <v>0</v>
      </c>
      <c r="D113" s="5" t="s">
        <v>79</v>
      </c>
      <c r="E113" s="2" t="n">
        <v>12</v>
      </c>
      <c r="F113" s="2" t="n">
        <v>236</v>
      </c>
      <c r="G113" s="2" t="n">
        <v>37</v>
      </c>
      <c r="H113" s="2" t="n">
        <v>32</v>
      </c>
      <c r="I113" s="10" t="n">
        <v>0.135593220338983</v>
      </c>
      <c r="J113" s="7" t="n">
        <v>0.0669185162156186</v>
      </c>
      <c r="K113" s="7" t="n">
        <v>0.0441563530626499</v>
      </c>
    </row>
    <row r="114" customFormat="false" ht="15" hidden="false" customHeight="false" outlineLevel="0" collapsed="false">
      <c r="A114" s="5" t="s">
        <v>287</v>
      </c>
      <c r="B114" s="2" t="n">
        <v>6</v>
      </c>
      <c r="C114" s="12" t="b">
        <f aca="false">FALSE()</f>
        <v>0</v>
      </c>
      <c r="D114" s="5" t="s">
        <v>79</v>
      </c>
      <c r="E114" s="2" t="n">
        <v>13</v>
      </c>
      <c r="F114" s="2" t="n">
        <v>236</v>
      </c>
      <c r="G114" s="2" t="n">
        <v>37</v>
      </c>
      <c r="H114" s="2" t="n">
        <v>31</v>
      </c>
      <c r="I114" s="10" t="n">
        <v>0.13135593220339</v>
      </c>
      <c r="J114" s="7" t="n">
        <v>0.071395346374053</v>
      </c>
      <c r="K114" s="7" t="n">
        <v>0.0482454142898571</v>
      </c>
    </row>
    <row r="115" customFormat="false" ht="15" hidden="false" customHeight="false" outlineLevel="0" collapsed="false">
      <c r="A115" s="5" t="s">
        <v>287</v>
      </c>
      <c r="B115" s="2" t="n">
        <v>6</v>
      </c>
      <c r="C115" s="12" t="b">
        <f aca="false">FALSE()</f>
        <v>0</v>
      </c>
      <c r="D115" s="5" t="s">
        <v>79</v>
      </c>
      <c r="E115" s="2" t="n">
        <v>14</v>
      </c>
      <c r="F115" s="2" t="n">
        <v>236</v>
      </c>
      <c r="G115" s="2" t="n">
        <v>39</v>
      </c>
      <c r="H115" s="2" t="n">
        <v>34</v>
      </c>
      <c r="I115" s="10" t="n">
        <v>0.14406779661017</v>
      </c>
      <c r="J115" s="7" t="n">
        <v>0.0640899115673122</v>
      </c>
      <c r="K115" s="7" t="n">
        <v>0.0494213851506399</v>
      </c>
    </row>
    <row r="116" customFormat="false" ht="15" hidden="false" customHeight="false" outlineLevel="0" collapsed="false">
      <c r="A116" s="5" t="s">
        <v>287</v>
      </c>
      <c r="B116" s="2" t="n">
        <v>6</v>
      </c>
      <c r="C116" s="12" t="b">
        <f aca="false">FALSE()</f>
        <v>0</v>
      </c>
      <c r="D116" s="5" t="s">
        <v>79</v>
      </c>
      <c r="E116" s="2" t="n">
        <v>15</v>
      </c>
      <c r="F116" s="2" t="n">
        <v>236</v>
      </c>
      <c r="G116" s="2" t="n">
        <v>38</v>
      </c>
      <c r="H116" s="2" t="n">
        <v>32</v>
      </c>
      <c r="I116" s="10" t="n">
        <v>0.135593220338983</v>
      </c>
      <c r="J116" s="7" t="n">
        <v>0.0695713639905101</v>
      </c>
      <c r="K116" s="7" t="n">
        <v>0.0542623932019908</v>
      </c>
    </row>
    <row r="117" customFormat="false" ht="15" hidden="false" customHeight="false" outlineLevel="0" collapsed="false">
      <c r="A117" s="5" t="s">
        <v>287</v>
      </c>
      <c r="B117" s="2" t="n">
        <v>6</v>
      </c>
      <c r="C117" s="12" t="b">
        <f aca="false">FALSE()</f>
        <v>0</v>
      </c>
      <c r="D117" s="5" t="s">
        <v>79</v>
      </c>
      <c r="E117" s="2" t="n">
        <v>16</v>
      </c>
      <c r="F117" s="2" t="n">
        <v>236</v>
      </c>
      <c r="G117" s="2" t="n">
        <v>37</v>
      </c>
      <c r="H117" s="2" t="n">
        <v>33</v>
      </c>
      <c r="I117" s="10" t="n">
        <v>0.139830508474576</v>
      </c>
      <c r="J117" s="7" t="n">
        <v>0.0656252930729388</v>
      </c>
      <c r="K117" s="7" t="n">
        <v>0.0448808422380855</v>
      </c>
    </row>
    <row r="118" customFormat="false" ht="15" hidden="false" customHeight="false" outlineLevel="0" collapsed="false">
      <c r="A118" s="5" t="s">
        <v>287</v>
      </c>
      <c r="B118" s="2" t="n">
        <v>6</v>
      </c>
      <c r="C118" s="12" t="b">
        <f aca="false">FALSE()</f>
        <v>0</v>
      </c>
      <c r="D118" s="5" t="s">
        <v>79</v>
      </c>
      <c r="E118" s="2" t="n">
        <v>17</v>
      </c>
      <c r="F118" s="2" t="n">
        <v>236</v>
      </c>
      <c r="G118" s="2" t="n">
        <v>38</v>
      </c>
      <c r="H118" s="2" t="n">
        <v>33</v>
      </c>
      <c r="I118" s="10" t="n">
        <v>0.139830508474576</v>
      </c>
      <c r="J118" s="7" t="n">
        <v>0.0698549666354252</v>
      </c>
      <c r="K118" s="7" t="n">
        <v>0.0447487429991047</v>
      </c>
    </row>
    <row r="119" customFormat="false" ht="15" hidden="false" customHeight="false" outlineLevel="0" collapsed="false">
      <c r="A119" s="5" t="s">
        <v>287</v>
      </c>
      <c r="B119" s="2" t="n">
        <v>6</v>
      </c>
      <c r="C119" s="12" t="b">
        <f aca="false">FALSE()</f>
        <v>0</v>
      </c>
      <c r="D119" s="5" t="s">
        <v>79</v>
      </c>
      <c r="E119" s="2" t="n">
        <v>18</v>
      </c>
      <c r="F119" s="2" t="n">
        <v>236</v>
      </c>
      <c r="G119" s="2" t="n">
        <v>39</v>
      </c>
      <c r="H119" s="2" t="n">
        <v>33</v>
      </c>
      <c r="I119" s="10" t="n">
        <v>0.139830508474576</v>
      </c>
      <c r="J119" s="7" t="n">
        <v>0.0577033899534613</v>
      </c>
      <c r="K119" s="7" t="n">
        <v>0.0393410726849186</v>
      </c>
    </row>
    <row r="120" customFormat="false" ht="15" hidden="false" customHeight="false" outlineLevel="0" collapsed="false">
      <c r="A120" s="5" t="s">
        <v>287</v>
      </c>
      <c r="B120" s="2" t="n">
        <v>6</v>
      </c>
      <c r="C120" s="12" t="b">
        <f aca="false">FALSE()</f>
        <v>0</v>
      </c>
      <c r="D120" s="5" t="s">
        <v>79</v>
      </c>
      <c r="E120" s="2" t="n">
        <v>19</v>
      </c>
      <c r="F120" s="2" t="n">
        <v>236</v>
      </c>
      <c r="G120" s="2" t="n">
        <v>37</v>
      </c>
      <c r="H120" s="2" t="n">
        <v>31</v>
      </c>
      <c r="I120" s="10" t="n">
        <v>0.13135593220339</v>
      </c>
      <c r="J120" s="7" t="n">
        <v>0.0605767867815239</v>
      </c>
      <c r="K120" s="7" t="n">
        <v>0.046499892472994</v>
      </c>
    </row>
    <row r="121" customFormat="false" ht="15" hidden="false" customHeight="false" outlineLevel="0" collapsed="false">
      <c r="A121" s="5" t="s">
        <v>287</v>
      </c>
      <c r="B121" s="2" t="n">
        <v>6</v>
      </c>
      <c r="C121" s="12" t="b">
        <f aca="false">FALSE()</f>
        <v>0</v>
      </c>
      <c r="D121" s="5" t="s">
        <v>79</v>
      </c>
      <c r="E121" s="2" t="n">
        <v>20</v>
      </c>
      <c r="F121" s="2" t="n">
        <v>236</v>
      </c>
      <c r="G121" s="2" t="n">
        <v>37</v>
      </c>
      <c r="H121" s="2" t="n">
        <v>32</v>
      </c>
      <c r="I121" s="10" t="n">
        <v>0.135593220338983</v>
      </c>
      <c r="J121" s="7" t="n">
        <v>0.059146188063983</v>
      </c>
      <c r="K121" s="7" t="n">
        <v>0.043183746234459</v>
      </c>
    </row>
    <row r="122" customFormat="false" ht="15" hidden="false" customHeight="false" outlineLevel="0" collapsed="false">
      <c r="A122" s="5" t="s">
        <v>287</v>
      </c>
      <c r="B122" s="2" t="n">
        <v>1</v>
      </c>
      <c r="C122" s="12" t="b">
        <f aca="false">TRUE()</f>
        <v>1</v>
      </c>
      <c r="D122" s="5" t="s">
        <v>82</v>
      </c>
      <c r="E122" s="2" t="n">
        <v>11</v>
      </c>
      <c r="F122" s="2" t="n">
        <v>51</v>
      </c>
      <c r="G122" s="2" t="n">
        <v>44</v>
      </c>
      <c r="H122" s="2" t="n">
        <v>40</v>
      </c>
      <c r="I122" s="10" t="n">
        <v>0.784313725490196</v>
      </c>
      <c r="J122" s="7" t="n">
        <v>0.0362008010961083</v>
      </c>
      <c r="K122" s="7" t="n">
        <v>0.0313674884367982</v>
      </c>
    </row>
    <row r="123" customFormat="false" ht="15" hidden="false" customHeight="false" outlineLevel="0" collapsed="false">
      <c r="A123" s="5" t="s">
        <v>287</v>
      </c>
      <c r="B123" s="2" t="n">
        <v>1</v>
      </c>
      <c r="C123" s="12" t="b">
        <f aca="false">TRUE()</f>
        <v>1</v>
      </c>
      <c r="D123" s="5" t="s">
        <v>82</v>
      </c>
      <c r="E123" s="2" t="n">
        <v>12</v>
      </c>
      <c r="F123" s="2" t="n">
        <v>51</v>
      </c>
      <c r="G123" s="2" t="n">
        <v>42</v>
      </c>
      <c r="H123" s="2" t="n">
        <v>40</v>
      </c>
      <c r="I123" s="10" t="n">
        <v>0.784313725490196</v>
      </c>
      <c r="J123" s="7" t="n">
        <v>0.0358394649792655</v>
      </c>
      <c r="K123" s="7" t="n">
        <v>0.0344958058735342</v>
      </c>
    </row>
    <row r="124" customFormat="false" ht="15" hidden="false" customHeight="false" outlineLevel="0" collapsed="false">
      <c r="A124" s="5" t="s">
        <v>287</v>
      </c>
      <c r="B124" s="2" t="n">
        <v>1</v>
      </c>
      <c r="C124" s="12" t="b">
        <f aca="false">TRUE()</f>
        <v>1</v>
      </c>
      <c r="D124" s="5" t="s">
        <v>82</v>
      </c>
      <c r="E124" s="2" t="n">
        <v>13</v>
      </c>
      <c r="F124" s="2" t="n">
        <v>51</v>
      </c>
      <c r="G124" s="2" t="n">
        <v>42</v>
      </c>
      <c r="H124" s="2" t="n">
        <v>39</v>
      </c>
      <c r="I124" s="10" t="n">
        <v>0.764705882352941</v>
      </c>
      <c r="J124" s="7" t="n">
        <v>0.0343069776860148</v>
      </c>
      <c r="K124" s="7" t="n">
        <v>0.03172333525971</v>
      </c>
    </row>
    <row r="125" customFormat="false" ht="15" hidden="false" customHeight="false" outlineLevel="0" collapsed="false">
      <c r="A125" s="5" t="s">
        <v>287</v>
      </c>
      <c r="B125" s="2" t="n">
        <v>1</v>
      </c>
      <c r="C125" s="12" t="b">
        <f aca="false">TRUE()</f>
        <v>1</v>
      </c>
      <c r="D125" s="5" t="s">
        <v>82</v>
      </c>
      <c r="E125" s="2" t="n">
        <v>14</v>
      </c>
      <c r="F125" s="2" t="n">
        <v>51</v>
      </c>
      <c r="G125" s="2" t="n">
        <v>44</v>
      </c>
      <c r="H125" s="2" t="n">
        <v>39</v>
      </c>
      <c r="I125" s="10" t="n">
        <v>0.764705882352941</v>
      </c>
      <c r="J125" s="7" t="n">
        <v>0.0373394923948852</v>
      </c>
      <c r="K125" s="7" t="n">
        <v>0.0309614276156625</v>
      </c>
    </row>
    <row r="126" customFormat="false" ht="15" hidden="false" customHeight="false" outlineLevel="0" collapsed="false">
      <c r="A126" s="5" t="s">
        <v>287</v>
      </c>
      <c r="B126" s="2" t="n">
        <v>1</v>
      </c>
      <c r="C126" s="12" t="b">
        <f aca="false">TRUE()</f>
        <v>1</v>
      </c>
      <c r="D126" s="5" t="s">
        <v>82</v>
      </c>
      <c r="E126" s="2" t="n">
        <v>15</v>
      </c>
      <c r="F126" s="2" t="n">
        <v>51</v>
      </c>
      <c r="G126" s="2" t="n">
        <v>43</v>
      </c>
      <c r="H126" s="2" t="n">
        <v>39</v>
      </c>
      <c r="I126" s="10" t="n">
        <v>0.764705882352941</v>
      </c>
      <c r="J126" s="7" t="n">
        <v>0.0351726182835892</v>
      </c>
      <c r="K126" s="7" t="n">
        <v>0.0310220889045205</v>
      </c>
    </row>
    <row r="127" customFormat="false" ht="15" hidden="false" customHeight="false" outlineLevel="0" collapsed="false">
      <c r="A127" s="5" t="s">
        <v>287</v>
      </c>
      <c r="B127" s="2" t="n">
        <v>1</v>
      </c>
      <c r="C127" s="12" t="b">
        <f aca="false">TRUE()</f>
        <v>1</v>
      </c>
      <c r="D127" s="5" t="s">
        <v>82</v>
      </c>
      <c r="E127" s="2" t="n">
        <v>16</v>
      </c>
      <c r="F127" s="2" t="n">
        <v>51</v>
      </c>
      <c r="G127" s="2" t="n">
        <v>43</v>
      </c>
      <c r="H127" s="2" t="n">
        <v>40</v>
      </c>
      <c r="I127" s="10" t="n">
        <v>0.784313725490196</v>
      </c>
      <c r="J127" s="7" t="n">
        <v>0.0361573194526365</v>
      </c>
      <c r="K127" s="7" t="n">
        <v>0.0322699657989339</v>
      </c>
    </row>
    <row r="128" customFormat="false" ht="15" hidden="false" customHeight="false" outlineLevel="0" collapsed="false">
      <c r="A128" s="5" t="s">
        <v>287</v>
      </c>
      <c r="B128" s="2" t="n">
        <v>1</v>
      </c>
      <c r="C128" s="12" t="b">
        <f aca="false">TRUE()</f>
        <v>1</v>
      </c>
      <c r="D128" s="5" t="s">
        <v>82</v>
      </c>
      <c r="E128" s="2" t="n">
        <v>17</v>
      </c>
      <c r="F128" s="2" t="n">
        <v>51</v>
      </c>
      <c r="G128" s="2" t="n">
        <v>45</v>
      </c>
      <c r="H128" s="2" t="n">
        <v>40</v>
      </c>
      <c r="I128" s="10" t="n">
        <v>0.784313725490196</v>
      </c>
      <c r="J128" s="7" t="n">
        <v>0.0343231153889036</v>
      </c>
      <c r="K128" s="7" t="n">
        <v>0.0289767652939988</v>
      </c>
    </row>
    <row r="129" customFormat="false" ht="15" hidden="false" customHeight="false" outlineLevel="0" collapsed="false">
      <c r="A129" s="5" t="s">
        <v>287</v>
      </c>
      <c r="B129" s="2" t="n">
        <v>1</v>
      </c>
      <c r="C129" s="12" t="b">
        <f aca="false">TRUE()</f>
        <v>1</v>
      </c>
      <c r="D129" s="5" t="s">
        <v>82</v>
      </c>
      <c r="E129" s="2" t="n">
        <v>18</v>
      </c>
      <c r="F129" s="2" t="n">
        <v>51</v>
      </c>
      <c r="G129" s="2" t="n">
        <v>44</v>
      </c>
      <c r="H129" s="2" t="n">
        <v>40</v>
      </c>
      <c r="I129" s="10" t="n">
        <v>0.784313725490196</v>
      </c>
      <c r="J129" s="7" t="n">
        <v>0.0345195017345268</v>
      </c>
      <c r="K129" s="7" t="n">
        <v>0.0317145889154419</v>
      </c>
    </row>
    <row r="130" customFormat="false" ht="15" hidden="false" customHeight="false" outlineLevel="0" collapsed="false">
      <c r="A130" s="5" t="s">
        <v>287</v>
      </c>
      <c r="B130" s="2" t="n">
        <v>1</v>
      </c>
      <c r="C130" s="12" t="b">
        <f aca="false">TRUE()</f>
        <v>1</v>
      </c>
      <c r="D130" s="5" t="s">
        <v>82</v>
      </c>
      <c r="E130" s="2" t="n">
        <v>19</v>
      </c>
      <c r="F130" s="2" t="n">
        <v>51</v>
      </c>
      <c r="G130" s="2" t="n">
        <v>44</v>
      </c>
      <c r="H130" s="2" t="n">
        <v>40</v>
      </c>
      <c r="I130" s="10" t="n">
        <v>0.784313725490196</v>
      </c>
      <c r="J130" s="7" t="n">
        <v>0.0395753679704938</v>
      </c>
      <c r="K130" s="7" t="n">
        <v>0.0308470731684611</v>
      </c>
    </row>
    <row r="131" customFormat="false" ht="15" hidden="false" customHeight="false" outlineLevel="0" collapsed="false">
      <c r="A131" s="5" t="s">
        <v>287</v>
      </c>
      <c r="B131" s="2" t="n">
        <v>1</v>
      </c>
      <c r="C131" s="12" t="b">
        <f aca="false">TRUE()</f>
        <v>1</v>
      </c>
      <c r="D131" s="5" t="s">
        <v>82</v>
      </c>
      <c r="E131" s="2" t="n">
        <v>20</v>
      </c>
      <c r="F131" s="2" t="n">
        <v>51</v>
      </c>
      <c r="G131" s="2" t="n">
        <v>44</v>
      </c>
      <c r="H131" s="2" t="n">
        <v>40</v>
      </c>
      <c r="I131" s="10" t="n">
        <v>0.784313725490196</v>
      </c>
      <c r="J131" s="7" t="n">
        <v>0.03627422638734</v>
      </c>
      <c r="K131" s="7" t="n">
        <v>0.0301817441795313</v>
      </c>
    </row>
    <row r="132" customFormat="false" ht="15" hidden="false" customHeight="false" outlineLevel="0" collapsed="false">
      <c r="A132" s="5" t="s">
        <v>287</v>
      </c>
      <c r="B132" s="2" t="n">
        <v>2</v>
      </c>
      <c r="C132" s="12" t="b">
        <f aca="false">FALSE()</f>
        <v>0</v>
      </c>
      <c r="D132" s="5" t="s">
        <v>82</v>
      </c>
      <c r="E132" s="2" t="n">
        <v>11</v>
      </c>
      <c r="F132" s="2" t="n">
        <v>84</v>
      </c>
      <c r="G132" s="2" t="n">
        <v>34</v>
      </c>
      <c r="H132" s="2" t="n">
        <v>33</v>
      </c>
      <c r="I132" s="10" t="n">
        <v>0.392857142857143</v>
      </c>
      <c r="J132" s="7" t="n">
        <v>0.0685033730644858</v>
      </c>
      <c r="K132" s="7" t="n">
        <v>0.0597180877121829</v>
      </c>
    </row>
    <row r="133" customFormat="false" ht="15" hidden="false" customHeight="false" outlineLevel="0" collapsed="false">
      <c r="A133" s="5" t="s">
        <v>287</v>
      </c>
      <c r="B133" s="2" t="n">
        <v>2</v>
      </c>
      <c r="C133" s="12" t="b">
        <f aca="false">FALSE()</f>
        <v>0</v>
      </c>
      <c r="D133" s="5" t="s">
        <v>82</v>
      </c>
      <c r="E133" s="2" t="n">
        <v>12</v>
      </c>
      <c r="F133" s="2" t="n">
        <v>84</v>
      </c>
      <c r="G133" s="2" t="n">
        <v>36</v>
      </c>
      <c r="H133" s="2" t="n">
        <v>35</v>
      </c>
      <c r="I133" s="10" t="n">
        <v>0.416666666666667</v>
      </c>
      <c r="J133" s="7" t="n">
        <v>0.0631612471604</v>
      </c>
      <c r="K133" s="7" t="n">
        <v>0.0573819658080831</v>
      </c>
    </row>
    <row r="134" customFormat="false" ht="15" hidden="false" customHeight="false" outlineLevel="0" collapsed="false">
      <c r="A134" s="5" t="s">
        <v>287</v>
      </c>
      <c r="B134" s="2" t="n">
        <v>2</v>
      </c>
      <c r="C134" s="12" t="b">
        <f aca="false">FALSE()</f>
        <v>0</v>
      </c>
      <c r="D134" s="5" t="s">
        <v>82</v>
      </c>
      <c r="E134" s="2" t="n">
        <v>13</v>
      </c>
      <c r="F134" s="2" t="n">
        <v>84</v>
      </c>
      <c r="G134" s="2" t="n">
        <v>37</v>
      </c>
      <c r="H134" s="2" t="n">
        <v>36</v>
      </c>
      <c r="I134" s="10" t="n">
        <v>0.428571428571429</v>
      </c>
      <c r="J134" s="7" t="n">
        <v>0.0675982371565018</v>
      </c>
      <c r="K134" s="7" t="n">
        <v>0.0586485698600754</v>
      </c>
    </row>
    <row r="135" customFormat="false" ht="15" hidden="false" customHeight="false" outlineLevel="0" collapsed="false">
      <c r="A135" s="5" t="s">
        <v>287</v>
      </c>
      <c r="B135" s="2" t="n">
        <v>2</v>
      </c>
      <c r="C135" s="12" t="b">
        <f aca="false">FALSE()</f>
        <v>0</v>
      </c>
      <c r="D135" s="5" t="s">
        <v>82</v>
      </c>
      <c r="E135" s="2" t="n">
        <v>14</v>
      </c>
      <c r="F135" s="2" t="n">
        <v>84</v>
      </c>
      <c r="G135" s="2" t="n">
        <v>37</v>
      </c>
      <c r="H135" s="2" t="n">
        <v>36</v>
      </c>
      <c r="I135" s="10" t="n">
        <v>0.428571428571429</v>
      </c>
      <c r="J135" s="7" t="n">
        <v>0.0648396804947916</v>
      </c>
      <c r="K135" s="7" t="n">
        <v>0.0570439018587305</v>
      </c>
    </row>
    <row r="136" customFormat="false" ht="15" hidden="false" customHeight="false" outlineLevel="0" collapsed="false">
      <c r="A136" s="5" t="s">
        <v>287</v>
      </c>
      <c r="B136" s="2" t="n">
        <v>2</v>
      </c>
      <c r="C136" s="12" t="b">
        <f aca="false">FALSE()</f>
        <v>0</v>
      </c>
      <c r="D136" s="5" t="s">
        <v>82</v>
      </c>
      <c r="E136" s="2" t="n">
        <v>15</v>
      </c>
      <c r="F136" s="2" t="n">
        <v>84</v>
      </c>
      <c r="G136" s="2" t="n">
        <v>34</v>
      </c>
      <c r="H136" s="2" t="n">
        <v>34</v>
      </c>
      <c r="I136" s="10" t="n">
        <v>0.404761904761905</v>
      </c>
      <c r="J136" s="7" t="n">
        <v>0.0652305977464023</v>
      </c>
      <c r="K136" s="7" t="n">
        <v>0.0554533804216187</v>
      </c>
    </row>
    <row r="137" customFormat="false" ht="15" hidden="false" customHeight="false" outlineLevel="0" collapsed="false">
      <c r="A137" s="5" t="s">
        <v>287</v>
      </c>
      <c r="B137" s="2" t="n">
        <v>2</v>
      </c>
      <c r="C137" s="12" t="b">
        <f aca="false">FALSE()</f>
        <v>0</v>
      </c>
      <c r="D137" s="5" t="s">
        <v>82</v>
      </c>
      <c r="E137" s="2" t="n">
        <v>16</v>
      </c>
      <c r="F137" s="2" t="n">
        <v>84</v>
      </c>
      <c r="G137" s="2" t="n">
        <v>36</v>
      </c>
      <c r="H137" s="2" t="n">
        <v>35</v>
      </c>
      <c r="I137" s="10" t="n">
        <v>0.416666666666667</v>
      </c>
      <c r="J137" s="7" t="n">
        <v>0.0670612513197557</v>
      </c>
      <c r="K137" s="7" t="n">
        <v>0.0566579208937285</v>
      </c>
    </row>
    <row r="138" customFormat="false" ht="15" hidden="false" customHeight="false" outlineLevel="0" collapsed="false">
      <c r="A138" s="5" t="s">
        <v>287</v>
      </c>
      <c r="B138" s="2" t="n">
        <v>2</v>
      </c>
      <c r="C138" s="12" t="b">
        <f aca="false">FALSE()</f>
        <v>0</v>
      </c>
      <c r="D138" s="5" t="s">
        <v>82</v>
      </c>
      <c r="E138" s="2" t="n">
        <v>17</v>
      </c>
      <c r="F138" s="2" t="n">
        <v>84</v>
      </c>
      <c r="G138" s="2" t="n">
        <v>36</v>
      </c>
      <c r="H138" s="2" t="n">
        <v>35</v>
      </c>
      <c r="I138" s="10" t="n">
        <v>0.416666666666667</v>
      </c>
      <c r="J138" s="7" t="n">
        <v>0.0632579932837401</v>
      </c>
      <c r="K138" s="7" t="n">
        <v>0.0563022202048892</v>
      </c>
    </row>
    <row r="139" customFormat="false" ht="15" hidden="false" customHeight="false" outlineLevel="0" collapsed="false">
      <c r="A139" s="5" t="s">
        <v>287</v>
      </c>
      <c r="B139" s="2" t="n">
        <v>2</v>
      </c>
      <c r="C139" s="12" t="b">
        <f aca="false">FALSE()</f>
        <v>0</v>
      </c>
      <c r="D139" s="5" t="s">
        <v>82</v>
      </c>
      <c r="E139" s="2" t="n">
        <v>18</v>
      </c>
      <c r="F139" s="2" t="n">
        <v>84</v>
      </c>
      <c r="G139" s="2" t="n">
        <v>37</v>
      </c>
      <c r="H139" s="2" t="n">
        <v>36</v>
      </c>
      <c r="I139" s="10" t="n">
        <v>0.428571428571429</v>
      </c>
      <c r="J139" s="7" t="n">
        <v>0.065788816172153</v>
      </c>
      <c r="K139" s="7" t="n">
        <v>0.0534470884577698</v>
      </c>
    </row>
    <row r="140" customFormat="false" ht="15" hidden="false" customHeight="false" outlineLevel="0" collapsed="false">
      <c r="A140" s="5" t="s">
        <v>287</v>
      </c>
      <c r="B140" s="2" t="n">
        <v>2</v>
      </c>
      <c r="C140" s="12" t="b">
        <f aca="false">FALSE()</f>
        <v>0</v>
      </c>
      <c r="D140" s="5" t="s">
        <v>82</v>
      </c>
      <c r="E140" s="2" t="n">
        <v>19</v>
      </c>
      <c r="F140" s="2" t="n">
        <v>84</v>
      </c>
      <c r="G140" s="2" t="n">
        <v>37</v>
      </c>
      <c r="H140" s="2" t="n">
        <v>36</v>
      </c>
      <c r="I140" s="10" t="n">
        <v>0.428571428571429</v>
      </c>
      <c r="J140" s="7" t="n">
        <v>0.0642747660871321</v>
      </c>
      <c r="K140" s="7" t="n">
        <v>0.0537640628224476</v>
      </c>
    </row>
    <row r="141" customFormat="false" ht="15" hidden="false" customHeight="false" outlineLevel="0" collapsed="false">
      <c r="A141" s="5" t="s">
        <v>287</v>
      </c>
      <c r="B141" s="2" t="n">
        <v>2</v>
      </c>
      <c r="C141" s="12" t="b">
        <f aca="false">FALSE()</f>
        <v>0</v>
      </c>
      <c r="D141" s="5" t="s">
        <v>82</v>
      </c>
      <c r="E141" s="2" t="n">
        <v>20</v>
      </c>
      <c r="F141" s="2" t="n">
        <v>84</v>
      </c>
      <c r="G141" s="2" t="n">
        <v>35</v>
      </c>
      <c r="H141" s="2" t="n">
        <v>34</v>
      </c>
      <c r="I141" s="10" t="n">
        <v>0.404761904761905</v>
      </c>
      <c r="J141" s="7" t="n">
        <v>0.0649677272823613</v>
      </c>
      <c r="K141" s="7" t="n">
        <v>0.0600435374993796</v>
      </c>
    </row>
    <row r="142" customFormat="false" ht="15" hidden="false" customHeight="false" outlineLevel="0" collapsed="false">
      <c r="A142" s="5" t="s">
        <v>287</v>
      </c>
      <c r="B142" s="2" t="n">
        <v>3</v>
      </c>
      <c r="C142" s="12" t="b">
        <f aca="false">TRUE()</f>
        <v>1</v>
      </c>
      <c r="D142" s="5" t="s">
        <v>82</v>
      </c>
      <c r="E142" s="2" t="n">
        <v>11</v>
      </c>
      <c r="F142" s="2" t="n">
        <v>148</v>
      </c>
      <c r="G142" s="2" t="n">
        <v>61</v>
      </c>
      <c r="H142" s="2" t="n">
        <v>60</v>
      </c>
      <c r="I142" s="10" t="n">
        <v>0.405405405405405</v>
      </c>
      <c r="J142" s="7" t="n">
        <v>0.0833505988780725</v>
      </c>
      <c r="K142" s="7" t="n">
        <v>0.0392154892799243</v>
      </c>
    </row>
    <row r="143" customFormat="false" ht="15" hidden="false" customHeight="false" outlineLevel="0" collapsed="false">
      <c r="A143" s="5" t="s">
        <v>287</v>
      </c>
      <c r="B143" s="2" t="n">
        <v>3</v>
      </c>
      <c r="C143" s="12" t="b">
        <f aca="false">TRUE()</f>
        <v>1</v>
      </c>
      <c r="D143" s="5" t="s">
        <v>82</v>
      </c>
      <c r="E143" s="2" t="n">
        <v>12</v>
      </c>
      <c r="F143" s="2" t="n">
        <v>148</v>
      </c>
      <c r="G143" s="2" t="n">
        <v>60</v>
      </c>
      <c r="H143" s="2" t="n">
        <v>59</v>
      </c>
      <c r="I143" s="10" t="n">
        <v>0.398648648648649</v>
      </c>
      <c r="J143" s="7" t="n">
        <v>0.0849368130046673</v>
      </c>
      <c r="K143" s="7" t="n">
        <v>0.0406601770778242</v>
      </c>
    </row>
    <row r="144" customFormat="false" ht="15" hidden="false" customHeight="false" outlineLevel="0" collapsed="false">
      <c r="A144" s="5" t="s">
        <v>287</v>
      </c>
      <c r="B144" s="2" t="n">
        <v>3</v>
      </c>
      <c r="C144" s="12" t="b">
        <f aca="false">TRUE()</f>
        <v>1</v>
      </c>
      <c r="D144" s="5" t="s">
        <v>82</v>
      </c>
      <c r="E144" s="2" t="n">
        <v>13</v>
      </c>
      <c r="F144" s="2" t="n">
        <v>148</v>
      </c>
      <c r="G144" s="2" t="n">
        <v>58</v>
      </c>
      <c r="H144" s="2" t="n">
        <v>57</v>
      </c>
      <c r="I144" s="10" t="n">
        <v>0.385135135135135</v>
      </c>
      <c r="J144" s="7" t="n">
        <v>0.0827379418256452</v>
      </c>
      <c r="K144" s="7" t="n">
        <v>0.0375756570135507</v>
      </c>
    </row>
    <row r="145" customFormat="false" ht="15" hidden="false" customHeight="false" outlineLevel="0" collapsed="false">
      <c r="A145" s="5" t="s">
        <v>287</v>
      </c>
      <c r="B145" s="2" t="n">
        <v>3</v>
      </c>
      <c r="C145" s="12" t="b">
        <f aca="false">TRUE()</f>
        <v>1</v>
      </c>
      <c r="D145" s="5" t="s">
        <v>82</v>
      </c>
      <c r="E145" s="2" t="n">
        <v>14</v>
      </c>
      <c r="F145" s="2" t="n">
        <v>148</v>
      </c>
      <c r="G145" s="2" t="n">
        <v>62</v>
      </c>
      <c r="H145" s="2" t="n">
        <v>60</v>
      </c>
      <c r="I145" s="10" t="n">
        <v>0.405405405405405</v>
      </c>
      <c r="J145" s="7" t="n">
        <v>0.0870179923923782</v>
      </c>
      <c r="K145" s="7" t="n">
        <v>0.0387149775631521</v>
      </c>
    </row>
    <row r="146" customFormat="false" ht="15" hidden="false" customHeight="false" outlineLevel="0" collapsed="false">
      <c r="A146" s="5" t="s">
        <v>287</v>
      </c>
      <c r="B146" s="2" t="n">
        <v>3</v>
      </c>
      <c r="C146" s="12" t="b">
        <f aca="false">TRUE()</f>
        <v>1</v>
      </c>
      <c r="D146" s="5" t="s">
        <v>82</v>
      </c>
      <c r="E146" s="2" t="n">
        <v>15</v>
      </c>
      <c r="F146" s="2" t="n">
        <v>148</v>
      </c>
      <c r="G146" s="2" t="n">
        <v>62</v>
      </c>
      <c r="H146" s="2" t="n">
        <v>61</v>
      </c>
      <c r="I146" s="10" t="n">
        <v>0.412162162162162</v>
      </c>
      <c r="J146" s="7" t="n">
        <v>0.0828075499448502</v>
      </c>
      <c r="K146" s="7" t="n">
        <v>0.039321495393741</v>
      </c>
    </row>
    <row r="147" customFormat="false" ht="15" hidden="false" customHeight="false" outlineLevel="0" collapsed="false">
      <c r="A147" s="5" t="s">
        <v>287</v>
      </c>
      <c r="B147" s="2" t="n">
        <v>3</v>
      </c>
      <c r="C147" s="12" t="b">
        <f aca="false">TRUE()</f>
        <v>1</v>
      </c>
      <c r="D147" s="5" t="s">
        <v>82</v>
      </c>
      <c r="E147" s="2" t="n">
        <v>16</v>
      </c>
      <c r="F147" s="2" t="n">
        <v>148</v>
      </c>
      <c r="G147" s="2" t="n">
        <v>61</v>
      </c>
      <c r="H147" s="2" t="n">
        <v>59</v>
      </c>
      <c r="I147" s="10" t="n">
        <v>0.398648648648649</v>
      </c>
      <c r="J147" s="7" t="n">
        <v>0.0801810662802043</v>
      </c>
      <c r="K147" s="7" t="n">
        <v>0.0379427199868438</v>
      </c>
    </row>
    <row r="148" customFormat="false" ht="15" hidden="false" customHeight="false" outlineLevel="0" collapsed="false">
      <c r="A148" s="5" t="s">
        <v>287</v>
      </c>
      <c r="B148" s="2" t="n">
        <v>3</v>
      </c>
      <c r="C148" s="12" t="b">
        <f aca="false">TRUE()</f>
        <v>1</v>
      </c>
      <c r="D148" s="5" t="s">
        <v>82</v>
      </c>
      <c r="E148" s="2" t="n">
        <v>17</v>
      </c>
      <c r="F148" s="2" t="n">
        <v>148</v>
      </c>
      <c r="G148" s="2" t="n">
        <v>59</v>
      </c>
      <c r="H148" s="2" t="n">
        <v>58</v>
      </c>
      <c r="I148" s="10" t="n">
        <v>0.391891891891892</v>
      </c>
      <c r="J148" s="7" t="n">
        <v>0.0830218552447238</v>
      </c>
      <c r="K148" s="7" t="n">
        <v>0.0340526311888554</v>
      </c>
    </row>
    <row r="149" customFormat="false" ht="15" hidden="false" customHeight="false" outlineLevel="0" collapsed="false">
      <c r="A149" s="5" t="s">
        <v>287</v>
      </c>
      <c r="B149" s="2" t="n">
        <v>3</v>
      </c>
      <c r="C149" s="12" t="b">
        <f aca="false">TRUE()</f>
        <v>1</v>
      </c>
      <c r="D149" s="5" t="s">
        <v>82</v>
      </c>
      <c r="E149" s="2" t="n">
        <v>18</v>
      </c>
      <c r="F149" s="2" t="n">
        <v>148</v>
      </c>
      <c r="G149" s="2" t="n">
        <v>57</v>
      </c>
      <c r="H149" s="2" t="n">
        <v>55</v>
      </c>
      <c r="I149" s="10" t="n">
        <v>0.371621621621622</v>
      </c>
      <c r="J149" s="7" t="n">
        <v>0.0849624922592852</v>
      </c>
      <c r="K149" s="7" t="n">
        <v>0.0361535613736742</v>
      </c>
    </row>
    <row r="150" customFormat="false" ht="15" hidden="false" customHeight="false" outlineLevel="0" collapsed="false">
      <c r="A150" s="5" t="s">
        <v>287</v>
      </c>
      <c r="B150" s="2" t="n">
        <v>3</v>
      </c>
      <c r="C150" s="12" t="b">
        <f aca="false">TRUE()</f>
        <v>1</v>
      </c>
      <c r="D150" s="5" t="s">
        <v>82</v>
      </c>
      <c r="E150" s="2" t="n">
        <v>19</v>
      </c>
      <c r="F150" s="2" t="n">
        <v>148</v>
      </c>
      <c r="G150" s="2" t="n">
        <v>62</v>
      </c>
      <c r="H150" s="2" t="n">
        <v>61</v>
      </c>
      <c r="I150" s="10" t="n">
        <v>0.412162162162162</v>
      </c>
      <c r="J150" s="7" t="n">
        <v>0.0816217786751695</v>
      </c>
      <c r="K150" s="7" t="n">
        <v>0.0413272307322905</v>
      </c>
    </row>
    <row r="151" customFormat="false" ht="15" hidden="false" customHeight="false" outlineLevel="0" collapsed="false">
      <c r="A151" s="5" t="s">
        <v>287</v>
      </c>
      <c r="B151" s="2" t="n">
        <v>3</v>
      </c>
      <c r="C151" s="12" t="b">
        <f aca="false">TRUE()</f>
        <v>1</v>
      </c>
      <c r="D151" s="5" t="s">
        <v>82</v>
      </c>
      <c r="E151" s="2" t="n">
        <v>20</v>
      </c>
      <c r="F151" s="2" t="n">
        <v>148</v>
      </c>
      <c r="G151" s="2" t="n">
        <v>58</v>
      </c>
      <c r="H151" s="2" t="n">
        <v>57</v>
      </c>
      <c r="I151" s="10" t="n">
        <v>0.385135135135135</v>
      </c>
      <c r="J151" s="7" t="n">
        <v>0.0863721202581871</v>
      </c>
      <c r="K151" s="7" t="n">
        <v>0.0422664169288105</v>
      </c>
    </row>
    <row r="152" customFormat="false" ht="15" hidden="false" customHeight="false" outlineLevel="0" collapsed="false">
      <c r="A152" s="5" t="s">
        <v>287</v>
      </c>
      <c r="B152" s="2" t="n">
        <v>4</v>
      </c>
      <c r="C152" s="12" t="b">
        <f aca="false">FALSE()</f>
        <v>0</v>
      </c>
      <c r="D152" s="5" t="s">
        <v>82</v>
      </c>
      <c r="E152" s="2" t="n">
        <v>11</v>
      </c>
      <c r="F152" s="2" t="n">
        <v>78</v>
      </c>
      <c r="G152" s="2" t="n">
        <v>36</v>
      </c>
      <c r="H152" s="2" t="n">
        <v>32</v>
      </c>
      <c r="I152" s="10" t="n">
        <v>0.41025641025641</v>
      </c>
      <c r="J152" s="7" t="n">
        <v>0.0580531948948549</v>
      </c>
      <c r="K152" s="7" t="n">
        <v>0.042607397262065</v>
      </c>
    </row>
    <row r="153" customFormat="false" ht="15" hidden="false" customHeight="false" outlineLevel="0" collapsed="false">
      <c r="A153" s="5" t="s">
        <v>287</v>
      </c>
      <c r="B153" s="2" t="n">
        <v>4</v>
      </c>
      <c r="C153" s="12" t="b">
        <f aca="false">FALSE()</f>
        <v>0</v>
      </c>
      <c r="D153" s="5" t="s">
        <v>82</v>
      </c>
      <c r="E153" s="2" t="n">
        <v>12</v>
      </c>
      <c r="F153" s="2" t="n">
        <v>78</v>
      </c>
      <c r="G153" s="2" t="n">
        <v>37</v>
      </c>
      <c r="H153" s="2" t="n">
        <v>32</v>
      </c>
      <c r="I153" s="10" t="n">
        <v>0.41025641025641</v>
      </c>
      <c r="J153" s="7" t="n">
        <v>0.0560189337411914</v>
      </c>
      <c r="K153" s="7" t="n">
        <v>0.038245022403377</v>
      </c>
    </row>
    <row r="154" customFormat="false" ht="15" hidden="false" customHeight="false" outlineLevel="0" collapsed="false">
      <c r="A154" s="5" t="s">
        <v>287</v>
      </c>
      <c r="B154" s="2" t="n">
        <v>4</v>
      </c>
      <c r="C154" s="12" t="b">
        <f aca="false">FALSE()</f>
        <v>0</v>
      </c>
      <c r="D154" s="5" t="s">
        <v>82</v>
      </c>
      <c r="E154" s="2" t="n">
        <v>13</v>
      </c>
      <c r="F154" s="2" t="n">
        <v>78</v>
      </c>
      <c r="G154" s="2" t="n">
        <v>34</v>
      </c>
      <c r="H154" s="2" t="n">
        <v>32</v>
      </c>
      <c r="I154" s="10" t="n">
        <v>0.41025641025641</v>
      </c>
      <c r="J154" s="7" t="n">
        <v>0.056243460731004</v>
      </c>
      <c r="K154" s="7" t="n">
        <v>0.0435235679132532</v>
      </c>
    </row>
    <row r="155" customFormat="false" ht="15" hidden="false" customHeight="false" outlineLevel="0" collapsed="false">
      <c r="A155" s="5" t="s">
        <v>287</v>
      </c>
      <c r="B155" s="2" t="n">
        <v>4</v>
      </c>
      <c r="C155" s="12" t="b">
        <f aca="false">FALSE()</f>
        <v>0</v>
      </c>
      <c r="D155" s="5" t="s">
        <v>82</v>
      </c>
      <c r="E155" s="2" t="n">
        <v>14</v>
      </c>
      <c r="F155" s="2" t="n">
        <v>78</v>
      </c>
      <c r="G155" s="2" t="n">
        <v>38</v>
      </c>
      <c r="H155" s="2" t="n">
        <v>33</v>
      </c>
      <c r="I155" s="10" t="n">
        <v>0.423076923076923</v>
      </c>
      <c r="J155" s="7" t="n">
        <v>0.0840265993239011</v>
      </c>
      <c r="K155" s="7" t="n">
        <v>0.0415665731086897</v>
      </c>
    </row>
    <row r="156" customFormat="false" ht="15" hidden="false" customHeight="false" outlineLevel="0" collapsed="false">
      <c r="A156" s="5" t="s">
        <v>287</v>
      </c>
      <c r="B156" s="2" t="n">
        <v>4</v>
      </c>
      <c r="C156" s="12" t="b">
        <f aca="false">FALSE()</f>
        <v>0</v>
      </c>
      <c r="D156" s="5" t="s">
        <v>82</v>
      </c>
      <c r="E156" s="2" t="n">
        <v>15</v>
      </c>
      <c r="F156" s="2" t="n">
        <v>78</v>
      </c>
      <c r="G156" s="2" t="n">
        <v>37</v>
      </c>
      <c r="H156" s="2" t="n">
        <v>32</v>
      </c>
      <c r="I156" s="10" t="n">
        <v>0.41025641025641</v>
      </c>
      <c r="J156" s="7" t="n">
        <v>0.0532923100690898</v>
      </c>
      <c r="K156" s="7" t="n">
        <v>0.0406912269810029</v>
      </c>
    </row>
    <row r="157" customFormat="false" ht="15" hidden="false" customHeight="false" outlineLevel="0" collapsed="false">
      <c r="A157" s="5" t="s">
        <v>287</v>
      </c>
      <c r="B157" s="2" t="n">
        <v>4</v>
      </c>
      <c r="C157" s="12" t="b">
        <f aca="false">FALSE()</f>
        <v>0</v>
      </c>
      <c r="D157" s="5" t="s">
        <v>82</v>
      </c>
      <c r="E157" s="2" t="n">
        <v>16</v>
      </c>
      <c r="F157" s="2" t="n">
        <v>78</v>
      </c>
      <c r="G157" s="2" t="n">
        <v>37</v>
      </c>
      <c r="H157" s="2" t="n">
        <v>33</v>
      </c>
      <c r="I157" s="10" t="n">
        <v>0.423076923076923</v>
      </c>
      <c r="J157" s="7" t="n">
        <v>0.0584707282373502</v>
      </c>
      <c r="K157" s="7" t="n">
        <v>0.042990696668001</v>
      </c>
    </row>
    <row r="158" customFormat="false" ht="15" hidden="false" customHeight="false" outlineLevel="0" collapsed="false">
      <c r="A158" s="5" t="s">
        <v>287</v>
      </c>
      <c r="B158" s="2" t="n">
        <v>4</v>
      </c>
      <c r="C158" s="12" t="b">
        <f aca="false">FALSE()</f>
        <v>0</v>
      </c>
      <c r="D158" s="5" t="s">
        <v>82</v>
      </c>
      <c r="E158" s="2" t="n">
        <v>17</v>
      </c>
      <c r="F158" s="2" t="n">
        <v>78</v>
      </c>
      <c r="G158" s="2" t="n">
        <v>37</v>
      </c>
      <c r="H158" s="2" t="n">
        <v>33</v>
      </c>
      <c r="I158" s="10" t="n">
        <v>0.423076923076923</v>
      </c>
      <c r="J158" s="7" t="n">
        <v>0.0597593253785296</v>
      </c>
      <c r="K158" s="7" t="n">
        <v>0.0400361087020205</v>
      </c>
    </row>
    <row r="159" customFormat="false" ht="15" hidden="false" customHeight="false" outlineLevel="0" collapsed="false">
      <c r="A159" s="5" t="s">
        <v>287</v>
      </c>
      <c r="B159" s="2" t="n">
        <v>4</v>
      </c>
      <c r="C159" s="12" t="b">
        <f aca="false">FALSE()</f>
        <v>0</v>
      </c>
      <c r="D159" s="5" t="s">
        <v>82</v>
      </c>
      <c r="E159" s="2" t="n">
        <v>18</v>
      </c>
      <c r="F159" s="2" t="n">
        <v>78</v>
      </c>
      <c r="G159" s="2" t="n">
        <v>35</v>
      </c>
      <c r="H159" s="2" t="n">
        <v>31</v>
      </c>
      <c r="I159" s="10" t="n">
        <v>0.397435897435897</v>
      </c>
      <c r="J159" s="7" t="n">
        <v>0.0561923998993779</v>
      </c>
      <c r="K159" s="7" t="n">
        <v>0.035673659750578</v>
      </c>
    </row>
    <row r="160" customFormat="false" ht="15" hidden="false" customHeight="false" outlineLevel="0" collapsed="false">
      <c r="A160" s="5" t="s">
        <v>287</v>
      </c>
      <c r="B160" s="2" t="n">
        <v>4</v>
      </c>
      <c r="C160" s="12" t="b">
        <f aca="false">FALSE()</f>
        <v>0</v>
      </c>
      <c r="D160" s="5" t="s">
        <v>82</v>
      </c>
      <c r="E160" s="2" t="n">
        <v>19</v>
      </c>
      <c r="F160" s="2" t="n">
        <v>78</v>
      </c>
      <c r="G160" s="2" t="n">
        <v>39</v>
      </c>
      <c r="H160" s="2" t="n">
        <v>33</v>
      </c>
      <c r="I160" s="10" t="n">
        <v>0.423076923076923</v>
      </c>
      <c r="J160" s="7" t="n">
        <v>0.0974956098467718</v>
      </c>
      <c r="K160" s="7" t="n">
        <v>0.041445144468321</v>
      </c>
    </row>
    <row r="161" customFormat="false" ht="15" hidden="false" customHeight="false" outlineLevel="0" collapsed="false">
      <c r="A161" s="5" t="s">
        <v>287</v>
      </c>
      <c r="B161" s="2" t="n">
        <v>4</v>
      </c>
      <c r="C161" s="12" t="b">
        <f aca="false">FALSE()</f>
        <v>0</v>
      </c>
      <c r="D161" s="5" t="s">
        <v>82</v>
      </c>
      <c r="E161" s="2" t="n">
        <v>20</v>
      </c>
      <c r="F161" s="2" t="n">
        <v>78</v>
      </c>
      <c r="G161" s="2" t="n">
        <v>38</v>
      </c>
      <c r="H161" s="2" t="n">
        <v>33</v>
      </c>
      <c r="I161" s="10" t="n">
        <v>0.423076923076923</v>
      </c>
      <c r="J161" s="7" t="n">
        <v>0.0575056571657138</v>
      </c>
      <c r="K161" s="7" t="n">
        <v>0.0357291197764509</v>
      </c>
    </row>
    <row r="162" customFormat="false" ht="15" hidden="false" customHeight="false" outlineLevel="0" collapsed="false">
      <c r="A162" s="5" t="s">
        <v>287</v>
      </c>
      <c r="B162" s="2" t="n">
        <v>5</v>
      </c>
      <c r="C162" s="12" t="b">
        <f aca="false">TRUE()</f>
        <v>1</v>
      </c>
      <c r="D162" s="5" t="s">
        <v>82</v>
      </c>
      <c r="E162" s="2" t="n">
        <v>11</v>
      </c>
      <c r="F162" s="2" t="n">
        <v>131</v>
      </c>
      <c r="G162" s="2" t="n">
        <v>23</v>
      </c>
      <c r="H162" s="2" t="n">
        <v>20</v>
      </c>
      <c r="I162" s="10" t="n">
        <v>0.152671755725191</v>
      </c>
      <c r="J162" s="7" t="n">
        <v>0.104333072417139</v>
      </c>
      <c r="K162" s="7" t="n">
        <v>0.0644206599277106</v>
      </c>
    </row>
    <row r="163" customFormat="false" ht="15" hidden="false" customHeight="false" outlineLevel="0" collapsed="false">
      <c r="A163" s="5" t="s">
        <v>287</v>
      </c>
      <c r="B163" s="2" t="n">
        <v>5</v>
      </c>
      <c r="C163" s="12" t="b">
        <f aca="false">TRUE()</f>
        <v>1</v>
      </c>
      <c r="D163" s="5" t="s">
        <v>82</v>
      </c>
      <c r="E163" s="2" t="n">
        <v>12</v>
      </c>
      <c r="F163" s="2" t="n">
        <v>131</v>
      </c>
      <c r="G163" s="2" t="n">
        <v>20</v>
      </c>
      <c r="H163" s="2" t="n">
        <v>17</v>
      </c>
      <c r="I163" s="10" t="n">
        <v>0.129770992366412</v>
      </c>
      <c r="J163" s="7" t="n">
        <v>0.105566154335452</v>
      </c>
      <c r="K163" s="7" t="n">
        <v>0.0674371559305395</v>
      </c>
    </row>
    <row r="164" customFormat="false" ht="15" hidden="false" customHeight="false" outlineLevel="0" collapsed="false">
      <c r="A164" s="5" t="s">
        <v>287</v>
      </c>
      <c r="B164" s="2" t="n">
        <v>5</v>
      </c>
      <c r="C164" s="12" t="b">
        <f aca="false">TRUE()</f>
        <v>1</v>
      </c>
      <c r="D164" s="5" t="s">
        <v>82</v>
      </c>
      <c r="E164" s="2" t="n">
        <v>13</v>
      </c>
      <c r="F164" s="2" t="n">
        <v>131</v>
      </c>
      <c r="G164" s="2" t="n">
        <v>22</v>
      </c>
      <c r="H164" s="2" t="n">
        <v>19</v>
      </c>
      <c r="I164" s="10" t="n">
        <v>0.145038167938931</v>
      </c>
      <c r="J164" s="7" t="n">
        <v>0.097069869030942</v>
      </c>
      <c r="K164" s="7" t="n">
        <v>0.0712699094990299</v>
      </c>
    </row>
    <row r="165" customFormat="false" ht="15" hidden="false" customHeight="false" outlineLevel="0" collapsed="false">
      <c r="A165" s="5" t="s">
        <v>287</v>
      </c>
      <c r="B165" s="2" t="n">
        <v>5</v>
      </c>
      <c r="C165" s="12" t="b">
        <f aca="false">TRUE()</f>
        <v>1</v>
      </c>
      <c r="D165" s="5" t="s">
        <v>82</v>
      </c>
      <c r="E165" s="2" t="n">
        <v>14</v>
      </c>
      <c r="F165" s="2" t="n">
        <v>131</v>
      </c>
      <c r="G165" s="2" t="n">
        <v>22</v>
      </c>
      <c r="H165" s="2" t="n">
        <v>19</v>
      </c>
      <c r="I165" s="10" t="n">
        <v>0.145038167938931</v>
      </c>
      <c r="J165" s="7" t="n">
        <v>0.104245113478813</v>
      </c>
      <c r="K165" s="7" t="n">
        <v>0.056285877447189</v>
      </c>
    </row>
    <row r="166" customFormat="false" ht="15" hidden="false" customHeight="false" outlineLevel="0" collapsed="false">
      <c r="A166" s="5" t="s">
        <v>287</v>
      </c>
      <c r="B166" s="2" t="n">
        <v>5</v>
      </c>
      <c r="C166" s="12" t="b">
        <f aca="false">TRUE()</f>
        <v>1</v>
      </c>
      <c r="D166" s="5" t="s">
        <v>82</v>
      </c>
      <c r="E166" s="2" t="n">
        <v>15</v>
      </c>
      <c r="F166" s="2" t="n">
        <v>131</v>
      </c>
      <c r="G166" s="2" t="n">
        <v>25</v>
      </c>
      <c r="H166" s="2" t="n">
        <v>21</v>
      </c>
      <c r="I166" s="10" t="n">
        <v>0.16030534351145</v>
      </c>
      <c r="J166" s="7" t="n">
        <v>0.10693696852864</v>
      </c>
      <c r="K166" s="7" t="n">
        <v>0.0673882037154884</v>
      </c>
    </row>
    <row r="167" customFormat="false" ht="15" hidden="false" customHeight="false" outlineLevel="0" collapsed="false">
      <c r="A167" s="5" t="s">
        <v>287</v>
      </c>
      <c r="B167" s="2" t="n">
        <v>5</v>
      </c>
      <c r="C167" s="12" t="b">
        <f aca="false">TRUE()</f>
        <v>1</v>
      </c>
      <c r="D167" s="5" t="s">
        <v>82</v>
      </c>
      <c r="E167" s="2" t="n">
        <v>16</v>
      </c>
      <c r="F167" s="2" t="n">
        <v>131</v>
      </c>
      <c r="G167" s="2" t="n">
        <v>22</v>
      </c>
      <c r="H167" s="2" t="n">
        <v>20</v>
      </c>
      <c r="I167" s="10" t="n">
        <v>0.152671755725191</v>
      </c>
      <c r="J167" s="7" t="n">
        <v>0.10387062144803</v>
      </c>
      <c r="K167" s="7" t="n">
        <v>0.064081822349736</v>
      </c>
    </row>
    <row r="168" customFormat="false" ht="15" hidden="false" customHeight="false" outlineLevel="0" collapsed="false">
      <c r="A168" s="5" t="s">
        <v>287</v>
      </c>
      <c r="B168" s="2" t="n">
        <v>5</v>
      </c>
      <c r="C168" s="12" t="b">
        <f aca="false">TRUE()</f>
        <v>1</v>
      </c>
      <c r="D168" s="5" t="s">
        <v>82</v>
      </c>
      <c r="E168" s="2" t="n">
        <v>17</v>
      </c>
      <c r="F168" s="2" t="n">
        <v>131</v>
      </c>
      <c r="G168" s="2" t="n">
        <v>24</v>
      </c>
      <c r="H168" s="2" t="n">
        <v>21</v>
      </c>
      <c r="I168" s="10" t="n">
        <v>0.16030534351145</v>
      </c>
      <c r="J168" s="7" t="n">
        <v>0.0954025556211554</v>
      </c>
      <c r="K168" s="7" t="n">
        <v>0.0685251778545667</v>
      </c>
    </row>
    <row r="169" customFormat="false" ht="15" hidden="false" customHeight="false" outlineLevel="0" collapsed="false">
      <c r="A169" s="5" t="s">
        <v>287</v>
      </c>
      <c r="B169" s="2" t="n">
        <v>5</v>
      </c>
      <c r="C169" s="12" t="b">
        <f aca="false">TRUE()</f>
        <v>1</v>
      </c>
      <c r="D169" s="5" t="s">
        <v>82</v>
      </c>
      <c r="E169" s="2" t="n">
        <v>18</v>
      </c>
      <c r="F169" s="2" t="n">
        <v>131</v>
      </c>
      <c r="G169" s="2" t="n">
        <v>22</v>
      </c>
      <c r="H169" s="2" t="n">
        <v>19</v>
      </c>
      <c r="I169" s="10" t="n">
        <v>0.145038167938931</v>
      </c>
      <c r="J169" s="7" t="n">
        <v>0.0781668088129483</v>
      </c>
      <c r="K169" s="7" t="n">
        <v>0.0687483817991385</v>
      </c>
    </row>
    <row r="170" customFormat="false" ht="15" hidden="false" customHeight="false" outlineLevel="0" collapsed="false">
      <c r="A170" s="5" t="s">
        <v>287</v>
      </c>
      <c r="B170" s="2" t="n">
        <v>5</v>
      </c>
      <c r="C170" s="12" t="b">
        <f aca="false">TRUE()</f>
        <v>1</v>
      </c>
      <c r="D170" s="5" t="s">
        <v>82</v>
      </c>
      <c r="E170" s="2" t="n">
        <v>19</v>
      </c>
      <c r="F170" s="2" t="n">
        <v>131</v>
      </c>
      <c r="G170" s="2" t="n">
        <v>21</v>
      </c>
      <c r="H170" s="2" t="n">
        <v>18</v>
      </c>
      <c r="I170" s="10" t="n">
        <v>0.137404580152672</v>
      </c>
      <c r="J170" s="7" t="n">
        <v>0.0719173599812079</v>
      </c>
      <c r="K170" s="7" t="n">
        <v>0.0620041798626888</v>
      </c>
    </row>
    <row r="171" customFormat="false" ht="15" hidden="false" customHeight="false" outlineLevel="0" collapsed="false">
      <c r="A171" s="5" t="s">
        <v>287</v>
      </c>
      <c r="B171" s="2" t="n">
        <v>5</v>
      </c>
      <c r="C171" s="12" t="b">
        <f aca="false">TRUE()</f>
        <v>1</v>
      </c>
      <c r="D171" s="5" t="s">
        <v>82</v>
      </c>
      <c r="E171" s="2" t="n">
        <v>20</v>
      </c>
      <c r="F171" s="2" t="n">
        <v>131</v>
      </c>
      <c r="G171" s="2" t="n">
        <v>23</v>
      </c>
      <c r="H171" s="2" t="n">
        <v>20</v>
      </c>
      <c r="I171" s="10" t="n">
        <v>0.152671755725191</v>
      </c>
      <c r="J171" s="7" t="n">
        <v>0.118479031900164</v>
      </c>
      <c r="K171" s="7" t="n">
        <v>0.0604854107283029</v>
      </c>
    </row>
    <row r="172" customFormat="false" ht="15" hidden="false" customHeight="false" outlineLevel="0" collapsed="false">
      <c r="A172" s="5" t="s">
        <v>287</v>
      </c>
      <c r="B172" s="2" t="n">
        <v>6</v>
      </c>
      <c r="C172" s="12" t="b">
        <f aca="false">FALSE()</f>
        <v>0</v>
      </c>
      <c r="D172" s="5" t="s">
        <v>82</v>
      </c>
      <c r="E172" s="2" t="n">
        <v>11</v>
      </c>
      <c r="F172" s="2" t="n">
        <v>236</v>
      </c>
      <c r="G172" s="2" t="n">
        <v>44</v>
      </c>
      <c r="H172" s="2" t="n">
        <v>40</v>
      </c>
      <c r="I172" s="10" t="n">
        <v>0.169491525423729</v>
      </c>
      <c r="J172" s="7" t="n">
        <v>0.0671459008428661</v>
      </c>
      <c r="K172" s="7" t="n">
        <v>0.0524954241401156</v>
      </c>
    </row>
    <row r="173" customFormat="false" ht="15" hidden="false" customHeight="false" outlineLevel="0" collapsed="false">
      <c r="A173" s="5" t="s">
        <v>287</v>
      </c>
      <c r="B173" s="2" t="n">
        <v>6</v>
      </c>
      <c r="C173" s="12" t="b">
        <f aca="false">FALSE()</f>
        <v>0</v>
      </c>
      <c r="D173" s="5" t="s">
        <v>82</v>
      </c>
      <c r="E173" s="2" t="n">
        <v>12</v>
      </c>
      <c r="F173" s="2" t="n">
        <v>236</v>
      </c>
      <c r="G173" s="2" t="n">
        <v>43</v>
      </c>
      <c r="H173" s="2" t="n">
        <v>39</v>
      </c>
      <c r="I173" s="10" t="n">
        <v>0.165254237288136</v>
      </c>
      <c r="J173" s="7" t="n">
        <v>0.0624234135889939</v>
      </c>
      <c r="K173" s="7" t="n">
        <v>0.0456127175248315</v>
      </c>
    </row>
    <row r="174" customFormat="false" ht="15" hidden="false" customHeight="false" outlineLevel="0" collapsed="false">
      <c r="A174" s="5" t="s">
        <v>287</v>
      </c>
      <c r="B174" s="2" t="n">
        <v>6</v>
      </c>
      <c r="C174" s="12" t="b">
        <f aca="false">FALSE()</f>
        <v>0</v>
      </c>
      <c r="D174" s="5" t="s">
        <v>82</v>
      </c>
      <c r="E174" s="2" t="n">
        <v>13</v>
      </c>
      <c r="F174" s="2" t="n">
        <v>236</v>
      </c>
      <c r="G174" s="2" t="n">
        <v>40</v>
      </c>
      <c r="H174" s="2" t="n">
        <v>36</v>
      </c>
      <c r="I174" s="10" t="n">
        <v>0.152542372881356</v>
      </c>
      <c r="J174" s="7" t="n">
        <v>0.0694465621899315</v>
      </c>
      <c r="K174" s="7" t="n">
        <v>0.0455446067176766</v>
      </c>
    </row>
    <row r="175" customFormat="false" ht="15" hidden="false" customHeight="false" outlineLevel="0" collapsed="false">
      <c r="A175" s="5" t="s">
        <v>287</v>
      </c>
      <c r="B175" s="2" t="n">
        <v>6</v>
      </c>
      <c r="C175" s="12" t="b">
        <f aca="false">FALSE()</f>
        <v>0</v>
      </c>
      <c r="D175" s="5" t="s">
        <v>82</v>
      </c>
      <c r="E175" s="2" t="n">
        <v>14</v>
      </c>
      <c r="F175" s="2" t="n">
        <v>236</v>
      </c>
      <c r="G175" s="2" t="n">
        <v>41</v>
      </c>
      <c r="H175" s="2" t="n">
        <v>37</v>
      </c>
      <c r="I175" s="10" t="n">
        <v>0.156779661016949</v>
      </c>
      <c r="J175" s="7" t="n">
        <v>0.0616425024484578</v>
      </c>
      <c r="K175" s="7" t="n">
        <v>0.0461433635531707</v>
      </c>
    </row>
    <row r="176" customFormat="false" ht="15" hidden="false" customHeight="false" outlineLevel="0" collapsed="false">
      <c r="A176" s="5" t="s">
        <v>287</v>
      </c>
      <c r="B176" s="2" t="n">
        <v>6</v>
      </c>
      <c r="C176" s="12" t="b">
        <f aca="false">FALSE()</f>
        <v>0</v>
      </c>
      <c r="D176" s="5" t="s">
        <v>82</v>
      </c>
      <c r="E176" s="2" t="n">
        <v>15</v>
      </c>
      <c r="F176" s="2" t="n">
        <v>236</v>
      </c>
      <c r="G176" s="2" t="n">
        <v>40</v>
      </c>
      <c r="H176" s="2" t="n">
        <v>36</v>
      </c>
      <c r="I176" s="10" t="n">
        <v>0.152542372881356</v>
      </c>
      <c r="J176" s="7" t="n">
        <v>0.0601670729441502</v>
      </c>
      <c r="K176" s="7" t="n">
        <v>0.0423968919988865</v>
      </c>
    </row>
    <row r="177" customFormat="false" ht="15" hidden="false" customHeight="false" outlineLevel="0" collapsed="false">
      <c r="A177" s="5" t="s">
        <v>287</v>
      </c>
      <c r="B177" s="2" t="n">
        <v>6</v>
      </c>
      <c r="C177" s="12" t="b">
        <f aca="false">FALSE()</f>
        <v>0</v>
      </c>
      <c r="D177" s="5" t="s">
        <v>82</v>
      </c>
      <c r="E177" s="2" t="n">
        <v>16</v>
      </c>
      <c r="F177" s="2" t="n">
        <v>236</v>
      </c>
      <c r="G177" s="2" t="n">
        <v>43</v>
      </c>
      <c r="H177" s="2" t="n">
        <v>39</v>
      </c>
      <c r="I177" s="10" t="n">
        <v>0.165254237288136</v>
      </c>
      <c r="J177" s="7" t="n">
        <v>0.0691221623890149</v>
      </c>
      <c r="K177" s="7" t="n">
        <v>0.0490339678182375</v>
      </c>
    </row>
    <row r="178" customFormat="false" ht="15" hidden="false" customHeight="false" outlineLevel="0" collapsed="false">
      <c r="A178" s="5" t="s">
        <v>287</v>
      </c>
      <c r="B178" s="2" t="n">
        <v>6</v>
      </c>
      <c r="C178" s="12" t="b">
        <f aca="false">FALSE()</f>
        <v>0</v>
      </c>
      <c r="D178" s="5" t="s">
        <v>82</v>
      </c>
      <c r="E178" s="2" t="n">
        <v>17</v>
      </c>
      <c r="F178" s="2" t="n">
        <v>236</v>
      </c>
      <c r="G178" s="2" t="n">
        <v>43</v>
      </c>
      <c r="H178" s="2" t="n">
        <v>39</v>
      </c>
      <c r="I178" s="10" t="n">
        <v>0.165254237288136</v>
      </c>
      <c r="J178" s="7" t="n">
        <v>0.0671992998284649</v>
      </c>
      <c r="K178" s="7" t="n">
        <v>0.0540048146001829</v>
      </c>
    </row>
    <row r="179" customFormat="false" ht="15" hidden="false" customHeight="false" outlineLevel="0" collapsed="false">
      <c r="A179" s="5" t="s">
        <v>287</v>
      </c>
      <c r="B179" s="2" t="n">
        <v>6</v>
      </c>
      <c r="C179" s="12" t="b">
        <f aca="false">FALSE()</f>
        <v>0</v>
      </c>
      <c r="D179" s="5" t="s">
        <v>82</v>
      </c>
      <c r="E179" s="2" t="n">
        <v>18</v>
      </c>
      <c r="F179" s="2" t="n">
        <v>236</v>
      </c>
      <c r="G179" s="2" t="n">
        <v>37</v>
      </c>
      <c r="H179" s="2" t="n">
        <v>33</v>
      </c>
      <c r="I179" s="10" t="n">
        <v>0.139830508474576</v>
      </c>
      <c r="J179" s="7" t="n">
        <v>0.066394950063536</v>
      </c>
      <c r="K179" s="7" t="n">
        <v>0.0540226804222084</v>
      </c>
    </row>
    <row r="180" customFormat="false" ht="15" hidden="false" customHeight="false" outlineLevel="0" collapsed="false">
      <c r="A180" s="5" t="s">
        <v>287</v>
      </c>
      <c r="B180" s="2" t="n">
        <v>6</v>
      </c>
      <c r="C180" s="12" t="b">
        <f aca="false">FALSE()</f>
        <v>0</v>
      </c>
      <c r="D180" s="5" t="s">
        <v>82</v>
      </c>
      <c r="E180" s="2" t="n">
        <v>19</v>
      </c>
      <c r="F180" s="2" t="n">
        <v>236</v>
      </c>
      <c r="G180" s="2" t="n">
        <v>38</v>
      </c>
      <c r="H180" s="2" t="n">
        <v>34</v>
      </c>
      <c r="I180" s="10" t="n">
        <v>0.14406779661017</v>
      </c>
      <c r="J180" s="7" t="n">
        <v>0.062214637959813</v>
      </c>
      <c r="K180" s="7" t="n">
        <v>0.0484307267774025</v>
      </c>
    </row>
    <row r="181" customFormat="false" ht="15" hidden="false" customHeight="false" outlineLevel="0" collapsed="false">
      <c r="A181" s="5" t="s">
        <v>287</v>
      </c>
      <c r="B181" s="2" t="n">
        <v>6</v>
      </c>
      <c r="C181" s="12" t="b">
        <f aca="false">FALSE()</f>
        <v>0</v>
      </c>
      <c r="D181" s="5" t="s">
        <v>82</v>
      </c>
      <c r="E181" s="2" t="n">
        <v>20</v>
      </c>
      <c r="F181" s="2" t="n">
        <v>236</v>
      </c>
      <c r="G181" s="2" t="n">
        <v>39</v>
      </c>
      <c r="H181" s="2" t="n">
        <v>35</v>
      </c>
      <c r="I181" s="10" t="n">
        <v>0.148305084745763</v>
      </c>
      <c r="J181" s="7" t="n">
        <v>0.0652341474996035</v>
      </c>
      <c r="K181" s="7" t="n">
        <v>0.0478706590721295</v>
      </c>
    </row>
  </sheetData>
  <autoFilter ref="A1:K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8"/>
    <col collapsed="false" customWidth="true" hidden="false" outlineLevel="0" max="8" min="8" style="0" width="23"/>
    <col collapsed="false" customWidth="true" hidden="false" outlineLevel="0" max="9" min="9" style="0" width="20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1" t="s">
        <v>242</v>
      </c>
      <c r="B1" s="6" t="s">
        <v>278</v>
      </c>
      <c r="C1" s="1" t="s">
        <v>279</v>
      </c>
      <c r="D1" s="1" t="s">
        <v>281</v>
      </c>
      <c r="E1" s="6" t="s">
        <v>266</v>
      </c>
      <c r="F1" s="1" t="s">
        <v>288</v>
      </c>
      <c r="G1" s="1" t="s">
        <v>289</v>
      </c>
      <c r="H1" s="1" t="s">
        <v>290</v>
      </c>
      <c r="I1" s="6" t="s">
        <v>291</v>
      </c>
      <c r="J1" s="1" t="s">
        <v>292</v>
      </c>
    </row>
    <row r="2" customFormat="false" ht="15" hidden="false" customHeight="false" outlineLevel="0" collapsed="false">
      <c r="A2" s="5" t="s">
        <v>60</v>
      </c>
      <c r="B2" s="2" t="n">
        <v>1</v>
      </c>
      <c r="C2" s="12" t="b">
        <f aca="false">TRUE()</f>
        <v>1</v>
      </c>
      <c r="D2" s="2" t="n">
        <v>51</v>
      </c>
      <c r="E2" s="2" t="n">
        <f aca="false">COUNTIFS(外部提取逐次!$B$2:$B$181,$B2,外部提取逐次!$D$2:$D$181,$A2)</f>
        <v>10</v>
      </c>
      <c r="F2" s="2" t="n">
        <f aca="false">AVERAGEIFS(外部提取逐次!$G$2:$G$181,外部提取逐次!$B$2:$B$181,$B2,外部提取逐次!$D$2:$D$181,$A2)</f>
        <v>43</v>
      </c>
      <c r="G2" s="2" t="n">
        <f aca="false">AVERAGEIFS(外部提取逐次!$H$2:$H$181,外部提取逐次!$B$2:$B$181,$B2,外部提取逐次!$D$2:$D$181,$A2)</f>
        <v>39.5</v>
      </c>
      <c r="H2" s="10" t="n">
        <f aca="false">AVERAGEIFS(外部提取逐次!$I$2:$I$181,外部提取逐次!$B$2:$B$181,$B2,外部提取逐次!$D$2:$D$181,$A2)</f>
        <v>0.774509803921569</v>
      </c>
      <c r="I2" s="10" t="n">
        <v>0.0103342407195045</v>
      </c>
      <c r="J2" s="7" t="n">
        <v>0.0353444002712862</v>
      </c>
    </row>
    <row r="3" customFormat="false" ht="15" hidden="false" customHeight="false" outlineLevel="0" collapsed="false">
      <c r="A3" s="5" t="s">
        <v>60</v>
      </c>
      <c r="B3" s="2" t="n">
        <v>2</v>
      </c>
      <c r="C3" s="12" t="b">
        <f aca="false">FALSE()</f>
        <v>0</v>
      </c>
      <c r="D3" s="2" t="n">
        <v>84</v>
      </c>
      <c r="E3" s="2" t="n">
        <f aca="false">COUNTIFS(外部提取逐次!$B$2:$B$181,$B3,外部提取逐次!$D$2:$D$181,$A3)</f>
        <v>10</v>
      </c>
      <c r="F3" s="2" t="n">
        <f aca="false">AVERAGEIFS(外部提取逐次!$G$2:$G$181,外部提取逐次!$B$2:$B$181,$B3,外部提取逐次!$D$2:$D$181,$A3)</f>
        <v>35.7</v>
      </c>
      <c r="G3" s="2" t="n">
        <f aca="false">AVERAGEIFS(外部提取逐次!$H$2:$H$181,外部提取逐次!$B$2:$B$181,$B3,外部提取逐次!$D$2:$D$181,$A3)</f>
        <v>34.9</v>
      </c>
      <c r="H3" s="10" t="n">
        <f aca="false">AVERAGEIFS(外部提取逐次!$I$2:$I$181,外部提取逐次!$B$2:$B$181,$B3,外部提取逐次!$D$2:$D$181,$A3)</f>
        <v>0.41547619047619</v>
      </c>
      <c r="I3" s="10" t="n">
        <v>0.0142526071397365</v>
      </c>
      <c r="J3" s="7" t="n">
        <v>0.0647612302486039</v>
      </c>
    </row>
    <row r="4" customFormat="false" ht="15" hidden="false" customHeight="false" outlineLevel="0" collapsed="false">
      <c r="A4" s="5" t="s">
        <v>60</v>
      </c>
      <c r="B4" s="2" t="n">
        <v>3</v>
      </c>
      <c r="C4" s="12" t="b">
        <f aca="false">TRUE()</f>
        <v>1</v>
      </c>
      <c r="D4" s="2" t="n">
        <v>148</v>
      </c>
      <c r="E4" s="2" t="n">
        <f aca="false">COUNTIFS(外部提取逐次!$B$2:$B$181,$B4,外部提取逐次!$D$2:$D$181,$A4)</f>
        <v>10</v>
      </c>
      <c r="F4" s="2" t="n">
        <f aca="false">AVERAGEIFS(外部提取逐次!$G$2:$G$181,外部提取逐次!$B$2:$B$181,$B4,外部提取逐次!$D$2:$D$181,$A4)</f>
        <v>59.5</v>
      </c>
      <c r="G4" s="2" t="n">
        <f aca="false">AVERAGEIFS(外部提取逐次!$H$2:$H$181,外部提取逐次!$B$2:$B$181,$B4,外部提取逐次!$D$2:$D$181,$A4)</f>
        <v>58.4</v>
      </c>
      <c r="H4" s="10" t="n">
        <f aca="false">AVERAGEIFS(外部提取逐次!$I$2:$I$181,外部提取逐次!$B$2:$B$181,$B4,外部提取逐次!$D$2:$D$181,$A4)</f>
        <v>0.394594594594595</v>
      </c>
      <c r="I4" s="10" t="n">
        <v>0.011572281602401</v>
      </c>
      <c r="J4" s="7" t="n">
        <v>0.0838943318382308</v>
      </c>
    </row>
    <row r="5" customFormat="false" ht="15" hidden="false" customHeight="false" outlineLevel="0" collapsed="false">
      <c r="A5" s="5" t="s">
        <v>60</v>
      </c>
      <c r="B5" s="2" t="n">
        <v>4</v>
      </c>
      <c r="C5" s="12" t="b">
        <f aca="false">FALSE()</f>
        <v>0</v>
      </c>
      <c r="D5" s="2" t="n">
        <v>78</v>
      </c>
      <c r="E5" s="2" t="n">
        <f aca="false">COUNTIFS(外部提取逐次!$B$2:$B$181,$B5,外部提取逐次!$D$2:$D$181,$A5)</f>
        <v>10</v>
      </c>
      <c r="F5" s="2" t="n">
        <f aca="false">AVERAGEIFS(外部提取逐次!$G$2:$G$181,外部提取逐次!$B$2:$B$181,$B5,外部提取逐次!$D$2:$D$181,$A5)</f>
        <v>36.8</v>
      </c>
      <c r="G5" s="2" t="n">
        <f aca="false">AVERAGEIFS(外部提取逐次!$H$2:$H$181,外部提取逐次!$B$2:$B$181,$B5,外部提取逐次!$D$2:$D$181,$A5)</f>
        <v>32.6</v>
      </c>
      <c r="H5" s="10" t="n">
        <f aca="false">AVERAGEIFS(外部提取逐次!$I$2:$I$181,外部提取逐次!$B$2:$B$181,$B5,外部提取逐次!$D$2:$D$181,$A5)</f>
        <v>0.417948717948718</v>
      </c>
      <c r="I5" s="10" t="n">
        <v>0.00896417818948848</v>
      </c>
      <c r="J5" s="7" t="n">
        <v>0.0594642536879949</v>
      </c>
    </row>
    <row r="6" customFormat="false" ht="15" hidden="false" customHeight="false" outlineLevel="0" collapsed="false">
      <c r="A6" s="5" t="s">
        <v>60</v>
      </c>
      <c r="B6" s="2" t="n">
        <v>5</v>
      </c>
      <c r="C6" s="12" t="b">
        <f aca="false">TRUE()</f>
        <v>1</v>
      </c>
      <c r="D6" s="2" t="n">
        <v>131</v>
      </c>
      <c r="E6" s="2" t="n">
        <f aca="false">COUNTIFS(外部提取逐次!$B$2:$B$181,$B6,外部提取逐次!$D$2:$D$181,$A6)</f>
        <v>10</v>
      </c>
      <c r="F6" s="2" t="n">
        <f aca="false">AVERAGEIFS(外部提取逐次!$G$2:$G$181,外部提取逐次!$B$2:$B$181,$B6,外部提取逐次!$D$2:$D$181,$A6)</f>
        <v>22</v>
      </c>
      <c r="G6" s="2" t="n">
        <f aca="false">AVERAGEIFS(外部提取逐次!$H$2:$H$181,外部提取逐次!$B$2:$B$181,$B6,外部提取逐次!$D$2:$D$181,$A6)</f>
        <v>19</v>
      </c>
      <c r="H6" s="10" t="n">
        <f aca="false">AVERAGEIFS(外部提取逐次!$I$2:$I$181,外部提取逐次!$B$2:$B$181,$B6,外部提取逐次!$D$2:$D$181,$A6)</f>
        <v>0.145038167938931</v>
      </c>
      <c r="I6" s="10" t="n">
        <v>0.0101781170483461</v>
      </c>
      <c r="J6" s="7" t="n">
        <v>0.104766621242518</v>
      </c>
    </row>
    <row r="7" customFormat="false" ht="15" hidden="false" customHeight="false" outlineLevel="0" collapsed="false">
      <c r="A7" s="5" t="s">
        <v>60</v>
      </c>
      <c r="B7" s="2" t="n">
        <v>6</v>
      </c>
      <c r="C7" s="12" t="b">
        <f aca="false">FALSE()</f>
        <v>0</v>
      </c>
      <c r="D7" s="2" t="n">
        <v>236</v>
      </c>
      <c r="E7" s="2" t="n">
        <f aca="false">COUNTIFS(外部提取逐次!$B$2:$B$181,$B7,外部提取逐次!$D$2:$D$181,$A7)</f>
        <v>10</v>
      </c>
      <c r="F7" s="2" t="n">
        <f aca="false">AVERAGEIFS(外部提取逐次!$G$2:$G$181,外部提取逐次!$B$2:$B$181,$B7,外部提取逐次!$D$2:$D$181,$A7)</f>
        <v>40</v>
      </c>
      <c r="G7" s="2" t="n">
        <f aca="false">AVERAGEIFS(外部提取逐次!$H$2:$H$181,外部提取逐次!$B$2:$B$181,$B7,外部提取逐次!$D$2:$D$181,$A7)</f>
        <v>36</v>
      </c>
      <c r="H7" s="10" t="n">
        <f aca="false">AVERAGEIFS(外部提取逐次!$I$2:$I$181,外部提取逐次!$B$2:$B$181,$B7,外部提取逐次!$D$2:$D$181,$A7)</f>
        <v>0.152542372881356</v>
      </c>
      <c r="I7" s="10" t="n">
        <v>0.00631657620762652</v>
      </c>
      <c r="J7" s="7" t="n">
        <v>0.0669468607031556</v>
      </c>
    </row>
    <row r="8" customFormat="false" ht="15" hidden="false" customHeight="false" outlineLevel="0" collapsed="false">
      <c r="A8" s="5" t="s">
        <v>79</v>
      </c>
      <c r="B8" s="2" t="n">
        <v>1</v>
      </c>
      <c r="C8" s="12" t="b">
        <f aca="false">TRUE()</f>
        <v>1</v>
      </c>
      <c r="D8" s="2" t="n">
        <v>51</v>
      </c>
      <c r="E8" s="2" t="n">
        <f aca="false">COUNTIFS(外部提取逐次!$B$2:$B$181,$B8,外部提取逐次!$D$2:$D$181,$A8)</f>
        <v>10</v>
      </c>
      <c r="F8" s="2" t="n">
        <f aca="false">AVERAGEIFS(外部提取逐次!$G$2:$G$181,外部提取逐次!$B$2:$B$181,$B8,外部提取逐次!$D$2:$D$181,$A8)</f>
        <v>42</v>
      </c>
      <c r="G8" s="2" t="n">
        <f aca="false">AVERAGEIFS(外部提取逐次!$H$2:$H$181,外部提取逐次!$B$2:$B$181,$B8,外部提取逐次!$D$2:$D$181,$A8)</f>
        <v>38.1</v>
      </c>
      <c r="H8" s="10" t="n">
        <f aca="false">AVERAGEIFS(外部提取逐次!$I$2:$I$181,外部提取逐次!$B$2:$B$181,$B8,外部提取逐次!$D$2:$D$181,$A8)</f>
        <v>0.747058823529412</v>
      </c>
      <c r="I8" s="10" t="n">
        <v>0.0111303178862264</v>
      </c>
      <c r="J8" s="7" t="n">
        <v>0.0358383980714764</v>
      </c>
    </row>
    <row r="9" customFormat="false" ht="15" hidden="false" customHeight="false" outlineLevel="0" collapsed="false">
      <c r="A9" s="5" t="s">
        <v>79</v>
      </c>
      <c r="B9" s="2" t="n">
        <v>2</v>
      </c>
      <c r="C9" s="12" t="b">
        <f aca="false">FALSE()</f>
        <v>0</v>
      </c>
      <c r="D9" s="2" t="n">
        <v>84</v>
      </c>
      <c r="E9" s="2" t="n">
        <f aca="false">COUNTIFS(外部提取逐次!$B$2:$B$181,$B9,外部提取逐次!$D$2:$D$181,$A9)</f>
        <v>10</v>
      </c>
      <c r="F9" s="2" t="n">
        <f aca="false">AVERAGEIFS(外部提取逐次!$G$2:$G$181,外部提取逐次!$B$2:$B$181,$B9,外部提取逐次!$D$2:$D$181,$A9)</f>
        <v>32.1</v>
      </c>
      <c r="G9" s="2" t="n">
        <f aca="false">AVERAGEIFS(外部提取逐次!$H$2:$H$181,外部提取逐次!$B$2:$B$181,$B9,外部提取逐次!$D$2:$D$181,$A9)</f>
        <v>31.3</v>
      </c>
      <c r="H9" s="10" t="n">
        <f aca="false">AVERAGEIFS(外部提取逐次!$I$2:$I$181,外部提取逐次!$B$2:$B$181,$B9,外部提取逐次!$D$2:$D$181,$A9)</f>
        <v>0.372619047619048</v>
      </c>
      <c r="I9" s="10" t="n">
        <v>0.00980086431367337</v>
      </c>
      <c r="J9" s="7" t="n">
        <v>0.0690839600840107</v>
      </c>
    </row>
    <row r="10" customFormat="false" ht="15" hidden="false" customHeight="false" outlineLevel="0" collapsed="false">
      <c r="A10" s="5" t="s">
        <v>79</v>
      </c>
      <c r="B10" s="2" t="n">
        <v>3</v>
      </c>
      <c r="C10" s="12" t="b">
        <f aca="false">TRUE()</f>
        <v>1</v>
      </c>
      <c r="D10" s="2" t="n">
        <v>148</v>
      </c>
      <c r="E10" s="2" t="n">
        <f aca="false">COUNTIFS(外部提取逐次!$B$2:$B$181,$B10,外部提取逐次!$D$2:$D$181,$A10)</f>
        <v>10</v>
      </c>
      <c r="F10" s="2" t="n">
        <f aca="false">AVERAGEIFS(外部提取逐次!$G$2:$G$181,外部提取逐次!$B$2:$B$181,$B10,外部提取逐次!$D$2:$D$181,$A10)</f>
        <v>50.4</v>
      </c>
      <c r="G10" s="2" t="n">
        <f aca="false">AVERAGEIFS(外部提取逐次!$H$2:$H$181,外部提取逐次!$B$2:$B$181,$B10,外部提取逐次!$D$2:$D$181,$A10)</f>
        <v>47.1</v>
      </c>
      <c r="H10" s="10" t="n">
        <f aca="false">AVERAGEIFS(外部提取逐次!$I$2:$I$181,外部提取逐次!$B$2:$B$181,$B10,外部提取逐次!$D$2:$D$181,$A10)</f>
        <v>0.318243243243243</v>
      </c>
      <c r="I10" s="10" t="n">
        <v>0.00671911436494428</v>
      </c>
      <c r="J10" s="7" t="n">
        <v>0.0525012442081379</v>
      </c>
    </row>
    <row r="11" customFormat="false" ht="15" hidden="false" customHeight="false" outlineLevel="0" collapsed="false">
      <c r="A11" s="5" t="s">
        <v>79</v>
      </c>
      <c r="B11" s="2" t="n">
        <v>4</v>
      </c>
      <c r="C11" s="12" t="b">
        <f aca="false">FALSE()</f>
        <v>0</v>
      </c>
      <c r="D11" s="2" t="n">
        <v>78</v>
      </c>
      <c r="E11" s="2" t="n">
        <f aca="false">COUNTIFS(外部提取逐次!$B$2:$B$181,$B11,外部提取逐次!$D$2:$D$181,$A11)</f>
        <v>10</v>
      </c>
      <c r="F11" s="2" t="n">
        <f aca="false">AVERAGEIFS(外部提取逐次!$G$2:$G$181,外部提取逐次!$B$2:$B$181,$B11,外部提取逐次!$D$2:$D$181,$A11)</f>
        <v>36.2</v>
      </c>
      <c r="G11" s="2" t="n">
        <f aca="false">AVERAGEIFS(外部提取逐次!$H$2:$H$181,外部提取逐次!$B$2:$B$181,$B11,外部提取逐次!$D$2:$D$181,$A11)</f>
        <v>31.4</v>
      </c>
      <c r="H11" s="10" t="n">
        <f aca="false">AVERAGEIFS(外部提取逐次!$I$2:$I$181,外部提取逐次!$B$2:$B$181,$B11,外部提取逐次!$D$2:$D$181,$A11)</f>
        <v>0.402564102564103</v>
      </c>
      <c r="I11" s="10" t="n">
        <v>0.0108112056757893</v>
      </c>
      <c r="J11" s="7" t="n">
        <v>0.0642266514663238</v>
      </c>
    </row>
    <row r="12" customFormat="false" ht="15" hidden="false" customHeight="false" outlineLevel="0" collapsed="false">
      <c r="A12" s="5" t="s">
        <v>79</v>
      </c>
      <c r="B12" s="2" t="n">
        <v>5</v>
      </c>
      <c r="C12" s="12" t="b">
        <f aca="false">TRUE()</f>
        <v>1</v>
      </c>
      <c r="D12" s="2" t="n">
        <v>131</v>
      </c>
      <c r="E12" s="2" t="n">
        <f aca="false">COUNTIFS(外部提取逐次!$B$2:$B$181,$B12,外部提取逐次!$D$2:$D$181,$A12)</f>
        <v>10</v>
      </c>
      <c r="F12" s="2" t="n">
        <f aca="false">AVERAGEIFS(外部提取逐次!$G$2:$G$181,外部提取逐次!$B$2:$B$181,$B12,外部提取逐次!$D$2:$D$181,$A12)</f>
        <v>20</v>
      </c>
      <c r="G12" s="2" t="n">
        <f aca="false">AVERAGEIFS(外部提取逐次!$H$2:$H$181,外部提取逐次!$B$2:$B$181,$B12,外部提取逐次!$D$2:$D$181,$A12)</f>
        <v>15.6</v>
      </c>
      <c r="H12" s="10" t="n">
        <f aca="false">AVERAGEIFS(外部提取逐次!$I$2:$I$181,外部提取逐次!$B$2:$B$181,$B12,外部提取逐次!$D$2:$D$181,$A12)</f>
        <v>0.119083969465649</v>
      </c>
      <c r="I12" s="10" t="n">
        <v>0.00643720643291273</v>
      </c>
      <c r="J12" s="7" t="n">
        <v>0.107727550240491</v>
      </c>
    </row>
    <row r="13" customFormat="false" ht="15" hidden="false" customHeight="false" outlineLevel="0" collapsed="false">
      <c r="A13" s="5" t="s">
        <v>79</v>
      </c>
      <c r="B13" s="2" t="n">
        <v>6</v>
      </c>
      <c r="C13" s="12" t="b">
        <f aca="false">FALSE()</f>
        <v>0</v>
      </c>
      <c r="D13" s="2" t="n">
        <v>236</v>
      </c>
      <c r="E13" s="2" t="n">
        <f aca="false">COUNTIFS(外部提取逐次!$B$2:$B$181,$B13,外部提取逐次!$D$2:$D$181,$A13)</f>
        <v>10</v>
      </c>
      <c r="F13" s="2" t="n">
        <f aca="false">AVERAGEIFS(外部提取逐次!$G$2:$G$181,外部提取逐次!$B$2:$B$181,$B13,外部提取逐次!$D$2:$D$181,$A13)</f>
        <v>37.5</v>
      </c>
      <c r="G13" s="2" t="n">
        <f aca="false">AVERAGEIFS(外部提取逐次!$H$2:$H$181,外部提取逐次!$B$2:$B$181,$B13,外部提取逐次!$D$2:$D$181,$A13)</f>
        <v>32.3</v>
      </c>
      <c r="H13" s="10" t="n">
        <f aca="false">AVERAGEIFS(外部提取逐次!$I$2:$I$181,外部提取逐次!$B$2:$B$181,$B13,外部提取逐次!$D$2:$D$181,$A13)</f>
        <v>0.136864406779661</v>
      </c>
      <c r="I13" s="10" t="n">
        <v>0.00401984448326488</v>
      </c>
      <c r="J13" s="7" t="n">
        <v>0.0648576023201255</v>
      </c>
    </row>
    <row r="14" customFormat="false" ht="15" hidden="false" customHeight="false" outlineLevel="0" collapsed="false">
      <c r="A14" s="5" t="s">
        <v>82</v>
      </c>
      <c r="B14" s="2" t="n">
        <v>1</v>
      </c>
      <c r="C14" s="12" t="b">
        <f aca="false">TRUE()</f>
        <v>1</v>
      </c>
      <c r="D14" s="2" t="n">
        <v>51</v>
      </c>
      <c r="E14" s="2" t="n">
        <f aca="false">COUNTIFS(外部提取逐次!$B$2:$B$181,$B14,外部提取逐次!$D$2:$D$181,$A14)</f>
        <v>10</v>
      </c>
      <c r="F14" s="2" t="n">
        <f aca="false">AVERAGEIFS(外部提取逐次!$G$2:$G$181,外部提取逐次!$B$2:$B$181,$B14,外部提取逐次!$D$2:$D$181,$A14)</f>
        <v>43.5</v>
      </c>
      <c r="G14" s="2" t="n">
        <f aca="false">AVERAGEIFS(外部提取逐次!$H$2:$H$181,外部提取逐次!$B$2:$B$181,$B14,外部提取逐次!$D$2:$D$181,$A14)</f>
        <v>39.7</v>
      </c>
      <c r="H14" s="10" t="n">
        <f aca="false">AVERAGEIFS(外部提取逐次!$I$2:$I$181,外部提取逐次!$B$2:$B$181,$B14,外部提取逐次!$D$2:$D$181,$A14)</f>
        <v>0.77843137254902</v>
      </c>
      <c r="I14" s="10" t="n">
        <v>0.00947148806940488</v>
      </c>
      <c r="J14" s="7" t="n">
        <v>0.035998392215951</v>
      </c>
    </row>
    <row r="15" customFormat="false" ht="15" hidden="false" customHeight="false" outlineLevel="0" collapsed="false">
      <c r="A15" s="5" t="s">
        <v>82</v>
      </c>
      <c r="B15" s="2" t="n">
        <v>2</v>
      </c>
      <c r="C15" s="12" t="b">
        <f aca="false">FALSE()</f>
        <v>0</v>
      </c>
      <c r="D15" s="2" t="n">
        <v>84</v>
      </c>
      <c r="E15" s="2" t="n">
        <f aca="false">COUNTIFS(外部提取逐次!$B$2:$B$181,$B15,外部提取逐次!$D$2:$D$181,$A15)</f>
        <v>10</v>
      </c>
      <c r="F15" s="2" t="n">
        <f aca="false">AVERAGEIFS(外部提取逐次!$G$2:$G$181,外部提取逐次!$B$2:$B$181,$B15,外部提取逐次!$D$2:$D$181,$A15)</f>
        <v>35.9</v>
      </c>
      <c r="G15" s="2" t="n">
        <f aca="false">AVERAGEIFS(外部提取逐次!$H$2:$H$181,外部提取逐次!$B$2:$B$181,$B15,外部提取逐次!$D$2:$D$181,$A15)</f>
        <v>35</v>
      </c>
      <c r="H15" s="10" t="n">
        <f aca="false">AVERAGEIFS(外部提取逐次!$I$2:$I$181,外部提取逐次!$B$2:$B$181,$B15,外部提取逐次!$D$2:$D$181,$A15)</f>
        <v>0.416666666666667</v>
      </c>
      <c r="I15" s="10" t="n">
        <v>0.012548720873684</v>
      </c>
      <c r="J15" s="7" t="n">
        <v>0.0650991625143818</v>
      </c>
    </row>
    <row r="16" customFormat="false" ht="15" hidden="false" customHeight="false" outlineLevel="0" collapsed="false">
      <c r="A16" s="5" t="s">
        <v>82</v>
      </c>
      <c r="B16" s="2" t="n">
        <v>3</v>
      </c>
      <c r="C16" s="12" t="b">
        <f aca="false">TRUE()</f>
        <v>1</v>
      </c>
      <c r="D16" s="2" t="n">
        <v>148</v>
      </c>
      <c r="E16" s="2" t="n">
        <f aca="false">COUNTIFS(外部提取逐次!$B$2:$B$181,$B16,外部提取逐次!$D$2:$D$181,$A16)</f>
        <v>10</v>
      </c>
      <c r="F16" s="2" t="n">
        <f aca="false">AVERAGEIFS(外部提取逐次!$G$2:$G$181,外部提取逐次!$B$2:$B$181,$B16,外部提取逐次!$D$2:$D$181,$A16)</f>
        <v>60</v>
      </c>
      <c r="G16" s="2" t="n">
        <f aca="false">AVERAGEIFS(外部提取逐次!$H$2:$H$181,外部提取逐次!$B$2:$B$181,$B16,外部提取逐次!$D$2:$D$181,$A16)</f>
        <v>58.7</v>
      </c>
      <c r="H16" s="10" t="n">
        <f aca="false">AVERAGEIFS(外部提取逐次!$I$2:$I$181,外部提取逐次!$B$2:$B$181,$B16,外部提取逐次!$D$2:$D$181,$A16)</f>
        <v>0.396621621621622</v>
      </c>
      <c r="I16" s="10" t="n">
        <v>0.0131520732618527</v>
      </c>
      <c r="J16" s="7" t="n">
        <v>0.0831862270613981</v>
      </c>
    </row>
    <row r="17" customFormat="false" ht="15" hidden="false" customHeight="false" outlineLevel="0" collapsed="false">
      <c r="A17" s="5" t="s">
        <v>82</v>
      </c>
      <c r="B17" s="2" t="n">
        <v>4</v>
      </c>
      <c r="C17" s="12" t="b">
        <f aca="false">FALSE()</f>
        <v>0</v>
      </c>
      <c r="D17" s="2" t="n">
        <v>78</v>
      </c>
      <c r="E17" s="2" t="n">
        <f aca="false">COUNTIFS(外部提取逐次!$B$2:$B$181,$B17,外部提取逐次!$D$2:$D$181,$A17)</f>
        <v>10</v>
      </c>
      <c r="F17" s="2" t="n">
        <f aca="false">AVERAGEIFS(外部提取逐次!$G$2:$G$181,外部提取逐次!$B$2:$B$181,$B17,外部提取逐次!$D$2:$D$181,$A17)</f>
        <v>36.8</v>
      </c>
      <c r="G17" s="2" t="n">
        <f aca="false">AVERAGEIFS(外部提取逐次!$H$2:$H$181,外部提取逐次!$B$2:$B$181,$B17,外部提取逐次!$D$2:$D$181,$A17)</f>
        <v>32.4</v>
      </c>
      <c r="H17" s="10" t="n">
        <f aca="false">AVERAGEIFS(外部提取逐次!$I$2:$I$181,外部提取逐次!$B$2:$B$181,$B17,外部提取逐次!$D$2:$D$181,$A17)</f>
        <v>0.415384615384615</v>
      </c>
      <c r="I17" s="10" t="n">
        <v>0.00896417818948848</v>
      </c>
      <c r="J17" s="7" t="n">
        <v>0.0577794260302844</v>
      </c>
    </row>
    <row r="18" customFormat="false" ht="15" hidden="false" customHeight="false" outlineLevel="0" collapsed="false">
      <c r="A18" s="5" t="s">
        <v>82</v>
      </c>
      <c r="B18" s="2" t="n">
        <v>5</v>
      </c>
      <c r="C18" s="12" t="b">
        <f aca="false">TRUE()</f>
        <v>1</v>
      </c>
      <c r="D18" s="2" t="n">
        <v>131</v>
      </c>
      <c r="E18" s="2" t="n">
        <f aca="false">COUNTIFS(外部提取逐次!$B$2:$B$181,$B18,外部提取逐次!$D$2:$D$181,$A18)</f>
        <v>10</v>
      </c>
      <c r="F18" s="2" t="n">
        <f aca="false">AVERAGEIFS(外部提取逐次!$G$2:$G$181,外部提取逐次!$B$2:$B$181,$B18,外部提取逐次!$D$2:$D$181,$A18)</f>
        <v>22.4</v>
      </c>
      <c r="G18" s="2" t="n">
        <f aca="false">AVERAGEIFS(外部提取逐次!$H$2:$H$181,外部提取逐次!$B$2:$B$181,$B18,外部提取逐次!$D$2:$D$181,$A18)</f>
        <v>19.4</v>
      </c>
      <c r="H18" s="10" t="n">
        <f aca="false">AVERAGEIFS(外部提取逐次!$I$2:$I$181,外部提取逐次!$B$2:$B$181,$B18,外部提取逐次!$D$2:$D$181,$A18)</f>
        <v>0.148091603053435</v>
      </c>
      <c r="I18" s="10" t="n">
        <v>0.0096558096493691</v>
      </c>
      <c r="J18" s="7" t="n">
        <v>0.104057867463422</v>
      </c>
    </row>
    <row r="19" customFormat="false" ht="15" hidden="false" customHeight="false" outlineLevel="0" collapsed="false">
      <c r="A19" s="5" t="s">
        <v>82</v>
      </c>
      <c r="B19" s="2" t="n">
        <v>6</v>
      </c>
      <c r="C19" s="12" t="b">
        <f aca="false">FALSE()</f>
        <v>0</v>
      </c>
      <c r="D19" s="2" t="n">
        <v>236</v>
      </c>
      <c r="E19" s="2" t="n">
        <f aca="false">COUNTIFS(外部提取逐次!$B$2:$B$181,$B19,外部提取逐次!$D$2:$D$181,$A19)</f>
        <v>10</v>
      </c>
      <c r="F19" s="2" t="n">
        <f aca="false">AVERAGEIFS(外部提取逐次!$G$2:$G$181,外部提取逐次!$B$2:$B$181,$B19,外部提取逐次!$D$2:$D$181,$A19)</f>
        <v>40.8</v>
      </c>
      <c r="G19" s="2" t="n">
        <f aca="false">AVERAGEIFS(外部提取逐次!$H$2:$H$181,外部提取逐次!$B$2:$B$181,$B19,外部提取逐次!$D$2:$D$181,$A19)</f>
        <v>36.8</v>
      </c>
      <c r="H19" s="10" t="n">
        <f aca="false">AVERAGEIFS(外部提取逐次!$I$2:$I$181,外部提取逐次!$B$2:$B$181,$B19,外部提取逐次!$D$2:$D$181,$A19)</f>
        <v>0.155932203389831</v>
      </c>
      <c r="I19" s="10" t="n">
        <v>0.0101459237265921</v>
      </c>
      <c r="J19" s="7" t="n">
        <v>0.0658145487815697</v>
      </c>
    </row>
  </sheetData>
  <autoFilter ref="A1:J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9"/>
    <col collapsed="false" customWidth="true" hidden="false" outlineLevel="0" max="5" min="5" style="0" width="25"/>
    <col collapsed="false" customWidth="true" hidden="false" outlineLevel="0" max="6" min="6" style="0" width="23"/>
    <col collapsed="false" customWidth="true" hidden="false" outlineLevel="0" max="7" min="7" style="0" width="90"/>
  </cols>
  <sheetData>
    <row r="1" customFormat="false" ht="31.5" hidden="false" customHeight="true" outlineLevel="0" collapsed="false">
      <c r="A1" s="1" t="s">
        <v>293</v>
      </c>
      <c r="B1" s="1" t="s">
        <v>242</v>
      </c>
      <c r="C1" s="1" t="s">
        <v>294</v>
      </c>
      <c r="D1" s="1" t="s">
        <v>295</v>
      </c>
      <c r="E1" s="1" t="s">
        <v>290</v>
      </c>
      <c r="F1" s="1" t="s">
        <v>296</v>
      </c>
      <c r="G1" s="1" t="s">
        <v>297</v>
      </c>
    </row>
    <row r="2" customFormat="false" ht="15" hidden="false" customHeight="false" outlineLevel="0" collapsed="false">
      <c r="A2" s="2" t="s">
        <v>298</v>
      </c>
      <c r="B2" s="5" t="s">
        <v>60</v>
      </c>
      <c r="C2" s="2" t="n">
        <v>6</v>
      </c>
      <c r="D2" s="2" t="n">
        <v>10</v>
      </c>
      <c r="E2" s="10" t="n">
        <v>0.38335164129356</v>
      </c>
      <c r="F2" s="10" t="n">
        <v>0</v>
      </c>
      <c r="G2" s="2" t="s">
        <v>299</v>
      </c>
    </row>
    <row r="3" customFormat="false" ht="15" hidden="false" customHeight="false" outlineLevel="0" collapsed="false">
      <c r="A3" s="2" t="s">
        <v>298</v>
      </c>
      <c r="B3" s="5" t="s">
        <v>79</v>
      </c>
      <c r="C3" s="2" t="n">
        <v>6</v>
      </c>
      <c r="D3" s="2" t="n">
        <v>10</v>
      </c>
      <c r="E3" s="10" t="n">
        <v>0.349405598866853</v>
      </c>
      <c r="F3" s="10" t="n">
        <v>-0.0339460424267073</v>
      </c>
      <c r="G3" s="2" t="s">
        <v>299</v>
      </c>
    </row>
    <row r="4" customFormat="false" ht="15" hidden="false" customHeight="false" outlineLevel="0" collapsed="false">
      <c r="A4" s="2" t="s">
        <v>298</v>
      </c>
      <c r="B4" s="5" t="s">
        <v>82</v>
      </c>
      <c r="C4" s="2" t="n">
        <v>6</v>
      </c>
      <c r="D4" s="2" t="n">
        <v>10</v>
      </c>
      <c r="E4" s="10" t="n">
        <v>0.385188013777532</v>
      </c>
      <c r="F4" s="10" t="n">
        <v>0.00183637248397167</v>
      </c>
      <c r="G4" s="2" t="s">
        <v>299</v>
      </c>
    </row>
    <row r="5" customFormat="false" ht="15" hidden="false" customHeight="false" outlineLevel="0" collapsed="false">
      <c r="A5" s="2" t="s">
        <v>300</v>
      </c>
      <c r="B5" s="5" t="s">
        <v>60</v>
      </c>
      <c r="C5" s="2" t="n">
        <v>3</v>
      </c>
      <c r="D5" s="2" t="n">
        <v>10</v>
      </c>
      <c r="E5" s="10" t="n">
        <v>0.438047522151698</v>
      </c>
      <c r="F5" s="10" t="n">
        <v>0</v>
      </c>
      <c r="G5" s="2" t="s">
        <v>299</v>
      </c>
    </row>
    <row r="6" customFormat="false" ht="15" hidden="false" customHeight="false" outlineLevel="0" collapsed="false">
      <c r="A6" s="2" t="s">
        <v>300</v>
      </c>
      <c r="B6" s="5" t="s">
        <v>79</v>
      </c>
      <c r="C6" s="2" t="n">
        <v>3</v>
      </c>
      <c r="D6" s="2" t="n">
        <v>10</v>
      </c>
      <c r="E6" s="10" t="n">
        <v>0.394795345412768</v>
      </c>
      <c r="F6" s="10" t="n">
        <v>-0.0432521767389302</v>
      </c>
      <c r="G6" s="2" t="s">
        <v>299</v>
      </c>
    </row>
    <row r="7" customFormat="false" ht="15" hidden="false" customHeight="false" outlineLevel="0" collapsed="false">
      <c r="A7" s="2" t="s">
        <v>300</v>
      </c>
      <c r="B7" s="5" t="s">
        <v>82</v>
      </c>
      <c r="C7" s="2" t="n">
        <v>3</v>
      </c>
      <c r="D7" s="2" t="n">
        <v>10</v>
      </c>
      <c r="E7" s="10" t="n">
        <v>0.441048199074692</v>
      </c>
      <c r="F7" s="10" t="n">
        <v>0.00300067692299394</v>
      </c>
      <c r="G7" s="2" t="s">
        <v>299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5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301</v>
      </c>
      <c r="B2" s="3" t="s">
        <v>302</v>
      </c>
    </row>
    <row r="3" customFormat="false" ht="15" hidden="false" customHeight="false" outlineLevel="0" collapsed="false">
      <c r="A3" s="2" t="s">
        <v>303</v>
      </c>
      <c r="B3" s="4" t="s">
        <v>304</v>
      </c>
    </row>
    <row r="4" customFormat="false" ht="15" hidden="false" customHeight="false" outlineLevel="0" collapsed="false">
      <c r="A4" s="2" t="s">
        <v>305</v>
      </c>
      <c r="B4" s="4" t="s">
        <v>306</v>
      </c>
    </row>
    <row r="5" customFormat="false" ht="15" hidden="false" customHeight="false" outlineLevel="0" collapsed="false">
      <c r="A5" s="2" t="s">
        <v>307</v>
      </c>
      <c r="B5" s="4" t="s">
        <v>308</v>
      </c>
    </row>
    <row r="6" customFormat="false" ht="15" hidden="false" customHeight="false" outlineLevel="0" collapsed="false">
      <c r="A6" s="2" t="s">
        <v>309</v>
      </c>
      <c r="B6" s="4" t="s">
        <v>310</v>
      </c>
    </row>
    <row r="7" customFormat="false" ht="15" hidden="false" customHeight="false" outlineLevel="0" collapsed="false">
      <c r="A7" s="2" t="s">
        <v>311</v>
      </c>
      <c r="B7" s="4" t="s">
        <v>312</v>
      </c>
    </row>
    <row r="8" customFormat="false" ht="15" hidden="false" customHeight="false" outlineLevel="0" collapsed="false">
      <c r="A8" s="2" t="s">
        <v>313</v>
      </c>
      <c r="B8" s="4" t="s">
        <v>314</v>
      </c>
    </row>
    <row r="9" customFormat="false" ht="15" hidden="false" customHeight="false" outlineLevel="0" collapsed="false">
      <c r="A9" s="5" t="s">
        <v>315</v>
      </c>
      <c r="B9" s="3" t="s">
        <v>316</v>
      </c>
    </row>
    <row r="10" customFormat="false" ht="15" hidden="false" customHeight="false" outlineLevel="0" collapsed="false">
      <c r="A10" s="5" t="s">
        <v>317</v>
      </c>
      <c r="B10" s="3" t="s">
        <v>318</v>
      </c>
    </row>
    <row r="11" customFormat="false" ht="15" hidden="false" customHeight="false" outlineLevel="0" collapsed="false">
      <c r="A11" s="5" t="s">
        <v>319</v>
      </c>
      <c r="B11" s="3" t="s">
        <v>320</v>
      </c>
    </row>
    <row r="12" customFormat="false" ht="15" hidden="false" customHeight="false" outlineLevel="0" collapsed="false">
      <c r="A12" s="5" t="s">
        <v>321</v>
      </c>
      <c r="B12" s="3" t="s">
        <v>322</v>
      </c>
    </row>
    <row r="13" customFormat="false" ht="15" hidden="false" customHeight="false" outlineLevel="0" collapsed="false">
      <c r="A13" s="5" t="s">
        <v>323</v>
      </c>
      <c r="B13" s="3" t="s">
        <v>324</v>
      </c>
    </row>
    <row r="14" customFormat="false" ht="15" hidden="false" customHeight="false" outlineLevel="0" collapsed="false">
      <c r="A14" s="5" t="s">
        <v>325</v>
      </c>
      <c r="B14" s="3" t="s">
        <v>326</v>
      </c>
    </row>
    <row r="15" customFormat="false" ht="15" hidden="false" customHeight="false" outlineLevel="0" collapsed="false">
      <c r="A15" s="5" t="s">
        <v>327</v>
      </c>
      <c r="B15" s="3" t="s">
        <v>328</v>
      </c>
    </row>
    <row r="16" customFormat="false" ht="15" hidden="false" customHeight="false" outlineLevel="0" collapsed="false">
      <c r="A16" s="5" t="s">
        <v>329</v>
      </c>
      <c r="B16" s="3" t="s">
        <v>330</v>
      </c>
    </row>
    <row r="17" customFormat="false" ht="15" hidden="false" customHeight="false" outlineLevel="0" collapsed="false">
      <c r="A17" s="5" t="s">
        <v>331</v>
      </c>
      <c r="B17" s="3" t="s">
        <v>332</v>
      </c>
    </row>
    <row r="18" customFormat="false" ht="15" hidden="false" customHeight="false" outlineLevel="0" collapsed="false">
      <c r="A18" s="5" t="s">
        <v>333</v>
      </c>
      <c r="B18" s="3" t="s">
        <v>334</v>
      </c>
    </row>
    <row r="19" customFormat="false" ht="15" hidden="false" customHeight="false" outlineLevel="0" collapsed="false">
      <c r="A19" s="5" t="s">
        <v>335</v>
      </c>
      <c r="B19" s="3" t="s">
        <v>336</v>
      </c>
    </row>
    <row r="20" customFormat="false" ht="15" hidden="false" customHeight="false" outlineLevel="0" collapsed="false">
      <c r="A20" s="5" t="s">
        <v>337</v>
      </c>
      <c r="B20" s="3" t="s">
        <v>338</v>
      </c>
    </row>
  </sheetData>
  <autoFilter ref="A1:B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5"/>
  </cols>
  <sheetData>
    <row r="1" customFormat="false" ht="31.5" hidden="false" customHeight="true" outlineLevel="0" collapsed="false">
      <c r="A1" s="1" t="s">
        <v>0</v>
      </c>
      <c r="B1" s="1" t="s">
        <v>339</v>
      </c>
    </row>
    <row r="2" customFormat="false" ht="15" hidden="false" customHeight="false" outlineLevel="0" collapsed="false">
      <c r="A2" s="2" t="s">
        <v>340</v>
      </c>
      <c r="B2" s="3" t="s">
        <v>341</v>
      </c>
    </row>
    <row r="3" customFormat="false" ht="15" hidden="false" customHeight="false" outlineLevel="0" collapsed="false">
      <c r="A3" s="2" t="s">
        <v>342</v>
      </c>
      <c r="B3" s="4" t="s">
        <v>343</v>
      </c>
    </row>
    <row r="4" customFormat="false" ht="15" hidden="false" customHeight="false" outlineLevel="0" collapsed="false">
      <c r="A4" s="2" t="s">
        <v>344</v>
      </c>
      <c r="B4" s="4" t="s">
        <v>345</v>
      </c>
    </row>
    <row r="5" customFormat="false" ht="15" hidden="false" customHeight="false" outlineLevel="0" collapsed="false">
      <c r="A5" s="2" t="s">
        <v>346</v>
      </c>
      <c r="B5" s="4" t="s">
        <v>347</v>
      </c>
    </row>
    <row r="6" customFormat="false" ht="15" hidden="false" customHeight="false" outlineLevel="0" collapsed="false">
      <c r="A6" s="2" t="s">
        <v>348</v>
      </c>
      <c r="B6" s="4" t="s">
        <v>349</v>
      </c>
    </row>
    <row r="7" customFormat="false" ht="15" hidden="false" customHeight="false" outlineLevel="0" collapsed="false">
      <c r="A7" s="5" t="s">
        <v>350</v>
      </c>
      <c r="B7" s="4" t="s">
        <v>351</v>
      </c>
    </row>
    <row r="8" customFormat="false" ht="15" hidden="false" customHeight="false" outlineLevel="0" collapsed="false">
      <c r="A8" s="2" t="s">
        <v>352</v>
      </c>
      <c r="B8" s="4" t="s">
        <v>353</v>
      </c>
    </row>
    <row r="9" customFormat="false" ht="15" hidden="false" customHeight="false" outlineLevel="0" collapsed="false">
      <c r="A9" s="2" t="s">
        <v>354</v>
      </c>
      <c r="B9" s="3" t="s">
        <v>355</v>
      </c>
    </row>
    <row r="10" customFormat="false" ht="15" hidden="false" customHeight="false" outlineLevel="0" collapsed="false">
      <c r="A10" s="5" t="s">
        <v>356</v>
      </c>
      <c r="B10" s="3" t="s">
        <v>357</v>
      </c>
    </row>
    <row r="11" customFormat="false" ht="15" hidden="false" customHeight="false" outlineLevel="0" collapsed="false">
      <c r="A11" s="5" t="s">
        <v>358</v>
      </c>
      <c r="B11" s="3" t="s">
        <v>359</v>
      </c>
    </row>
    <row r="12" customFormat="false" ht="15" hidden="false" customHeight="false" outlineLevel="0" collapsed="false">
      <c r="A12" s="2" t="s">
        <v>360</v>
      </c>
      <c r="B12" s="3" t="s">
        <v>361</v>
      </c>
    </row>
    <row r="13" customFormat="false" ht="15" hidden="false" customHeight="false" outlineLevel="0" collapsed="false">
      <c r="A13" s="2" t="s">
        <v>362</v>
      </c>
      <c r="B13" s="3" t="s">
        <v>363</v>
      </c>
    </row>
    <row r="14" customFormat="false" ht="15" hidden="false" customHeight="false" outlineLevel="0" collapsed="false">
      <c r="A14" s="2" t="s">
        <v>364</v>
      </c>
      <c r="B14" s="3" t="s">
        <v>365</v>
      </c>
    </row>
    <row r="15" customFormat="false" ht="15" hidden="false" customHeight="false" outlineLevel="0" collapsed="false">
      <c r="A15" s="2" t="s">
        <v>366</v>
      </c>
      <c r="B15" s="4" t="s">
        <v>367</v>
      </c>
    </row>
  </sheetData>
  <autoFilter ref="A1:B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2026-10-25T06:34:57Z</dcterms:created>
  <dc:creator>openpyxl</dc:creator>
  <dc:description/>
  <dc:language>en-US</dc:language>
  <cp:lastModifiedBy/>
  <dcterms:modified xsi:type="dcterms:W3CDTF">2026-10-25T06:34:59Z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